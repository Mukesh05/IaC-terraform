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prasad3\Downloads\RLS-NewModel\"/>
    </mc:Choice>
  </mc:AlternateContent>
  <xr:revisionPtr revIDLastSave="0" documentId="13_ncr:1_{CCEA97FA-BA67-410D-8A65-7ED6A5BF6625}" xr6:coauthVersionLast="47" xr6:coauthVersionMax="47" xr10:uidLastSave="{00000000-0000-0000-0000-000000000000}"/>
  <bookViews>
    <workbookView xWindow="28680" yWindow="-120" windowWidth="38640" windowHeight="21840" activeTab="6" xr2:uid="{00000000-000D-0000-FFFF-FFFF00000000}"/>
  </bookViews>
  <sheets>
    <sheet name="FTE" sheetId="1" r:id="rId1"/>
    <sheet name="India Role Distribution" sheetId="2" r:id="rId2"/>
    <sheet name="Onsite Role Distribution" sheetId="3" r:id="rId3"/>
    <sheet name="Productivity" sheetId="4" r:id="rId4"/>
    <sheet name="Transfer" sheetId="5" r:id="rId5"/>
    <sheet name="RLS" sheetId="6" r:id="rId6"/>
    <sheet name="RLS Detail" sheetId="7" r:id="rId7"/>
    <sheet name="Unit Distribution" sheetId="8" r:id="rId8"/>
  </sheets>
  <calcPr calcId="191028" iterateDelta="1E-4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6" i="6" l="1"/>
  <c r="BB26" i="6"/>
  <c r="BC26" i="6"/>
  <c r="BD26" i="6"/>
  <c r="BE26" i="6"/>
  <c r="BF26" i="6"/>
  <c r="BG26" i="6"/>
  <c r="BH26" i="6"/>
  <c r="BI26" i="6"/>
  <c r="BJ26" i="6"/>
  <c r="BK26" i="6"/>
  <c r="BA27" i="6"/>
  <c r="BB27" i="6"/>
  <c r="BC27" i="6"/>
  <c r="BD27" i="6"/>
  <c r="BE27" i="6"/>
  <c r="BF27" i="6"/>
  <c r="BG27" i="6"/>
  <c r="BH27" i="6"/>
  <c r="BI27" i="6"/>
  <c r="BJ27" i="6"/>
  <c r="BK27" i="6"/>
  <c r="BA28" i="6"/>
  <c r="BB28" i="6"/>
  <c r="BC28" i="6"/>
  <c r="BD28" i="6"/>
  <c r="BE28" i="6"/>
  <c r="BF28" i="6"/>
  <c r="BG28" i="6"/>
  <c r="BH28" i="6"/>
  <c r="BI28" i="6"/>
  <c r="BJ28" i="6"/>
  <c r="BK28" i="6"/>
  <c r="BA29" i="6"/>
  <c r="BB29" i="6"/>
  <c r="BC29" i="6"/>
  <c r="BD29" i="6"/>
  <c r="BE29" i="6"/>
  <c r="BF29" i="6"/>
  <c r="BG29" i="6"/>
  <c r="BH29" i="6"/>
  <c r="BI29" i="6"/>
  <c r="BJ29" i="6"/>
  <c r="BK29" i="6"/>
  <c r="BA30" i="6"/>
  <c r="BB30" i="6"/>
  <c r="BC30" i="6"/>
  <c r="BD30" i="6"/>
  <c r="BE30" i="6"/>
  <c r="BF30" i="6"/>
  <c r="BG30" i="6"/>
  <c r="BH30" i="6"/>
  <c r="BI30" i="6"/>
  <c r="BJ30" i="6"/>
  <c r="BK30" i="6"/>
  <c r="BA31" i="6"/>
  <c r="BB31" i="6"/>
  <c r="BC31" i="6"/>
  <c r="BD31" i="6"/>
  <c r="BE31" i="6"/>
  <c r="BF31" i="6"/>
  <c r="BG31" i="6"/>
  <c r="BH31" i="6"/>
  <c r="BI31" i="6"/>
  <c r="BJ31" i="6"/>
  <c r="BK31" i="6"/>
  <c r="BA32" i="6"/>
  <c r="BB32" i="6"/>
  <c r="BC32" i="6"/>
  <c r="BD32" i="6"/>
  <c r="BE32" i="6"/>
  <c r="BF32" i="6"/>
  <c r="BG32" i="6"/>
  <c r="BH32" i="6"/>
  <c r="BI32" i="6"/>
  <c r="BJ32" i="6"/>
  <c r="BK32" i="6"/>
  <c r="BA33" i="6"/>
  <c r="BB33" i="6"/>
  <c r="BC33" i="6"/>
  <c r="BD33" i="6"/>
  <c r="BE33" i="6"/>
  <c r="BF33" i="6"/>
  <c r="BG33" i="6"/>
  <c r="BH33" i="6"/>
  <c r="BI33" i="6"/>
  <c r="BJ33" i="6"/>
  <c r="BK33" i="6"/>
  <c r="BA34" i="6"/>
  <c r="BB34" i="6"/>
  <c r="BC34" i="6"/>
  <c r="BD34" i="6"/>
  <c r="BE34" i="6"/>
  <c r="BF34" i="6"/>
  <c r="BG34" i="6"/>
  <c r="BH34" i="6"/>
  <c r="BI34" i="6"/>
  <c r="BJ34" i="6"/>
  <c r="BK34" i="6"/>
  <c r="BA35" i="6"/>
  <c r="BB35" i="6"/>
  <c r="BC35" i="6"/>
  <c r="BD35" i="6"/>
  <c r="BE35" i="6"/>
  <c r="BF35" i="6"/>
  <c r="BG35" i="6"/>
  <c r="BH35" i="6"/>
  <c r="BI35" i="6"/>
  <c r="BJ35" i="6"/>
  <c r="BK35" i="6"/>
  <c r="BA36" i="6"/>
  <c r="BB36" i="6"/>
  <c r="BC36" i="6"/>
  <c r="BD36" i="6"/>
  <c r="BE36" i="6"/>
  <c r="BF36" i="6"/>
  <c r="BG36" i="6"/>
  <c r="BH36" i="6"/>
  <c r="BI36" i="6"/>
  <c r="BJ36" i="6"/>
  <c r="BK36" i="6"/>
  <c r="BA37" i="6"/>
  <c r="BB37" i="6"/>
  <c r="BC37" i="6"/>
  <c r="BD37" i="6"/>
  <c r="BE37" i="6"/>
  <c r="BF37" i="6"/>
  <c r="BG37" i="6"/>
  <c r="BH37" i="6"/>
  <c r="BI37" i="6"/>
  <c r="BJ37" i="6"/>
  <c r="BK37" i="6"/>
  <c r="BA38" i="6"/>
  <c r="BB38" i="6"/>
  <c r="BC38" i="6"/>
  <c r="BD38" i="6"/>
  <c r="BE38" i="6"/>
  <c r="BF38" i="6"/>
  <c r="BG38" i="6"/>
  <c r="BH38" i="6"/>
  <c r="BI38" i="6"/>
  <c r="BJ38" i="6"/>
  <c r="BK38" i="6"/>
  <c r="BA39" i="6"/>
  <c r="BB39" i="6"/>
  <c r="BC39" i="6"/>
  <c r="BD39" i="6"/>
  <c r="BE39" i="6"/>
  <c r="BF39" i="6"/>
  <c r="BG39" i="6"/>
  <c r="BH39" i="6"/>
  <c r="BI39" i="6"/>
  <c r="BJ39" i="6"/>
  <c r="BK39" i="6"/>
  <c r="BA40" i="6"/>
  <c r="BB40" i="6"/>
  <c r="BC40" i="6"/>
  <c r="BD40" i="6"/>
  <c r="BE40" i="6"/>
  <c r="BF40" i="6"/>
  <c r="BG40" i="6"/>
  <c r="BH40" i="6"/>
  <c r="BI40" i="6"/>
  <c r="BJ40" i="6"/>
  <c r="BK40" i="6"/>
  <c r="BA41" i="6"/>
  <c r="BB41" i="6"/>
  <c r="BC41" i="6"/>
  <c r="BD41" i="6"/>
  <c r="BE41" i="6"/>
  <c r="BF41" i="6"/>
  <c r="BG41" i="6"/>
  <c r="BH41" i="6"/>
  <c r="BI41" i="6"/>
  <c r="BJ41" i="6"/>
  <c r="BK41" i="6"/>
  <c r="AZ38" i="6"/>
  <c r="AZ39" i="6"/>
  <c r="AZ40" i="6"/>
  <c r="AZ41" i="6"/>
  <c r="AZ37" i="6"/>
  <c r="AZ36" i="6"/>
  <c r="AZ35" i="6"/>
  <c r="AZ34" i="6"/>
  <c r="AZ33" i="6"/>
  <c r="AZ32" i="6"/>
  <c r="AZ31" i="6"/>
  <c r="AZ30" i="6"/>
  <c r="AZ29" i="6"/>
  <c r="AZ28" i="6"/>
  <c r="AZ27" i="6"/>
  <c r="AZ26" i="6"/>
  <c r="AO26" i="6"/>
  <c r="AP26" i="6"/>
  <c r="AQ26" i="6"/>
  <c r="AR26" i="6"/>
  <c r="AS26" i="6"/>
  <c r="AT26" i="6"/>
  <c r="AU26" i="6"/>
  <c r="AV26" i="6"/>
  <c r="AW26" i="6"/>
  <c r="AX26" i="6"/>
  <c r="AY26" i="6"/>
  <c r="AO27" i="6"/>
  <c r="AP27" i="6"/>
  <c r="AQ27" i="6"/>
  <c r="AR27" i="6"/>
  <c r="AS27" i="6"/>
  <c r="AT27" i="6"/>
  <c r="AU27" i="6"/>
  <c r="AV27" i="6"/>
  <c r="AW27" i="6"/>
  <c r="AX27" i="6"/>
  <c r="AY27" i="6"/>
  <c r="AO28" i="6"/>
  <c r="AP28" i="6"/>
  <c r="AQ28" i="6"/>
  <c r="AR28" i="6"/>
  <c r="AS28" i="6"/>
  <c r="AT28" i="6"/>
  <c r="AU28" i="6"/>
  <c r="AV28" i="6"/>
  <c r="AW28" i="6"/>
  <c r="AX28" i="6"/>
  <c r="AY28" i="6"/>
  <c r="AO29" i="6"/>
  <c r="AP29" i="6"/>
  <c r="AQ29" i="6"/>
  <c r="AR29" i="6"/>
  <c r="AS29" i="6"/>
  <c r="AT29" i="6"/>
  <c r="AU29" i="6"/>
  <c r="AV29" i="6"/>
  <c r="AW29" i="6"/>
  <c r="AX29" i="6"/>
  <c r="AY29" i="6"/>
  <c r="AO30" i="6"/>
  <c r="AP30" i="6"/>
  <c r="AQ30" i="6"/>
  <c r="AR30" i="6"/>
  <c r="AS30" i="6"/>
  <c r="AT30" i="6"/>
  <c r="AU30" i="6"/>
  <c r="AV30" i="6"/>
  <c r="AW30" i="6"/>
  <c r="AX30" i="6"/>
  <c r="AY30" i="6"/>
  <c r="AO31" i="6"/>
  <c r="AP31" i="6"/>
  <c r="AQ31" i="6"/>
  <c r="AR31" i="6"/>
  <c r="AS31" i="6"/>
  <c r="AT31" i="6"/>
  <c r="AU31" i="6"/>
  <c r="AV31" i="6"/>
  <c r="AW31" i="6"/>
  <c r="AX31" i="6"/>
  <c r="AY31" i="6"/>
  <c r="AO32" i="6"/>
  <c r="AP32" i="6"/>
  <c r="AQ32" i="6"/>
  <c r="AR32" i="6"/>
  <c r="AS32" i="6"/>
  <c r="AT32" i="6"/>
  <c r="AU32" i="6"/>
  <c r="AV32" i="6"/>
  <c r="AW32" i="6"/>
  <c r="AX32" i="6"/>
  <c r="AY32" i="6"/>
  <c r="AO33" i="6"/>
  <c r="AP33" i="6"/>
  <c r="AQ33" i="6"/>
  <c r="AR33" i="6"/>
  <c r="AS33" i="6"/>
  <c r="AT33" i="6"/>
  <c r="AU33" i="6"/>
  <c r="AV33" i="6"/>
  <c r="AW33" i="6"/>
  <c r="AX33" i="6"/>
  <c r="AY33" i="6"/>
  <c r="AO34" i="6"/>
  <c r="AP34" i="6"/>
  <c r="AQ34" i="6"/>
  <c r="AR34" i="6"/>
  <c r="AS34" i="6"/>
  <c r="AT34" i="6"/>
  <c r="AU34" i="6"/>
  <c r="AV34" i="6"/>
  <c r="AW34" i="6"/>
  <c r="AX34" i="6"/>
  <c r="AY34" i="6"/>
  <c r="AO35" i="6"/>
  <c r="AP35" i="6"/>
  <c r="AQ35" i="6"/>
  <c r="AR35" i="6"/>
  <c r="AS35" i="6"/>
  <c r="AT35" i="6"/>
  <c r="AU35" i="6"/>
  <c r="AV35" i="6"/>
  <c r="AW35" i="6"/>
  <c r="AX35" i="6"/>
  <c r="AY35" i="6"/>
  <c r="AO36" i="6"/>
  <c r="AP36" i="6"/>
  <c r="AQ36" i="6"/>
  <c r="AR36" i="6"/>
  <c r="AS36" i="6"/>
  <c r="AT36" i="6"/>
  <c r="AU36" i="6"/>
  <c r="AV36" i="6"/>
  <c r="AW36" i="6"/>
  <c r="AX36" i="6"/>
  <c r="AY36" i="6"/>
  <c r="AO37" i="6"/>
  <c r="AP37" i="6"/>
  <c r="AQ37" i="6"/>
  <c r="AR37" i="6"/>
  <c r="AS37" i="6"/>
  <c r="AT37" i="6"/>
  <c r="AU37" i="6"/>
  <c r="AV37" i="6"/>
  <c r="AW37" i="6"/>
  <c r="AX37" i="6"/>
  <c r="AY37" i="6"/>
  <c r="AO38" i="6"/>
  <c r="AP38" i="6"/>
  <c r="AQ38" i="6"/>
  <c r="AR38" i="6"/>
  <c r="AS38" i="6"/>
  <c r="AT38" i="6"/>
  <c r="AU38" i="6"/>
  <c r="AV38" i="6"/>
  <c r="AW38" i="6"/>
  <c r="AX38" i="6"/>
  <c r="AY38" i="6"/>
  <c r="AO39" i="6"/>
  <c r="AP39" i="6"/>
  <c r="AQ39" i="6"/>
  <c r="AR39" i="6"/>
  <c r="AS39" i="6"/>
  <c r="AT39" i="6"/>
  <c r="AU39" i="6"/>
  <c r="AV39" i="6"/>
  <c r="AW39" i="6"/>
  <c r="AX39" i="6"/>
  <c r="AY39" i="6"/>
  <c r="AO40" i="6"/>
  <c r="AP40" i="6"/>
  <c r="AQ40" i="6"/>
  <c r="AR40" i="6"/>
  <c r="AS40" i="6"/>
  <c r="AT40" i="6"/>
  <c r="AU40" i="6"/>
  <c r="AV40" i="6"/>
  <c r="AW40" i="6"/>
  <c r="AX40" i="6"/>
  <c r="AY40" i="6"/>
  <c r="AO41" i="6"/>
  <c r="AP41" i="6"/>
  <c r="AQ41" i="6"/>
  <c r="AR41" i="6"/>
  <c r="AS41" i="6"/>
  <c r="AT41" i="6"/>
  <c r="AU41" i="6"/>
  <c r="AV41" i="6"/>
  <c r="AW41" i="6"/>
  <c r="AX41" i="6"/>
  <c r="AY41" i="6"/>
  <c r="AN38" i="6"/>
  <c r="AN39" i="6"/>
  <c r="AN40" i="6"/>
  <c r="AN41" i="6"/>
  <c r="AN37" i="6"/>
  <c r="AN33" i="6"/>
  <c r="AN34" i="6"/>
  <c r="AN35" i="6"/>
  <c r="AN36" i="6"/>
  <c r="AN32" i="6"/>
  <c r="AN27" i="6"/>
  <c r="AN28" i="6"/>
  <c r="AN29" i="6"/>
  <c r="AN30" i="6"/>
  <c r="AN31" i="6"/>
  <c r="D13" i="2"/>
  <c r="AN26" i="6"/>
  <c r="AC26" i="6"/>
  <c r="AD26" i="6"/>
  <c r="AE26" i="6"/>
  <c r="AF26" i="6"/>
  <c r="AG26" i="6"/>
  <c r="AH26" i="6"/>
  <c r="AI26" i="6"/>
  <c r="AJ26" i="6"/>
  <c r="AK26" i="6"/>
  <c r="AL26" i="6"/>
  <c r="AM26" i="6"/>
  <c r="AC27" i="6"/>
  <c r="AD27" i="6"/>
  <c r="AE27" i="6"/>
  <c r="AF27" i="6"/>
  <c r="AG27" i="6"/>
  <c r="AH27" i="6"/>
  <c r="AI27" i="6"/>
  <c r="AJ27" i="6"/>
  <c r="AK27" i="6"/>
  <c r="AL27" i="6"/>
  <c r="AM27" i="6"/>
  <c r="AC28" i="6"/>
  <c r="AD28" i="6"/>
  <c r="AE28" i="6"/>
  <c r="AF28" i="6"/>
  <c r="AG28" i="6"/>
  <c r="AH28" i="6"/>
  <c r="AI28" i="6"/>
  <c r="AJ28" i="6"/>
  <c r="AK28" i="6"/>
  <c r="AL28" i="6"/>
  <c r="AM28" i="6"/>
  <c r="AC29" i="6"/>
  <c r="AD29" i="6"/>
  <c r="AE29" i="6"/>
  <c r="AF29" i="6"/>
  <c r="AG29" i="6"/>
  <c r="AH29" i="6"/>
  <c r="AI29" i="6"/>
  <c r="AJ29" i="6"/>
  <c r="AK29" i="6"/>
  <c r="AL29" i="6"/>
  <c r="AM29" i="6"/>
  <c r="AC30" i="6"/>
  <c r="AD30" i="6"/>
  <c r="AE30" i="6"/>
  <c r="AF30" i="6"/>
  <c r="AG30" i="6"/>
  <c r="AH30" i="6"/>
  <c r="AI30" i="6"/>
  <c r="AJ30" i="6"/>
  <c r="AK30" i="6"/>
  <c r="AL30" i="6"/>
  <c r="AM30" i="6"/>
  <c r="AC31" i="6"/>
  <c r="AD31" i="6"/>
  <c r="AE31" i="6"/>
  <c r="AF31" i="6"/>
  <c r="AG31" i="6"/>
  <c r="AH31" i="6"/>
  <c r="AI31" i="6"/>
  <c r="AJ31" i="6"/>
  <c r="AK31" i="6"/>
  <c r="AL31" i="6"/>
  <c r="AM31" i="6"/>
  <c r="AC32" i="6"/>
  <c r="AD32" i="6"/>
  <c r="AE32" i="6"/>
  <c r="AF32" i="6"/>
  <c r="AG32" i="6"/>
  <c r="AH32" i="6"/>
  <c r="AI32" i="6"/>
  <c r="AJ32" i="6"/>
  <c r="AK32" i="6"/>
  <c r="AL32" i="6"/>
  <c r="AM32" i="6"/>
  <c r="AC33" i="6"/>
  <c r="AD33" i="6"/>
  <c r="AE33" i="6"/>
  <c r="AF33" i="6"/>
  <c r="AG33" i="6"/>
  <c r="AH33" i="6"/>
  <c r="AI33" i="6"/>
  <c r="AJ33" i="6"/>
  <c r="AK33" i="6"/>
  <c r="AL33" i="6"/>
  <c r="AM33" i="6"/>
  <c r="AC34" i="6"/>
  <c r="AD34" i="6"/>
  <c r="AE34" i="6"/>
  <c r="AF34" i="6"/>
  <c r="AG34" i="6"/>
  <c r="AH34" i="6"/>
  <c r="AI34" i="6"/>
  <c r="AJ34" i="6"/>
  <c r="AK34" i="6"/>
  <c r="AL34" i="6"/>
  <c r="AM34" i="6"/>
  <c r="AC35" i="6"/>
  <c r="AD35" i="6"/>
  <c r="AE35" i="6"/>
  <c r="AF35" i="6"/>
  <c r="AG35" i="6"/>
  <c r="AH35" i="6"/>
  <c r="AI35" i="6"/>
  <c r="AJ35" i="6"/>
  <c r="AK35" i="6"/>
  <c r="AL35" i="6"/>
  <c r="AM35" i="6"/>
  <c r="AC36" i="6"/>
  <c r="AD36" i="6"/>
  <c r="AE36" i="6"/>
  <c r="AF36" i="6"/>
  <c r="AG36" i="6"/>
  <c r="AH36" i="6"/>
  <c r="AI36" i="6"/>
  <c r="AJ36" i="6"/>
  <c r="AK36" i="6"/>
  <c r="AL36" i="6"/>
  <c r="AM36" i="6"/>
  <c r="AC37" i="6"/>
  <c r="AD37" i="6"/>
  <c r="AE37" i="6"/>
  <c r="AF37" i="6"/>
  <c r="AG37" i="6"/>
  <c r="AH37" i="6"/>
  <c r="AI37" i="6"/>
  <c r="AJ37" i="6"/>
  <c r="AK37" i="6"/>
  <c r="AL37" i="6"/>
  <c r="AM37" i="6"/>
  <c r="AC38" i="6"/>
  <c r="AD38" i="6"/>
  <c r="AE38" i="6"/>
  <c r="AF38" i="6"/>
  <c r="AG38" i="6"/>
  <c r="AH38" i="6"/>
  <c r="AI38" i="6"/>
  <c r="AJ38" i="6"/>
  <c r="AK38" i="6"/>
  <c r="AL38" i="6"/>
  <c r="AM38" i="6"/>
  <c r="AC39" i="6"/>
  <c r="AD39" i="6"/>
  <c r="AE39" i="6"/>
  <c r="AF39" i="6"/>
  <c r="AG39" i="6"/>
  <c r="AH39" i="6"/>
  <c r="AI39" i="6"/>
  <c r="AJ39" i="6"/>
  <c r="AK39" i="6"/>
  <c r="AL39" i="6"/>
  <c r="AM39" i="6"/>
  <c r="AC40" i="6"/>
  <c r="AD40" i="6"/>
  <c r="AE40" i="6"/>
  <c r="AF40" i="6"/>
  <c r="AG40" i="6"/>
  <c r="AH40" i="6"/>
  <c r="AI40" i="6"/>
  <c r="AJ40" i="6"/>
  <c r="AK40" i="6"/>
  <c r="AL40" i="6"/>
  <c r="AM40" i="6"/>
  <c r="AC41" i="6"/>
  <c r="AD41" i="6"/>
  <c r="AE41" i="6"/>
  <c r="AF41" i="6"/>
  <c r="AG41" i="6"/>
  <c r="AH41" i="6"/>
  <c r="AI41" i="6"/>
  <c r="AJ41" i="6"/>
  <c r="AK41" i="6"/>
  <c r="AL41" i="6"/>
  <c r="AM41" i="6"/>
  <c r="AB38" i="6"/>
  <c r="AB39" i="6"/>
  <c r="AB40" i="6"/>
  <c r="AB41" i="6"/>
  <c r="AB37" i="6"/>
  <c r="AB33" i="6"/>
  <c r="AB34" i="6"/>
  <c r="AB35" i="6"/>
  <c r="AB36" i="6"/>
  <c r="AB32" i="6"/>
  <c r="AB31" i="6"/>
  <c r="AB27" i="6"/>
  <c r="AB28" i="6"/>
  <c r="AB29" i="6"/>
  <c r="AB30" i="6"/>
  <c r="AB26" i="6"/>
  <c r="Q26" i="6"/>
  <c r="R26" i="6"/>
  <c r="S26" i="6"/>
  <c r="T26" i="6"/>
  <c r="U26" i="6"/>
  <c r="V26" i="6"/>
  <c r="W26" i="6"/>
  <c r="X26" i="6"/>
  <c r="Y26" i="6"/>
  <c r="Z26" i="6"/>
  <c r="AA26" i="6"/>
  <c r="Q27" i="6"/>
  <c r="R27" i="6"/>
  <c r="S27" i="6"/>
  <c r="T27" i="6"/>
  <c r="U27" i="6"/>
  <c r="V27" i="6"/>
  <c r="W27" i="6"/>
  <c r="X27" i="6"/>
  <c r="Y27" i="6"/>
  <c r="Z27" i="6"/>
  <c r="AA27" i="6"/>
  <c r="Q28" i="6"/>
  <c r="R28" i="6"/>
  <c r="S28" i="6"/>
  <c r="T28" i="6"/>
  <c r="U28" i="6"/>
  <c r="V28" i="6"/>
  <c r="W28" i="6"/>
  <c r="X28" i="6"/>
  <c r="Y28" i="6"/>
  <c r="Z28" i="6"/>
  <c r="AA28" i="6"/>
  <c r="Q29" i="6"/>
  <c r="R29" i="6"/>
  <c r="S29" i="6"/>
  <c r="T29" i="6"/>
  <c r="U29" i="6"/>
  <c r="V29" i="6"/>
  <c r="W29" i="6"/>
  <c r="X29" i="6"/>
  <c r="Y29" i="6"/>
  <c r="Z29" i="6"/>
  <c r="AA29" i="6"/>
  <c r="Q30" i="6"/>
  <c r="R30" i="6"/>
  <c r="S30" i="6"/>
  <c r="T30" i="6"/>
  <c r="U30" i="6"/>
  <c r="V30" i="6"/>
  <c r="W30" i="6"/>
  <c r="X30" i="6"/>
  <c r="Y30" i="6"/>
  <c r="Z30" i="6"/>
  <c r="AA30" i="6"/>
  <c r="Q31" i="6"/>
  <c r="R31" i="6"/>
  <c r="S31" i="6"/>
  <c r="T31" i="6"/>
  <c r="U31" i="6"/>
  <c r="V31" i="6"/>
  <c r="W31" i="6"/>
  <c r="X31" i="6"/>
  <c r="Y31" i="6"/>
  <c r="Z31" i="6"/>
  <c r="AA31" i="6"/>
  <c r="Q32" i="6"/>
  <c r="R32" i="6"/>
  <c r="S32" i="6"/>
  <c r="T32" i="6"/>
  <c r="U32" i="6"/>
  <c r="V32" i="6"/>
  <c r="W32" i="6"/>
  <c r="X32" i="6"/>
  <c r="Y32" i="6"/>
  <c r="Z32" i="6"/>
  <c r="AA32" i="6"/>
  <c r="Q33" i="6"/>
  <c r="R33" i="6"/>
  <c r="S33" i="6"/>
  <c r="T33" i="6"/>
  <c r="U33" i="6"/>
  <c r="V33" i="6"/>
  <c r="W33" i="6"/>
  <c r="X33" i="6"/>
  <c r="Y33" i="6"/>
  <c r="Z33" i="6"/>
  <c r="AA33" i="6"/>
  <c r="Q34" i="6"/>
  <c r="R34" i="6"/>
  <c r="S34" i="6"/>
  <c r="T34" i="6"/>
  <c r="U34" i="6"/>
  <c r="V34" i="6"/>
  <c r="W34" i="6"/>
  <c r="X34" i="6"/>
  <c r="Y34" i="6"/>
  <c r="Z34" i="6"/>
  <c r="AA34" i="6"/>
  <c r="Q35" i="6"/>
  <c r="R35" i="6"/>
  <c r="S35" i="6"/>
  <c r="T35" i="6"/>
  <c r="U35" i="6"/>
  <c r="V35" i="6"/>
  <c r="W35" i="6"/>
  <c r="X35" i="6"/>
  <c r="Y35" i="6"/>
  <c r="Z35" i="6"/>
  <c r="AA35" i="6"/>
  <c r="Q36" i="6"/>
  <c r="R36" i="6"/>
  <c r="S36" i="6"/>
  <c r="T36" i="6"/>
  <c r="U36" i="6"/>
  <c r="V36" i="6"/>
  <c r="W36" i="6"/>
  <c r="X36" i="6"/>
  <c r="Y36" i="6"/>
  <c r="Z36" i="6"/>
  <c r="AA36" i="6"/>
  <c r="Q37" i="6"/>
  <c r="R37" i="6"/>
  <c r="S37" i="6"/>
  <c r="T37" i="6"/>
  <c r="U37" i="6"/>
  <c r="V37" i="6"/>
  <c r="W37" i="6"/>
  <c r="X37" i="6"/>
  <c r="Y37" i="6"/>
  <c r="Z37" i="6"/>
  <c r="AA37" i="6"/>
  <c r="Q38" i="6"/>
  <c r="R38" i="6"/>
  <c r="S38" i="6"/>
  <c r="T38" i="6"/>
  <c r="U38" i="6"/>
  <c r="V38" i="6"/>
  <c r="W38" i="6"/>
  <c r="X38" i="6"/>
  <c r="Y38" i="6"/>
  <c r="Z38" i="6"/>
  <c r="AA38" i="6"/>
  <c r="Q39" i="6"/>
  <c r="R39" i="6"/>
  <c r="S39" i="6"/>
  <c r="T39" i="6"/>
  <c r="U39" i="6"/>
  <c r="V39" i="6"/>
  <c r="W39" i="6"/>
  <c r="X39" i="6"/>
  <c r="Y39" i="6"/>
  <c r="Z39" i="6"/>
  <c r="AA39" i="6"/>
  <c r="Q40" i="6"/>
  <c r="R40" i="6"/>
  <c r="S40" i="6"/>
  <c r="T40" i="6"/>
  <c r="U40" i="6"/>
  <c r="V40" i="6"/>
  <c r="W40" i="6"/>
  <c r="X40" i="6"/>
  <c r="Y40" i="6"/>
  <c r="Z40" i="6"/>
  <c r="AA40" i="6"/>
  <c r="Q41" i="6"/>
  <c r="R41" i="6"/>
  <c r="S41" i="6"/>
  <c r="T41" i="6"/>
  <c r="U41" i="6"/>
  <c r="V41" i="6"/>
  <c r="W41" i="6"/>
  <c r="X41" i="6"/>
  <c r="Y41" i="6"/>
  <c r="Z41" i="6"/>
  <c r="AA41" i="6"/>
  <c r="P40" i="6"/>
  <c r="P41" i="6"/>
  <c r="P38" i="6"/>
  <c r="P39" i="6"/>
  <c r="P37" i="6"/>
  <c r="P33" i="6"/>
  <c r="P34" i="6"/>
  <c r="P35" i="6"/>
  <c r="P36" i="6"/>
  <c r="P32" i="6"/>
  <c r="P27" i="6"/>
  <c r="P28" i="6"/>
  <c r="P29" i="6"/>
  <c r="P30" i="6"/>
  <c r="P31" i="6"/>
  <c r="P26" i="6"/>
  <c r="C12" i="7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F6" i="1"/>
  <c r="F8" i="1" s="1"/>
  <c r="E6" i="1"/>
  <c r="E8" i="1" s="1"/>
  <c r="D6" i="1"/>
  <c r="D8" i="1" s="1"/>
  <c r="C6" i="1"/>
  <c r="C8" i="1" s="1"/>
  <c r="B6" i="1"/>
  <c r="B8" i="1" s="1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1" i="7"/>
  <c r="C10" i="7"/>
  <c r="C9" i="7"/>
  <c r="C8" i="7"/>
  <c r="C7" i="7"/>
  <c r="C6" i="7"/>
  <c r="C5" i="7"/>
  <c r="C4" i="7"/>
  <c r="C3" i="7"/>
  <c r="P9" i="7" l="1"/>
  <c r="E28" i="7"/>
  <c r="J28" i="7"/>
  <c r="I28" i="7"/>
  <c r="L28" i="7"/>
  <c r="H28" i="7"/>
  <c r="O28" i="7"/>
  <c r="M28" i="7"/>
  <c r="G28" i="7"/>
  <c r="P28" i="7"/>
  <c r="N28" i="7"/>
  <c r="K28" i="7"/>
  <c r="F28" i="7"/>
  <c r="G27" i="7"/>
  <c r="O27" i="7"/>
  <c r="P27" i="7"/>
  <c r="N27" i="7"/>
  <c r="M27" i="7"/>
  <c r="L27" i="7"/>
  <c r="K27" i="7"/>
  <c r="J27" i="7"/>
  <c r="I27" i="7"/>
  <c r="M25" i="7"/>
  <c r="M26" i="7" s="1"/>
  <c r="H27" i="7"/>
  <c r="E27" i="7"/>
  <c r="F27" i="7"/>
  <c r="P25" i="7"/>
  <c r="P26" i="7" s="1"/>
  <c r="I25" i="7"/>
  <c r="I26" i="7" s="1"/>
  <c r="O25" i="7"/>
  <c r="O26" i="7" s="1"/>
  <c r="N25" i="7"/>
  <c r="N26" i="7" s="1"/>
  <c r="M21" i="7"/>
  <c r="M22" i="7" s="1"/>
  <c r="L25" i="7"/>
  <c r="L26" i="7" s="1"/>
  <c r="K25" i="7"/>
  <c r="K26" i="7" s="1"/>
  <c r="J25" i="7"/>
  <c r="J26" i="7" s="1"/>
  <c r="E25" i="7"/>
  <c r="E26" i="7" s="1"/>
  <c r="H25" i="7"/>
  <c r="H26" i="7" s="1"/>
  <c r="G25" i="7"/>
  <c r="G26" i="7" s="1"/>
  <c r="F25" i="7"/>
  <c r="F26" i="7" s="1"/>
  <c r="K23" i="7"/>
  <c r="K24" i="7" s="1"/>
  <c r="J23" i="7"/>
  <c r="J24" i="7" s="1"/>
  <c r="P23" i="7"/>
  <c r="P24" i="7" s="1"/>
  <c r="O23" i="7"/>
  <c r="O24" i="7" s="1"/>
  <c r="N23" i="7"/>
  <c r="N24" i="7" s="1"/>
  <c r="M23" i="7"/>
  <c r="M24" i="7" s="1"/>
  <c r="L23" i="7"/>
  <c r="L24" i="7" s="1"/>
  <c r="E23" i="7"/>
  <c r="E24" i="7" s="1"/>
  <c r="I23" i="7"/>
  <c r="I24" i="7" s="1"/>
  <c r="H23" i="7"/>
  <c r="H24" i="7" s="1"/>
  <c r="G23" i="7"/>
  <c r="G24" i="7" s="1"/>
  <c r="F23" i="7"/>
  <c r="F24" i="7" s="1"/>
  <c r="P21" i="7"/>
  <c r="P22" i="7" s="1"/>
  <c r="O21" i="7"/>
  <c r="O22" i="7" s="1"/>
  <c r="N21" i="7"/>
  <c r="N22" i="7" s="1"/>
  <c r="E21" i="7"/>
  <c r="E22" i="7" s="1"/>
  <c r="J21" i="7"/>
  <c r="J22" i="7" s="1"/>
  <c r="I21" i="7"/>
  <c r="I22" i="7" s="1"/>
  <c r="H21" i="7"/>
  <c r="H22" i="7" s="1"/>
  <c r="L21" i="7"/>
  <c r="L22" i="7" s="1"/>
  <c r="K21" i="7"/>
  <c r="K22" i="7" s="1"/>
  <c r="G21" i="7"/>
  <c r="G22" i="7" s="1"/>
  <c r="F21" i="7"/>
  <c r="F22" i="7" s="1"/>
  <c r="F20" i="7"/>
  <c r="N20" i="7"/>
  <c r="M20" i="7"/>
  <c r="P20" i="7"/>
  <c r="E19" i="7"/>
  <c r="L20" i="7"/>
  <c r="K20" i="7"/>
  <c r="J20" i="7"/>
  <c r="I20" i="7"/>
  <c r="O20" i="7"/>
  <c r="H20" i="7"/>
  <c r="G20" i="7"/>
  <c r="E17" i="7"/>
  <c r="E18" i="7" s="1"/>
  <c r="P17" i="7"/>
  <c r="P18" i="7" s="1"/>
  <c r="L17" i="7"/>
  <c r="L18" i="7" s="1"/>
  <c r="O17" i="7"/>
  <c r="O18" i="7" s="1"/>
  <c r="N17" i="7"/>
  <c r="N18" i="7" s="1"/>
  <c r="M17" i="7"/>
  <c r="M18" i="7" s="1"/>
  <c r="J17" i="7"/>
  <c r="J18" i="7" s="1"/>
  <c r="I17" i="7"/>
  <c r="I18" i="7" s="1"/>
  <c r="K17" i="7"/>
  <c r="K18" i="7" s="1"/>
  <c r="H17" i="7"/>
  <c r="H18" i="7" s="1"/>
  <c r="G17" i="7"/>
  <c r="G18" i="7" s="1"/>
  <c r="F17" i="7"/>
  <c r="F18" i="7" s="1"/>
  <c r="G15" i="7"/>
  <c r="G16" i="7" s="1"/>
  <c r="L15" i="7"/>
  <c r="L16" i="7" s="1"/>
  <c r="P15" i="7"/>
  <c r="P16" i="7" s="1"/>
  <c r="O15" i="7"/>
  <c r="O16" i="7" s="1"/>
  <c r="N15" i="7"/>
  <c r="N16" i="7" s="1"/>
  <c r="J15" i="7"/>
  <c r="J16" i="7" s="1"/>
  <c r="I15" i="7"/>
  <c r="I16" i="7" s="1"/>
  <c r="M15" i="7"/>
  <c r="M16" i="7" s="1"/>
  <c r="K15" i="7"/>
  <c r="K16" i="7" s="1"/>
  <c r="H15" i="7"/>
  <c r="H16" i="7" s="1"/>
  <c r="E15" i="7"/>
  <c r="E16" i="7" s="1"/>
  <c r="F15" i="7"/>
  <c r="F16" i="7" s="1"/>
  <c r="P13" i="7"/>
  <c r="P14" i="7" s="1"/>
  <c r="F13" i="7"/>
  <c r="F14" i="7" s="1"/>
  <c r="O13" i="7"/>
  <c r="O14" i="7" s="1"/>
  <c r="L13" i="7"/>
  <c r="L14" i="7" s="1"/>
  <c r="N13" i="7"/>
  <c r="N14" i="7" s="1"/>
  <c r="K13" i="7"/>
  <c r="K14" i="7" s="1"/>
  <c r="J13" i="7"/>
  <c r="J14" i="7" s="1"/>
  <c r="I13" i="7"/>
  <c r="I14" i="7" s="1"/>
  <c r="M13" i="7"/>
  <c r="M14" i="7" s="1"/>
  <c r="H13" i="7"/>
  <c r="H14" i="7" s="1"/>
  <c r="G13" i="7"/>
  <c r="G14" i="7" s="1"/>
  <c r="E13" i="7"/>
  <c r="E14" i="7" s="1"/>
  <c r="G12" i="7"/>
  <c r="O12" i="7"/>
  <c r="P12" i="7"/>
  <c r="M12" i="7"/>
  <c r="K12" i="7"/>
  <c r="J12" i="7"/>
  <c r="N12" i="7"/>
  <c r="L12" i="7"/>
  <c r="I12" i="7"/>
  <c r="H12" i="7"/>
  <c r="E12" i="7"/>
  <c r="F12" i="7"/>
  <c r="I11" i="7"/>
  <c r="O11" i="7"/>
  <c r="N11" i="7"/>
  <c r="L11" i="7"/>
  <c r="M11" i="7"/>
  <c r="K11" i="7"/>
  <c r="J11" i="7"/>
  <c r="P11" i="7"/>
  <c r="E11" i="7"/>
  <c r="H11" i="7"/>
  <c r="G11" i="7"/>
  <c r="K10" i="7"/>
  <c r="F11" i="7"/>
  <c r="P10" i="7"/>
  <c r="L10" i="7"/>
  <c r="O10" i="7"/>
  <c r="N10" i="7"/>
  <c r="M10" i="7"/>
  <c r="E10" i="7"/>
  <c r="J10" i="7"/>
  <c r="I10" i="7"/>
  <c r="H10" i="7"/>
  <c r="G10" i="7"/>
  <c r="F10" i="7"/>
  <c r="I9" i="7"/>
  <c r="O9" i="7"/>
  <c r="N9" i="7"/>
  <c r="N7" i="7"/>
  <c r="N8" i="7" s="1"/>
  <c r="M9" i="7"/>
  <c r="L9" i="7"/>
  <c r="J9" i="7"/>
  <c r="K9" i="7"/>
  <c r="E9" i="7"/>
  <c r="H9" i="7"/>
  <c r="G9" i="7"/>
  <c r="F9" i="7"/>
  <c r="P7" i="7"/>
  <c r="P8" i="7" s="1"/>
  <c r="P5" i="7"/>
  <c r="P6" i="7" s="1"/>
  <c r="O7" i="7"/>
  <c r="O8" i="7" s="1"/>
  <c r="E7" i="7"/>
  <c r="E8" i="7" s="1"/>
  <c r="L7" i="7"/>
  <c r="L8" i="7" s="1"/>
  <c r="K7" i="7"/>
  <c r="K8" i="7" s="1"/>
  <c r="M7" i="7"/>
  <c r="M8" i="7" s="1"/>
  <c r="J7" i="7"/>
  <c r="J8" i="7" s="1"/>
  <c r="I7" i="7"/>
  <c r="I8" i="7" s="1"/>
  <c r="H7" i="7"/>
  <c r="H8" i="7" s="1"/>
  <c r="G7" i="7"/>
  <c r="G8" i="7" s="1"/>
  <c r="F7" i="7"/>
  <c r="F8" i="7" s="1"/>
  <c r="F3" i="7"/>
  <c r="F4" i="7" s="1"/>
  <c r="E5" i="7"/>
  <c r="E6" i="7" s="1"/>
  <c r="O5" i="7"/>
  <c r="O6" i="7" s="1"/>
  <c r="N5" i="7"/>
  <c r="N6" i="7" s="1"/>
  <c r="L5" i="7"/>
  <c r="L6" i="7" s="1"/>
  <c r="K5" i="7"/>
  <c r="K6" i="7" s="1"/>
  <c r="J5" i="7"/>
  <c r="J6" i="7" s="1"/>
  <c r="M5" i="7"/>
  <c r="M6" i="7" s="1"/>
  <c r="I5" i="7"/>
  <c r="I6" i="7" s="1"/>
  <c r="H5" i="7"/>
  <c r="H6" i="7" s="1"/>
  <c r="G5" i="7"/>
  <c r="G6" i="7" s="1"/>
  <c r="F5" i="7"/>
  <c r="F6" i="7" s="1"/>
  <c r="P3" i="7"/>
  <c r="P4" i="7" s="1"/>
  <c r="O3" i="7"/>
  <c r="O4" i="7" s="1"/>
  <c r="N3" i="7"/>
  <c r="N4" i="7" s="1"/>
  <c r="M3" i="7"/>
  <c r="M4" i="7" s="1"/>
  <c r="K3" i="7"/>
  <c r="K4" i="7" s="1"/>
  <c r="J3" i="7"/>
  <c r="J4" i="7" s="1"/>
  <c r="I3" i="7"/>
  <c r="I4" i="7" s="1"/>
  <c r="H3" i="7"/>
  <c r="H4" i="7" s="1"/>
  <c r="L3" i="7"/>
  <c r="L4" i="7" s="1"/>
  <c r="G3" i="7"/>
  <c r="G4" i="7" s="1"/>
  <c r="E3" i="7"/>
  <c r="E4" i="7" s="1"/>
  <c r="P19" i="7"/>
  <c r="O19" i="7"/>
  <c r="N19" i="7"/>
  <c r="M19" i="7"/>
  <c r="L19" i="7"/>
  <c r="K19" i="7"/>
  <c r="J19" i="7"/>
  <c r="I19" i="7"/>
  <c r="H19" i="7"/>
  <c r="G19" i="7"/>
  <c r="F19" i="7"/>
  <c r="E20" i="7"/>
</calcChain>
</file>

<file path=xl/sharedStrings.xml><?xml version="1.0" encoding="utf-8"?>
<sst xmlns="http://schemas.openxmlformats.org/spreadsheetml/2006/main" count="298" uniqueCount="95">
  <si>
    <t>TOTAL FTE Year 1</t>
  </si>
  <si>
    <t>Year1</t>
  </si>
  <si>
    <t>Year2</t>
  </si>
  <si>
    <t>Year3</t>
  </si>
  <si>
    <t>Year4</t>
  </si>
  <si>
    <t>Year5</t>
  </si>
  <si>
    <t>Onsite FTE (non-FSI)</t>
  </si>
  <si>
    <t>Onsite FTE (FSI)</t>
  </si>
  <si>
    <t>Onsite FTE (Landed)</t>
  </si>
  <si>
    <t>Onsite</t>
  </si>
  <si>
    <t>Offshore</t>
  </si>
  <si>
    <t>Total</t>
  </si>
  <si>
    <t>India</t>
  </si>
  <si>
    <t>BSA</t>
  </si>
  <si>
    <t>Developer</t>
  </si>
  <si>
    <t>Tester</t>
  </si>
  <si>
    <t>Maintenance</t>
  </si>
  <si>
    <t>PM</t>
  </si>
  <si>
    <t>Other</t>
  </si>
  <si>
    <t>Lead</t>
  </si>
  <si>
    <t>Dev</t>
  </si>
  <si>
    <t>Onsite-FSI</t>
  </si>
  <si>
    <t>Onsite-Landed</t>
  </si>
  <si>
    <t>Productivity</t>
  </si>
  <si>
    <t>Transfer</t>
  </si>
  <si>
    <t>Role</t>
  </si>
  <si>
    <t>Location</t>
  </si>
  <si>
    <t>RoleLocation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</si>
  <si>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</si>
  <si>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</si>
  <si>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</si>
  <si>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</si>
  <si>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</si>
  <si>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</si>
  <si>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</si>
  <si>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</si>
  <si>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</si>
  <si>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</si>
  <si>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</si>
  <si>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</si>
  <si>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</si>
  <si>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</si>
  <si>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</si>
  <si>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</si>
  <si>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</si>
  <si>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</si>
  <si>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</si>
  <si>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</si>
  <si>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</si>
  <si>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</si>
  <si>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</si>
  <si>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</si>
  <si>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</si>
  <si>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</si>
  <si>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</si>
  <si>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</si>
  <si>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</si>
  <si>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</si>
  <si>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</si>
  <si>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</si>
  <si>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</si>
  <si>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</si>
  <si>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</si>
  <si>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</si>
  <si>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</si>
  <si>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</si>
  <si>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</si>
  <si>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</si>
  <si>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</si>
  <si>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</si>
  <si>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</si>
  <si>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</si>
  <si>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</si>
  <si>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</si>
  <si>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</si>
  <si>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</si>
  <si>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</si>
  <si>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</si>
  <si>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</si>
  <si>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</si>
  <si>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</si>
  <si>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</si>
  <si>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</si>
  <si>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</si>
  <si>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</si>
  <si>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</si>
  <si>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</si>
  <si>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</si>
  <si>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Pool</t>
  </si>
  <si>
    <t>POD</t>
  </si>
  <si>
    <t>Team</t>
  </si>
  <si>
    <t>Unit</t>
  </si>
  <si>
    <t>Percentage</t>
  </si>
  <si>
    <t>HZ</t>
  </si>
  <si>
    <t>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</si>
</sst>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9.5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2DCE3"/>
      </left>
      <right style="thin">
        <color rgb="FFD2DCE3"/>
      </right>
      <top style="thin">
        <color rgb="FFD2DCE3"/>
      </top>
      <bottom style="thin">
        <color rgb="FFD2DC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9" borderId="2" xfId="0" applyFill="1" applyBorder="1"/>
    <xf numFmtId="0" fontId="0" fillId="7" borderId="2" xfId="0" applyFill="1" applyBorder="1"/>
    <xf numFmtId="0" fontId="0" fillId="8" borderId="2" xfId="0" applyFill="1" applyBorder="1"/>
    <xf numFmtId="164" fontId="1" fillId="2" borderId="1" xfId="0" applyNumberFormat="1" applyFont="1" applyFill="1" applyBorder="1" applyAlignment="1">
      <alignment horizontal="center" vertical="center" wrapText="1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154" zoomScaleNormal="154" workbookViewId="0">
      <selection activeCell="C7" sqref="C7"/>
    </sheetView>
  </sheetViews>
  <sheetFormatPr defaultRowHeight="14.5" x14ac:dyDescent="0.35"/>
  <cols>
    <col min="1" max="1" width="23.7265625" customWidth="1"/>
  </cols>
  <sheetData>
    <row r="1" spans="1:6" x14ac:dyDescent="0.35">
      <c r="A1" t="s">
        <v>0</v>
      </c>
      <c r="B1">
        <v>39</v>
      </c>
    </row>
    <row r="2" spans="1:6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t="s">
        <v>6</v>
      </c>
      <c r="B3" s="3">
        <v>6</v>
      </c>
      <c r="C3" s="3">
        <v>6</v>
      </c>
      <c r="D3" s="3">
        <v>4</v>
      </c>
      <c r="E3" s="3">
        <v>4</v>
      </c>
      <c r="F3" s="3">
        <v>1</v>
      </c>
    </row>
    <row r="4" spans="1:6" x14ac:dyDescent="0.35">
      <c r="A4" t="s">
        <v>7</v>
      </c>
      <c r="B4" s="4">
        <v>0</v>
      </c>
      <c r="C4" s="4">
        <v>0</v>
      </c>
      <c r="D4" s="4">
        <v>0</v>
      </c>
      <c r="E4" s="4">
        <v>1</v>
      </c>
      <c r="F4" s="4">
        <v>0</v>
      </c>
    </row>
    <row r="5" spans="1:6" x14ac:dyDescent="0.35">
      <c r="A5" t="s">
        <v>8</v>
      </c>
      <c r="B5" s="5">
        <v>7</v>
      </c>
      <c r="C5" s="5">
        <v>3</v>
      </c>
      <c r="D5" s="5">
        <v>2</v>
      </c>
      <c r="E5" s="5">
        <v>2</v>
      </c>
      <c r="F5" s="5">
        <v>2</v>
      </c>
    </row>
    <row r="6" spans="1:6" x14ac:dyDescent="0.35">
      <c r="A6" t="s">
        <v>9</v>
      </c>
      <c r="B6">
        <f>B3+B4+B5</f>
        <v>13</v>
      </c>
      <c r="C6">
        <f>C3+C4+C5</f>
        <v>9</v>
      </c>
      <c r="D6">
        <f>D3+D4+D5</f>
        <v>6</v>
      </c>
      <c r="E6">
        <f>E3+E4+E5</f>
        <v>7</v>
      </c>
      <c r="F6">
        <f>F3+F4+F5</f>
        <v>3</v>
      </c>
    </row>
    <row r="7" spans="1:6" x14ac:dyDescent="0.35">
      <c r="A7" t="s">
        <v>10</v>
      </c>
      <c r="B7" s="6">
        <v>23</v>
      </c>
      <c r="C7" s="6">
        <v>22</v>
      </c>
      <c r="D7" s="6">
        <v>20</v>
      </c>
      <c r="E7" s="6">
        <v>12</v>
      </c>
      <c r="F7" s="6">
        <v>13</v>
      </c>
    </row>
    <row r="8" spans="1:6" x14ac:dyDescent="0.35">
      <c r="A8" t="s">
        <v>11</v>
      </c>
      <c r="B8">
        <f>SUM(B6:B7)</f>
        <v>36</v>
      </c>
      <c r="C8">
        <f>SUM(C6:C7)</f>
        <v>31</v>
      </c>
      <c r="D8">
        <f>SUM(D6:D7)</f>
        <v>26</v>
      </c>
      <c r="E8">
        <f>SUM(E6:E7)</f>
        <v>19</v>
      </c>
      <c r="F8">
        <f>SUM(F6:F7)</f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3"/>
  <sheetViews>
    <sheetView zoomScale="184" zoomScaleNormal="184" workbookViewId="0">
      <selection activeCell="D13" sqref="D13"/>
    </sheetView>
  </sheetViews>
  <sheetFormatPr defaultRowHeight="14.5" x14ac:dyDescent="0.35"/>
  <cols>
    <col min="2" max="2" width="27.81640625" customWidth="1"/>
    <col min="6" max="6" width="12.1796875" customWidth="1"/>
  </cols>
  <sheetData>
    <row r="2" spans="1:4" x14ac:dyDescent="0.35">
      <c r="A2" t="s">
        <v>12</v>
      </c>
      <c r="B2" t="s">
        <v>13</v>
      </c>
      <c r="C2" s="13">
        <v>0.108253</v>
      </c>
    </row>
    <row r="3" spans="1:4" x14ac:dyDescent="0.35">
      <c r="A3" t="s">
        <v>12</v>
      </c>
      <c r="B3" t="s">
        <v>14</v>
      </c>
      <c r="C3" s="13">
        <v>0.33145599999999997</v>
      </c>
    </row>
    <row r="4" spans="1:4" x14ac:dyDescent="0.35">
      <c r="A4" t="s">
        <v>12</v>
      </c>
      <c r="B4" t="s">
        <v>15</v>
      </c>
      <c r="C4" s="13">
        <v>0.17644199999999999</v>
      </c>
    </row>
    <row r="5" spans="1:4" x14ac:dyDescent="0.35">
      <c r="A5" t="s">
        <v>12</v>
      </c>
      <c r="B5" t="s">
        <v>16</v>
      </c>
      <c r="C5" s="13">
        <v>0.23341999999999999</v>
      </c>
    </row>
    <row r="6" spans="1:4" x14ac:dyDescent="0.35">
      <c r="A6" t="s">
        <v>12</v>
      </c>
      <c r="B6" t="s">
        <v>17</v>
      </c>
      <c r="C6" s="13">
        <v>8.0962000000000006E-2</v>
      </c>
    </row>
    <row r="7" spans="1:4" x14ac:dyDescent="0.35">
      <c r="A7" t="s">
        <v>12</v>
      </c>
      <c r="B7" t="s">
        <v>18</v>
      </c>
      <c r="C7" s="13">
        <v>6.9449999999999998E-2</v>
      </c>
    </row>
    <row r="13" spans="1:4" x14ac:dyDescent="0.35">
      <c r="D13">
        <f>12*C2</f>
        <v>1.2990360000000001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7"/>
  <sheetViews>
    <sheetView zoomScale="178" zoomScaleNormal="178" workbookViewId="0">
      <selection activeCell="C4" sqref="C4"/>
    </sheetView>
  </sheetViews>
  <sheetFormatPr defaultRowHeight="14.5" x14ac:dyDescent="0.35"/>
  <cols>
    <col min="1" max="1" width="13.453125" bestFit="1" customWidth="1"/>
    <col min="2" max="2" width="10.81640625" bestFit="1" customWidth="1"/>
  </cols>
  <sheetData>
    <row r="2" spans="1:7" x14ac:dyDescent="0.35"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35">
      <c r="A3" s="9" t="s">
        <v>9</v>
      </c>
      <c r="B3" t="s">
        <v>17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</row>
    <row r="4" spans="1:7" x14ac:dyDescent="0.35">
      <c r="B4" t="s">
        <v>19</v>
      </c>
      <c r="C4" s="10">
        <v>1</v>
      </c>
      <c r="D4" s="10">
        <v>1</v>
      </c>
      <c r="E4" s="10">
        <v>1</v>
      </c>
      <c r="F4" s="10">
        <v>1</v>
      </c>
      <c r="G4" s="10">
        <v>0</v>
      </c>
    </row>
    <row r="5" spans="1:7" x14ac:dyDescent="0.35">
      <c r="B5" t="s">
        <v>13</v>
      </c>
      <c r="C5" s="10">
        <v>2</v>
      </c>
      <c r="D5" s="10">
        <v>2</v>
      </c>
      <c r="E5" s="10">
        <v>1</v>
      </c>
      <c r="F5" s="10">
        <v>1</v>
      </c>
      <c r="G5" s="10">
        <v>0</v>
      </c>
    </row>
    <row r="6" spans="1:7" x14ac:dyDescent="0.35">
      <c r="B6" t="s">
        <v>20</v>
      </c>
      <c r="C6" s="10">
        <v>2</v>
      </c>
      <c r="D6" s="10">
        <v>2</v>
      </c>
      <c r="E6" s="10">
        <v>2</v>
      </c>
      <c r="F6" s="10">
        <v>2</v>
      </c>
      <c r="G6" s="10">
        <v>2</v>
      </c>
    </row>
    <row r="7" spans="1:7" x14ac:dyDescent="0.35">
      <c r="B7" t="s">
        <v>15</v>
      </c>
      <c r="C7" s="10">
        <v>1</v>
      </c>
      <c r="D7" s="10">
        <v>1</v>
      </c>
      <c r="E7" s="10">
        <v>0</v>
      </c>
      <c r="F7" s="10">
        <v>0</v>
      </c>
      <c r="G7" s="10">
        <v>0</v>
      </c>
    </row>
    <row r="8" spans="1:7" x14ac:dyDescent="0.35">
      <c r="A8" s="7" t="s">
        <v>21</v>
      </c>
      <c r="B8" t="s">
        <v>17</v>
      </c>
      <c r="C8" s="11"/>
      <c r="D8" s="11"/>
      <c r="E8" s="11"/>
      <c r="F8" s="11"/>
      <c r="G8" s="11"/>
    </row>
    <row r="9" spans="1:7" x14ac:dyDescent="0.35">
      <c r="B9" t="s">
        <v>19</v>
      </c>
      <c r="C9" s="11"/>
      <c r="D9" s="11"/>
      <c r="E9" s="11"/>
      <c r="F9" s="11"/>
      <c r="G9" s="11"/>
    </row>
    <row r="10" spans="1:7" x14ac:dyDescent="0.35">
      <c r="B10" t="s">
        <v>13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x14ac:dyDescent="0.35">
      <c r="B11" t="s">
        <v>20</v>
      </c>
      <c r="C11" s="11">
        <v>0</v>
      </c>
      <c r="D11" s="11">
        <v>0</v>
      </c>
      <c r="E11" s="11">
        <v>0</v>
      </c>
      <c r="F11" s="11">
        <v>1</v>
      </c>
      <c r="G11" s="11">
        <v>0</v>
      </c>
    </row>
    <row r="12" spans="1:7" x14ac:dyDescent="0.35">
      <c r="B12" t="s">
        <v>15</v>
      </c>
      <c r="C12" s="11"/>
      <c r="D12" s="11"/>
      <c r="E12" s="11"/>
      <c r="F12" s="11"/>
      <c r="G12" s="11"/>
    </row>
    <row r="13" spans="1:7" x14ac:dyDescent="0.35">
      <c r="A13" s="8" t="s">
        <v>22</v>
      </c>
      <c r="B13" t="s">
        <v>17</v>
      </c>
      <c r="C13" s="12"/>
      <c r="D13" s="12"/>
      <c r="E13" s="12"/>
      <c r="F13" s="12"/>
      <c r="G13" s="12"/>
    </row>
    <row r="14" spans="1:7" x14ac:dyDescent="0.35">
      <c r="B14" t="s">
        <v>19</v>
      </c>
      <c r="C14" s="12">
        <v>1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35">
      <c r="B15" t="s">
        <v>13</v>
      </c>
      <c r="C15" s="12">
        <v>2</v>
      </c>
      <c r="D15" s="12">
        <v>1</v>
      </c>
      <c r="E15" s="12">
        <v>0</v>
      </c>
      <c r="F15" s="12">
        <v>0</v>
      </c>
      <c r="G15" s="12">
        <v>0</v>
      </c>
    </row>
    <row r="16" spans="1:7" x14ac:dyDescent="0.35">
      <c r="B16" t="s">
        <v>20</v>
      </c>
      <c r="C16" s="12">
        <v>3</v>
      </c>
      <c r="D16" s="12">
        <v>1</v>
      </c>
      <c r="E16" s="12">
        <v>1</v>
      </c>
      <c r="F16" s="12">
        <v>1</v>
      </c>
      <c r="G16" s="12">
        <v>1</v>
      </c>
    </row>
    <row r="17" spans="2:7" x14ac:dyDescent="0.35">
      <c r="B17" t="s">
        <v>15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3"/>
  <sheetViews>
    <sheetView workbookViewId="0">
      <selection activeCell="D14" sqref="D14"/>
    </sheetView>
  </sheetViews>
  <sheetFormatPr defaultRowHeight="14.5" x14ac:dyDescent="0.35"/>
  <cols>
    <col min="1" max="1" width="10.54296875" bestFit="1" customWidth="1"/>
  </cols>
  <sheetData>
    <row r="2" spans="1:6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t="s">
        <v>23</v>
      </c>
      <c r="C3" s="1">
        <v>0.15</v>
      </c>
      <c r="D3" s="1">
        <v>0.34</v>
      </c>
      <c r="E3" s="1">
        <v>0.39</v>
      </c>
      <c r="F3" s="1">
        <v>0.44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"/>
  <sheetViews>
    <sheetView workbookViewId="0">
      <selection activeCell="C9" sqref="C9"/>
    </sheetView>
  </sheetViews>
  <sheetFormatPr defaultRowHeight="14.5" x14ac:dyDescent="0.35"/>
  <sheetData>
    <row r="2" spans="1:6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t="s">
        <v>24</v>
      </c>
      <c r="E3" s="1">
        <v>0.15</v>
      </c>
      <c r="F3" s="1">
        <v>0.15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5:BK41"/>
  <sheetViews>
    <sheetView topLeftCell="A21" zoomScale="190" zoomScaleNormal="190" workbookViewId="0">
      <selection activeCell="C26" sqref="C26:O31"/>
    </sheetView>
  </sheetViews>
  <sheetFormatPr defaultRowHeight="14.5" x14ac:dyDescent="0.35"/>
  <cols>
    <col min="1" max="1" width="18.453125" customWidth="1"/>
    <col min="2" max="2" width="13.1796875" customWidth="1"/>
    <col min="3" max="3" width="18.26953125" bestFit="1" customWidth="1"/>
  </cols>
  <sheetData>
    <row r="25" spans="1:63" x14ac:dyDescent="0.3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 t="s">
        <v>33</v>
      </c>
      <c r="J25" t="s">
        <v>34</v>
      </c>
      <c r="K25" t="s">
        <v>35</v>
      </c>
      <c r="L25" t="s">
        <v>36</v>
      </c>
      <c r="M25" t="s">
        <v>37</v>
      </c>
      <c r="N25" t="s">
        <v>38</v>
      </c>
      <c r="O25" t="s">
        <v>39</v>
      </c>
      <c r="P25" t="s">
        <v>40</v>
      </c>
      <c r="Q25" t="s">
        <v>41</v>
      </c>
      <c r="R25" t="s">
        <v>42</v>
      </c>
      <c r="S25" t="s">
        <v>43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s">
        <v>50</v>
      </c>
      <c r="AA25" t="s">
        <v>51</v>
      </c>
      <c r="AB25" t="s">
        <v>52</v>
      </c>
      <c r="AC25" t="s">
        <v>53</v>
      </c>
      <c r="AD25" t="s">
        <v>54</v>
      </c>
      <c r="AE25" t="s">
        <v>55</v>
      </c>
      <c r="AF25" t="s">
        <v>56</v>
      </c>
      <c r="AG25" t="s">
        <v>57</v>
      </c>
      <c r="AH25" t="s">
        <v>58</v>
      </c>
      <c r="AI25" t="s">
        <v>59</v>
      </c>
      <c r="AJ25" t="s">
        <v>60</v>
      </c>
      <c r="AK25" t="s">
        <v>61</v>
      </c>
      <c r="AL25" t="s">
        <v>62</v>
      </c>
      <c r="AM25" t="s">
        <v>63</v>
      </c>
      <c r="AN25" t="s">
        <v>64</v>
      </c>
      <c r="AO25" t="s">
        <v>65</v>
      </c>
      <c r="AP25" t="s">
        <v>66</v>
      </c>
      <c r="AQ25" t="s">
        <v>67</v>
      </c>
      <c r="AR25" t="s">
        <v>68</v>
      </c>
      <c r="AS25" t="s">
        <v>69</v>
      </c>
      <c r="AT25" t="s">
        <v>70</v>
      </c>
      <c r="AU25" t="s">
        <v>71</v>
      </c>
      <c r="AV25" t="s">
        <v>72</v>
      </c>
      <c r="AW25" t="s">
        <v>73</v>
      </c>
      <c r="AX25" t="s">
        <v>74</v>
      </c>
      <c r="AY25" t="s">
        <v>75</v>
      </c>
      <c r="AZ25" t="s">
        <v>76</v>
      </c>
      <c r="BA25" t="s">
        <v>77</v>
      </c>
      <c r="BB25" t="s">
        <v>78</v>
      </c>
      <c r="BC25" t="s">
        <v>79</v>
      </c>
      <c r="BD25" t="s">
        <v>80</v>
      </c>
      <c r="BE25" t="s">
        <v>81</v>
      </c>
      <c r="BF25" t="s">
        <v>82</v>
      </c>
      <c r="BG25" t="s">
        <v>83</v>
      </c>
      <c r="BH25" t="s">
        <v>84</v>
      </c>
      <c r="BI25" t="s">
        <v>85</v>
      </c>
      <c r="BJ25" t="s">
        <v>86</v>
      </c>
      <c r="BK25" t="s">
        <v>87</v>
      </c>
    </row>
    <row r="26" spans="1:63" x14ac:dyDescent="0.35">
      <c r="A26" t="s">
        <v>13</v>
      </c>
      <c r="B26" t="s">
        <v>12</v>
      </c>
      <c r="C26" t="str">
        <f t="shared" ref="C26:C41" si="0">A26&amp;B26</f>
        <v>BSAIndia</v>
      </c>
      <c r="D26" s="14">
        <f>ROUND(FTE!$B$7*'India Role Distribution'!$C2,0)</f>
        <v>2</v>
      </c>
      <c r="E26" s="14">
        <f>ROUND(FTE!$B$7*'India Role Distribution'!$C2,0)</f>
        <v>2</v>
      </c>
      <c r="F26" s="14">
        <f>ROUND(FTE!$B$7*'India Role Distribution'!$C2,0)</f>
        <v>2</v>
      </c>
      <c r="G26" s="14">
        <f>ROUND(FTE!$B$7*'India Role Distribution'!$C2,0)</f>
        <v>2</v>
      </c>
      <c r="H26" s="14">
        <f>ROUND(FTE!$B$7*'India Role Distribution'!$C2,0)</f>
        <v>2</v>
      </c>
      <c r="I26" s="14">
        <f>ROUND(FTE!$B$7*'India Role Distribution'!$C2,0)</f>
        <v>2</v>
      </c>
      <c r="J26" s="14">
        <f>ROUND(FTE!$B$7*'India Role Distribution'!$C2,0)</f>
        <v>2</v>
      </c>
      <c r="K26" s="14">
        <f>ROUND(FTE!$B$7*'India Role Distribution'!$C2,0)</f>
        <v>2</v>
      </c>
      <c r="L26" s="14">
        <f>ROUND(FTE!$B$7*'India Role Distribution'!$C2,0)</f>
        <v>2</v>
      </c>
      <c r="M26" s="14">
        <f>ROUND(FTE!$B$7*'India Role Distribution'!$C2,0)</f>
        <v>2</v>
      </c>
      <c r="N26" s="14">
        <f>ROUND(FTE!$B$7*'India Role Distribution'!$C2,0)</f>
        <v>2</v>
      </c>
      <c r="O26" s="14">
        <f>ROUND(FTE!$B$7*'India Role Distribution'!$C2,0)</f>
        <v>2</v>
      </c>
      <c r="P26" s="6">
        <f>ROUND(FTE!$C$7*'India Role Distribution'!$C2,0)</f>
        <v>2</v>
      </c>
      <c r="Q26" s="6">
        <f>ROUND(FTE!$C$7*'India Role Distribution'!$C2,0)</f>
        <v>2</v>
      </c>
      <c r="R26" s="6">
        <f>ROUND(FTE!$C$7*'India Role Distribution'!$C2,0)</f>
        <v>2</v>
      </c>
      <c r="S26" s="6">
        <f>ROUND(FTE!$C$7*'India Role Distribution'!$C2,0)</f>
        <v>2</v>
      </c>
      <c r="T26" s="6">
        <f>ROUND(FTE!$C$7*'India Role Distribution'!$C2,0)</f>
        <v>2</v>
      </c>
      <c r="U26" s="6">
        <f>ROUND(FTE!$C$7*'India Role Distribution'!$C2,0)</f>
        <v>2</v>
      </c>
      <c r="V26" s="6">
        <f>ROUND(FTE!$C$7*'India Role Distribution'!$C2,0)</f>
        <v>2</v>
      </c>
      <c r="W26" s="6">
        <f>ROUND(FTE!$C$7*'India Role Distribution'!$C2,0)</f>
        <v>2</v>
      </c>
      <c r="X26" s="6">
        <f>ROUND(FTE!$C$7*'India Role Distribution'!$C2,0)</f>
        <v>2</v>
      </c>
      <c r="Y26" s="6">
        <f>ROUND(FTE!$C$7*'India Role Distribution'!$C2,0)</f>
        <v>2</v>
      </c>
      <c r="Z26" s="6">
        <f>ROUND(FTE!$C$7*'India Role Distribution'!$C2,0)</f>
        <v>2</v>
      </c>
      <c r="AA26" s="6">
        <f>ROUND(FTE!$C$7*'India Role Distribution'!$C2,0)</f>
        <v>2</v>
      </c>
      <c r="AB26" s="15">
        <f>ROUND(FTE!$D$7*'India Role Distribution'!$C2,0)</f>
        <v>2</v>
      </c>
      <c r="AC26" s="15">
        <f>ROUND(FTE!$D$7*'India Role Distribution'!$C2,0)</f>
        <v>2</v>
      </c>
      <c r="AD26" s="15">
        <f>ROUND(FTE!$D$7*'India Role Distribution'!$C2,0)</f>
        <v>2</v>
      </c>
      <c r="AE26" s="15">
        <f>ROUND(FTE!$D$7*'India Role Distribution'!$C2,0)</f>
        <v>2</v>
      </c>
      <c r="AF26" s="15">
        <f>ROUND(FTE!$D$7*'India Role Distribution'!$C2,0)</f>
        <v>2</v>
      </c>
      <c r="AG26" s="15">
        <f>ROUND(FTE!$D$7*'India Role Distribution'!$C2,0)</f>
        <v>2</v>
      </c>
      <c r="AH26" s="15">
        <f>ROUND(FTE!$D$7*'India Role Distribution'!$C2,0)</f>
        <v>2</v>
      </c>
      <c r="AI26" s="15">
        <f>ROUND(FTE!$D$7*'India Role Distribution'!$C2,0)</f>
        <v>2</v>
      </c>
      <c r="AJ26" s="15">
        <f>ROUND(FTE!$D$7*'India Role Distribution'!$C2,0)</f>
        <v>2</v>
      </c>
      <c r="AK26" s="15">
        <f>ROUND(FTE!$D$7*'India Role Distribution'!$C2,0)</f>
        <v>2</v>
      </c>
      <c r="AL26" s="15">
        <f>ROUND(FTE!$D$7*'India Role Distribution'!$C2,0)</f>
        <v>2</v>
      </c>
      <c r="AM26" s="15">
        <f>ROUND(FTE!$D$7*'India Role Distribution'!$C2,0)</f>
        <v>2</v>
      </c>
      <c r="AN26" s="16">
        <f>ROUND(FTE!$E$7*'India Role Distribution'!$C2,0)</f>
        <v>1</v>
      </c>
      <c r="AO26" s="16">
        <f>ROUND(FTE!$E$7*'India Role Distribution'!$C2,0)</f>
        <v>1</v>
      </c>
      <c r="AP26" s="16">
        <f>ROUND(FTE!$E$7*'India Role Distribution'!$C2,0)</f>
        <v>1</v>
      </c>
      <c r="AQ26" s="16">
        <f>ROUND(FTE!$E$7*'India Role Distribution'!$C2,0)</f>
        <v>1</v>
      </c>
      <c r="AR26" s="16">
        <f>ROUND(FTE!$E$7*'India Role Distribution'!$C2,0)</f>
        <v>1</v>
      </c>
      <c r="AS26" s="16">
        <f>ROUND(FTE!$E$7*'India Role Distribution'!$C2,0)</f>
        <v>1</v>
      </c>
      <c r="AT26" s="16">
        <f>ROUND(FTE!$E$7*'India Role Distribution'!$C2,0)</f>
        <v>1</v>
      </c>
      <c r="AU26" s="16">
        <f>ROUND(FTE!$E$7*'India Role Distribution'!$C2,0)</f>
        <v>1</v>
      </c>
      <c r="AV26" s="16">
        <f>ROUND(FTE!$E$7*'India Role Distribution'!$C2,0)</f>
        <v>1</v>
      </c>
      <c r="AW26" s="16">
        <f>ROUND(FTE!$E$7*'India Role Distribution'!$C2,0)</f>
        <v>1</v>
      </c>
      <c r="AX26" s="16">
        <f>ROUND(FTE!$E$7*'India Role Distribution'!$C2,0)</f>
        <v>1</v>
      </c>
      <c r="AY26" s="16">
        <f>ROUND(FTE!$E$7*'India Role Distribution'!$C2,0)</f>
        <v>1</v>
      </c>
      <c r="AZ26" s="17">
        <f>ROUND(FTE!$F$7*'India Role Distribution'!$C2,0)</f>
        <v>1</v>
      </c>
      <c r="BA26" s="17">
        <f>ROUND(FTE!$F$7*'India Role Distribution'!$C2,0)</f>
        <v>1</v>
      </c>
      <c r="BB26" s="17">
        <f>ROUND(FTE!$F$7*'India Role Distribution'!$C2,0)</f>
        <v>1</v>
      </c>
      <c r="BC26" s="17">
        <f>ROUND(FTE!$F$7*'India Role Distribution'!$C2,0)</f>
        <v>1</v>
      </c>
      <c r="BD26" s="17">
        <f>ROUND(FTE!$F$7*'India Role Distribution'!$C2,0)</f>
        <v>1</v>
      </c>
      <c r="BE26" s="17">
        <f>ROUND(FTE!$F$7*'India Role Distribution'!$C2,0)</f>
        <v>1</v>
      </c>
      <c r="BF26" s="17">
        <f>ROUND(FTE!$F$7*'India Role Distribution'!$C2,0)</f>
        <v>1</v>
      </c>
      <c r="BG26" s="17">
        <f>ROUND(FTE!$F$7*'India Role Distribution'!$C2,0)</f>
        <v>1</v>
      </c>
      <c r="BH26" s="17">
        <f>ROUND(FTE!$F$7*'India Role Distribution'!$C2,0)</f>
        <v>1</v>
      </c>
      <c r="BI26" s="17">
        <f>ROUND(FTE!$F$7*'India Role Distribution'!$C2,0)</f>
        <v>1</v>
      </c>
      <c r="BJ26" s="17">
        <f>ROUND(FTE!$F$7*'India Role Distribution'!$C2,0)</f>
        <v>1</v>
      </c>
      <c r="BK26" s="17">
        <f>ROUND(FTE!$F$7*'India Role Distribution'!$C2,0)</f>
        <v>1</v>
      </c>
    </row>
    <row r="27" spans="1:63" x14ac:dyDescent="0.35">
      <c r="A27" t="s">
        <v>20</v>
      </c>
      <c r="B27" t="s">
        <v>12</v>
      </c>
      <c r="C27" t="str">
        <f t="shared" si="0"/>
        <v>DevIndia</v>
      </c>
      <c r="D27" s="14">
        <f>ROUND(FTE!$B$7*'India Role Distribution'!$C3,0)</f>
        <v>8</v>
      </c>
      <c r="E27" s="14">
        <f>ROUND(FTE!$B$7*'India Role Distribution'!$C3,0)</f>
        <v>8</v>
      </c>
      <c r="F27" s="14">
        <f>ROUND(FTE!$B$7*'India Role Distribution'!$C3,0)</f>
        <v>8</v>
      </c>
      <c r="G27" s="14">
        <f>ROUND(FTE!$B$7*'India Role Distribution'!$C3,0)</f>
        <v>8</v>
      </c>
      <c r="H27" s="14">
        <f>ROUND(FTE!$B$7*'India Role Distribution'!$C3,0)</f>
        <v>8</v>
      </c>
      <c r="I27" s="14">
        <f>ROUND(FTE!$B$7*'India Role Distribution'!$C3,0)</f>
        <v>8</v>
      </c>
      <c r="J27" s="14">
        <f>ROUND(FTE!$B$7*'India Role Distribution'!$C3,0)</f>
        <v>8</v>
      </c>
      <c r="K27" s="14">
        <f>ROUND(FTE!$B$7*'India Role Distribution'!$C3,0)</f>
        <v>8</v>
      </c>
      <c r="L27" s="14">
        <f>ROUND(FTE!$B$7*'India Role Distribution'!$C3,0)</f>
        <v>8</v>
      </c>
      <c r="M27" s="14">
        <f>ROUND(FTE!$B$7*'India Role Distribution'!$C3,0)</f>
        <v>8</v>
      </c>
      <c r="N27" s="14">
        <f>ROUND(FTE!$B$7*'India Role Distribution'!$C3,0)</f>
        <v>8</v>
      </c>
      <c r="O27" s="14">
        <f>ROUND(FTE!$B$7*'India Role Distribution'!$C3,0)</f>
        <v>8</v>
      </c>
      <c r="P27" s="6">
        <f>ROUND(FTE!$C$7*'India Role Distribution'!$C3,0)</f>
        <v>7</v>
      </c>
      <c r="Q27" s="6">
        <f>ROUND(FTE!$C$7*'India Role Distribution'!$C3,0)</f>
        <v>7</v>
      </c>
      <c r="R27" s="6">
        <f>ROUND(FTE!$C$7*'India Role Distribution'!$C3,0)</f>
        <v>7</v>
      </c>
      <c r="S27" s="6">
        <f>ROUND(FTE!$C$7*'India Role Distribution'!$C3,0)</f>
        <v>7</v>
      </c>
      <c r="T27" s="6">
        <f>ROUND(FTE!$C$7*'India Role Distribution'!$C3,0)</f>
        <v>7</v>
      </c>
      <c r="U27" s="6">
        <f>ROUND(FTE!$C$7*'India Role Distribution'!$C3,0)</f>
        <v>7</v>
      </c>
      <c r="V27" s="6">
        <f>ROUND(FTE!$C$7*'India Role Distribution'!$C3,0)</f>
        <v>7</v>
      </c>
      <c r="W27" s="6">
        <f>ROUND(FTE!$C$7*'India Role Distribution'!$C3,0)</f>
        <v>7</v>
      </c>
      <c r="X27" s="6">
        <f>ROUND(FTE!$C$7*'India Role Distribution'!$C3,0)</f>
        <v>7</v>
      </c>
      <c r="Y27" s="6">
        <f>ROUND(FTE!$C$7*'India Role Distribution'!$C3,0)</f>
        <v>7</v>
      </c>
      <c r="Z27" s="6">
        <f>ROUND(FTE!$C$7*'India Role Distribution'!$C3,0)</f>
        <v>7</v>
      </c>
      <c r="AA27" s="6">
        <f>ROUND(FTE!$C$7*'India Role Distribution'!$C3,0)</f>
        <v>7</v>
      </c>
      <c r="AB27" s="15">
        <f>ROUND(FTE!$D$7*'India Role Distribution'!$C3,0)</f>
        <v>7</v>
      </c>
      <c r="AC27" s="15">
        <f>ROUND(FTE!$D$7*'India Role Distribution'!$C3,0)</f>
        <v>7</v>
      </c>
      <c r="AD27" s="15">
        <f>ROUND(FTE!$D$7*'India Role Distribution'!$C3,0)</f>
        <v>7</v>
      </c>
      <c r="AE27" s="15">
        <f>ROUND(FTE!$D$7*'India Role Distribution'!$C3,0)</f>
        <v>7</v>
      </c>
      <c r="AF27" s="15">
        <f>ROUND(FTE!$D$7*'India Role Distribution'!$C3,0)</f>
        <v>7</v>
      </c>
      <c r="AG27" s="15">
        <f>ROUND(FTE!$D$7*'India Role Distribution'!$C3,0)</f>
        <v>7</v>
      </c>
      <c r="AH27" s="15">
        <f>ROUND(FTE!$D$7*'India Role Distribution'!$C3,0)</f>
        <v>7</v>
      </c>
      <c r="AI27" s="15">
        <f>ROUND(FTE!$D$7*'India Role Distribution'!$C3,0)</f>
        <v>7</v>
      </c>
      <c r="AJ27" s="15">
        <f>ROUND(FTE!$D$7*'India Role Distribution'!$C3,0)</f>
        <v>7</v>
      </c>
      <c r="AK27" s="15">
        <f>ROUND(FTE!$D$7*'India Role Distribution'!$C3,0)</f>
        <v>7</v>
      </c>
      <c r="AL27" s="15">
        <f>ROUND(FTE!$D$7*'India Role Distribution'!$C3,0)</f>
        <v>7</v>
      </c>
      <c r="AM27" s="15">
        <f>ROUND(FTE!$D$7*'India Role Distribution'!$C3,0)</f>
        <v>7</v>
      </c>
      <c r="AN27" s="16">
        <f>ROUND(FTE!$E$7*'India Role Distribution'!$C3,0)</f>
        <v>4</v>
      </c>
      <c r="AO27" s="16">
        <f>ROUND(FTE!$E$7*'India Role Distribution'!$C3,0)</f>
        <v>4</v>
      </c>
      <c r="AP27" s="16">
        <f>ROUND(FTE!$E$7*'India Role Distribution'!$C3,0)</f>
        <v>4</v>
      </c>
      <c r="AQ27" s="16">
        <f>ROUND(FTE!$E$7*'India Role Distribution'!$C3,0)</f>
        <v>4</v>
      </c>
      <c r="AR27" s="16">
        <f>ROUND(FTE!$E$7*'India Role Distribution'!$C3,0)</f>
        <v>4</v>
      </c>
      <c r="AS27" s="16">
        <f>ROUND(FTE!$E$7*'India Role Distribution'!$C3,0)</f>
        <v>4</v>
      </c>
      <c r="AT27" s="16">
        <f>ROUND(FTE!$E$7*'India Role Distribution'!$C3,0)</f>
        <v>4</v>
      </c>
      <c r="AU27" s="16">
        <f>ROUND(FTE!$E$7*'India Role Distribution'!$C3,0)</f>
        <v>4</v>
      </c>
      <c r="AV27" s="16">
        <f>ROUND(FTE!$E$7*'India Role Distribution'!$C3,0)</f>
        <v>4</v>
      </c>
      <c r="AW27" s="16">
        <f>ROUND(FTE!$E$7*'India Role Distribution'!$C3,0)</f>
        <v>4</v>
      </c>
      <c r="AX27" s="16">
        <f>ROUND(FTE!$E$7*'India Role Distribution'!$C3,0)</f>
        <v>4</v>
      </c>
      <c r="AY27" s="16">
        <f>ROUND(FTE!$E$7*'India Role Distribution'!$C3,0)</f>
        <v>4</v>
      </c>
      <c r="AZ27" s="17">
        <f>ROUND(FTE!$F$7*'India Role Distribution'!$C3,0)</f>
        <v>4</v>
      </c>
      <c r="BA27" s="17">
        <f>ROUND(FTE!$F$7*'India Role Distribution'!$C3,0)</f>
        <v>4</v>
      </c>
      <c r="BB27" s="17">
        <f>ROUND(FTE!$F$7*'India Role Distribution'!$C3,0)</f>
        <v>4</v>
      </c>
      <c r="BC27" s="17">
        <f>ROUND(FTE!$F$7*'India Role Distribution'!$C3,0)</f>
        <v>4</v>
      </c>
      <c r="BD27" s="17">
        <f>ROUND(FTE!$F$7*'India Role Distribution'!$C3,0)</f>
        <v>4</v>
      </c>
      <c r="BE27" s="17">
        <f>ROUND(FTE!$F$7*'India Role Distribution'!$C3,0)</f>
        <v>4</v>
      </c>
      <c r="BF27" s="17">
        <f>ROUND(FTE!$F$7*'India Role Distribution'!$C3,0)</f>
        <v>4</v>
      </c>
      <c r="BG27" s="17">
        <f>ROUND(FTE!$F$7*'India Role Distribution'!$C3,0)</f>
        <v>4</v>
      </c>
      <c r="BH27" s="17">
        <f>ROUND(FTE!$F$7*'India Role Distribution'!$C3,0)</f>
        <v>4</v>
      </c>
      <c r="BI27" s="17">
        <f>ROUND(FTE!$F$7*'India Role Distribution'!$C3,0)</f>
        <v>4</v>
      </c>
      <c r="BJ27" s="17">
        <f>ROUND(FTE!$F$7*'India Role Distribution'!$C3,0)</f>
        <v>4</v>
      </c>
      <c r="BK27" s="17">
        <f>ROUND(FTE!$F$7*'India Role Distribution'!$C3,0)</f>
        <v>4</v>
      </c>
    </row>
    <row r="28" spans="1:63" x14ac:dyDescent="0.35">
      <c r="A28" t="s">
        <v>15</v>
      </c>
      <c r="B28" t="s">
        <v>12</v>
      </c>
      <c r="C28" t="str">
        <f t="shared" si="0"/>
        <v>TesterIndia</v>
      </c>
      <c r="D28" s="14">
        <f>ROUND(FTE!$B$7*'India Role Distribution'!$C4,0)</f>
        <v>4</v>
      </c>
      <c r="E28" s="14">
        <f>ROUND(FTE!$B$7*'India Role Distribution'!$C4,0)</f>
        <v>4</v>
      </c>
      <c r="F28" s="14">
        <f>ROUND(FTE!$B$7*'India Role Distribution'!$C4,0)</f>
        <v>4</v>
      </c>
      <c r="G28" s="14">
        <f>ROUND(FTE!$B$7*'India Role Distribution'!$C4,0)</f>
        <v>4</v>
      </c>
      <c r="H28" s="14">
        <f>ROUND(FTE!$B$7*'India Role Distribution'!$C4,0)</f>
        <v>4</v>
      </c>
      <c r="I28" s="14">
        <f>ROUND(FTE!$B$7*'India Role Distribution'!$C4,0)</f>
        <v>4</v>
      </c>
      <c r="J28" s="14">
        <f>ROUND(FTE!$B$7*'India Role Distribution'!$C4,0)</f>
        <v>4</v>
      </c>
      <c r="K28" s="14">
        <f>ROUND(FTE!$B$7*'India Role Distribution'!$C4,0)</f>
        <v>4</v>
      </c>
      <c r="L28" s="14">
        <f>ROUND(FTE!$B$7*'India Role Distribution'!$C4,0)</f>
        <v>4</v>
      </c>
      <c r="M28" s="14">
        <f>ROUND(FTE!$B$7*'India Role Distribution'!$C4,0)</f>
        <v>4</v>
      </c>
      <c r="N28" s="14">
        <f>ROUND(FTE!$B$7*'India Role Distribution'!$C4,0)</f>
        <v>4</v>
      </c>
      <c r="O28" s="14">
        <f>ROUND(FTE!$B$7*'India Role Distribution'!$C4,0)</f>
        <v>4</v>
      </c>
      <c r="P28" s="6">
        <f>ROUND(FTE!$C$7*'India Role Distribution'!$C4,0)</f>
        <v>4</v>
      </c>
      <c r="Q28" s="6">
        <f>ROUND(FTE!$C$7*'India Role Distribution'!$C4,0)</f>
        <v>4</v>
      </c>
      <c r="R28" s="6">
        <f>ROUND(FTE!$C$7*'India Role Distribution'!$C4,0)</f>
        <v>4</v>
      </c>
      <c r="S28" s="6">
        <f>ROUND(FTE!$C$7*'India Role Distribution'!$C4,0)</f>
        <v>4</v>
      </c>
      <c r="T28" s="6">
        <f>ROUND(FTE!$C$7*'India Role Distribution'!$C4,0)</f>
        <v>4</v>
      </c>
      <c r="U28" s="6">
        <f>ROUND(FTE!$C$7*'India Role Distribution'!$C4,0)</f>
        <v>4</v>
      </c>
      <c r="V28" s="6">
        <f>ROUND(FTE!$C$7*'India Role Distribution'!$C4,0)</f>
        <v>4</v>
      </c>
      <c r="W28" s="6">
        <f>ROUND(FTE!$C$7*'India Role Distribution'!$C4,0)</f>
        <v>4</v>
      </c>
      <c r="X28" s="6">
        <f>ROUND(FTE!$C$7*'India Role Distribution'!$C4,0)</f>
        <v>4</v>
      </c>
      <c r="Y28" s="6">
        <f>ROUND(FTE!$C$7*'India Role Distribution'!$C4,0)</f>
        <v>4</v>
      </c>
      <c r="Z28" s="6">
        <f>ROUND(FTE!$C$7*'India Role Distribution'!$C4,0)</f>
        <v>4</v>
      </c>
      <c r="AA28" s="6">
        <f>ROUND(FTE!$C$7*'India Role Distribution'!$C4,0)</f>
        <v>4</v>
      </c>
      <c r="AB28" s="15">
        <f>ROUND(FTE!$D$7*'India Role Distribution'!$C4,0)</f>
        <v>4</v>
      </c>
      <c r="AC28" s="15">
        <f>ROUND(FTE!$D$7*'India Role Distribution'!$C4,0)</f>
        <v>4</v>
      </c>
      <c r="AD28" s="15">
        <f>ROUND(FTE!$D$7*'India Role Distribution'!$C4,0)</f>
        <v>4</v>
      </c>
      <c r="AE28" s="15">
        <f>ROUND(FTE!$D$7*'India Role Distribution'!$C4,0)</f>
        <v>4</v>
      </c>
      <c r="AF28" s="15">
        <f>ROUND(FTE!$D$7*'India Role Distribution'!$C4,0)</f>
        <v>4</v>
      </c>
      <c r="AG28" s="15">
        <f>ROUND(FTE!$D$7*'India Role Distribution'!$C4,0)</f>
        <v>4</v>
      </c>
      <c r="AH28" s="15">
        <f>ROUND(FTE!$D$7*'India Role Distribution'!$C4,0)</f>
        <v>4</v>
      </c>
      <c r="AI28" s="15">
        <f>ROUND(FTE!$D$7*'India Role Distribution'!$C4,0)</f>
        <v>4</v>
      </c>
      <c r="AJ28" s="15">
        <f>ROUND(FTE!$D$7*'India Role Distribution'!$C4,0)</f>
        <v>4</v>
      </c>
      <c r="AK28" s="15">
        <f>ROUND(FTE!$D$7*'India Role Distribution'!$C4,0)</f>
        <v>4</v>
      </c>
      <c r="AL28" s="15">
        <f>ROUND(FTE!$D$7*'India Role Distribution'!$C4,0)</f>
        <v>4</v>
      </c>
      <c r="AM28" s="15">
        <f>ROUND(FTE!$D$7*'India Role Distribution'!$C4,0)</f>
        <v>4</v>
      </c>
      <c r="AN28" s="16">
        <f>ROUND(FTE!$E$7*'India Role Distribution'!$C4,0)</f>
        <v>2</v>
      </c>
      <c r="AO28" s="16">
        <f>ROUND(FTE!$E$7*'India Role Distribution'!$C4,0)</f>
        <v>2</v>
      </c>
      <c r="AP28" s="16">
        <f>ROUND(FTE!$E$7*'India Role Distribution'!$C4,0)</f>
        <v>2</v>
      </c>
      <c r="AQ28" s="16">
        <f>ROUND(FTE!$E$7*'India Role Distribution'!$C4,0)</f>
        <v>2</v>
      </c>
      <c r="AR28" s="16">
        <f>ROUND(FTE!$E$7*'India Role Distribution'!$C4,0)</f>
        <v>2</v>
      </c>
      <c r="AS28" s="16">
        <f>ROUND(FTE!$E$7*'India Role Distribution'!$C4,0)</f>
        <v>2</v>
      </c>
      <c r="AT28" s="16">
        <f>ROUND(FTE!$E$7*'India Role Distribution'!$C4,0)</f>
        <v>2</v>
      </c>
      <c r="AU28" s="16">
        <f>ROUND(FTE!$E$7*'India Role Distribution'!$C4,0)</f>
        <v>2</v>
      </c>
      <c r="AV28" s="16">
        <f>ROUND(FTE!$E$7*'India Role Distribution'!$C4,0)</f>
        <v>2</v>
      </c>
      <c r="AW28" s="16">
        <f>ROUND(FTE!$E$7*'India Role Distribution'!$C4,0)</f>
        <v>2</v>
      </c>
      <c r="AX28" s="16">
        <f>ROUND(FTE!$E$7*'India Role Distribution'!$C4,0)</f>
        <v>2</v>
      </c>
      <c r="AY28" s="16">
        <f>ROUND(FTE!$E$7*'India Role Distribution'!$C4,0)</f>
        <v>2</v>
      </c>
      <c r="AZ28" s="17">
        <f>ROUND(FTE!$F$7*'India Role Distribution'!$C4,0)</f>
        <v>2</v>
      </c>
      <c r="BA28" s="17">
        <f>ROUND(FTE!$F$7*'India Role Distribution'!$C4,0)</f>
        <v>2</v>
      </c>
      <c r="BB28" s="17">
        <f>ROUND(FTE!$F$7*'India Role Distribution'!$C4,0)</f>
        <v>2</v>
      </c>
      <c r="BC28" s="17">
        <f>ROUND(FTE!$F$7*'India Role Distribution'!$C4,0)</f>
        <v>2</v>
      </c>
      <c r="BD28" s="17">
        <f>ROUND(FTE!$F$7*'India Role Distribution'!$C4,0)</f>
        <v>2</v>
      </c>
      <c r="BE28" s="17">
        <f>ROUND(FTE!$F$7*'India Role Distribution'!$C4,0)</f>
        <v>2</v>
      </c>
      <c r="BF28" s="17">
        <f>ROUND(FTE!$F$7*'India Role Distribution'!$C4,0)</f>
        <v>2</v>
      </c>
      <c r="BG28" s="17">
        <f>ROUND(FTE!$F$7*'India Role Distribution'!$C4,0)</f>
        <v>2</v>
      </c>
      <c r="BH28" s="17">
        <f>ROUND(FTE!$F$7*'India Role Distribution'!$C4,0)</f>
        <v>2</v>
      </c>
      <c r="BI28" s="17">
        <f>ROUND(FTE!$F$7*'India Role Distribution'!$C4,0)</f>
        <v>2</v>
      </c>
      <c r="BJ28" s="17">
        <f>ROUND(FTE!$F$7*'India Role Distribution'!$C4,0)</f>
        <v>2</v>
      </c>
      <c r="BK28" s="17">
        <f>ROUND(FTE!$F$7*'India Role Distribution'!$C4,0)</f>
        <v>2</v>
      </c>
    </row>
    <row r="29" spans="1:63" x14ac:dyDescent="0.35">
      <c r="A29" t="s">
        <v>16</v>
      </c>
      <c r="B29" t="s">
        <v>12</v>
      </c>
      <c r="C29" t="str">
        <f t="shared" si="0"/>
        <v>MaintenanceIndia</v>
      </c>
      <c r="D29" s="14">
        <f>ROUND(FTE!$B$7*'India Role Distribution'!$C5,0)</f>
        <v>5</v>
      </c>
      <c r="E29" s="14">
        <f>ROUND(FTE!$B$7*'India Role Distribution'!$C5,0)</f>
        <v>5</v>
      </c>
      <c r="F29" s="14">
        <f>ROUND(FTE!$B$7*'India Role Distribution'!$C5,0)</f>
        <v>5</v>
      </c>
      <c r="G29" s="14">
        <f>ROUND(FTE!$B$7*'India Role Distribution'!$C5,0)</f>
        <v>5</v>
      </c>
      <c r="H29" s="14">
        <f>ROUND(FTE!$B$7*'India Role Distribution'!$C5,0)</f>
        <v>5</v>
      </c>
      <c r="I29" s="14">
        <f>ROUND(FTE!$B$7*'India Role Distribution'!$C5,0)</f>
        <v>5</v>
      </c>
      <c r="J29" s="14">
        <f>ROUND(FTE!$B$7*'India Role Distribution'!$C5,0)</f>
        <v>5</v>
      </c>
      <c r="K29" s="14">
        <f>ROUND(FTE!$B$7*'India Role Distribution'!$C5,0)</f>
        <v>5</v>
      </c>
      <c r="L29" s="14">
        <f>ROUND(FTE!$B$7*'India Role Distribution'!$C5,0)</f>
        <v>5</v>
      </c>
      <c r="M29" s="14">
        <f>ROUND(FTE!$B$7*'India Role Distribution'!$C5,0)</f>
        <v>5</v>
      </c>
      <c r="N29" s="14">
        <f>ROUND(FTE!$B$7*'India Role Distribution'!$C5,0)</f>
        <v>5</v>
      </c>
      <c r="O29" s="14">
        <f>ROUND(FTE!$B$7*'India Role Distribution'!$C5,0)</f>
        <v>5</v>
      </c>
      <c r="P29" s="6">
        <f>ROUND(FTE!$C$7*'India Role Distribution'!$C5,0)</f>
        <v>5</v>
      </c>
      <c r="Q29" s="6">
        <f>ROUND(FTE!$C$7*'India Role Distribution'!$C5,0)</f>
        <v>5</v>
      </c>
      <c r="R29" s="6">
        <f>ROUND(FTE!$C$7*'India Role Distribution'!$C5,0)</f>
        <v>5</v>
      </c>
      <c r="S29" s="6">
        <f>ROUND(FTE!$C$7*'India Role Distribution'!$C5,0)</f>
        <v>5</v>
      </c>
      <c r="T29" s="6">
        <f>ROUND(FTE!$C$7*'India Role Distribution'!$C5,0)</f>
        <v>5</v>
      </c>
      <c r="U29" s="6">
        <f>ROUND(FTE!$C$7*'India Role Distribution'!$C5,0)</f>
        <v>5</v>
      </c>
      <c r="V29" s="6">
        <f>ROUND(FTE!$C$7*'India Role Distribution'!$C5,0)</f>
        <v>5</v>
      </c>
      <c r="W29" s="6">
        <f>ROUND(FTE!$C$7*'India Role Distribution'!$C5,0)</f>
        <v>5</v>
      </c>
      <c r="X29" s="6">
        <f>ROUND(FTE!$C$7*'India Role Distribution'!$C5,0)</f>
        <v>5</v>
      </c>
      <c r="Y29" s="6">
        <f>ROUND(FTE!$C$7*'India Role Distribution'!$C5,0)</f>
        <v>5</v>
      </c>
      <c r="Z29" s="6">
        <f>ROUND(FTE!$C$7*'India Role Distribution'!$C5,0)</f>
        <v>5</v>
      </c>
      <c r="AA29" s="6">
        <f>ROUND(FTE!$C$7*'India Role Distribution'!$C5,0)</f>
        <v>5</v>
      </c>
      <c r="AB29" s="15">
        <f>ROUND(FTE!$D$7*'India Role Distribution'!$C5,0)</f>
        <v>5</v>
      </c>
      <c r="AC29" s="15">
        <f>ROUND(FTE!$D$7*'India Role Distribution'!$C5,0)</f>
        <v>5</v>
      </c>
      <c r="AD29" s="15">
        <f>ROUND(FTE!$D$7*'India Role Distribution'!$C5,0)</f>
        <v>5</v>
      </c>
      <c r="AE29" s="15">
        <f>ROUND(FTE!$D$7*'India Role Distribution'!$C5,0)</f>
        <v>5</v>
      </c>
      <c r="AF29" s="15">
        <f>ROUND(FTE!$D$7*'India Role Distribution'!$C5,0)</f>
        <v>5</v>
      </c>
      <c r="AG29" s="15">
        <f>ROUND(FTE!$D$7*'India Role Distribution'!$C5,0)</f>
        <v>5</v>
      </c>
      <c r="AH29" s="15">
        <f>ROUND(FTE!$D$7*'India Role Distribution'!$C5,0)</f>
        <v>5</v>
      </c>
      <c r="AI29" s="15">
        <f>ROUND(FTE!$D$7*'India Role Distribution'!$C5,0)</f>
        <v>5</v>
      </c>
      <c r="AJ29" s="15">
        <f>ROUND(FTE!$D$7*'India Role Distribution'!$C5,0)</f>
        <v>5</v>
      </c>
      <c r="AK29" s="15">
        <f>ROUND(FTE!$D$7*'India Role Distribution'!$C5,0)</f>
        <v>5</v>
      </c>
      <c r="AL29" s="15">
        <f>ROUND(FTE!$D$7*'India Role Distribution'!$C5,0)</f>
        <v>5</v>
      </c>
      <c r="AM29" s="15">
        <f>ROUND(FTE!$D$7*'India Role Distribution'!$C5,0)</f>
        <v>5</v>
      </c>
      <c r="AN29" s="16">
        <f>ROUND(FTE!$E$7*'India Role Distribution'!$C5,0)</f>
        <v>3</v>
      </c>
      <c r="AO29" s="16">
        <f>ROUND(FTE!$E$7*'India Role Distribution'!$C5,0)</f>
        <v>3</v>
      </c>
      <c r="AP29" s="16">
        <f>ROUND(FTE!$E$7*'India Role Distribution'!$C5,0)</f>
        <v>3</v>
      </c>
      <c r="AQ29" s="16">
        <f>ROUND(FTE!$E$7*'India Role Distribution'!$C5,0)</f>
        <v>3</v>
      </c>
      <c r="AR29" s="16">
        <f>ROUND(FTE!$E$7*'India Role Distribution'!$C5,0)</f>
        <v>3</v>
      </c>
      <c r="AS29" s="16">
        <f>ROUND(FTE!$E$7*'India Role Distribution'!$C5,0)</f>
        <v>3</v>
      </c>
      <c r="AT29" s="16">
        <f>ROUND(FTE!$E$7*'India Role Distribution'!$C5,0)</f>
        <v>3</v>
      </c>
      <c r="AU29" s="16">
        <f>ROUND(FTE!$E$7*'India Role Distribution'!$C5,0)</f>
        <v>3</v>
      </c>
      <c r="AV29" s="16">
        <f>ROUND(FTE!$E$7*'India Role Distribution'!$C5,0)</f>
        <v>3</v>
      </c>
      <c r="AW29" s="16">
        <f>ROUND(FTE!$E$7*'India Role Distribution'!$C5,0)</f>
        <v>3</v>
      </c>
      <c r="AX29" s="16">
        <f>ROUND(FTE!$E$7*'India Role Distribution'!$C5,0)</f>
        <v>3</v>
      </c>
      <c r="AY29" s="16">
        <f>ROUND(FTE!$E$7*'India Role Distribution'!$C5,0)</f>
        <v>3</v>
      </c>
      <c r="AZ29" s="17">
        <f>ROUND(FTE!$F$7*'India Role Distribution'!$C5,0)</f>
        <v>3</v>
      </c>
      <c r="BA29" s="17">
        <f>ROUND(FTE!$F$7*'India Role Distribution'!$C5,0)</f>
        <v>3</v>
      </c>
      <c r="BB29" s="17">
        <f>ROUND(FTE!$F$7*'India Role Distribution'!$C5,0)</f>
        <v>3</v>
      </c>
      <c r="BC29" s="17">
        <f>ROUND(FTE!$F$7*'India Role Distribution'!$C5,0)</f>
        <v>3</v>
      </c>
      <c r="BD29" s="17">
        <f>ROUND(FTE!$F$7*'India Role Distribution'!$C5,0)</f>
        <v>3</v>
      </c>
      <c r="BE29" s="17">
        <f>ROUND(FTE!$F$7*'India Role Distribution'!$C5,0)</f>
        <v>3</v>
      </c>
      <c r="BF29" s="17">
        <f>ROUND(FTE!$F$7*'India Role Distribution'!$C5,0)</f>
        <v>3</v>
      </c>
      <c r="BG29" s="17">
        <f>ROUND(FTE!$F$7*'India Role Distribution'!$C5,0)</f>
        <v>3</v>
      </c>
      <c r="BH29" s="17">
        <f>ROUND(FTE!$F$7*'India Role Distribution'!$C5,0)</f>
        <v>3</v>
      </c>
      <c r="BI29" s="17">
        <f>ROUND(FTE!$F$7*'India Role Distribution'!$C5,0)</f>
        <v>3</v>
      </c>
      <c r="BJ29" s="17">
        <f>ROUND(FTE!$F$7*'India Role Distribution'!$C5,0)</f>
        <v>3</v>
      </c>
      <c r="BK29" s="17">
        <f>ROUND(FTE!$F$7*'India Role Distribution'!$C5,0)</f>
        <v>3</v>
      </c>
    </row>
    <row r="30" spans="1:63" x14ac:dyDescent="0.35">
      <c r="A30" t="s">
        <v>17</v>
      </c>
      <c r="B30" t="s">
        <v>12</v>
      </c>
      <c r="C30" t="str">
        <f t="shared" si="0"/>
        <v>PMIndia</v>
      </c>
      <c r="D30" s="14">
        <f>ROUND(FTE!$B$7*'India Role Distribution'!$C6,0)</f>
        <v>2</v>
      </c>
      <c r="E30" s="14">
        <f>ROUND(FTE!$B$7*'India Role Distribution'!$C6,0)</f>
        <v>2</v>
      </c>
      <c r="F30" s="14">
        <f>ROUND(FTE!$B$7*'India Role Distribution'!$C6,0)</f>
        <v>2</v>
      </c>
      <c r="G30" s="14">
        <f>ROUND(FTE!$B$7*'India Role Distribution'!$C6,0)</f>
        <v>2</v>
      </c>
      <c r="H30" s="14">
        <f>ROUND(FTE!$B$7*'India Role Distribution'!$C6,0)</f>
        <v>2</v>
      </c>
      <c r="I30" s="14">
        <f>ROUND(FTE!$B$7*'India Role Distribution'!$C6,0)</f>
        <v>2</v>
      </c>
      <c r="J30" s="14">
        <f>ROUND(FTE!$B$7*'India Role Distribution'!$C6,0)</f>
        <v>2</v>
      </c>
      <c r="K30" s="14">
        <f>ROUND(FTE!$B$7*'India Role Distribution'!$C6,0)</f>
        <v>2</v>
      </c>
      <c r="L30" s="14">
        <f>ROUND(FTE!$B$7*'India Role Distribution'!$C6,0)</f>
        <v>2</v>
      </c>
      <c r="M30" s="14">
        <f>ROUND(FTE!$B$7*'India Role Distribution'!$C6,0)</f>
        <v>2</v>
      </c>
      <c r="N30" s="14">
        <f>ROUND(FTE!$B$7*'India Role Distribution'!$C6,0)</f>
        <v>2</v>
      </c>
      <c r="O30" s="14">
        <f>ROUND(FTE!$B$7*'India Role Distribution'!$C6,0)</f>
        <v>2</v>
      </c>
      <c r="P30" s="6">
        <f>ROUND(FTE!$C$7*'India Role Distribution'!$C6,0)</f>
        <v>2</v>
      </c>
      <c r="Q30" s="6">
        <f>ROUND(FTE!$C$7*'India Role Distribution'!$C6,0)</f>
        <v>2</v>
      </c>
      <c r="R30" s="6">
        <f>ROUND(FTE!$C$7*'India Role Distribution'!$C6,0)</f>
        <v>2</v>
      </c>
      <c r="S30" s="6">
        <f>ROUND(FTE!$C$7*'India Role Distribution'!$C6,0)</f>
        <v>2</v>
      </c>
      <c r="T30" s="6">
        <f>ROUND(FTE!$C$7*'India Role Distribution'!$C6,0)</f>
        <v>2</v>
      </c>
      <c r="U30" s="6">
        <f>ROUND(FTE!$C$7*'India Role Distribution'!$C6,0)</f>
        <v>2</v>
      </c>
      <c r="V30" s="6">
        <f>ROUND(FTE!$C$7*'India Role Distribution'!$C6,0)</f>
        <v>2</v>
      </c>
      <c r="W30" s="6">
        <f>ROUND(FTE!$C$7*'India Role Distribution'!$C6,0)</f>
        <v>2</v>
      </c>
      <c r="X30" s="6">
        <f>ROUND(FTE!$C$7*'India Role Distribution'!$C6,0)</f>
        <v>2</v>
      </c>
      <c r="Y30" s="6">
        <f>ROUND(FTE!$C$7*'India Role Distribution'!$C6,0)</f>
        <v>2</v>
      </c>
      <c r="Z30" s="6">
        <f>ROUND(FTE!$C$7*'India Role Distribution'!$C6,0)</f>
        <v>2</v>
      </c>
      <c r="AA30" s="6">
        <f>ROUND(FTE!$C$7*'India Role Distribution'!$C6,0)</f>
        <v>2</v>
      </c>
      <c r="AB30" s="15">
        <f>ROUND(FTE!$D$7*'India Role Distribution'!$C6,0)</f>
        <v>2</v>
      </c>
      <c r="AC30" s="15">
        <f>ROUND(FTE!$D$7*'India Role Distribution'!$C6,0)</f>
        <v>2</v>
      </c>
      <c r="AD30" s="15">
        <f>ROUND(FTE!$D$7*'India Role Distribution'!$C6,0)</f>
        <v>2</v>
      </c>
      <c r="AE30" s="15">
        <f>ROUND(FTE!$D$7*'India Role Distribution'!$C6,0)</f>
        <v>2</v>
      </c>
      <c r="AF30" s="15">
        <f>ROUND(FTE!$D$7*'India Role Distribution'!$C6,0)</f>
        <v>2</v>
      </c>
      <c r="AG30" s="15">
        <f>ROUND(FTE!$D$7*'India Role Distribution'!$C6,0)</f>
        <v>2</v>
      </c>
      <c r="AH30" s="15">
        <f>ROUND(FTE!$D$7*'India Role Distribution'!$C6,0)</f>
        <v>2</v>
      </c>
      <c r="AI30" s="15">
        <f>ROUND(FTE!$D$7*'India Role Distribution'!$C6,0)</f>
        <v>2</v>
      </c>
      <c r="AJ30" s="15">
        <f>ROUND(FTE!$D$7*'India Role Distribution'!$C6,0)</f>
        <v>2</v>
      </c>
      <c r="AK30" s="15">
        <f>ROUND(FTE!$D$7*'India Role Distribution'!$C6,0)</f>
        <v>2</v>
      </c>
      <c r="AL30" s="15">
        <f>ROUND(FTE!$D$7*'India Role Distribution'!$C6,0)</f>
        <v>2</v>
      </c>
      <c r="AM30" s="15">
        <f>ROUND(FTE!$D$7*'India Role Distribution'!$C6,0)</f>
        <v>2</v>
      </c>
      <c r="AN30" s="16">
        <f>ROUND(FTE!$E$7*'India Role Distribution'!$C6,0)</f>
        <v>1</v>
      </c>
      <c r="AO30" s="16">
        <f>ROUND(FTE!$E$7*'India Role Distribution'!$C6,0)</f>
        <v>1</v>
      </c>
      <c r="AP30" s="16">
        <f>ROUND(FTE!$E$7*'India Role Distribution'!$C6,0)</f>
        <v>1</v>
      </c>
      <c r="AQ30" s="16">
        <f>ROUND(FTE!$E$7*'India Role Distribution'!$C6,0)</f>
        <v>1</v>
      </c>
      <c r="AR30" s="16">
        <f>ROUND(FTE!$E$7*'India Role Distribution'!$C6,0)</f>
        <v>1</v>
      </c>
      <c r="AS30" s="16">
        <f>ROUND(FTE!$E$7*'India Role Distribution'!$C6,0)</f>
        <v>1</v>
      </c>
      <c r="AT30" s="16">
        <f>ROUND(FTE!$E$7*'India Role Distribution'!$C6,0)</f>
        <v>1</v>
      </c>
      <c r="AU30" s="16">
        <f>ROUND(FTE!$E$7*'India Role Distribution'!$C6,0)</f>
        <v>1</v>
      </c>
      <c r="AV30" s="16">
        <f>ROUND(FTE!$E$7*'India Role Distribution'!$C6,0)</f>
        <v>1</v>
      </c>
      <c r="AW30" s="16">
        <f>ROUND(FTE!$E$7*'India Role Distribution'!$C6,0)</f>
        <v>1</v>
      </c>
      <c r="AX30" s="16">
        <f>ROUND(FTE!$E$7*'India Role Distribution'!$C6,0)</f>
        <v>1</v>
      </c>
      <c r="AY30" s="16">
        <f>ROUND(FTE!$E$7*'India Role Distribution'!$C6,0)</f>
        <v>1</v>
      </c>
      <c r="AZ30" s="17">
        <f>ROUND(FTE!$F$7*'India Role Distribution'!$C6,0)</f>
        <v>1</v>
      </c>
      <c r="BA30" s="17">
        <f>ROUND(FTE!$F$7*'India Role Distribution'!$C6,0)</f>
        <v>1</v>
      </c>
      <c r="BB30" s="17">
        <f>ROUND(FTE!$F$7*'India Role Distribution'!$C6,0)</f>
        <v>1</v>
      </c>
      <c r="BC30" s="17">
        <f>ROUND(FTE!$F$7*'India Role Distribution'!$C6,0)</f>
        <v>1</v>
      </c>
      <c r="BD30" s="17">
        <f>ROUND(FTE!$F$7*'India Role Distribution'!$C6,0)</f>
        <v>1</v>
      </c>
      <c r="BE30" s="17">
        <f>ROUND(FTE!$F$7*'India Role Distribution'!$C6,0)</f>
        <v>1</v>
      </c>
      <c r="BF30" s="17">
        <f>ROUND(FTE!$F$7*'India Role Distribution'!$C6,0)</f>
        <v>1</v>
      </c>
      <c r="BG30" s="17">
        <f>ROUND(FTE!$F$7*'India Role Distribution'!$C6,0)</f>
        <v>1</v>
      </c>
      <c r="BH30" s="17">
        <f>ROUND(FTE!$F$7*'India Role Distribution'!$C6,0)</f>
        <v>1</v>
      </c>
      <c r="BI30" s="17">
        <f>ROUND(FTE!$F$7*'India Role Distribution'!$C6,0)</f>
        <v>1</v>
      </c>
      <c r="BJ30" s="17">
        <f>ROUND(FTE!$F$7*'India Role Distribution'!$C6,0)</f>
        <v>1</v>
      </c>
      <c r="BK30" s="17">
        <f>ROUND(FTE!$F$7*'India Role Distribution'!$C6,0)</f>
        <v>1</v>
      </c>
    </row>
    <row r="31" spans="1:63" x14ac:dyDescent="0.35">
      <c r="A31" t="s">
        <v>19</v>
      </c>
      <c r="B31" t="s">
        <v>12</v>
      </c>
      <c r="C31" t="str">
        <f t="shared" si="0"/>
        <v>LeadIndia</v>
      </c>
      <c r="D31" s="14">
        <f>ROUND(FTE!$B$7*'India Role Distribution'!$C7,0)</f>
        <v>2</v>
      </c>
      <c r="E31" s="14">
        <f>ROUND(FTE!$B$7*'India Role Distribution'!$C7,0)</f>
        <v>2</v>
      </c>
      <c r="F31" s="14">
        <f>ROUND(FTE!$B$7*'India Role Distribution'!$C7,0)</f>
        <v>2</v>
      </c>
      <c r="G31" s="14">
        <f>ROUND(FTE!$B$7*'India Role Distribution'!$C7,0)</f>
        <v>2</v>
      </c>
      <c r="H31" s="14">
        <f>ROUND(FTE!$B$7*'India Role Distribution'!$C7,0)</f>
        <v>2</v>
      </c>
      <c r="I31" s="14">
        <f>ROUND(FTE!$B$7*'India Role Distribution'!$C7,0)</f>
        <v>2</v>
      </c>
      <c r="J31" s="14">
        <f>ROUND(FTE!$B$7*'India Role Distribution'!$C7,0)</f>
        <v>2</v>
      </c>
      <c r="K31" s="14">
        <f>ROUND(FTE!$B$7*'India Role Distribution'!$C7,0)</f>
        <v>2</v>
      </c>
      <c r="L31" s="14">
        <f>ROUND(FTE!$B$7*'India Role Distribution'!$C7,0)</f>
        <v>2</v>
      </c>
      <c r="M31" s="14">
        <f>ROUND(FTE!$B$7*'India Role Distribution'!$C7,0)</f>
        <v>2</v>
      </c>
      <c r="N31" s="14">
        <f>ROUND(FTE!$B$7*'India Role Distribution'!$C7,0)</f>
        <v>2</v>
      </c>
      <c r="O31" s="14">
        <f>ROUND(FTE!$B$7*'India Role Distribution'!$C7,0)</f>
        <v>2</v>
      </c>
      <c r="P31" s="6">
        <f>ROUND(FTE!$C$7*'India Role Distribution'!$C7,0)</f>
        <v>2</v>
      </c>
      <c r="Q31" s="6">
        <f>ROUND(FTE!$C$7*'India Role Distribution'!$C7,0)</f>
        <v>2</v>
      </c>
      <c r="R31" s="6">
        <f>ROUND(FTE!$C$7*'India Role Distribution'!$C7,0)</f>
        <v>2</v>
      </c>
      <c r="S31" s="6">
        <f>ROUND(FTE!$C$7*'India Role Distribution'!$C7,0)</f>
        <v>2</v>
      </c>
      <c r="T31" s="6">
        <f>ROUND(FTE!$C$7*'India Role Distribution'!$C7,0)</f>
        <v>2</v>
      </c>
      <c r="U31" s="6">
        <f>ROUND(FTE!$C$7*'India Role Distribution'!$C7,0)</f>
        <v>2</v>
      </c>
      <c r="V31" s="6">
        <f>ROUND(FTE!$C$7*'India Role Distribution'!$C7,0)</f>
        <v>2</v>
      </c>
      <c r="W31" s="6">
        <f>ROUND(FTE!$C$7*'India Role Distribution'!$C7,0)</f>
        <v>2</v>
      </c>
      <c r="X31" s="6">
        <f>ROUND(FTE!$C$7*'India Role Distribution'!$C7,0)</f>
        <v>2</v>
      </c>
      <c r="Y31" s="6">
        <f>ROUND(FTE!$C$7*'India Role Distribution'!$C7,0)</f>
        <v>2</v>
      </c>
      <c r="Z31" s="6">
        <f>ROUND(FTE!$C$7*'India Role Distribution'!$C7,0)</f>
        <v>2</v>
      </c>
      <c r="AA31" s="6">
        <f>ROUND(FTE!$C$7*'India Role Distribution'!$C7,0)</f>
        <v>2</v>
      </c>
      <c r="AB31" s="15">
        <f>ROUND(FTE!$D$7*'India Role Distribution'!$C7,0)</f>
        <v>1</v>
      </c>
      <c r="AC31" s="15">
        <f>ROUND(FTE!$D$7*'India Role Distribution'!$C7,0)</f>
        <v>1</v>
      </c>
      <c r="AD31" s="15">
        <f>ROUND(FTE!$D$7*'India Role Distribution'!$C7,0)</f>
        <v>1</v>
      </c>
      <c r="AE31" s="15">
        <f>ROUND(FTE!$D$7*'India Role Distribution'!$C7,0)</f>
        <v>1</v>
      </c>
      <c r="AF31" s="15">
        <f>ROUND(FTE!$D$7*'India Role Distribution'!$C7,0)</f>
        <v>1</v>
      </c>
      <c r="AG31" s="15">
        <f>ROUND(FTE!$D$7*'India Role Distribution'!$C7,0)</f>
        <v>1</v>
      </c>
      <c r="AH31" s="15">
        <f>ROUND(FTE!$D$7*'India Role Distribution'!$C7,0)</f>
        <v>1</v>
      </c>
      <c r="AI31" s="15">
        <f>ROUND(FTE!$D$7*'India Role Distribution'!$C7,0)</f>
        <v>1</v>
      </c>
      <c r="AJ31" s="15">
        <f>ROUND(FTE!$D$7*'India Role Distribution'!$C7,0)</f>
        <v>1</v>
      </c>
      <c r="AK31" s="15">
        <f>ROUND(FTE!$D$7*'India Role Distribution'!$C7,0)</f>
        <v>1</v>
      </c>
      <c r="AL31" s="15">
        <f>ROUND(FTE!$D$7*'India Role Distribution'!$C7,0)</f>
        <v>1</v>
      </c>
      <c r="AM31" s="15">
        <f>ROUND(FTE!$D$7*'India Role Distribution'!$C7,0)</f>
        <v>1</v>
      </c>
      <c r="AN31" s="16">
        <f>ROUND(FTE!$E$7*'India Role Distribution'!$C7,0)</f>
        <v>1</v>
      </c>
      <c r="AO31" s="16">
        <f>ROUND(FTE!$E$7*'India Role Distribution'!$C7,0)</f>
        <v>1</v>
      </c>
      <c r="AP31" s="16">
        <f>ROUND(FTE!$E$7*'India Role Distribution'!$C7,0)</f>
        <v>1</v>
      </c>
      <c r="AQ31" s="16">
        <f>ROUND(FTE!$E$7*'India Role Distribution'!$C7,0)</f>
        <v>1</v>
      </c>
      <c r="AR31" s="16">
        <f>ROUND(FTE!$E$7*'India Role Distribution'!$C7,0)</f>
        <v>1</v>
      </c>
      <c r="AS31" s="16">
        <f>ROUND(FTE!$E$7*'India Role Distribution'!$C7,0)</f>
        <v>1</v>
      </c>
      <c r="AT31" s="16">
        <f>ROUND(FTE!$E$7*'India Role Distribution'!$C7,0)</f>
        <v>1</v>
      </c>
      <c r="AU31" s="16">
        <f>ROUND(FTE!$E$7*'India Role Distribution'!$C7,0)</f>
        <v>1</v>
      </c>
      <c r="AV31" s="16">
        <f>ROUND(FTE!$E$7*'India Role Distribution'!$C7,0)</f>
        <v>1</v>
      </c>
      <c r="AW31" s="16">
        <f>ROUND(FTE!$E$7*'India Role Distribution'!$C7,0)</f>
        <v>1</v>
      </c>
      <c r="AX31" s="16">
        <f>ROUND(FTE!$E$7*'India Role Distribution'!$C7,0)</f>
        <v>1</v>
      </c>
      <c r="AY31" s="16">
        <f>ROUND(FTE!$E$7*'India Role Distribution'!$C7,0)</f>
        <v>1</v>
      </c>
      <c r="AZ31" s="17">
        <f>ROUND(FTE!$F$7*'India Role Distribution'!$C7,0)</f>
        <v>1</v>
      </c>
      <c r="BA31" s="17">
        <f>ROUND(FTE!$F$7*'India Role Distribution'!$C7,0)</f>
        <v>1</v>
      </c>
      <c r="BB31" s="17">
        <f>ROUND(FTE!$F$7*'India Role Distribution'!$C7,0)</f>
        <v>1</v>
      </c>
      <c r="BC31" s="17">
        <f>ROUND(FTE!$F$7*'India Role Distribution'!$C7,0)</f>
        <v>1</v>
      </c>
      <c r="BD31" s="17">
        <f>ROUND(FTE!$F$7*'India Role Distribution'!$C7,0)</f>
        <v>1</v>
      </c>
      <c r="BE31" s="17">
        <f>ROUND(FTE!$F$7*'India Role Distribution'!$C7,0)</f>
        <v>1</v>
      </c>
      <c r="BF31" s="17">
        <f>ROUND(FTE!$F$7*'India Role Distribution'!$C7,0)</f>
        <v>1</v>
      </c>
      <c r="BG31" s="17">
        <f>ROUND(FTE!$F$7*'India Role Distribution'!$C7,0)</f>
        <v>1</v>
      </c>
      <c r="BH31" s="17">
        <f>ROUND(FTE!$F$7*'India Role Distribution'!$C7,0)</f>
        <v>1</v>
      </c>
      <c r="BI31" s="17">
        <f>ROUND(FTE!$F$7*'India Role Distribution'!$C7,0)</f>
        <v>1</v>
      </c>
      <c r="BJ31" s="17">
        <f>ROUND(FTE!$F$7*'India Role Distribution'!$C7,0)</f>
        <v>1</v>
      </c>
      <c r="BK31" s="17">
        <f>ROUND(FTE!$F$7*'India Role Distribution'!$C7,0)</f>
        <v>1</v>
      </c>
    </row>
    <row r="32" spans="1:63" x14ac:dyDescent="0.35">
      <c r="A32" t="s">
        <v>13</v>
      </c>
      <c r="B32" t="s">
        <v>9</v>
      </c>
      <c r="C32" t="str">
        <f t="shared" si="0"/>
        <v>BSAOnsite</v>
      </c>
      <c r="D32" s="14">
        <f>VLOOKUP($A32,'Onsite Role Distribution'!$B$3:$G$7,2,FALSE)+VLOOKUP($A32,'Onsite Role Distribution'!$B$8:$G$12,2,FALSE)</f>
        <v>2</v>
      </c>
      <c r="E32" s="14">
        <f>VLOOKUP($A32,'Onsite Role Distribution'!$B$3:$G$7,2,FALSE)+VLOOKUP($A32,'Onsite Role Distribution'!$B$8:$G$12,2,FALSE)</f>
        <v>2</v>
      </c>
      <c r="F32" s="14">
        <f>VLOOKUP($A32,'Onsite Role Distribution'!$B$3:$G$7,2,FALSE)+VLOOKUP($A32,'Onsite Role Distribution'!$B$8:$G$12,2,FALSE)</f>
        <v>2</v>
      </c>
      <c r="G32" s="14">
        <f>VLOOKUP($A32,'Onsite Role Distribution'!$B$3:$G$7,2,FALSE)+VLOOKUP($A32,'Onsite Role Distribution'!$B$8:$G$12,2,FALSE)</f>
        <v>2</v>
      </c>
      <c r="H32" s="14">
        <f>VLOOKUP($A32,'Onsite Role Distribution'!$B$3:$G$7,2,FALSE)+VLOOKUP($A32,'Onsite Role Distribution'!$B$8:$G$12,2,FALSE)</f>
        <v>2</v>
      </c>
      <c r="I32" s="14">
        <f>VLOOKUP($A32,'Onsite Role Distribution'!$B$3:$G$7,2,FALSE)+VLOOKUP($A32,'Onsite Role Distribution'!$B$8:$G$12,2,FALSE)</f>
        <v>2</v>
      </c>
      <c r="J32" s="14">
        <f>VLOOKUP($A32,'Onsite Role Distribution'!$B$3:$G$7,2,FALSE)+VLOOKUP($A32,'Onsite Role Distribution'!$B$8:$G$12,2,FALSE)</f>
        <v>2</v>
      </c>
      <c r="K32" s="14">
        <f>VLOOKUP($A32,'Onsite Role Distribution'!$B$3:$G$7,2,FALSE)+VLOOKUP($A32,'Onsite Role Distribution'!$B$8:$G$12,2,FALSE)</f>
        <v>2</v>
      </c>
      <c r="L32" s="14">
        <f>VLOOKUP($A32,'Onsite Role Distribution'!$B$3:$G$7,2,FALSE)+VLOOKUP($A32,'Onsite Role Distribution'!$B$8:$G$12,2,FALSE)</f>
        <v>2</v>
      </c>
      <c r="M32" s="14">
        <f>VLOOKUP($A32,'Onsite Role Distribution'!$B$3:$G$7,2,FALSE)+VLOOKUP($A32,'Onsite Role Distribution'!$B$8:$G$12,2,FALSE)</f>
        <v>2</v>
      </c>
      <c r="N32" s="14">
        <f>VLOOKUP($A32,'Onsite Role Distribution'!$B$3:$G$7,2,FALSE)+VLOOKUP($A32,'Onsite Role Distribution'!$B$8:$G$12,2,FALSE)</f>
        <v>2</v>
      </c>
      <c r="O32" s="14">
        <f>VLOOKUP($A32,'Onsite Role Distribution'!$B$3:$G$7,2,FALSE)+VLOOKUP($A32,'Onsite Role Distribution'!$B$8:$G$12,2,FALSE)</f>
        <v>2</v>
      </c>
      <c r="P32" s="6">
        <f>VLOOKUP($A32,'Onsite Role Distribution'!$B$3:$G$7,3,FALSE)+VLOOKUP($A32,'Onsite Role Distribution'!$B$8:$G$12,3,FALSE)</f>
        <v>2</v>
      </c>
      <c r="Q32" s="6">
        <f>VLOOKUP($A32,'Onsite Role Distribution'!$B$3:$G$7,3,FALSE)+VLOOKUP($A32,'Onsite Role Distribution'!$B$8:$G$12,3,FALSE)</f>
        <v>2</v>
      </c>
      <c r="R32" s="6">
        <f>VLOOKUP($A32,'Onsite Role Distribution'!$B$3:$G$7,3,FALSE)+VLOOKUP($A32,'Onsite Role Distribution'!$B$8:$G$12,3,FALSE)</f>
        <v>2</v>
      </c>
      <c r="S32" s="6">
        <f>VLOOKUP($A32,'Onsite Role Distribution'!$B$3:$G$7,3,FALSE)+VLOOKUP($A32,'Onsite Role Distribution'!$B$8:$G$12,3,FALSE)</f>
        <v>2</v>
      </c>
      <c r="T32" s="6">
        <f>VLOOKUP($A32,'Onsite Role Distribution'!$B$3:$G$7,3,FALSE)+VLOOKUP($A32,'Onsite Role Distribution'!$B$8:$G$12,3,FALSE)</f>
        <v>2</v>
      </c>
      <c r="U32" s="6">
        <f>VLOOKUP($A32,'Onsite Role Distribution'!$B$3:$G$7,3,FALSE)+VLOOKUP($A32,'Onsite Role Distribution'!$B$8:$G$12,3,FALSE)</f>
        <v>2</v>
      </c>
      <c r="V32" s="6">
        <f>VLOOKUP($A32,'Onsite Role Distribution'!$B$3:$G$7,3,FALSE)+VLOOKUP($A32,'Onsite Role Distribution'!$B$8:$G$12,3,FALSE)</f>
        <v>2</v>
      </c>
      <c r="W32" s="6">
        <f>VLOOKUP($A32,'Onsite Role Distribution'!$B$3:$G$7,3,FALSE)+VLOOKUP($A32,'Onsite Role Distribution'!$B$8:$G$12,3,FALSE)</f>
        <v>2</v>
      </c>
      <c r="X32" s="6">
        <f>VLOOKUP($A32,'Onsite Role Distribution'!$B$3:$G$7,3,FALSE)+VLOOKUP($A32,'Onsite Role Distribution'!$B$8:$G$12,3,FALSE)</f>
        <v>2</v>
      </c>
      <c r="Y32" s="6">
        <f>VLOOKUP($A32,'Onsite Role Distribution'!$B$3:$G$7,3,FALSE)+VLOOKUP($A32,'Onsite Role Distribution'!$B$8:$G$12,3,FALSE)</f>
        <v>2</v>
      </c>
      <c r="Z32" s="6">
        <f>VLOOKUP($A32,'Onsite Role Distribution'!$B$3:$G$7,3,FALSE)+VLOOKUP($A32,'Onsite Role Distribution'!$B$8:$G$12,3,FALSE)</f>
        <v>2</v>
      </c>
      <c r="AA32" s="6">
        <f>VLOOKUP($A32,'Onsite Role Distribution'!$B$3:$G$7,3,FALSE)+VLOOKUP($A32,'Onsite Role Distribution'!$B$8:$G$12,3,FALSE)</f>
        <v>2</v>
      </c>
      <c r="AB32" s="15">
        <f>VLOOKUP($A32,'Onsite Role Distribution'!$B$3:$G$7,4,FALSE)+VLOOKUP($A32,'Onsite Role Distribution'!$B$8:$G$12,4,FALSE)</f>
        <v>1</v>
      </c>
      <c r="AC32" s="15">
        <f>VLOOKUP($A32,'Onsite Role Distribution'!$B$3:$G$7,4,FALSE)+VLOOKUP($A32,'Onsite Role Distribution'!$B$8:$G$12,4,FALSE)</f>
        <v>1</v>
      </c>
      <c r="AD32" s="15">
        <f>VLOOKUP($A32,'Onsite Role Distribution'!$B$3:$G$7,4,FALSE)+VLOOKUP($A32,'Onsite Role Distribution'!$B$8:$G$12,4,FALSE)</f>
        <v>1</v>
      </c>
      <c r="AE32" s="15">
        <f>VLOOKUP($A32,'Onsite Role Distribution'!$B$3:$G$7,4,FALSE)+VLOOKUP($A32,'Onsite Role Distribution'!$B$8:$G$12,4,FALSE)</f>
        <v>1</v>
      </c>
      <c r="AF32" s="15">
        <f>VLOOKUP($A32,'Onsite Role Distribution'!$B$3:$G$7,4,FALSE)+VLOOKUP($A32,'Onsite Role Distribution'!$B$8:$G$12,4,FALSE)</f>
        <v>1</v>
      </c>
      <c r="AG32" s="15">
        <f>VLOOKUP($A32,'Onsite Role Distribution'!$B$3:$G$7,4,FALSE)+VLOOKUP($A32,'Onsite Role Distribution'!$B$8:$G$12,4,FALSE)</f>
        <v>1</v>
      </c>
      <c r="AH32" s="15">
        <f>VLOOKUP($A32,'Onsite Role Distribution'!$B$3:$G$7,4,FALSE)+VLOOKUP($A32,'Onsite Role Distribution'!$B$8:$G$12,4,FALSE)</f>
        <v>1</v>
      </c>
      <c r="AI32" s="15">
        <f>VLOOKUP($A32,'Onsite Role Distribution'!$B$3:$G$7,4,FALSE)+VLOOKUP($A32,'Onsite Role Distribution'!$B$8:$G$12,4,FALSE)</f>
        <v>1</v>
      </c>
      <c r="AJ32" s="15">
        <f>VLOOKUP($A32,'Onsite Role Distribution'!$B$3:$G$7,4,FALSE)+VLOOKUP($A32,'Onsite Role Distribution'!$B$8:$G$12,4,FALSE)</f>
        <v>1</v>
      </c>
      <c r="AK32" s="15">
        <f>VLOOKUP($A32,'Onsite Role Distribution'!$B$3:$G$7,4,FALSE)+VLOOKUP($A32,'Onsite Role Distribution'!$B$8:$G$12,4,FALSE)</f>
        <v>1</v>
      </c>
      <c r="AL32" s="15">
        <f>VLOOKUP($A32,'Onsite Role Distribution'!$B$3:$G$7,4,FALSE)+VLOOKUP($A32,'Onsite Role Distribution'!$B$8:$G$12,4,FALSE)</f>
        <v>1</v>
      </c>
      <c r="AM32" s="15">
        <f>VLOOKUP($A32,'Onsite Role Distribution'!$B$3:$G$7,4,FALSE)+VLOOKUP($A32,'Onsite Role Distribution'!$B$8:$G$12,4,FALSE)</f>
        <v>1</v>
      </c>
      <c r="AN32" s="16">
        <f>VLOOKUP($A32,'Onsite Role Distribution'!$B$3:$G$7,5,FALSE)+VLOOKUP($A32,'Onsite Role Distribution'!$B$8:$G$12,5,FALSE)</f>
        <v>1</v>
      </c>
      <c r="AO32" s="16">
        <f>VLOOKUP($A32,'Onsite Role Distribution'!$B$3:$G$7,5,FALSE)+VLOOKUP($A32,'Onsite Role Distribution'!$B$8:$G$12,5,FALSE)</f>
        <v>1</v>
      </c>
      <c r="AP32" s="16">
        <f>VLOOKUP($A32,'Onsite Role Distribution'!$B$3:$G$7,5,FALSE)+VLOOKUP($A32,'Onsite Role Distribution'!$B$8:$G$12,5,FALSE)</f>
        <v>1</v>
      </c>
      <c r="AQ32" s="16">
        <f>VLOOKUP($A32,'Onsite Role Distribution'!$B$3:$G$7,5,FALSE)+VLOOKUP($A32,'Onsite Role Distribution'!$B$8:$G$12,5,FALSE)</f>
        <v>1</v>
      </c>
      <c r="AR32" s="16">
        <f>VLOOKUP($A32,'Onsite Role Distribution'!$B$3:$G$7,5,FALSE)+VLOOKUP($A32,'Onsite Role Distribution'!$B$8:$G$12,5,FALSE)</f>
        <v>1</v>
      </c>
      <c r="AS32" s="16">
        <f>VLOOKUP($A32,'Onsite Role Distribution'!$B$3:$G$7,5,FALSE)+VLOOKUP($A32,'Onsite Role Distribution'!$B$8:$G$12,5,FALSE)</f>
        <v>1</v>
      </c>
      <c r="AT32" s="16">
        <f>VLOOKUP($A32,'Onsite Role Distribution'!$B$3:$G$7,5,FALSE)+VLOOKUP($A32,'Onsite Role Distribution'!$B$8:$G$12,5,FALSE)</f>
        <v>1</v>
      </c>
      <c r="AU32" s="16">
        <f>VLOOKUP($A32,'Onsite Role Distribution'!$B$3:$G$7,5,FALSE)+VLOOKUP($A32,'Onsite Role Distribution'!$B$8:$G$12,5,FALSE)</f>
        <v>1</v>
      </c>
      <c r="AV32" s="16">
        <f>VLOOKUP($A32,'Onsite Role Distribution'!$B$3:$G$7,5,FALSE)+VLOOKUP($A32,'Onsite Role Distribution'!$B$8:$G$12,5,FALSE)</f>
        <v>1</v>
      </c>
      <c r="AW32" s="16">
        <f>VLOOKUP($A32,'Onsite Role Distribution'!$B$3:$G$7,5,FALSE)+VLOOKUP($A32,'Onsite Role Distribution'!$B$8:$G$12,5,FALSE)</f>
        <v>1</v>
      </c>
      <c r="AX32" s="16">
        <f>VLOOKUP($A32,'Onsite Role Distribution'!$B$3:$G$7,5,FALSE)+VLOOKUP($A32,'Onsite Role Distribution'!$B$8:$G$12,5,FALSE)</f>
        <v>1</v>
      </c>
      <c r="AY32" s="16">
        <f>VLOOKUP($A32,'Onsite Role Distribution'!$B$3:$G$7,5,FALSE)+VLOOKUP($A32,'Onsite Role Distribution'!$B$8:$G$12,5,FALSE)</f>
        <v>1</v>
      </c>
      <c r="AZ32" s="17">
        <f>VLOOKUP($A32,'Onsite Role Distribution'!$B$3:$G$7,6,FALSE)+VLOOKUP($A32,'Onsite Role Distribution'!$B$8:$G$12,6,FALSE)</f>
        <v>0</v>
      </c>
      <c r="BA32" s="17">
        <f>VLOOKUP($A32,'Onsite Role Distribution'!$B$3:$G$7,6,FALSE)+VLOOKUP($A32,'Onsite Role Distribution'!$B$8:$G$12,6,FALSE)</f>
        <v>0</v>
      </c>
      <c r="BB32" s="17">
        <f>VLOOKUP($A32,'Onsite Role Distribution'!$B$3:$G$7,6,FALSE)+VLOOKUP($A32,'Onsite Role Distribution'!$B$8:$G$12,6,FALSE)</f>
        <v>0</v>
      </c>
      <c r="BC32" s="17">
        <f>VLOOKUP($A32,'Onsite Role Distribution'!$B$3:$G$7,6,FALSE)+VLOOKUP($A32,'Onsite Role Distribution'!$B$8:$G$12,6,FALSE)</f>
        <v>0</v>
      </c>
      <c r="BD32" s="17">
        <f>VLOOKUP($A32,'Onsite Role Distribution'!$B$3:$G$7,6,FALSE)+VLOOKUP($A32,'Onsite Role Distribution'!$B$8:$G$12,6,FALSE)</f>
        <v>0</v>
      </c>
      <c r="BE32" s="17">
        <f>VLOOKUP($A32,'Onsite Role Distribution'!$B$3:$G$7,6,FALSE)+VLOOKUP($A32,'Onsite Role Distribution'!$B$8:$G$12,6,FALSE)</f>
        <v>0</v>
      </c>
      <c r="BF32" s="17">
        <f>VLOOKUP($A32,'Onsite Role Distribution'!$B$3:$G$7,6,FALSE)+VLOOKUP($A32,'Onsite Role Distribution'!$B$8:$G$12,6,FALSE)</f>
        <v>0</v>
      </c>
      <c r="BG32" s="17">
        <f>VLOOKUP($A32,'Onsite Role Distribution'!$B$3:$G$7,6,FALSE)+VLOOKUP($A32,'Onsite Role Distribution'!$B$8:$G$12,6,FALSE)</f>
        <v>0</v>
      </c>
      <c r="BH32" s="17">
        <f>VLOOKUP($A32,'Onsite Role Distribution'!$B$3:$G$7,6,FALSE)+VLOOKUP($A32,'Onsite Role Distribution'!$B$8:$G$12,6,FALSE)</f>
        <v>0</v>
      </c>
      <c r="BI32" s="17">
        <f>VLOOKUP($A32,'Onsite Role Distribution'!$B$3:$G$7,6,FALSE)+VLOOKUP($A32,'Onsite Role Distribution'!$B$8:$G$12,6,FALSE)</f>
        <v>0</v>
      </c>
      <c r="BJ32" s="17">
        <f>VLOOKUP($A32,'Onsite Role Distribution'!$B$3:$G$7,6,FALSE)+VLOOKUP($A32,'Onsite Role Distribution'!$B$8:$G$12,6,FALSE)</f>
        <v>0</v>
      </c>
      <c r="BK32" s="17">
        <f>VLOOKUP($A32,'Onsite Role Distribution'!$B$3:$G$7,6,FALSE)+VLOOKUP($A32,'Onsite Role Distribution'!$B$8:$G$12,6,FALSE)</f>
        <v>0</v>
      </c>
    </row>
    <row r="33" spans="1:63" x14ac:dyDescent="0.35">
      <c r="A33" t="s">
        <v>20</v>
      </c>
      <c r="B33" t="s">
        <v>9</v>
      </c>
      <c r="C33" t="str">
        <f t="shared" si="0"/>
        <v>DevOnsite</v>
      </c>
      <c r="D33" s="14">
        <f>VLOOKUP($A33,'Onsite Role Distribution'!$B$3:$G$7,2,FALSE)+VLOOKUP($A33,'Onsite Role Distribution'!$B$8:$G$12,2,FALSE)</f>
        <v>2</v>
      </c>
      <c r="E33" s="14">
        <f>VLOOKUP($A33,'Onsite Role Distribution'!$B$3:$G$7,2,FALSE)+VLOOKUP($A33,'Onsite Role Distribution'!$B$8:$G$12,2,FALSE)</f>
        <v>2</v>
      </c>
      <c r="F33" s="14">
        <f>VLOOKUP($A33,'Onsite Role Distribution'!$B$3:$G$7,2,FALSE)+VLOOKUP($A33,'Onsite Role Distribution'!$B$8:$G$12,2,FALSE)</f>
        <v>2</v>
      </c>
      <c r="G33" s="14">
        <f>VLOOKUP($A33,'Onsite Role Distribution'!$B$3:$G$7,2,FALSE)+VLOOKUP($A33,'Onsite Role Distribution'!$B$8:$G$12,2,FALSE)</f>
        <v>2</v>
      </c>
      <c r="H33" s="14">
        <f>VLOOKUP($A33,'Onsite Role Distribution'!$B$3:$G$7,2,FALSE)+VLOOKUP($A33,'Onsite Role Distribution'!$B$8:$G$12,2,FALSE)</f>
        <v>2</v>
      </c>
      <c r="I33" s="14">
        <f>VLOOKUP($A33,'Onsite Role Distribution'!$B$3:$G$7,2,FALSE)+VLOOKUP($A33,'Onsite Role Distribution'!$B$8:$G$12,2,FALSE)</f>
        <v>2</v>
      </c>
      <c r="J33" s="14">
        <f>VLOOKUP($A33,'Onsite Role Distribution'!$B$3:$G$7,2,FALSE)+VLOOKUP($A33,'Onsite Role Distribution'!$B$8:$G$12,2,FALSE)</f>
        <v>2</v>
      </c>
      <c r="K33" s="14">
        <f>VLOOKUP($A33,'Onsite Role Distribution'!$B$3:$G$7,2,FALSE)+VLOOKUP($A33,'Onsite Role Distribution'!$B$8:$G$12,2,FALSE)</f>
        <v>2</v>
      </c>
      <c r="L33" s="14">
        <f>VLOOKUP($A33,'Onsite Role Distribution'!$B$3:$G$7,2,FALSE)+VLOOKUP($A33,'Onsite Role Distribution'!$B$8:$G$12,2,FALSE)</f>
        <v>2</v>
      </c>
      <c r="M33" s="14">
        <f>VLOOKUP($A33,'Onsite Role Distribution'!$B$3:$G$7,2,FALSE)+VLOOKUP($A33,'Onsite Role Distribution'!$B$8:$G$12,2,FALSE)</f>
        <v>2</v>
      </c>
      <c r="N33" s="14">
        <f>VLOOKUP($A33,'Onsite Role Distribution'!$B$3:$G$7,2,FALSE)+VLOOKUP($A33,'Onsite Role Distribution'!$B$8:$G$12,2,FALSE)</f>
        <v>2</v>
      </c>
      <c r="O33" s="14">
        <f>VLOOKUP($A33,'Onsite Role Distribution'!$B$3:$G$7,2,FALSE)+VLOOKUP($A33,'Onsite Role Distribution'!$B$8:$G$12,2,FALSE)</f>
        <v>2</v>
      </c>
      <c r="P33" s="6">
        <f>VLOOKUP($A33,'Onsite Role Distribution'!$B$3:$G$7,3,FALSE)+VLOOKUP($A33,'Onsite Role Distribution'!$B$8:$G$12,3,FALSE)</f>
        <v>2</v>
      </c>
      <c r="Q33" s="6">
        <f>VLOOKUP($A33,'Onsite Role Distribution'!$B$3:$G$7,3,FALSE)+VLOOKUP($A33,'Onsite Role Distribution'!$B$8:$G$12,3,FALSE)</f>
        <v>2</v>
      </c>
      <c r="R33" s="6">
        <f>VLOOKUP($A33,'Onsite Role Distribution'!$B$3:$G$7,3,FALSE)+VLOOKUP($A33,'Onsite Role Distribution'!$B$8:$G$12,3,FALSE)</f>
        <v>2</v>
      </c>
      <c r="S33" s="6">
        <f>VLOOKUP($A33,'Onsite Role Distribution'!$B$3:$G$7,3,FALSE)+VLOOKUP($A33,'Onsite Role Distribution'!$B$8:$G$12,3,FALSE)</f>
        <v>2</v>
      </c>
      <c r="T33" s="6">
        <f>VLOOKUP($A33,'Onsite Role Distribution'!$B$3:$G$7,3,FALSE)+VLOOKUP($A33,'Onsite Role Distribution'!$B$8:$G$12,3,FALSE)</f>
        <v>2</v>
      </c>
      <c r="U33" s="6">
        <f>VLOOKUP($A33,'Onsite Role Distribution'!$B$3:$G$7,3,FALSE)+VLOOKUP($A33,'Onsite Role Distribution'!$B$8:$G$12,3,FALSE)</f>
        <v>2</v>
      </c>
      <c r="V33" s="6">
        <f>VLOOKUP($A33,'Onsite Role Distribution'!$B$3:$G$7,3,FALSE)+VLOOKUP($A33,'Onsite Role Distribution'!$B$8:$G$12,3,FALSE)</f>
        <v>2</v>
      </c>
      <c r="W33" s="6">
        <f>VLOOKUP($A33,'Onsite Role Distribution'!$B$3:$G$7,3,FALSE)+VLOOKUP($A33,'Onsite Role Distribution'!$B$8:$G$12,3,FALSE)</f>
        <v>2</v>
      </c>
      <c r="X33" s="6">
        <f>VLOOKUP($A33,'Onsite Role Distribution'!$B$3:$G$7,3,FALSE)+VLOOKUP($A33,'Onsite Role Distribution'!$B$8:$G$12,3,FALSE)</f>
        <v>2</v>
      </c>
      <c r="Y33" s="6">
        <f>VLOOKUP($A33,'Onsite Role Distribution'!$B$3:$G$7,3,FALSE)+VLOOKUP($A33,'Onsite Role Distribution'!$B$8:$G$12,3,FALSE)</f>
        <v>2</v>
      </c>
      <c r="Z33" s="6">
        <f>VLOOKUP($A33,'Onsite Role Distribution'!$B$3:$G$7,3,FALSE)+VLOOKUP($A33,'Onsite Role Distribution'!$B$8:$G$12,3,FALSE)</f>
        <v>2</v>
      </c>
      <c r="AA33" s="6">
        <f>VLOOKUP($A33,'Onsite Role Distribution'!$B$3:$G$7,3,FALSE)+VLOOKUP($A33,'Onsite Role Distribution'!$B$8:$G$12,3,FALSE)</f>
        <v>2</v>
      </c>
      <c r="AB33" s="15">
        <f>VLOOKUP($A33,'Onsite Role Distribution'!$B$3:$G$7,4,FALSE)+VLOOKUP($A33,'Onsite Role Distribution'!$B$8:$G$12,4,FALSE)</f>
        <v>2</v>
      </c>
      <c r="AC33" s="15">
        <f>VLOOKUP($A33,'Onsite Role Distribution'!$B$3:$G$7,4,FALSE)+VLOOKUP($A33,'Onsite Role Distribution'!$B$8:$G$12,4,FALSE)</f>
        <v>2</v>
      </c>
      <c r="AD33" s="15">
        <f>VLOOKUP($A33,'Onsite Role Distribution'!$B$3:$G$7,4,FALSE)+VLOOKUP($A33,'Onsite Role Distribution'!$B$8:$G$12,4,FALSE)</f>
        <v>2</v>
      </c>
      <c r="AE33" s="15">
        <f>VLOOKUP($A33,'Onsite Role Distribution'!$B$3:$G$7,4,FALSE)+VLOOKUP($A33,'Onsite Role Distribution'!$B$8:$G$12,4,FALSE)</f>
        <v>2</v>
      </c>
      <c r="AF33" s="15">
        <f>VLOOKUP($A33,'Onsite Role Distribution'!$B$3:$G$7,4,FALSE)+VLOOKUP($A33,'Onsite Role Distribution'!$B$8:$G$12,4,FALSE)</f>
        <v>2</v>
      </c>
      <c r="AG33" s="15">
        <f>VLOOKUP($A33,'Onsite Role Distribution'!$B$3:$G$7,4,FALSE)+VLOOKUP($A33,'Onsite Role Distribution'!$B$8:$G$12,4,FALSE)</f>
        <v>2</v>
      </c>
      <c r="AH33" s="15">
        <f>VLOOKUP($A33,'Onsite Role Distribution'!$B$3:$G$7,4,FALSE)+VLOOKUP($A33,'Onsite Role Distribution'!$B$8:$G$12,4,FALSE)</f>
        <v>2</v>
      </c>
      <c r="AI33" s="15">
        <f>VLOOKUP($A33,'Onsite Role Distribution'!$B$3:$G$7,4,FALSE)+VLOOKUP($A33,'Onsite Role Distribution'!$B$8:$G$12,4,FALSE)</f>
        <v>2</v>
      </c>
      <c r="AJ33" s="15">
        <f>VLOOKUP($A33,'Onsite Role Distribution'!$B$3:$G$7,4,FALSE)+VLOOKUP($A33,'Onsite Role Distribution'!$B$8:$G$12,4,FALSE)</f>
        <v>2</v>
      </c>
      <c r="AK33" s="15">
        <f>VLOOKUP($A33,'Onsite Role Distribution'!$B$3:$G$7,4,FALSE)+VLOOKUP($A33,'Onsite Role Distribution'!$B$8:$G$12,4,FALSE)</f>
        <v>2</v>
      </c>
      <c r="AL33" s="15">
        <f>VLOOKUP($A33,'Onsite Role Distribution'!$B$3:$G$7,4,FALSE)+VLOOKUP($A33,'Onsite Role Distribution'!$B$8:$G$12,4,FALSE)</f>
        <v>2</v>
      </c>
      <c r="AM33" s="15">
        <f>VLOOKUP($A33,'Onsite Role Distribution'!$B$3:$G$7,4,FALSE)+VLOOKUP($A33,'Onsite Role Distribution'!$B$8:$G$12,4,FALSE)</f>
        <v>2</v>
      </c>
      <c r="AN33" s="16">
        <f>VLOOKUP($A33,'Onsite Role Distribution'!$B$3:$G$7,5,FALSE)+VLOOKUP($A33,'Onsite Role Distribution'!$B$8:$G$12,5,FALSE)</f>
        <v>3</v>
      </c>
      <c r="AO33" s="16">
        <f>VLOOKUP($A33,'Onsite Role Distribution'!$B$3:$G$7,5,FALSE)+VLOOKUP($A33,'Onsite Role Distribution'!$B$8:$G$12,5,FALSE)</f>
        <v>3</v>
      </c>
      <c r="AP33" s="16">
        <f>VLOOKUP($A33,'Onsite Role Distribution'!$B$3:$G$7,5,FALSE)+VLOOKUP($A33,'Onsite Role Distribution'!$B$8:$G$12,5,FALSE)</f>
        <v>3</v>
      </c>
      <c r="AQ33" s="16">
        <f>VLOOKUP($A33,'Onsite Role Distribution'!$B$3:$G$7,5,FALSE)+VLOOKUP($A33,'Onsite Role Distribution'!$B$8:$G$12,5,FALSE)</f>
        <v>3</v>
      </c>
      <c r="AR33" s="16">
        <f>VLOOKUP($A33,'Onsite Role Distribution'!$B$3:$G$7,5,FALSE)+VLOOKUP($A33,'Onsite Role Distribution'!$B$8:$G$12,5,FALSE)</f>
        <v>3</v>
      </c>
      <c r="AS33" s="16">
        <f>VLOOKUP($A33,'Onsite Role Distribution'!$B$3:$G$7,5,FALSE)+VLOOKUP($A33,'Onsite Role Distribution'!$B$8:$G$12,5,FALSE)</f>
        <v>3</v>
      </c>
      <c r="AT33" s="16">
        <f>VLOOKUP($A33,'Onsite Role Distribution'!$B$3:$G$7,5,FALSE)+VLOOKUP($A33,'Onsite Role Distribution'!$B$8:$G$12,5,FALSE)</f>
        <v>3</v>
      </c>
      <c r="AU33" s="16">
        <f>VLOOKUP($A33,'Onsite Role Distribution'!$B$3:$G$7,5,FALSE)+VLOOKUP($A33,'Onsite Role Distribution'!$B$8:$G$12,5,FALSE)</f>
        <v>3</v>
      </c>
      <c r="AV33" s="16">
        <f>VLOOKUP($A33,'Onsite Role Distribution'!$B$3:$G$7,5,FALSE)+VLOOKUP($A33,'Onsite Role Distribution'!$B$8:$G$12,5,FALSE)</f>
        <v>3</v>
      </c>
      <c r="AW33" s="16">
        <f>VLOOKUP($A33,'Onsite Role Distribution'!$B$3:$G$7,5,FALSE)+VLOOKUP($A33,'Onsite Role Distribution'!$B$8:$G$12,5,FALSE)</f>
        <v>3</v>
      </c>
      <c r="AX33" s="16">
        <f>VLOOKUP($A33,'Onsite Role Distribution'!$B$3:$G$7,5,FALSE)+VLOOKUP($A33,'Onsite Role Distribution'!$B$8:$G$12,5,FALSE)</f>
        <v>3</v>
      </c>
      <c r="AY33" s="16">
        <f>VLOOKUP($A33,'Onsite Role Distribution'!$B$3:$G$7,5,FALSE)+VLOOKUP($A33,'Onsite Role Distribution'!$B$8:$G$12,5,FALSE)</f>
        <v>3</v>
      </c>
      <c r="AZ33" s="17">
        <f>VLOOKUP($A33,'Onsite Role Distribution'!$B$3:$G$7,6,FALSE)+VLOOKUP($A33,'Onsite Role Distribution'!$B$8:$G$12,6,FALSE)</f>
        <v>2</v>
      </c>
      <c r="BA33" s="17">
        <f>VLOOKUP($A33,'Onsite Role Distribution'!$B$3:$G$7,6,FALSE)+VLOOKUP($A33,'Onsite Role Distribution'!$B$8:$G$12,6,FALSE)</f>
        <v>2</v>
      </c>
      <c r="BB33" s="17">
        <f>VLOOKUP($A33,'Onsite Role Distribution'!$B$3:$G$7,6,FALSE)+VLOOKUP($A33,'Onsite Role Distribution'!$B$8:$G$12,6,FALSE)</f>
        <v>2</v>
      </c>
      <c r="BC33" s="17">
        <f>VLOOKUP($A33,'Onsite Role Distribution'!$B$3:$G$7,6,FALSE)+VLOOKUP($A33,'Onsite Role Distribution'!$B$8:$G$12,6,FALSE)</f>
        <v>2</v>
      </c>
      <c r="BD33" s="17">
        <f>VLOOKUP($A33,'Onsite Role Distribution'!$B$3:$G$7,6,FALSE)+VLOOKUP($A33,'Onsite Role Distribution'!$B$8:$G$12,6,FALSE)</f>
        <v>2</v>
      </c>
      <c r="BE33" s="17">
        <f>VLOOKUP($A33,'Onsite Role Distribution'!$B$3:$G$7,6,FALSE)+VLOOKUP($A33,'Onsite Role Distribution'!$B$8:$G$12,6,FALSE)</f>
        <v>2</v>
      </c>
      <c r="BF33" s="17">
        <f>VLOOKUP($A33,'Onsite Role Distribution'!$B$3:$G$7,6,FALSE)+VLOOKUP($A33,'Onsite Role Distribution'!$B$8:$G$12,6,FALSE)</f>
        <v>2</v>
      </c>
      <c r="BG33" s="17">
        <f>VLOOKUP($A33,'Onsite Role Distribution'!$B$3:$G$7,6,FALSE)+VLOOKUP($A33,'Onsite Role Distribution'!$B$8:$G$12,6,FALSE)</f>
        <v>2</v>
      </c>
      <c r="BH33" s="17">
        <f>VLOOKUP($A33,'Onsite Role Distribution'!$B$3:$G$7,6,FALSE)+VLOOKUP($A33,'Onsite Role Distribution'!$B$8:$G$12,6,FALSE)</f>
        <v>2</v>
      </c>
      <c r="BI33" s="17">
        <f>VLOOKUP($A33,'Onsite Role Distribution'!$B$3:$G$7,6,FALSE)+VLOOKUP($A33,'Onsite Role Distribution'!$B$8:$G$12,6,FALSE)</f>
        <v>2</v>
      </c>
      <c r="BJ33" s="17">
        <f>VLOOKUP($A33,'Onsite Role Distribution'!$B$3:$G$7,6,FALSE)+VLOOKUP($A33,'Onsite Role Distribution'!$B$8:$G$12,6,FALSE)</f>
        <v>2</v>
      </c>
      <c r="BK33" s="17">
        <f>VLOOKUP($A33,'Onsite Role Distribution'!$B$3:$G$7,6,FALSE)+VLOOKUP($A33,'Onsite Role Distribution'!$B$8:$G$12,6,FALSE)</f>
        <v>2</v>
      </c>
    </row>
    <row r="34" spans="1:63" x14ac:dyDescent="0.35">
      <c r="A34" t="s">
        <v>15</v>
      </c>
      <c r="B34" t="s">
        <v>9</v>
      </c>
      <c r="C34" t="str">
        <f t="shared" si="0"/>
        <v>TesterOnsite</v>
      </c>
      <c r="D34" s="14">
        <f>VLOOKUP($A34,'Onsite Role Distribution'!$B$3:$G$7,2,FALSE)+VLOOKUP($A34,'Onsite Role Distribution'!$B$8:$G$12,2,FALSE)</f>
        <v>1</v>
      </c>
      <c r="E34" s="14">
        <f>VLOOKUP($A34,'Onsite Role Distribution'!$B$3:$G$7,2,FALSE)+VLOOKUP($A34,'Onsite Role Distribution'!$B$8:$G$12,2,FALSE)</f>
        <v>1</v>
      </c>
      <c r="F34" s="14">
        <f>VLOOKUP($A34,'Onsite Role Distribution'!$B$3:$G$7,2,FALSE)+VLOOKUP($A34,'Onsite Role Distribution'!$B$8:$G$12,2,FALSE)</f>
        <v>1</v>
      </c>
      <c r="G34" s="14">
        <f>VLOOKUP($A34,'Onsite Role Distribution'!$B$3:$G$7,2,FALSE)+VLOOKUP($A34,'Onsite Role Distribution'!$B$8:$G$12,2,FALSE)</f>
        <v>1</v>
      </c>
      <c r="H34" s="14">
        <f>VLOOKUP($A34,'Onsite Role Distribution'!$B$3:$G$7,2,FALSE)+VLOOKUP($A34,'Onsite Role Distribution'!$B$8:$G$12,2,FALSE)</f>
        <v>1</v>
      </c>
      <c r="I34" s="14">
        <f>VLOOKUP($A34,'Onsite Role Distribution'!$B$3:$G$7,2,FALSE)+VLOOKUP($A34,'Onsite Role Distribution'!$B$8:$G$12,2,FALSE)</f>
        <v>1</v>
      </c>
      <c r="J34" s="14">
        <f>VLOOKUP($A34,'Onsite Role Distribution'!$B$3:$G$7,2,FALSE)+VLOOKUP($A34,'Onsite Role Distribution'!$B$8:$G$12,2,FALSE)</f>
        <v>1</v>
      </c>
      <c r="K34" s="14">
        <f>VLOOKUP($A34,'Onsite Role Distribution'!$B$3:$G$7,2,FALSE)+VLOOKUP($A34,'Onsite Role Distribution'!$B$8:$G$12,2,FALSE)</f>
        <v>1</v>
      </c>
      <c r="L34" s="14">
        <f>VLOOKUP($A34,'Onsite Role Distribution'!$B$3:$G$7,2,FALSE)+VLOOKUP($A34,'Onsite Role Distribution'!$B$8:$G$12,2,FALSE)</f>
        <v>1</v>
      </c>
      <c r="M34" s="14">
        <f>VLOOKUP($A34,'Onsite Role Distribution'!$B$3:$G$7,2,FALSE)+VLOOKUP($A34,'Onsite Role Distribution'!$B$8:$G$12,2,FALSE)</f>
        <v>1</v>
      </c>
      <c r="N34" s="14">
        <f>VLOOKUP($A34,'Onsite Role Distribution'!$B$3:$G$7,2,FALSE)+VLOOKUP($A34,'Onsite Role Distribution'!$B$8:$G$12,2,FALSE)</f>
        <v>1</v>
      </c>
      <c r="O34" s="14">
        <f>VLOOKUP($A34,'Onsite Role Distribution'!$B$3:$G$7,2,FALSE)+VLOOKUP($A34,'Onsite Role Distribution'!$B$8:$G$12,2,FALSE)</f>
        <v>1</v>
      </c>
      <c r="P34" s="6">
        <f>VLOOKUP($A34,'Onsite Role Distribution'!$B$3:$G$7,3,FALSE)+VLOOKUP($A34,'Onsite Role Distribution'!$B$8:$G$12,3,FALSE)</f>
        <v>1</v>
      </c>
      <c r="Q34" s="6">
        <f>VLOOKUP($A34,'Onsite Role Distribution'!$B$3:$G$7,3,FALSE)+VLOOKUP($A34,'Onsite Role Distribution'!$B$8:$G$12,3,FALSE)</f>
        <v>1</v>
      </c>
      <c r="R34" s="6">
        <f>VLOOKUP($A34,'Onsite Role Distribution'!$B$3:$G$7,3,FALSE)+VLOOKUP($A34,'Onsite Role Distribution'!$B$8:$G$12,3,FALSE)</f>
        <v>1</v>
      </c>
      <c r="S34" s="6">
        <f>VLOOKUP($A34,'Onsite Role Distribution'!$B$3:$G$7,3,FALSE)+VLOOKUP($A34,'Onsite Role Distribution'!$B$8:$G$12,3,FALSE)</f>
        <v>1</v>
      </c>
      <c r="T34" s="6">
        <f>VLOOKUP($A34,'Onsite Role Distribution'!$B$3:$G$7,3,FALSE)+VLOOKUP($A34,'Onsite Role Distribution'!$B$8:$G$12,3,FALSE)</f>
        <v>1</v>
      </c>
      <c r="U34" s="6">
        <f>VLOOKUP($A34,'Onsite Role Distribution'!$B$3:$G$7,3,FALSE)+VLOOKUP($A34,'Onsite Role Distribution'!$B$8:$G$12,3,FALSE)</f>
        <v>1</v>
      </c>
      <c r="V34" s="6">
        <f>VLOOKUP($A34,'Onsite Role Distribution'!$B$3:$G$7,3,FALSE)+VLOOKUP($A34,'Onsite Role Distribution'!$B$8:$G$12,3,FALSE)</f>
        <v>1</v>
      </c>
      <c r="W34" s="6">
        <f>VLOOKUP($A34,'Onsite Role Distribution'!$B$3:$G$7,3,FALSE)+VLOOKUP($A34,'Onsite Role Distribution'!$B$8:$G$12,3,FALSE)</f>
        <v>1</v>
      </c>
      <c r="X34" s="6">
        <f>VLOOKUP($A34,'Onsite Role Distribution'!$B$3:$G$7,3,FALSE)+VLOOKUP($A34,'Onsite Role Distribution'!$B$8:$G$12,3,FALSE)</f>
        <v>1</v>
      </c>
      <c r="Y34" s="6">
        <f>VLOOKUP($A34,'Onsite Role Distribution'!$B$3:$G$7,3,FALSE)+VLOOKUP($A34,'Onsite Role Distribution'!$B$8:$G$12,3,FALSE)</f>
        <v>1</v>
      </c>
      <c r="Z34" s="6">
        <f>VLOOKUP($A34,'Onsite Role Distribution'!$B$3:$G$7,3,FALSE)+VLOOKUP($A34,'Onsite Role Distribution'!$B$8:$G$12,3,FALSE)</f>
        <v>1</v>
      </c>
      <c r="AA34" s="6">
        <f>VLOOKUP($A34,'Onsite Role Distribution'!$B$3:$G$7,3,FALSE)+VLOOKUP($A34,'Onsite Role Distribution'!$B$8:$G$12,3,FALSE)</f>
        <v>1</v>
      </c>
      <c r="AB34" s="15">
        <f>VLOOKUP($A34,'Onsite Role Distribution'!$B$3:$G$7,4,FALSE)+VLOOKUP($A34,'Onsite Role Distribution'!$B$8:$G$12,4,FALSE)</f>
        <v>0</v>
      </c>
      <c r="AC34" s="15">
        <f>VLOOKUP($A34,'Onsite Role Distribution'!$B$3:$G$7,4,FALSE)+VLOOKUP($A34,'Onsite Role Distribution'!$B$8:$G$12,4,FALSE)</f>
        <v>0</v>
      </c>
      <c r="AD34" s="15">
        <f>VLOOKUP($A34,'Onsite Role Distribution'!$B$3:$G$7,4,FALSE)+VLOOKUP($A34,'Onsite Role Distribution'!$B$8:$G$12,4,FALSE)</f>
        <v>0</v>
      </c>
      <c r="AE34" s="15">
        <f>VLOOKUP($A34,'Onsite Role Distribution'!$B$3:$G$7,4,FALSE)+VLOOKUP($A34,'Onsite Role Distribution'!$B$8:$G$12,4,FALSE)</f>
        <v>0</v>
      </c>
      <c r="AF34" s="15">
        <f>VLOOKUP($A34,'Onsite Role Distribution'!$B$3:$G$7,4,FALSE)+VLOOKUP($A34,'Onsite Role Distribution'!$B$8:$G$12,4,FALSE)</f>
        <v>0</v>
      </c>
      <c r="AG34" s="15">
        <f>VLOOKUP($A34,'Onsite Role Distribution'!$B$3:$G$7,4,FALSE)+VLOOKUP($A34,'Onsite Role Distribution'!$B$8:$G$12,4,FALSE)</f>
        <v>0</v>
      </c>
      <c r="AH34" s="15">
        <f>VLOOKUP($A34,'Onsite Role Distribution'!$B$3:$G$7,4,FALSE)+VLOOKUP($A34,'Onsite Role Distribution'!$B$8:$G$12,4,FALSE)</f>
        <v>0</v>
      </c>
      <c r="AI34" s="15">
        <f>VLOOKUP($A34,'Onsite Role Distribution'!$B$3:$G$7,4,FALSE)+VLOOKUP($A34,'Onsite Role Distribution'!$B$8:$G$12,4,FALSE)</f>
        <v>0</v>
      </c>
      <c r="AJ34" s="15">
        <f>VLOOKUP($A34,'Onsite Role Distribution'!$B$3:$G$7,4,FALSE)+VLOOKUP($A34,'Onsite Role Distribution'!$B$8:$G$12,4,FALSE)</f>
        <v>0</v>
      </c>
      <c r="AK34" s="15">
        <f>VLOOKUP($A34,'Onsite Role Distribution'!$B$3:$G$7,4,FALSE)+VLOOKUP($A34,'Onsite Role Distribution'!$B$8:$G$12,4,FALSE)</f>
        <v>0</v>
      </c>
      <c r="AL34" s="15">
        <f>VLOOKUP($A34,'Onsite Role Distribution'!$B$3:$G$7,4,FALSE)+VLOOKUP($A34,'Onsite Role Distribution'!$B$8:$G$12,4,FALSE)</f>
        <v>0</v>
      </c>
      <c r="AM34" s="15">
        <f>VLOOKUP($A34,'Onsite Role Distribution'!$B$3:$G$7,4,FALSE)+VLOOKUP($A34,'Onsite Role Distribution'!$B$8:$G$12,4,FALSE)</f>
        <v>0</v>
      </c>
      <c r="AN34" s="16">
        <f>VLOOKUP($A34,'Onsite Role Distribution'!$B$3:$G$7,5,FALSE)+VLOOKUP($A34,'Onsite Role Distribution'!$B$8:$G$12,5,FALSE)</f>
        <v>0</v>
      </c>
      <c r="AO34" s="16">
        <f>VLOOKUP($A34,'Onsite Role Distribution'!$B$3:$G$7,5,FALSE)+VLOOKUP($A34,'Onsite Role Distribution'!$B$8:$G$12,5,FALSE)</f>
        <v>0</v>
      </c>
      <c r="AP34" s="16">
        <f>VLOOKUP($A34,'Onsite Role Distribution'!$B$3:$G$7,5,FALSE)+VLOOKUP($A34,'Onsite Role Distribution'!$B$8:$G$12,5,FALSE)</f>
        <v>0</v>
      </c>
      <c r="AQ34" s="16">
        <f>VLOOKUP($A34,'Onsite Role Distribution'!$B$3:$G$7,5,FALSE)+VLOOKUP($A34,'Onsite Role Distribution'!$B$8:$G$12,5,FALSE)</f>
        <v>0</v>
      </c>
      <c r="AR34" s="16">
        <f>VLOOKUP($A34,'Onsite Role Distribution'!$B$3:$G$7,5,FALSE)+VLOOKUP($A34,'Onsite Role Distribution'!$B$8:$G$12,5,FALSE)</f>
        <v>0</v>
      </c>
      <c r="AS34" s="16">
        <f>VLOOKUP($A34,'Onsite Role Distribution'!$B$3:$G$7,5,FALSE)+VLOOKUP($A34,'Onsite Role Distribution'!$B$8:$G$12,5,FALSE)</f>
        <v>0</v>
      </c>
      <c r="AT34" s="16">
        <f>VLOOKUP($A34,'Onsite Role Distribution'!$B$3:$G$7,5,FALSE)+VLOOKUP($A34,'Onsite Role Distribution'!$B$8:$G$12,5,FALSE)</f>
        <v>0</v>
      </c>
      <c r="AU34" s="16">
        <f>VLOOKUP($A34,'Onsite Role Distribution'!$B$3:$G$7,5,FALSE)+VLOOKUP($A34,'Onsite Role Distribution'!$B$8:$G$12,5,FALSE)</f>
        <v>0</v>
      </c>
      <c r="AV34" s="16">
        <f>VLOOKUP($A34,'Onsite Role Distribution'!$B$3:$G$7,5,FALSE)+VLOOKUP($A34,'Onsite Role Distribution'!$B$8:$G$12,5,FALSE)</f>
        <v>0</v>
      </c>
      <c r="AW34" s="16">
        <f>VLOOKUP($A34,'Onsite Role Distribution'!$B$3:$G$7,5,FALSE)+VLOOKUP($A34,'Onsite Role Distribution'!$B$8:$G$12,5,FALSE)</f>
        <v>0</v>
      </c>
      <c r="AX34" s="16">
        <f>VLOOKUP($A34,'Onsite Role Distribution'!$B$3:$G$7,5,FALSE)+VLOOKUP($A34,'Onsite Role Distribution'!$B$8:$G$12,5,FALSE)</f>
        <v>0</v>
      </c>
      <c r="AY34" s="16">
        <f>VLOOKUP($A34,'Onsite Role Distribution'!$B$3:$G$7,5,FALSE)+VLOOKUP($A34,'Onsite Role Distribution'!$B$8:$G$12,5,FALSE)</f>
        <v>0</v>
      </c>
      <c r="AZ34" s="17">
        <f>VLOOKUP($A34,'Onsite Role Distribution'!$B$3:$G$7,6,FALSE)+VLOOKUP($A34,'Onsite Role Distribution'!$B$8:$G$12,6,FALSE)</f>
        <v>0</v>
      </c>
      <c r="BA34" s="17">
        <f>VLOOKUP($A34,'Onsite Role Distribution'!$B$3:$G$7,6,FALSE)+VLOOKUP($A34,'Onsite Role Distribution'!$B$8:$G$12,6,FALSE)</f>
        <v>0</v>
      </c>
      <c r="BB34" s="17">
        <f>VLOOKUP($A34,'Onsite Role Distribution'!$B$3:$G$7,6,FALSE)+VLOOKUP($A34,'Onsite Role Distribution'!$B$8:$G$12,6,FALSE)</f>
        <v>0</v>
      </c>
      <c r="BC34" s="17">
        <f>VLOOKUP($A34,'Onsite Role Distribution'!$B$3:$G$7,6,FALSE)+VLOOKUP($A34,'Onsite Role Distribution'!$B$8:$G$12,6,FALSE)</f>
        <v>0</v>
      </c>
      <c r="BD34" s="17">
        <f>VLOOKUP($A34,'Onsite Role Distribution'!$B$3:$G$7,6,FALSE)+VLOOKUP($A34,'Onsite Role Distribution'!$B$8:$G$12,6,FALSE)</f>
        <v>0</v>
      </c>
      <c r="BE34" s="17">
        <f>VLOOKUP($A34,'Onsite Role Distribution'!$B$3:$G$7,6,FALSE)+VLOOKUP($A34,'Onsite Role Distribution'!$B$8:$G$12,6,FALSE)</f>
        <v>0</v>
      </c>
      <c r="BF34" s="17">
        <f>VLOOKUP($A34,'Onsite Role Distribution'!$B$3:$G$7,6,FALSE)+VLOOKUP($A34,'Onsite Role Distribution'!$B$8:$G$12,6,FALSE)</f>
        <v>0</v>
      </c>
      <c r="BG34" s="17">
        <f>VLOOKUP($A34,'Onsite Role Distribution'!$B$3:$G$7,6,FALSE)+VLOOKUP($A34,'Onsite Role Distribution'!$B$8:$G$12,6,FALSE)</f>
        <v>0</v>
      </c>
      <c r="BH34" s="17">
        <f>VLOOKUP($A34,'Onsite Role Distribution'!$B$3:$G$7,6,FALSE)+VLOOKUP($A34,'Onsite Role Distribution'!$B$8:$G$12,6,FALSE)</f>
        <v>0</v>
      </c>
      <c r="BI34" s="17">
        <f>VLOOKUP($A34,'Onsite Role Distribution'!$B$3:$G$7,6,FALSE)+VLOOKUP($A34,'Onsite Role Distribution'!$B$8:$G$12,6,FALSE)</f>
        <v>0</v>
      </c>
      <c r="BJ34" s="17">
        <f>VLOOKUP($A34,'Onsite Role Distribution'!$B$3:$G$7,6,FALSE)+VLOOKUP($A34,'Onsite Role Distribution'!$B$8:$G$12,6,FALSE)</f>
        <v>0</v>
      </c>
      <c r="BK34" s="17">
        <f>VLOOKUP($A34,'Onsite Role Distribution'!$B$3:$G$7,6,FALSE)+VLOOKUP($A34,'Onsite Role Distribution'!$B$8:$G$12,6,FALSE)</f>
        <v>0</v>
      </c>
    </row>
    <row r="35" spans="1:63" x14ac:dyDescent="0.35">
      <c r="A35" t="s">
        <v>17</v>
      </c>
      <c r="B35" t="s">
        <v>9</v>
      </c>
      <c r="C35" t="str">
        <f t="shared" si="0"/>
        <v>PMOnsite</v>
      </c>
      <c r="D35" s="14">
        <f>VLOOKUP($A35,'Onsite Role Distribution'!$B$3:$G$7,2,FALSE)+VLOOKUP($A35,'Onsite Role Distribution'!$B$8:$G$12,2,FALSE)</f>
        <v>0</v>
      </c>
      <c r="E35" s="14">
        <f>VLOOKUP($A35,'Onsite Role Distribution'!$B$3:$G$7,2,FALSE)+VLOOKUP($A35,'Onsite Role Distribution'!$B$8:$G$12,2,FALSE)</f>
        <v>0</v>
      </c>
      <c r="F35" s="14">
        <f>VLOOKUP($A35,'Onsite Role Distribution'!$B$3:$G$7,2,FALSE)+VLOOKUP($A35,'Onsite Role Distribution'!$B$8:$G$12,2,FALSE)</f>
        <v>0</v>
      </c>
      <c r="G35" s="14">
        <f>VLOOKUP($A35,'Onsite Role Distribution'!$B$3:$G$7,2,FALSE)+VLOOKUP($A35,'Onsite Role Distribution'!$B$8:$G$12,2,FALSE)</f>
        <v>0</v>
      </c>
      <c r="H35" s="14">
        <f>VLOOKUP($A35,'Onsite Role Distribution'!$B$3:$G$7,2,FALSE)+VLOOKUP($A35,'Onsite Role Distribution'!$B$8:$G$12,2,FALSE)</f>
        <v>0</v>
      </c>
      <c r="I35" s="14">
        <f>VLOOKUP($A35,'Onsite Role Distribution'!$B$3:$G$7,2,FALSE)+VLOOKUP($A35,'Onsite Role Distribution'!$B$8:$G$12,2,FALSE)</f>
        <v>0</v>
      </c>
      <c r="J35" s="14">
        <f>VLOOKUP($A35,'Onsite Role Distribution'!$B$3:$G$7,2,FALSE)+VLOOKUP($A35,'Onsite Role Distribution'!$B$8:$G$12,2,FALSE)</f>
        <v>0</v>
      </c>
      <c r="K35" s="14">
        <f>VLOOKUP($A35,'Onsite Role Distribution'!$B$3:$G$7,2,FALSE)+VLOOKUP($A35,'Onsite Role Distribution'!$B$8:$G$12,2,FALSE)</f>
        <v>0</v>
      </c>
      <c r="L35" s="14">
        <f>VLOOKUP($A35,'Onsite Role Distribution'!$B$3:$G$7,2,FALSE)+VLOOKUP($A35,'Onsite Role Distribution'!$B$8:$G$12,2,FALSE)</f>
        <v>0</v>
      </c>
      <c r="M35" s="14">
        <f>VLOOKUP($A35,'Onsite Role Distribution'!$B$3:$G$7,2,FALSE)+VLOOKUP($A35,'Onsite Role Distribution'!$B$8:$G$12,2,FALSE)</f>
        <v>0</v>
      </c>
      <c r="N35" s="14">
        <f>VLOOKUP($A35,'Onsite Role Distribution'!$B$3:$G$7,2,FALSE)+VLOOKUP($A35,'Onsite Role Distribution'!$B$8:$G$12,2,FALSE)</f>
        <v>0</v>
      </c>
      <c r="O35" s="14">
        <f>VLOOKUP($A35,'Onsite Role Distribution'!$B$3:$G$7,2,FALSE)+VLOOKUP($A35,'Onsite Role Distribution'!$B$8:$G$12,2,FALSE)</f>
        <v>0</v>
      </c>
      <c r="P35" s="6">
        <f>VLOOKUP($A35,'Onsite Role Distribution'!$B$3:$G$7,3,FALSE)+VLOOKUP($A35,'Onsite Role Distribution'!$B$8:$G$12,3,FALSE)</f>
        <v>0</v>
      </c>
      <c r="Q35" s="6">
        <f>VLOOKUP($A35,'Onsite Role Distribution'!$B$3:$G$7,3,FALSE)+VLOOKUP($A35,'Onsite Role Distribution'!$B$8:$G$12,3,FALSE)</f>
        <v>0</v>
      </c>
      <c r="R35" s="6">
        <f>VLOOKUP($A35,'Onsite Role Distribution'!$B$3:$G$7,3,FALSE)+VLOOKUP($A35,'Onsite Role Distribution'!$B$8:$G$12,3,FALSE)</f>
        <v>0</v>
      </c>
      <c r="S35" s="6">
        <f>VLOOKUP($A35,'Onsite Role Distribution'!$B$3:$G$7,3,FALSE)+VLOOKUP($A35,'Onsite Role Distribution'!$B$8:$G$12,3,FALSE)</f>
        <v>0</v>
      </c>
      <c r="T35" s="6">
        <f>VLOOKUP($A35,'Onsite Role Distribution'!$B$3:$G$7,3,FALSE)+VLOOKUP($A35,'Onsite Role Distribution'!$B$8:$G$12,3,FALSE)</f>
        <v>0</v>
      </c>
      <c r="U35" s="6">
        <f>VLOOKUP($A35,'Onsite Role Distribution'!$B$3:$G$7,3,FALSE)+VLOOKUP($A35,'Onsite Role Distribution'!$B$8:$G$12,3,FALSE)</f>
        <v>0</v>
      </c>
      <c r="V35" s="6">
        <f>VLOOKUP($A35,'Onsite Role Distribution'!$B$3:$G$7,3,FALSE)+VLOOKUP($A35,'Onsite Role Distribution'!$B$8:$G$12,3,FALSE)</f>
        <v>0</v>
      </c>
      <c r="W35" s="6">
        <f>VLOOKUP($A35,'Onsite Role Distribution'!$B$3:$G$7,3,FALSE)+VLOOKUP($A35,'Onsite Role Distribution'!$B$8:$G$12,3,FALSE)</f>
        <v>0</v>
      </c>
      <c r="X35" s="6">
        <f>VLOOKUP($A35,'Onsite Role Distribution'!$B$3:$G$7,3,FALSE)+VLOOKUP($A35,'Onsite Role Distribution'!$B$8:$G$12,3,FALSE)</f>
        <v>0</v>
      </c>
      <c r="Y35" s="6">
        <f>VLOOKUP($A35,'Onsite Role Distribution'!$B$3:$G$7,3,FALSE)+VLOOKUP($A35,'Onsite Role Distribution'!$B$8:$G$12,3,FALSE)</f>
        <v>0</v>
      </c>
      <c r="Z35" s="6">
        <f>VLOOKUP($A35,'Onsite Role Distribution'!$B$3:$G$7,3,FALSE)+VLOOKUP($A35,'Onsite Role Distribution'!$B$8:$G$12,3,FALSE)</f>
        <v>0</v>
      </c>
      <c r="AA35" s="6">
        <f>VLOOKUP($A35,'Onsite Role Distribution'!$B$3:$G$7,3,FALSE)+VLOOKUP($A35,'Onsite Role Distribution'!$B$8:$G$12,3,FALSE)</f>
        <v>0</v>
      </c>
      <c r="AB35" s="15">
        <f>VLOOKUP($A35,'Onsite Role Distribution'!$B$3:$G$7,4,FALSE)+VLOOKUP($A35,'Onsite Role Distribution'!$B$8:$G$12,4,FALSE)</f>
        <v>0</v>
      </c>
      <c r="AC35" s="15">
        <f>VLOOKUP($A35,'Onsite Role Distribution'!$B$3:$G$7,4,FALSE)+VLOOKUP($A35,'Onsite Role Distribution'!$B$8:$G$12,4,FALSE)</f>
        <v>0</v>
      </c>
      <c r="AD35" s="15">
        <f>VLOOKUP($A35,'Onsite Role Distribution'!$B$3:$G$7,4,FALSE)+VLOOKUP($A35,'Onsite Role Distribution'!$B$8:$G$12,4,FALSE)</f>
        <v>0</v>
      </c>
      <c r="AE35" s="15">
        <f>VLOOKUP($A35,'Onsite Role Distribution'!$B$3:$G$7,4,FALSE)+VLOOKUP($A35,'Onsite Role Distribution'!$B$8:$G$12,4,FALSE)</f>
        <v>0</v>
      </c>
      <c r="AF35" s="15">
        <f>VLOOKUP($A35,'Onsite Role Distribution'!$B$3:$G$7,4,FALSE)+VLOOKUP($A35,'Onsite Role Distribution'!$B$8:$G$12,4,FALSE)</f>
        <v>0</v>
      </c>
      <c r="AG35" s="15">
        <f>VLOOKUP($A35,'Onsite Role Distribution'!$B$3:$G$7,4,FALSE)+VLOOKUP($A35,'Onsite Role Distribution'!$B$8:$G$12,4,FALSE)</f>
        <v>0</v>
      </c>
      <c r="AH35" s="15">
        <f>VLOOKUP($A35,'Onsite Role Distribution'!$B$3:$G$7,4,FALSE)+VLOOKUP($A35,'Onsite Role Distribution'!$B$8:$G$12,4,FALSE)</f>
        <v>0</v>
      </c>
      <c r="AI35" s="15">
        <f>VLOOKUP($A35,'Onsite Role Distribution'!$B$3:$G$7,4,FALSE)+VLOOKUP($A35,'Onsite Role Distribution'!$B$8:$G$12,4,FALSE)</f>
        <v>0</v>
      </c>
      <c r="AJ35" s="15">
        <f>VLOOKUP($A35,'Onsite Role Distribution'!$B$3:$G$7,4,FALSE)+VLOOKUP($A35,'Onsite Role Distribution'!$B$8:$G$12,4,FALSE)</f>
        <v>0</v>
      </c>
      <c r="AK35" s="15">
        <f>VLOOKUP($A35,'Onsite Role Distribution'!$B$3:$G$7,4,FALSE)+VLOOKUP($A35,'Onsite Role Distribution'!$B$8:$G$12,4,FALSE)</f>
        <v>0</v>
      </c>
      <c r="AL35" s="15">
        <f>VLOOKUP($A35,'Onsite Role Distribution'!$B$3:$G$7,4,FALSE)+VLOOKUP($A35,'Onsite Role Distribution'!$B$8:$G$12,4,FALSE)</f>
        <v>0</v>
      </c>
      <c r="AM35" s="15">
        <f>VLOOKUP($A35,'Onsite Role Distribution'!$B$3:$G$7,4,FALSE)+VLOOKUP($A35,'Onsite Role Distribution'!$B$8:$G$12,4,FALSE)</f>
        <v>0</v>
      </c>
      <c r="AN35" s="16">
        <f>VLOOKUP($A35,'Onsite Role Distribution'!$B$3:$G$7,5,FALSE)+VLOOKUP($A35,'Onsite Role Distribution'!$B$8:$G$12,5,FALSE)</f>
        <v>0</v>
      </c>
      <c r="AO35" s="16">
        <f>VLOOKUP($A35,'Onsite Role Distribution'!$B$3:$G$7,5,FALSE)+VLOOKUP($A35,'Onsite Role Distribution'!$B$8:$G$12,5,FALSE)</f>
        <v>0</v>
      </c>
      <c r="AP35" s="16">
        <f>VLOOKUP($A35,'Onsite Role Distribution'!$B$3:$G$7,5,FALSE)+VLOOKUP($A35,'Onsite Role Distribution'!$B$8:$G$12,5,FALSE)</f>
        <v>0</v>
      </c>
      <c r="AQ35" s="16">
        <f>VLOOKUP($A35,'Onsite Role Distribution'!$B$3:$G$7,5,FALSE)+VLOOKUP($A35,'Onsite Role Distribution'!$B$8:$G$12,5,FALSE)</f>
        <v>0</v>
      </c>
      <c r="AR35" s="16">
        <f>VLOOKUP($A35,'Onsite Role Distribution'!$B$3:$G$7,5,FALSE)+VLOOKUP($A35,'Onsite Role Distribution'!$B$8:$G$12,5,FALSE)</f>
        <v>0</v>
      </c>
      <c r="AS35" s="16">
        <f>VLOOKUP($A35,'Onsite Role Distribution'!$B$3:$G$7,5,FALSE)+VLOOKUP($A35,'Onsite Role Distribution'!$B$8:$G$12,5,FALSE)</f>
        <v>0</v>
      </c>
      <c r="AT35" s="16">
        <f>VLOOKUP($A35,'Onsite Role Distribution'!$B$3:$G$7,5,FALSE)+VLOOKUP($A35,'Onsite Role Distribution'!$B$8:$G$12,5,FALSE)</f>
        <v>0</v>
      </c>
      <c r="AU35" s="16">
        <f>VLOOKUP($A35,'Onsite Role Distribution'!$B$3:$G$7,5,FALSE)+VLOOKUP($A35,'Onsite Role Distribution'!$B$8:$G$12,5,FALSE)</f>
        <v>0</v>
      </c>
      <c r="AV35" s="16">
        <f>VLOOKUP($A35,'Onsite Role Distribution'!$B$3:$G$7,5,FALSE)+VLOOKUP($A35,'Onsite Role Distribution'!$B$8:$G$12,5,FALSE)</f>
        <v>0</v>
      </c>
      <c r="AW35" s="16">
        <f>VLOOKUP($A35,'Onsite Role Distribution'!$B$3:$G$7,5,FALSE)+VLOOKUP($A35,'Onsite Role Distribution'!$B$8:$G$12,5,FALSE)</f>
        <v>0</v>
      </c>
      <c r="AX35" s="16">
        <f>VLOOKUP($A35,'Onsite Role Distribution'!$B$3:$G$7,5,FALSE)+VLOOKUP($A35,'Onsite Role Distribution'!$B$8:$G$12,5,FALSE)</f>
        <v>0</v>
      </c>
      <c r="AY35" s="16">
        <f>VLOOKUP($A35,'Onsite Role Distribution'!$B$3:$G$7,5,FALSE)+VLOOKUP($A35,'Onsite Role Distribution'!$B$8:$G$12,5,FALSE)</f>
        <v>0</v>
      </c>
      <c r="AZ35" s="17">
        <f>VLOOKUP($A35,'Onsite Role Distribution'!$B$3:$G$7,6,FALSE)+VLOOKUP($A35,'Onsite Role Distribution'!$B$8:$G$12,6,FALSE)</f>
        <v>0</v>
      </c>
      <c r="BA35" s="17">
        <f>VLOOKUP($A35,'Onsite Role Distribution'!$B$3:$G$7,6,FALSE)+VLOOKUP($A35,'Onsite Role Distribution'!$B$8:$G$12,6,FALSE)</f>
        <v>0</v>
      </c>
      <c r="BB35" s="17">
        <f>VLOOKUP($A35,'Onsite Role Distribution'!$B$3:$G$7,6,FALSE)+VLOOKUP($A35,'Onsite Role Distribution'!$B$8:$G$12,6,FALSE)</f>
        <v>0</v>
      </c>
      <c r="BC35" s="17">
        <f>VLOOKUP($A35,'Onsite Role Distribution'!$B$3:$G$7,6,FALSE)+VLOOKUP($A35,'Onsite Role Distribution'!$B$8:$G$12,6,FALSE)</f>
        <v>0</v>
      </c>
      <c r="BD35" s="17">
        <f>VLOOKUP($A35,'Onsite Role Distribution'!$B$3:$G$7,6,FALSE)+VLOOKUP($A35,'Onsite Role Distribution'!$B$8:$G$12,6,FALSE)</f>
        <v>0</v>
      </c>
      <c r="BE35" s="17">
        <f>VLOOKUP($A35,'Onsite Role Distribution'!$B$3:$G$7,6,FALSE)+VLOOKUP($A35,'Onsite Role Distribution'!$B$8:$G$12,6,FALSE)</f>
        <v>0</v>
      </c>
      <c r="BF35" s="17">
        <f>VLOOKUP($A35,'Onsite Role Distribution'!$B$3:$G$7,6,FALSE)+VLOOKUP($A35,'Onsite Role Distribution'!$B$8:$G$12,6,FALSE)</f>
        <v>0</v>
      </c>
      <c r="BG35" s="17">
        <f>VLOOKUP($A35,'Onsite Role Distribution'!$B$3:$G$7,6,FALSE)+VLOOKUP($A35,'Onsite Role Distribution'!$B$8:$G$12,6,FALSE)</f>
        <v>0</v>
      </c>
      <c r="BH35" s="17">
        <f>VLOOKUP($A35,'Onsite Role Distribution'!$B$3:$G$7,6,FALSE)+VLOOKUP($A35,'Onsite Role Distribution'!$B$8:$G$12,6,FALSE)</f>
        <v>0</v>
      </c>
      <c r="BI35" s="17">
        <f>VLOOKUP($A35,'Onsite Role Distribution'!$B$3:$G$7,6,FALSE)+VLOOKUP($A35,'Onsite Role Distribution'!$B$8:$G$12,6,FALSE)</f>
        <v>0</v>
      </c>
      <c r="BJ35" s="17">
        <f>VLOOKUP($A35,'Onsite Role Distribution'!$B$3:$G$7,6,FALSE)+VLOOKUP($A35,'Onsite Role Distribution'!$B$8:$G$12,6,FALSE)</f>
        <v>0</v>
      </c>
      <c r="BK35" s="17">
        <f>VLOOKUP($A35,'Onsite Role Distribution'!$B$3:$G$7,6,FALSE)+VLOOKUP($A35,'Onsite Role Distribution'!$B$8:$G$12,6,FALSE)</f>
        <v>0</v>
      </c>
    </row>
    <row r="36" spans="1:63" x14ac:dyDescent="0.35">
      <c r="A36" t="s">
        <v>19</v>
      </c>
      <c r="B36" t="s">
        <v>9</v>
      </c>
      <c r="C36" t="str">
        <f t="shared" si="0"/>
        <v>LeadOnsite</v>
      </c>
      <c r="D36" s="14">
        <f>VLOOKUP($A36,'Onsite Role Distribution'!$B$3:$G$7,2,FALSE)+VLOOKUP($A36,'Onsite Role Distribution'!$B$8:$G$12,2,FALSE)</f>
        <v>1</v>
      </c>
      <c r="E36" s="14">
        <f>VLOOKUP($A36,'Onsite Role Distribution'!$B$3:$G$7,2,FALSE)+VLOOKUP($A36,'Onsite Role Distribution'!$B$8:$G$12,2,FALSE)</f>
        <v>1</v>
      </c>
      <c r="F36" s="14">
        <f>VLOOKUP($A36,'Onsite Role Distribution'!$B$3:$G$7,2,FALSE)+VLOOKUP($A36,'Onsite Role Distribution'!$B$8:$G$12,2,FALSE)</f>
        <v>1</v>
      </c>
      <c r="G36" s="14">
        <f>VLOOKUP($A36,'Onsite Role Distribution'!$B$3:$G$7,2,FALSE)+VLOOKUP($A36,'Onsite Role Distribution'!$B$8:$G$12,2,FALSE)</f>
        <v>1</v>
      </c>
      <c r="H36" s="14">
        <f>VLOOKUP($A36,'Onsite Role Distribution'!$B$3:$G$7,2,FALSE)+VLOOKUP($A36,'Onsite Role Distribution'!$B$8:$G$12,2,FALSE)</f>
        <v>1</v>
      </c>
      <c r="I36" s="14">
        <f>VLOOKUP($A36,'Onsite Role Distribution'!$B$3:$G$7,2,FALSE)+VLOOKUP($A36,'Onsite Role Distribution'!$B$8:$G$12,2,FALSE)</f>
        <v>1</v>
      </c>
      <c r="J36" s="14">
        <f>VLOOKUP($A36,'Onsite Role Distribution'!$B$3:$G$7,2,FALSE)+VLOOKUP($A36,'Onsite Role Distribution'!$B$8:$G$12,2,FALSE)</f>
        <v>1</v>
      </c>
      <c r="K36" s="14">
        <f>VLOOKUP($A36,'Onsite Role Distribution'!$B$3:$G$7,2,FALSE)+VLOOKUP($A36,'Onsite Role Distribution'!$B$8:$G$12,2,FALSE)</f>
        <v>1</v>
      </c>
      <c r="L36" s="14">
        <f>VLOOKUP($A36,'Onsite Role Distribution'!$B$3:$G$7,2,FALSE)+VLOOKUP($A36,'Onsite Role Distribution'!$B$8:$G$12,2,FALSE)</f>
        <v>1</v>
      </c>
      <c r="M36" s="14">
        <f>VLOOKUP($A36,'Onsite Role Distribution'!$B$3:$G$7,2,FALSE)+VLOOKUP($A36,'Onsite Role Distribution'!$B$8:$G$12,2,FALSE)</f>
        <v>1</v>
      </c>
      <c r="N36" s="14">
        <f>VLOOKUP($A36,'Onsite Role Distribution'!$B$3:$G$7,2,FALSE)+VLOOKUP($A36,'Onsite Role Distribution'!$B$8:$G$12,2,FALSE)</f>
        <v>1</v>
      </c>
      <c r="O36" s="14">
        <f>VLOOKUP($A36,'Onsite Role Distribution'!$B$3:$G$7,2,FALSE)+VLOOKUP($A36,'Onsite Role Distribution'!$B$8:$G$12,2,FALSE)</f>
        <v>1</v>
      </c>
      <c r="P36" s="6">
        <f>VLOOKUP($A36,'Onsite Role Distribution'!$B$3:$G$7,3,FALSE)+VLOOKUP($A36,'Onsite Role Distribution'!$B$8:$G$12,3,FALSE)</f>
        <v>1</v>
      </c>
      <c r="Q36" s="6">
        <f>VLOOKUP($A36,'Onsite Role Distribution'!$B$3:$G$7,3,FALSE)+VLOOKUP($A36,'Onsite Role Distribution'!$B$8:$G$12,3,FALSE)</f>
        <v>1</v>
      </c>
      <c r="R36" s="6">
        <f>VLOOKUP($A36,'Onsite Role Distribution'!$B$3:$G$7,3,FALSE)+VLOOKUP($A36,'Onsite Role Distribution'!$B$8:$G$12,3,FALSE)</f>
        <v>1</v>
      </c>
      <c r="S36" s="6">
        <f>VLOOKUP($A36,'Onsite Role Distribution'!$B$3:$G$7,3,FALSE)+VLOOKUP($A36,'Onsite Role Distribution'!$B$8:$G$12,3,FALSE)</f>
        <v>1</v>
      </c>
      <c r="T36" s="6">
        <f>VLOOKUP($A36,'Onsite Role Distribution'!$B$3:$G$7,3,FALSE)+VLOOKUP($A36,'Onsite Role Distribution'!$B$8:$G$12,3,FALSE)</f>
        <v>1</v>
      </c>
      <c r="U36" s="6">
        <f>VLOOKUP($A36,'Onsite Role Distribution'!$B$3:$G$7,3,FALSE)+VLOOKUP($A36,'Onsite Role Distribution'!$B$8:$G$12,3,FALSE)</f>
        <v>1</v>
      </c>
      <c r="V36" s="6">
        <f>VLOOKUP($A36,'Onsite Role Distribution'!$B$3:$G$7,3,FALSE)+VLOOKUP($A36,'Onsite Role Distribution'!$B$8:$G$12,3,FALSE)</f>
        <v>1</v>
      </c>
      <c r="W36" s="6">
        <f>VLOOKUP($A36,'Onsite Role Distribution'!$B$3:$G$7,3,FALSE)+VLOOKUP($A36,'Onsite Role Distribution'!$B$8:$G$12,3,FALSE)</f>
        <v>1</v>
      </c>
      <c r="X36" s="6">
        <f>VLOOKUP($A36,'Onsite Role Distribution'!$B$3:$G$7,3,FALSE)+VLOOKUP($A36,'Onsite Role Distribution'!$B$8:$G$12,3,FALSE)</f>
        <v>1</v>
      </c>
      <c r="Y36" s="6">
        <f>VLOOKUP($A36,'Onsite Role Distribution'!$B$3:$G$7,3,FALSE)+VLOOKUP($A36,'Onsite Role Distribution'!$B$8:$G$12,3,FALSE)</f>
        <v>1</v>
      </c>
      <c r="Z36" s="6">
        <f>VLOOKUP($A36,'Onsite Role Distribution'!$B$3:$G$7,3,FALSE)+VLOOKUP($A36,'Onsite Role Distribution'!$B$8:$G$12,3,FALSE)</f>
        <v>1</v>
      </c>
      <c r="AA36" s="6">
        <f>VLOOKUP($A36,'Onsite Role Distribution'!$B$3:$G$7,3,FALSE)+VLOOKUP($A36,'Onsite Role Distribution'!$B$8:$G$12,3,FALSE)</f>
        <v>1</v>
      </c>
      <c r="AB36" s="15">
        <f>VLOOKUP($A36,'Onsite Role Distribution'!$B$3:$G$7,4,FALSE)+VLOOKUP($A36,'Onsite Role Distribution'!$B$8:$G$12,4,FALSE)</f>
        <v>1</v>
      </c>
      <c r="AC36" s="15">
        <f>VLOOKUP($A36,'Onsite Role Distribution'!$B$3:$G$7,4,FALSE)+VLOOKUP($A36,'Onsite Role Distribution'!$B$8:$G$12,4,FALSE)</f>
        <v>1</v>
      </c>
      <c r="AD36" s="15">
        <f>VLOOKUP($A36,'Onsite Role Distribution'!$B$3:$G$7,4,FALSE)+VLOOKUP($A36,'Onsite Role Distribution'!$B$8:$G$12,4,FALSE)</f>
        <v>1</v>
      </c>
      <c r="AE36" s="15">
        <f>VLOOKUP($A36,'Onsite Role Distribution'!$B$3:$G$7,4,FALSE)+VLOOKUP($A36,'Onsite Role Distribution'!$B$8:$G$12,4,FALSE)</f>
        <v>1</v>
      </c>
      <c r="AF36" s="15">
        <f>VLOOKUP($A36,'Onsite Role Distribution'!$B$3:$G$7,4,FALSE)+VLOOKUP($A36,'Onsite Role Distribution'!$B$8:$G$12,4,FALSE)</f>
        <v>1</v>
      </c>
      <c r="AG36" s="15">
        <f>VLOOKUP($A36,'Onsite Role Distribution'!$B$3:$G$7,4,FALSE)+VLOOKUP($A36,'Onsite Role Distribution'!$B$8:$G$12,4,FALSE)</f>
        <v>1</v>
      </c>
      <c r="AH36" s="15">
        <f>VLOOKUP($A36,'Onsite Role Distribution'!$B$3:$G$7,4,FALSE)+VLOOKUP($A36,'Onsite Role Distribution'!$B$8:$G$12,4,FALSE)</f>
        <v>1</v>
      </c>
      <c r="AI36" s="15">
        <f>VLOOKUP($A36,'Onsite Role Distribution'!$B$3:$G$7,4,FALSE)+VLOOKUP($A36,'Onsite Role Distribution'!$B$8:$G$12,4,FALSE)</f>
        <v>1</v>
      </c>
      <c r="AJ36" s="15">
        <f>VLOOKUP($A36,'Onsite Role Distribution'!$B$3:$G$7,4,FALSE)+VLOOKUP($A36,'Onsite Role Distribution'!$B$8:$G$12,4,FALSE)</f>
        <v>1</v>
      </c>
      <c r="AK36" s="15">
        <f>VLOOKUP($A36,'Onsite Role Distribution'!$B$3:$G$7,4,FALSE)+VLOOKUP($A36,'Onsite Role Distribution'!$B$8:$G$12,4,FALSE)</f>
        <v>1</v>
      </c>
      <c r="AL36" s="15">
        <f>VLOOKUP($A36,'Onsite Role Distribution'!$B$3:$G$7,4,FALSE)+VLOOKUP($A36,'Onsite Role Distribution'!$B$8:$G$12,4,FALSE)</f>
        <v>1</v>
      </c>
      <c r="AM36" s="15">
        <f>VLOOKUP($A36,'Onsite Role Distribution'!$B$3:$G$7,4,FALSE)+VLOOKUP($A36,'Onsite Role Distribution'!$B$8:$G$12,4,FALSE)</f>
        <v>1</v>
      </c>
      <c r="AN36" s="16">
        <f>VLOOKUP($A36,'Onsite Role Distribution'!$B$3:$G$7,5,FALSE)+VLOOKUP($A36,'Onsite Role Distribution'!$B$8:$G$12,5,FALSE)</f>
        <v>1</v>
      </c>
      <c r="AO36" s="16">
        <f>VLOOKUP($A36,'Onsite Role Distribution'!$B$3:$G$7,5,FALSE)+VLOOKUP($A36,'Onsite Role Distribution'!$B$8:$G$12,5,FALSE)</f>
        <v>1</v>
      </c>
      <c r="AP36" s="16">
        <f>VLOOKUP($A36,'Onsite Role Distribution'!$B$3:$G$7,5,FALSE)+VLOOKUP($A36,'Onsite Role Distribution'!$B$8:$G$12,5,FALSE)</f>
        <v>1</v>
      </c>
      <c r="AQ36" s="16">
        <f>VLOOKUP($A36,'Onsite Role Distribution'!$B$3:$G$7,5,FALSE)+VLOOKUP($A36,'Onsite Role Distribution'!$B$8:$G$12,5,FALSE)</f>
        <v>1</v>
      </c>
      <c r="AR36" s="16">
        <f>VLOOKUP($A36,'Onsite Role Distribution'!$B$3:$G$7,5,FALSE)+VLOOKUP($A36,'Onsite Role Distribution'!$B$8:$G$12,5,FALSE)</f>
        <v>1</v>
      </c>
      <c r="AS36" s="16">
        <f>VLOOKUP($A36,'Onsite Role Distribution'!$B$3:$G$7,5,FALSE)+VLOOKUP($A36,'Onsite Role Distribution'!$B$8:$G$12,5,FALSE)</f>
        <v>1</v>
      </c>
      <c r="AT36" s="16">
        <f>VLOOKUP($A36,'Onsite Role Distribution'!$B$3:$G$7,5,FALSE)+VLOOKUP($A36,'Onsite Role Distribution'!$B$8:$G$12,5,FALSE)</f>
        <v>1</v>
      </c>
      <c r="AU36" s="16">
        <f>VLOOKUP($A36,'Onsite Role Distribution'!$B$3:$G$7,5,FALSE)+VLOOKUP($A36,'Onsite Role Distribution'!$B$8:$G$12,5,FALSE)</f>
        <v>1</v>
      </c>
      <c r="AV36" s="16">
        <f>VLOOKUP($A36,'Onsite Role Distribution'!$B$3:$G$7,5,FALSE)+VLOOKUP($A36,'Onsite Role Distribution'!$B$8:$G$12,5,FALSE)</f>
        <v>1</v>
      </c>
      <c r="AW36" s="16">
        <f>VLOOKUP($A36,'Onsite Role Distribution'!$B$3:$G$7,5,FALSE)+VLOOKUP($A36,'Onsite Role Distribution'!$B$8:$G$12,5,FALSE)</f>
        <v>1</v>
      </c>
      <c r="AX36" s="16">
        <f>VLOOKUP($A36,'Onsite Role Distribution'!$B$3:$G$7,5,FALSE)+VLOOKUP($A36,'Onsite Role Distribution'!$B$8:$G$12,5,FALSE)</f>
        <v>1</v>
      </c>
      <c r="AY36" s="16">
        <f>VLOOKUP($A36,'Onsite Role Distribution'!$B$3:$G$7,5,FALSE)+VLOOKUP($A36,'Onsite Role Distribution'!$B$8:$G$12,5,FALSE)</f>
        <v>1</v>
      </c>
      <c r="AZ36" s="17">
        <f>VLOOKUP($A36,'Onsite Role Distribution'!$B$3:$G$7,6,FALSE)+VLOOKUP($A36,'Onsite Role Distribution'!$B$8:$G$12,6,FALSE)</f>
        <v>0</v>
      </c>
      <c r="BA36" s="17">
        <f>VLOOKUP($A36,'Onsite Role Distribution'!$B$3:$G$7,6,FALSE)+VLOOKUP($A36,'Onsite Role Distribution'!$B$8:$G$12,6,FALSE)</f>
        <v>0</v>
      </c>
      <c r="BB36" s="17">
        <f>VLOOKUP($A36,'Onsite Role Distribution'!$B$3:$G$7,6,FALSE)+VLOOKUP($A36,'Onsite Role Distribution'!$B$8:$G$12,6,FALSE)</f>
        <v>0</v>
      </c>
      <c r="BC36" s="17">
        <f>VLOOKUP($A36,'Onsite Role Distribution'!$B$3:$G$7,6,FALSE)+VLOOKUP($A36,'Onsite Role Distribution'!$B$8:$G$12,6,FALSE)</f>
        <v>0</v>
      </c>
      <c r="BD36" s="17">
        <f>VLOOKUP($A36,'Onsite Role Distribution'!$B$3:$G$7,6,FALSE)+VLOOKUP($A36,'Onsite Role Distribution'!$B$8:$G$12,6,FALSE)</f>
        <v>0</v>
      </c>
      <c r="BE36" s="17">
        <f>VLOOKUP($A36,'Onsite Role Distribution'!$B$3:$G$7,6,FALSE)+VLOOKUP($A36,'Onsite Role Distribution'!$B$8:$G$12,6,FALSE)</f>
        <v>0</v>
      </c>
      <c r="BF36" s="17">
        <f>VLOOKUP($A36,'Onsite Role Distribution'!$B$3:$G$7,6,FALSE)+VLOOKUP($A36,'Onsite Role Distribution'!$B$8:$G$12,6,FALSE)</f>
        <v>0</v>
      </c>
      <c r="BG36" s="17">
        <f>VLOOKUP($A36,'Onsite Role Distribution'!$B$3:$G$7,6,FALSE)+VLOOKUP($A36,'Onsite Role Distribution'!$B$8:$G$12,6,FALSE)</f>
        <v>0</v>
      </c>
      <c r="BH36" s="17">
        <f>VLOOKUP($A36,'Onsite Role Distribution'!$B$3:$G$7,6,FALSE)+VLOOKUP($A36,'Onsite Role Distribution'!$B$8:$G$12,6,FALSE)</f>
        <v>0</v>
      </c>
      <c r="BI36" s="17">
        <f>VLOOKUP($A36,'Onsite Role Distribution'!$B$3:$G$7,6,FALSE)+VLOOKUP($A36,'Onsite Role Distribution'!$B$8:$G$12,6,FALSE)</f>
        <v>0</v>
      </c>
      <c r="BJ36" s="17">
        <f>VLOOKUP($A36,'Onsite Role Distribution'!$B$3:$G$7,6,FALSE)+VLOOKUP($A36,'Onsite Role Distribution'!$B$8:$G$12,6,FALSE)</f>
        <v>0</v>
      </c>
      <c r="BK36" s="17">
        <f>VLOOKUP($A36,'Onsite Role Distribution'!$B$3:$G$7,6,FALSE)+VLOOKUP($A36,'Onsite Role Distribution'!$B$8:$G$12,6,FALSE)</f>
        <v>0</v>
      </c>
    </row>
    <row r="37" spans="1:63" x14ac:dyDescent="0.35">
      <c r="A37" t="s">
        <v>13</v>
      </c>
      <c r="B37" t="s">
        <v>22</v>
      </c>
      <c r="C37" t="str">
        <f t="shared" si="0"/>
        <v>BSAOnsite-Landed</v>
      </c>
      <c r="D37" s="14">
        <f>VLOOKUP($A37,'Onsite Role Distribution'!$B$13:$G$17,2,FALSE)</f>
        <v>2</v>
      </c>
      <c r="E37" s="14">
        <f>VLOOKUP($A37,'Onsite Role Distribution'!$B$13:$G$17,2,FALSE)</f>
        <v>2</v>
      </c>
      <c r="F37" s="14">
        <f>VLOOKUP($A37,'Onsite Role Distribution'!$B$13:$G$17,2,FALSE)</f>
        <v>2</v>
      </c>
      <c r="G37" s="14">
        <f>VLOOKUP($A37,'Onsite Role Distribution'!$B$13:$G$17,2,FALSE)</f>
        <v>2</v>
      </c>
      <c r="H37" s="14">
        <f>VLOOKUP($A37,'Onsite Role Distribution'!$B$13:$G$17,2,FALSE)</f>
        <v>2</v>
      </c>
      <c r="I37" s="14">
        <f>VLOOKUP($A37,'Onsite Role Distribution'!$B$13:$G$17,2,FALSE)</f>
        <v>2</v>
      </c>
      <c r="J37" s="14">
        <f>VLOOKUP($A37,'Onsite Role Distribution'!$B$13:$G$17,2,FALSE)</f>
        <v>2</v>
      </c>
      <c r="K37" s="14">
        <f>VLOOKUP($A37,'Onsite Role Distribution'!$B$13:$G$17,2,FALSE)</f>
        <v>2</v>
      </c>
      <c r="L37" s="14">
        <f>VLOOKUP($A37,'Onsite Role Distribution'!$B$13:$G$17,2,FALSE)</f>
        <v>2</v>
      </c>
      <c r="M37" s="14">
        <f>VLOOKUP($A37,'Onsite Role Distribution'!$B$13:$G$17,2,FALSE)</f>
        <v>2</v>
      </c>
      <c r="N37" s="14">
        <f>VLOOKUP($A37,'Onsite Role Distribution'!$B$13:$G$17,2,FALSE)</f>
        <v>2</v>
      </c>
      <c r="O37" s="14">
        <f>VLOOKUP($A37,'Onsite Role Distribution'!$B$13:$G$17,2,FALSE)</f>
        <v>2</v>
      </c>
      <c r="P37" s="6">
        <f>VLOOKUP($A37,'Onsite Role Distribution'!$B$13:$G$17,3,FALSE)</f>
        <v>1</v>
      </c>
      <c r="Q37" s="6">
        <f>VLOOKUP($A37,'Onsite Role Distribution'!$B$13:$G$17,3,FALSE)</f>
        <v>1</v>
      </c>
      <c r="R37" s="6">
        <f>VLOOKUP($A37,'Onsite Role Distribution'!$B$13:$G$17,3,FALSE)</f>
        <v>1</v>
      </c>
      <c r="S37" s="6">
        <f>VLOOKUP($A37,'Onsite Role Distribution'!$B$13:$G$17,3,FALSE)</f>
        <v>1</v>
      </c>
      <c r="T37" s="6">
        <f>VLOOKUP($A37,'Onsite Role Distribution'!$B$13:$G$17,3,FALSE)</f>
        <v>1</v>
      </c>
      <c r="U37" s="6">
        <f>VLOOKUP($A37,'Onsite Role Distribution'!$B$13:$G$17,3,FALSE)</f>
        <v>1</v>
      </c>
      <c r="V37" s="6">
        <f>VLOOKUP($A37,'Onsite Role Distribution'!$B$13:$G$17,3,FALSE)</f>
        <v>1</v>
      </c>
      <c r="W37" s="6">
        <f>VLOOKUP($A37,'Onsite Role Distribution'!$B$13:$G$17,3,FALSE)</f>
        <v>1</v>
      </c>
      <c r="X37" s="6">
        <f>VLOOKUP($A37,'Onsite Role Distribution'!$B$13:$G$17,3,FALSE)</f>
        <v>1</v>
      </c>
      <c r="Y37" s="6">
        <f>VLOOKUP($A37,'Onsite Role Distribution'!$B$13:$G$17,3,FALSE)</f>
        <v>1</v>
      </c>
      <c r="Z37" s="6">
        <f>VLOOKUP($A37,'Onsite Role Distribution'!$B$13:$G$17,3,FALSE)</f>
        <v>1</v>
      </c>
      <c r="AA37" s="6">
        <f>VLOOKUP($A37,'Onsite Role Distribution'!$B$13:$G$17,3,FALSE)</f>
        <v>1</v>
      </c>
      <c r="AB37" s="15">
        <f>VLOOKUP($A37,'Onsite Role Distribution'!$B$13:$G$17,4,FALSE)</f>
        <v>0</v>
      </c>
      <c r="AC37" s="15">
        <f>VLOOKUP($A37,'Onsite Role Distribution'!$B$13:$G$17,4,FALSE)</f>
        <v>0</v>
      </c>
      <c r="AD37" s="15">
        <f>VLOOKUP($A37,'Onsite Role Distribution'!$B$13:$G$17,4,FALSE)</f>
        <v>0</v>
      </c>
      <c r="AE37" s="15">
        <f>VLOOKUP($A37,'Onsite Role Distribution'!$B$13:$G$17,4,FALSE)</f>
        <v>0</v>
      </c>
      <c r="AF37" s="15">
        <f>VLOOKUP($A37,'Onsite Role Distribution'!$B$13:$G$17,4,FALSE)</f>
        <v>0</v>
      </c>
      <c r="AG37" s="15">
        <f>VLOOKUP($A37,'Onsite Role Distribution'!$B$13:$G$17,4,FALSE)</f>
        <v>0</v>
      </c>
      <c r="AH37" s="15">
        <f>VLOOKUP($A37,'Onsite Role Distribution'!$B$13:$G$17,4,FALSE)</f>
        <v>0</v>
      </c>
      <c r="AI37" s="15">
        <f>VLOOKUP($A37,'Onsite Role Distribution'!$B$13:$G$17,4,FALSE)</f>
        <v>0</v>
      </c>
      <c r="AJ37" s="15">
        <f>VLOOKUP($A37,'Onsite Role Distribution'!$B$13:$G$17,4,FALSE)</f>
        <v>0</v>
      </c>
      <c r="AK37" s="15">
        <f>VLOOKUP($A37,'Onsite Role Distribution'!$B$13:$G$17,4,FALSE)</f>
        <v>0</v>
      </c>
      <c r="AL37" s="15">
        <f>VLOOKUP($A37,'Onsite Role Distribution'!$B$13:$G$17,4,FALSE)</f>
        <v>0</v>
      </c>
      <c r="AM37" s="15">
        <f>VLOOKUP($A37,'Onsite Role Distribution'!$B$13:$G$17,4,FALSE)</f>
        <v>0</v>
      </c>
      <c r="AN37" s="16">
        <f>VLOOKUP($A37,'Onsite Role Distribution'!$B$13:$G$17,5,FALSE)</f>
        <v>0</v>
      </c>
      <c r="AO37" s="16">
        <f>VLOOKUP($A37,'Onsite Role Distribution'!$B$13:$G$17,5,FALSE)</f>
        <v>0</v>
      </c>
      <c r="AP37" s="16">
        <f>VLOOKUP($A37,'Onsite Role Distribution'!$B$13:$G$17,5,FALSE)</f>
        <v>0</v>
      </c>
      <c r="AQ37" s="16">
        <f>VLOOKUP($A37,'Onsite Role Distribution'!$B$13:$G$17,5,FALSE)</f>
        <v>0</v>
      </c>
      <c r="AR37" s="16">
        <f>VLOOKUP($A37,'Onsite Role Distribution'!$B$13:$G$17,5,FALSE)</f>
        <v>0</v>
      </c>
      <c r="AS37" s="16">
        <f>VLOOKUP($A37,'Onsite Role Distribution'!$B$13:$G$17,5,FALSE)</f>
        <v>0</v>
      </c>
      <c r="AT37" s="16">
        <f>VLOOKUP($A37,'Onsite Role Distribution'!$B$13:$G$17,5,FALSE)</f>
        <v>0</v>
      </c>
      <c r="AU37" s="16">
        <f>VLOOKUP($A37,'Onsite Role Distribution'!$B$13:$G$17,5,FALSE)</f>
        <v>0</v>
      </c>
      <c r="AV37" s="16">
        <f>VLOOKUP($A37,'Onsite Role Distribution'!$B$13:$G$17,5,FALSE)</f>
        <v>0</v>
      </c>
      <c r="AW37" s="16">
        <f>VLOOKUP($A37,'Onsite Role Distribution'!$B$13:$G$17,5,FALSE)</f>
        <v>0</v>
      </c>
      <c r="AX37" s="16">
        <f>VLOOKUP($A37,'Onsite Role Distribution'!$B$13:$G$17,5,FALSE)</f>
        <v>0</v>
      </c>
      <c r="AY37" s="16">
        <f>VLOOKUP($A37,'Onsite Role Distribution'!$B$13:$G$17,5,FALSE)</f>
        <v>0</v>
      </c>
      <c r="AZ37" s="17">
        <f>VLOOKUP($A37,'Onsite Role Distribution'!$B$13:$G$17,6,FALSE)</f>
        <v>0</v>
      </c>
      <c r="BA37" s="17">
        <f>VLOOKUP($A37,'Onsite Role Distribution'!$B$13:$G$17,6,FALSE)</f>
        <v>0</v>
      </c>
      <c r="BB37" s="17">
        <f>VLOOKUP($A37,'Onsite Role Distribution'!$B$13:$G$17,6,FALSE)</f>
        <v>0</v>
      </c>
      <c r="BC37" s="17">
        <f>VLOOKUP($A37,'Onsite Role Distribution'!$B$13:$G$17,6,FALSE)</f>
        <v>0</v>
      </c>
      <c r="BD37" s="17">
        <f>VLOOKUP($A37,'Onsite Role Distribution'!$B$13:$G$17,6,FALSE)</f>
        <v>0</v>
      </c>
      <c r="BE37" s="17">
        <f>VLOOKUP($A37,'Onsite Role Distribution'!$B$13:$G$17,6,FALSE)</f>
        <v>0</v>
      </c>
      <c r="BF37" s="17">
        <f>VLOOKUP($A37,'Onsite Role Distribution'!$B$13:$G$17,6,FALSE)</f>
        <v>0</v>
      </c>
      <c r="BG37" s="17">
        <f>VLOOKUP($A37,'Onsite Role Distribution'!$B$13:$G$17,6,FALSE)</f>
        <v>0</v>
      </c>
      <c r="BH37" s="17">
        <f>VLOOKUP($A37,'Onsite Role Distribution'!$B$13:$G$17,6,FALSE)</f>
        <v>0</v>
      </c>
      <c r="BI37" s="17">
        <f>VLOOKUP($A37,'Onsite Role Distribution'!$B$13:$G$17,6,FALSE)</f>
        <v>0</v>
      </c>
      <c r="BJ37" s="17">
        <f>VLOOKUP($A37,'Onsite Role Distribution'!$B$13:$G$17,6,FALSE)</f>
        <v>0</v>
      </c>
      <c r="BK37" s="17">
        <f>VLOOKUP($A37,'Onsite Role Distribution'!$B$13:$G$17,6,FALSE)</f>
        <v>0</v>
      </c>
    </row>
    <row r="38" spans="1:63" x14ac:dyDescent="0.35">
      <c r="A38" t="s">
        <v>20</v>
      </c>
      <c r="B38" t="s">
        <v>22</v>
      </c>
      <c r="C38" t="str">
        <f t="shared" si="0"/>
        <v>DevOnsite-Landed</v>
      </c>
      <c r="D38" s="14">
        <f>VLOOKUP($A38,'Onsite Role Distribution'!$B$13:$G$17,2,FALSE)</f>
        <v>3</v>
      </c>
      <c r="E38" s="14">
        <f>VLOOKUP($A38,'Onsite Role Distribution'!$B$13:$G$17,2,FALSE)</f>
        <v>3</v>
      </c>
      <c r="F38" s="14">
        <f>VLOOKUP($A38,'Onsite Role Distribution'!$B$13:$G$17,2,FALSE)</f>
        <v>3</v>
      </c>
      <c r="G38" s="14">
        <f>VLOOKUP($A38,'Onsite Role Distribution'!$B$13:$G$17,2,FALSE)</f>
        <v>3</v>
      </c>
      <c r="H38" s="14">
        <f>VLOOKUP($A38,'Onsite Role Distribution'!$B$13:$G$17,2,FALSE)</f>
        <v>3</v>
      </c>
      <c r="I38" s="14">
        <f>VLOOKUP($A38,'Onsite Role Distribution'!$B$13:$G$17,2,FALSE)</f>
        <v>3</v>
      </c>
      <c r="J38" s="14">
        <f>VLOOKUP($A38,'Onsite Role Distribution'!$B$13:$G$17,2,FALSE)</f>
        <v>3</v>
      </c>
      <c r="K38" s="14">
        <f>VLOOKUP($A38,'Onsite Role Distribution'!$B$13:$G$17,2,FALSE)</f>
        <v>3</v>
      </c>
      <c r="L38" s="14">
        <f>VLOOKUP($A38,'Onsite Role Distribution'!$B$13:$G$17,2,FALSE)</f>
        <v>3</v>
      </c>
      <c r="M38" s="14">
        <f>VLOOKUP($A38,'Onsite Role Distribution'!$B$13:$G$17,2,FALSE)</f>
        <v>3</v>
      </c>
      <c r="N38" s="14">
        <f>VLOOKUP($A38,'Onsite Role Distribution'!$B$13:$G$17,2,FALSE)</f>
        <v>3</v>
      </c>
      <c r="O38" s="14">
        <f>VLOOKUP($A38,'Onsite Role Distribution'!$B$13:$G$17,2,FALSE)</f>
        <v>3</v>
      </c>
      <c r="P38" s="6">
        <f>VLOOKUP($A38,'Onsite Role Distribution'!$B$13:$G$17,3,FALSE)</f>
        <v>1</v>
      </c>
      <c r="Q38" s="6">
        <f>VLOOKUP($A38,'Onsite Role Distribution'!$B$13:$G$17,3,FALSE)</f>
        <v>1</v>
      </c>
      <c r="R38" s="6">
        <f>VLOOKUP($A38,'Onsite Role Distribution'!$B$13:$G$17,3,FALSE)</f>
        <v>1</v>
      </c>
      <c r="S38" s="6">
        <f>VLOOKUP($A38,'Onsite Role Distribution'!$B$13:$G$17,3,FALSE)</f>
        <v>1</v>
      </c>
      <c r="T38" s="6">
        <f>VLOOKUP($A38,'Onsite Role Distribution'!$B$13:$G$17,3,FALSE)</f>
        <v>1</v>
      </c>
      <c r="U38" s="6">
        <f>VLOOKUP($A38,'Onsite Role Distribution'!$B$13:$G$17,3,FALSE)</f>
        <v>1</v>
      </c>
      <c r="V38" s="6">
        <f>VLOOKUP($A38,'Onsite Role Distribution'!$B$13:$G$17,3,FALSE)</f>
        <v>1</v>
      </c>
      <c r="W38" s="6">
        <f>VLOOKUP($A38,'Onsite Role Distribution'!$B$13:$G$17,3,FALSE)</f>
        <v>1</v>
      </c>
      <c r="X38" s="6">
        <f>VLOOKUP($A38,'Onsite Role Distribution'!$B$13:$G$17,3,FALSE)</f>
        <v>1</v>
      </c>
      <c r="Y38" s="6">
        <f>VLOOKUP($A38,'Onsite Role Distribution'!$B$13:$G$17,3,FALSE)</f>
        <v>1</v>
      </c>
      <c r="Z38" s="6">
        <f>VLOOKUP($A38,'Onsite Role Distribution'!$B$13:$G$17,3,FALSE)</f>
        <v>1</v>
      </c>
      <c r="AA38" s="6">
        <f>VLOOKUP($A38,'Onsite Role Distribution'!$B$13:$G$17,3,FALSE)</f>
        <v>1</v>
      </c>
      <c r="AB38" s="15">
        <f>VLOOKUP($A38,'Onsite Role Distribution'!$B$13:$G$17,4,FALSE)</f>
        <v>1</v>
      </c>
      <c r="AC38" s="15">
        <f>VLOOKUP($A38,'Onsite Role Distribution'!$B$13:$G$17,4,FALSE)</f>
        <v>1</v>
      </c>
      <c r="AD38" s="15">
        <f>VLOOKUP($A38,'Onsite Role Distribution'!$B$13:$G$17,4,FALSE)</f>
        <v>1</v>
      </c>
      <c r="AE38" s="15">
        <f>VLOOKUP($A38,'Onsite Role Distribution'!$B$13:$G$17,4,FALSE)</f>
        <v>1</v>
      </c>
      <c r="AF38" s="15">
        <f>VLOOKUP($A38,'Onsite Role Distribution'!$B$13:$G$17,4,FALSE)</f>
        <v>1</v>
      </c>
      <c r="AG38" s="15">
        <f>VLOOKUP($A38,'Onsite Role Distribution'!$B$13:$G$17,4,FALSE)</f>
        <v>1</v>
      </c>
      <c r="AH38" s="15">
        <f>VLOOKUP($A38,'Onsite Role Distribution'!$B$13:$G$17,4,FALSE)</f>
        <v>1</v>
      </c>
      <c r="AI38" s="15">
        <f>VLOOKUP($A38,'Onsite Role Distribution'!$B$13:$G$17,4,FALSE)</f>
        <v>1</v>
      </c>
      <c r="AJ38" s="15">
        <f>VLOOKUP($A38,'Onsite Role Distribution'!$B$13:$G$17,4,FALSE)</f>
        <v>1</v>
      </c>
      <c r="AK38" s="15">
        <f>VLOOKUP($A38,'Onsite Role Distribution'!$B$13:$G$17,4,FALSE)</f>
        <v>1</v>
      </c>
      <c r="AL38" s="15">
        <f>VLOOKUP($A38,'Onsite Role Distribution'!$B$13:$G$17,4,FALSE)</f>
        <v>1</v>
      </c>
      <c r="AM38" s="15">
        <f>VLOOKUP($A38,'Onsite Role Distribution'!$B$13:$G$17,4,FALSE)</f>
        <v>1</v>
      </c>
      <c r="AN38" s="16">
        <f>VLOOKUP($A38,'Onsite Role Distribution'!$B$13:$G$17,5,FALSE)</f>
        <v>1</v>
      </c>
      <c r="AO38" s="16">
        <f>VLOOKUP($A38,'Onsite Role Distribution'!$B$13:$G$17,5,FALSE)</f>
        <v>1</v>
      </c>
      <c r="AP38" s="16">
        <f>VLOOKUP($A38,'Onsite Role Distribution'!$B$13:$G$17,5,FALSE)</f>
        <v>1</v>
      </c>
      <c r="AQ38" s="16">
        <f>VLOOKUP($A38,'Onsite Role Distribution'!$B$13:$G$17,5,FALSE)</f>
        <v>1</v>
      </c>
      <c r="AR38" s="16">
        <f>VLOOKUP($A38,'Onsite Role Distribution'!$B$13:$G$17,5,FALSE)</f>
        <v>1</v>
      </c>
      <c r="AS38" s="16">
        <f>VLOOKUP($A38,'Onsite Role Distribution'!$B$13:$G$17,5,FALSE)</f>
        <v>1</v>
      </c>
      <c r="AT38" s="16">
        <f>VLOOKUP($A38,'Onsite Role Distribution'!$B$13:$G$17,5,FALSE)</f>
        <v>1</v>
      </c>
      <c r="AU38" s="16">
        <f>VLOOKUP($A38,'Onsite Role Distribution'!$B$13:$G$17,5,FALSE)</f>
        <v>1</v>
      </c>
      <c r="AV38" s="16">
        <f>VLOOKUP($A38,'Onsite Role Distribution'!$B$13:$G$17,5,FALSE)</f>
        <v>1</v>
      </c>
      <c r="AW38" s="16">
        <f>VLOOKUP($A38,'Onsite Role Distribution'!$B$13:$G$17,5,FALSE)</f>
        <v>1</v>
      </c>
      <c r="AX38" s="16">
        <f>VLOOKUP($A38,'Onsite Role Distribution'!$B$13:$G$17,5,FALSE)</f>
        <v>1</v>
      </c>
      <c r="AY38" s="16">
        <f>VLOOKUP($A38,'Onsite Role Distribution'!$B$13:$G$17,5,FALSE)</f>
        <v>1</v>
      </c>
      <c r="AZ38" s="17">
        <f>VLOOKUP($A38,'Onsite Role Distribution'!$B$13:$G$17,6,FALSE)</f>
        <v>1</v>
      </c>
      <c r="BA38" s="17">
        <f>VLOOKUP($A38,'Onsite Role Distribution'!$B$13:$G$17,6,FALSE)</f>
        <v>1</v>
      </c>
      <c r="BB38" s="17">
        <f>VLOOKUP($A38,'Onsite Role Distribution'!$B$13:$G$17,6,FALSE)</f>
        <v>1</v>
      </c>
      <c r="BC38" s="17">
        <f>VLOOKUP($A38,'Onsite Role Distribution'!$B$13:$G$17,6,FALSE)</f>
        <v>1</v>
      </c>
      <c r="BD38" s="17">
        <f>VLOOKUP($A38,'Onsite Role Distribution'!$B$13:$G$17,6,FALSE)</f>
        <v>1</v>
      </c>
      <c r="BE38" s="17">
        <f>VLOOKUP($A38,'Onsite Role Distribution'!$B$13:$G$17,6,FALSE)</f>
        <v>1</v>
      </c>
      <c r="BF38" s="17">
        <f>VLOOKUP($A38,'Onsite Role Distribution'!$B$13:$G$17,6,FALSE)</f>
        <v>1</v>
      </c>
      <c r="BG38" s="17">
        <f>VLOOKUP($A38,'Onsite Role Distribution'!$B$13:$G$17,6,FALSE)</f>
        <v>1</v>
      </c>
      <c r="BH38" s="17">
        <f>VLOOKUP($A38,'Onsite Role Distribution'!$B$13:$G$17,6,FALSE)</f>
        <v>1</v>
      </c>
      <c r="BI38" s="17">
        <f>VLOOKUP($A38,'Onsite Role Distribution'!$B$13:$G$17,6,FALSE)</f>
        <v>1</v>
      </c>
      <c r="BJ38" s="17">
        <f>VLOOKUP($A38,'Onsite Role Distribution'!$B$13:$G$17,6,FALSE)</f>
        <v>1</v>
      </c>
      <c r="BK38" s="17">
        <f>VLOOKUP($A38,'Onsite Role Distribution'!$B$13:$G$17,6,FALSE)</f>
        <v>1</v>
      </c>
    </row>
    <row r="39" spans="1:63" x14ac:dyDescent="0.35">
      <c r="A39" t="s">
        <v>15</v>
      </c>
      <c r="B39" t="s">
        <v>22</v>
      </c>
      <c r="C39" t="str">
        <f t="shared" si="0"/>
        <v>TesterOnsite-Landed</v>
      </c>
      <c r="D39" s="14">
        <f>VLOOKUP($A39,'Onsite Role Distribution'!$B$13:$G$17,2,FALSE)</f>
        <v>1</v>
      </c>
      <c r="E39" s="14">
        <f>VLOOKUP($A39,'Onsite Role Distribution'!$B$13:$G$17,2,FALSE)</f>
        <v>1</v>
      </c>
      <c r="F39" s="14">
        <f>VLOOKUP($A39,'Onsite Role Distribution'!$B$13:$G$17,2,FALSE)</f>
        <v>1</v>
      </c>
      <c r="G39" s="14">
        <f>VLOOKUP($A39,'Onsite Role Distribution'!$B$13:$G$17,2,FALSE)</f>
        <v>1</v>
      </c>
      <c r="H39" s="14">
        <f>VLOOKUP($A39,'Onsite Role Distribution'!$B$13:$G$17,2,FALSE)</f>
        <v>1</v>
      </c>
      <c r="I39" s="14">
        <f>VLOOKUP($A39,'Onsite Role Distribution'!$B$13:$G$17,2,FALSE)</f>
        <v>1</v>
      </c>
      <c r="J39" s="14">
        <f>VLOOKUP($A39,'Onsite Role Distribution'!$B$13:$G$17,2,FALSE)</f>
        <v>1</v>
      </c>
      <c r="K39" s="14">
        <f>VLOOKUP($A39,'Onsite Role Distribution'!$B$13:$G$17,2,FALSE)</f>
        <v>1</v>
      </c>
      <c r="L39" s="14">
        <f>VLOOKUP($A39,'Onsite Role Distribution'!$B$13:$G$17,2,FALSE)</f>
        <v>1</v>
      </c>
      <c r="M39" s="14">
        <f>VLOOKUP($A39,'Onsite Role Distribution'!$B$13:$G$17,2,FALSE)</f>
        <v>1</v>
      </c>
      <c r="N39" s="14">
        <f>VLOOKUP($A39,'Onsite Role Distribution'!$B$13:$G$17,2,FALSE)</f>
        <v>1</v>
      </c>
      <c r="O39" s="14">
        <f>VLOOKUP($A39,'Onsite Role Distribution'!$B$13:$G$17,2,FALSE)</f>
        <v>1</v>
      </c>
      <c r="P39" s="6">
        <f>VLOOKUP($A39,'Onsite Role Distribution'!$B$13:$G$17,3,FALSE)</f>
        <v>1</v>
      </c>
      <c r="Q39" s="6">
        <f>VLOOKUP($A39,'Onsite Role Distribution'!$B$13:$G$17,3,FALSE)</f>
        <v>1</v>
      </c>
      <c r="R39" s="6">
        <f>VLOOKUP($A39,'Onsite Role Distribution'!$B$13:$G$17,3,FALSE)</f>
        <v>1</v>
      </c>
      <c r="S39" s="6">
        <f>VLOOKUP($A39,'Onsite Role Distribution'!$B$13:$G$17,3,FALSE)</f>
        <v>1</v>
      </c>
      <c r="T39" s="6">
        <f>VLOOKUP($A39,'Onsite Role Distribution'!$B$13:$G$17,3,FALSE)</f>
        <v>1</v>
      </c>
      <c r="U39" s="6">
        <f>VLOOKUP($A39,'Onsite Role Distribution'!$B$13:$G$17,3,FALSE)</f>
        <v>1</v>
      </c>
      <c r="V39" s="6">
        <f>VLOOKUP($A39,'Onsite Role Distribution'!$B$13:$G$17,3,FALSE)</f>
        <v>1</v>
      </c>
      <c r="W39" s="6">
        <f>VLOOKUP($A39,'Onsite Role Distribution'!$B$13:$G$17,3,FALSE)</f>
        <v>1</v>
      </c>
      <c r="X39" s="6">
        <f>VLOOKUP($A39,'Onsite Role Distribution'!$B$13:$G$17,3,FALSE)</f>
        <v>1</v>
      </c>
      <c r="Y39" s="6">
        <f>VLOOKUP($A39,'Onsite Role Distribution'!$B$13:$G$17,3,FALSE)</f>
        <v>1</v>
      </c>
      <c r="Z39" s="6">
        <f>VLOOKUP($A39,'Onsite Role Distribution'!$B$13:$G$17,3,FALSE)</f>
        <v>1</v>
      </c>
      <c r="AA39" s="6">
        <f>VLOOKUP($A39,'Onsite Role Distribution'!$B$13:$G$17,3,FALSE)</f>
        <v>1</v>
      </c>
      <c r="AB39" s="15">
        <f>VLOOKUP($A39,'Onsite Role Distribution'!$B$13:$G$17,4,FALSE)</f>
        <v>1</v>
      </c>
      <c r="AC39" s="15">
        <f>VLOOKUP($A39,'Onsite Role Distribution'!$B$13:$G$17,4,FALSE)</f>
        <v>1</v>
      </c>
      <c r="AD39" s="15">
        <f>VLOOKUP($A39,'Onsite Role Distribution'!$B$13:$G$17,4,FALSE)</f>
        <v>1</v>
      </c>
      <c r="AE39" s="15">
        <f>VLOOKUP($A39,'Onsite Role Distribution'!$B$13:$G$17,4,FALSE)</f>
        <v>1</v>
      </c>
      <c r="AF39" s="15">
        <f>VLOOKUP($A39,'Onsite Role Distribution'!$B$13:$G$17,4,FALSE)</f>
        <v>1</v>
      </c>
      <c r="AG39" s="15">
        <f>VLOOKUP($A39,'Onsite Role Distribution'!$B$13:$G$17,4,FALSE)</f>
        <v>1</v>
      </c>
      <c r="AH39" s="15">
        <f>VLOOKUP($A39,'Onsite Role Distribution'!$B$13:$G$17,4,FALSE)</f>
        <v>1</v>
      </c>
      <c r="AI39" s="15">
        <f>VLOOKUP($A39,'Onsite Role Distribution'!$B$13:$G$17,4,FALSE)</f>
        <v>1</v>
      </c>
      <c r="AJ39" s="15">
        <f>VLOOKUP($A39,'Onsite Role Distribution'!$B$13:$G$17,4,FALSE)</f>
        <v>1</v>
      </c>
      <c r="AK39" s="15">
        <f>VLOOKUP($A39,'Onsite Role Distribution'!$B$13:$G$17,4,FALSE)</f>
        <v>1</v>
      </c>
      <c r="AL39" s="15">
        <f>VLOOKUP($A39,'Onsite Role Distribution'!$B$13:$G$17,4,FALSE)</f>
        <v>1</v>
      </c>
      <c r="AM39" s="15">
        <f>VLOOKUP($A39,'Onsite Role Distribution'!$B$13:$G$17,4,FALSE)</f>
        <v>1</v>
      </c>
      <c r="AN39" s="16">
        <f>VLOOKUP($A39,'Onsite Role Distribution'!$B$13:$G$17,5,FALSE)</f>
        <v>1</v>
      </c>
      <c r="AO39" s="16">
        <f>VLOOKUP($A39,'Onsite Role Distribution'!$B$13:$G$17,5,FALSE)</f>
        <v>1</v>
      </c>
      <c r="AP39" s="16">
        <f>VLOOKUP($A39,'Onsite Role Distribution'!$B$13:$G$17,5,FALSE)</f>
        <v>1</v>
      </c>
      <c r="AQ39" s="16">
        <f>VLOOKUP($A39,'Onsite Role Distribution'!$B$13:$G$17,5,FALSE)</f>
        <v>1</v>
      </c>
      <c r="AR39" s="16">
        <f>VLOOKUP($A39,'Onsite Role Distribution'!$B$13:$G$17,5,FALSE)</f>
        <v>1</v>
      </c>
      <c r="AS39" s="16">
        <f>VLOOKUP($A39,'Onsite Role Distribution'!$B$13:$G$17,5,FALSE)</f>
        <v>1</v>
      </c>
      <c r="AT39" s="16">
        <f>VLOOKUP($A39,'Onsite Role Distribution'!$B$13:$G$17,5,FALSE)</f>
        <v>1</v>
      </c>
      <c r="AU39" s="16">
        <f>VLOOKUP($A39,'Onsite Role Distribution'!$B$13:$G$17,5,FALSE)</f>
        <v>1</v>
      </c>
      <c r="AV39" s="16">
        <f>VLOOKUP($A39,'Onsite Role Distribution'!$B$13:$G$17,5,FALSE)</f>
        <v>1</v>
      </c>
      <c r="AW39" s="16">
        <f>VLOOKUP($A39,'Onsite Role Distribution'!$B$13:$G$17,5,FALSE)</f>
        <v>1</v>
      </c>
      <c r="AX39" s="16">
        <f>VLOOKUP($A39,'Onsite Role Distribution'!$B$13:$G$17,5,FALSE)</f>
        <v>1</v>
      </c>
      <c r="AY39" s="16">
        <f>VLOOKUP($A39,'Onsite Role Distribution'!$B$13:$G$17,5,FALSE)</f>
        <v>1</v>
      </c>
      <c r="AZ39" s="17">
        <f>VLOOKUP($A39,'Onsite Role Distribution'!$B$13:$G$17,6,FALSE)</f>
        <v>1</v>
      </c>
      <c r="BA39" s="17">
        <f>VLOOKUP($A39,'Onsite Role Distribution'!$B$13:$G$17,6,FALSE)</f>
        <v>1</v>
      </c>
      <c r="BB39" s="17">
        <f>VLOOKUP($A39,'Onsite Role Distribution'!$B$13:$G$17,6,FALSE)</f>
        <v>1</v>
      </c>
      <c r="BC39" s="17">
        <f>VLOOKUP($A39,'Onsite Role Distribution'!$B$13:$G$17,6,FALSE)</f>
        <v>1</v>
      </c>
      <c r="BD39" s="17">
        <f>VLOOKUP($A39,'Onsite Role Distribution'!$B$13:$G$17,6,FALSE)</f>
        <v>1</v>
      </c>
      <c r="BE39" s="17">
        <f>VLOOKUP($A39,'Onsite Role Distribution'!$B$13:$G$17,6,FALSE)</f>
        <v>1</v>
      </c>
      <c r="BF39" s="17">
        <f>VLOOKUP($A39,'Onsite Role Distribution'!$B$13:$G$17,6,FALSE)</f>
        <v>1</v>
      </c>
      <c r="BG39" s="17">
        <f>VLOOKUP($A39,'Onsite Role Distribution'!$B$13:$G$17,6,FALSE)</f>
        <v>1</v>
      </c>
      <c r="BH39" s="17">
        <f>VLOOKUP($A39,'Onsite Role Distribution'!$B$13:$G$17,6,FALSE)</f>
        <v>1</v>
      </c>
      <c r="BI39" s="17">
        <f>VLOOKUP($A39,'Onsite Role Distribution'!$B$13:$G$17,6,FALSE)</f>
        <v>1</v>
      </c>
      <c r="BJ39" s="17">
        <f>VLOOKUP($A39,'Onsite Role Distribution'!$B$13:$G$17,6,FALSE)</f>
        <v>1</v>
      </c>
      <c r="BK39" s="17">
        <f>VLOOKUP($A39,'Onsite Role Distribution'!$B$13:$G$17,6,FALSE)</f>
        <v>1</v>
      </c>
    </row>
    <row r="40" spans="1:63" x14ac:dyDescent="0.35">
      <c r="A40" t="s">
        <v>17</v>
      </c>
      <c r="B40" t="s">
        <v>22</v>
      </c>
      <c r="C40" t="str">
        <f t="shared" si="0"/>
        <v>PMOnsite-Landed</v>
      </c>
      <c r="D40" s="14">
        <f>VLOOKUP($A40,'Onsite Role Distribution'!$B$13:$G$17,2,FALSE)</f>
        <v>0</v>
      </c>
      <c r="E40" s="14">
        <f>VLOOKUP($A40,'Onsite Role Distribution'!$B$13:$G$17,2,FALSE)</f>
        <v>0</v>
      </c>
      <c r="F40" s="14">
        <f>VLOOKUP($A40,'Onsite Role Distribution'!$B$13:$G$17,2,FALSE)</f>
        <v>0</v>
      </c>
      <c r="G40" s="14">
        <f>VLOOKUP($A40,'Onsite Role Distribution'!$B$13:$G$17,2,FALSE)</f>
        <v>0</v>
      </c>
      <c r="H40" s="14">
        <f>VLOOKUP($A40,'Onsite Role Distribution'!$B$13:$G$17,2,FALSE)</f>
        <v>0</v>
      </c>
      <c r="I40" s="14">
        <f>VLOOKUP($A40,'Onsite Role Distribution'!$B$13:$G$17,2,FALSE)</f>
        <v>0</v>
      </c>
      <c r="J40" s="14">
        <f>VLOOKUP($A40,'Onsite Role Distribution'!$B$13:$G$17,2,FALSE)</f>
        <v>0</v>
      </c>
      <c r="K40" s="14">
        <f>VLOOKUP($A40,'Onsite Role Distribution'!$B$13:$G$17,2,FALSE)</f>
        <v>0</v>
      </c>
      <c r="L40" s="14">
        <f>VLOOKUP($A40,'Onsite Role Distribution'!$B$13:$G$17,2,FALSE)</f>
        <v>0</v>
      </c>
      <c r="M40" s="14">
        <f>VLOOKUP($A40,'Onsite Role Distribution'!$B$13:$G$17,2,FALSE)</f>
        <v>0</v>
      </c>
      <c r="N40" s="14">
        <f>VLOOKUP($A40,'Onsite Role Distribution'!$B$13:$G$17,2,FALSE)</f>
        <v>0</v>
      </c>
      <c r="O40" s="14">
        <f>VLOOKUP($A40,'Onsite Role Distribution'!$B$13:$G$17,2,FALSE)</f>
        <v>0</v>
      </c>
      <c r="P40" s="6">
        <f>VLOOKUP($A40,'Onsite Role Distribution'!$B$13:$G$17,3,FALSE)</f>
        <v>0</v>
      </c>
      <c r="Q40" s="6">
        <f>VLOOKUP($A40,'Onsite Role Distribution'!$B$13:$G$17,3,FALSE)</f>
        <v>0</v>
      </c>
      <c r="R40" s="6">
        <f>VLOOKUP($A40,'Onsite Role Distribution'!$B$13:$G$17,3,FALSE)</f>
        <v>0</v>
      </c>
      <c r="S40" s="6">
        <f>VLOOKUP($A40,'Onsite Role Distribution'!$B$13:$G$17,3,FALSE)</f>
        <v>0</v>
      </c>
      <c r="T40" s="6">
        <f>VLOOKUP($A40,'Onsite Role Distribution'!$B$13:$G$17,3,FALSE)</f>
        <v>0</v>
      </c>
      <c r="U40" s="6">
        <f>VLOOKUP($A40,'Onsite Role Distribution'!$B$13:$G$17,3,FALSE)</f>
        <v>0</v>
      </c>
      <c r="V40" s="6">
        <f>VLOOKUP($A40,'Onsite Role Distribution'!$B$13:$G$17,3,FALSE)</f>
        <v>0</v>
      </c>
      <c r="W40" s="6">
        <f>VLOOKUP($A40,'Onsite Role Distribution'!$B$13:$G$17,3,FALSE)</f>
        <v>0</v>
      </c>
      <c r="X40" s="6">
        <f>VLOOKUP($A40,'Onsite Role Distribution'!$B$13:$G$17,3,FALSE)</f>
        <v>0</v>
      </c>
      <c r="Y40" s="6">
        <f>VLOOKUP($A40,'Onsite Role Distribution'!$B$13:$G$17,3,FALSE)</f>
        <v>0</v>
      </c>
      <c r="Z40" s="6">
        <f>VLOOKUP($A40,'Onsite Role Distribution'!$B$13:$G$17,3,FALSE)</f>
        <v>0</v>
      </c>
      <c r="AA40" s="6">
        <f>VLOOKUP($A40,'Onsite Role Distribution'!$B$13:$G$17,3,FALSE)</f>
        <v>0</v>
      </c>
      <c r="AB40" s="15">
        <f>VLOOKUP($A40,'Onsite Role Distribution'!$B$13:$G$17,4,FALSE)</f>
        <v>0</v>
      </c>
      <c r="AC40" s="15">
        <f>VLOOKUP($A40,'Onsite Role Distribution'!$B$13:$G$17,4,FALSE)</f>
        <v>0</v>
      </c>
      <c r="AD40" s="15">
        <f>VLOOKUP($A40,'Onsite Role Distribution'!$B$13:$G$17,4,FALSE)</f>
        <v>0</v>
      </c>
      <c r="AE40" s="15">
        <f>VLOOKUP($A40,'Onsite Role Distribution'!$B$13:$G$17,4,FALSE)</f>
        <v>0</v>
      </c>
      <c r="AF40" s="15">
        <f>VLOOKUP($A40,'Onsite Role Distribution'!$B$13:$G$17,4,FALSE)</f>
        <v>0</v>
      </c>
      <c r="AG40" s="15">
        <f>VLOOKUP($A40,'Onsite Role Distribution'!$B$13:$G$17,4,FALSE)</f>
        <v>0</v>
      </c>
      <c r="AH40" s="15">
        <f>VLOOKUP($A40,'Onsite Role Distribution'!$B$13:$G$17,4,FALSE)</f>
        <v>0</v>
      </c>
      <c r="AI40" s="15">
        <f>VLOOKUP($A40,'Onsite Role Distribution'!$B$13:$G$17,4,FALSE)</f>
        <v>0</v>
      </c>
      <c r="AJ40" s="15">
        <f>VLOOKUP($A40,'Onsite Role Distribution'!$B$13:$G$17,4,FALSE)</f>
        <v>0</v>
      </c>
      <c r="AK40" s="15">
        <f>VLOOKUP($A40,'Onsite Role Distribution'!$B$13:$G$17,4,FALSE)</f>
        <v>0</v>
      </c>
      <c r="AL40" s="15">
        <f>VLOOKUP($A40,'Onsite Role Distribution'!$B$13:$G$17,4,FALSE)</f>
        <v>0</v>
      </c>
      <c r="AM40" s="15">
        <f>VLOOKUP($A40,'Onsite Role Distribution'!$B$13:$G$17,4,FALSE)</f>
        <v>0</v>
      </c>
      <c r="AN40" s="16">
        <f>VLOOKUP($A40,'Onsite Role Distribution'!$B$13:$G$17,5,FALSE)</f>
        <v>0</v>
      </c>
      <c r="AO40" s="16">
        <f>VLOOKUP($A40,'Onsite Role Distribution'!$B$13:$G$17,5,FALSE)</f>
        <v>0</v>
      </c>
      <c r="AP40" s="16">
        <f>VLOOKUP($A40,'Onsite Role Distribution'!$B$13:$G$17,5,FALSE)</f>
        <v>0</v>
      </c>
      <c r="AQ40" s="16">
        <f>VLOOKUP($A40,'Onsite Role Distribution'!$B$13:$G$17,5,FALSE)</f>
        <v>0</v>
      </c>
      <c r="AR40" s="16">
        <f>VLOOKUP($A40,'Onsite Role Distribution'!$B$13:$G$17,5,FALSE)</f>
        <v>0</v>
      </c>
      <c r="AS40" s="16">
        <f>VLOOKUP($A40,'Onsite Role Distribution'!$B$13:$G$17,5,FALSE)</f>
        <v>0</v>
      </c>
      <c r="AT40" s="16">
        <f>VLOOKUP($A40,'Onsite Role Distribution'!$B$13:$G$17,5,FALSE)</f>
        <v>0</v>
      </c>
      <c r="AU40" s="16">
        <f>VLOOKUP($A40,'Onsite Role Distribution'!$B$13:$G$17,5,FALSE)</f>
        <v>0</v>
      </c>
      <c r="AV40" s="16">
        <f>VLOOKUP($A40,'Onsite Role Distribution'!$B$13:$G$17,5,FALSE)</f>
        <v>0</v>
      </c>
      <c r="AW40" s="16">
        <f>VLOOKUP($A40,'Onsite Role Distribution'!$B$13:$G$17,5,FALSE)</f>
        <v>0</v>
      </c>
      <c r="AX40" s="16">
        <f>VLOOKUP($A40,'Onsite Role Distribution'!$B$13:$G$17,5,FALSE)</f>
        <v>0</v>
      </c>
      <c r="AY40" s="16">
        <f>VLOOKUP($A40,'Onsite Role Distribution'!$B$13:$G$17,5,FALSE)</f>
        <v>0</v>
      </c>
      <c r="AZ40" s="17">
        <f>VLOOKUP($A40,'Onsite Role Distribution'!$B$13:$G$17,6,FALSE)</f>
        <v>0</v>
      </c>
      <c r="BA40" s="17">
        <f>VLOOKUP($A40,'Onsite Role Distribution'!$B$13:$G$17,6,FALSE)</f>
        <v>0</v>
      </c>
      <c r="BB40" s="17">
        <f>VLOOKUP($A40,'Onsite Role Distribution'!$B$13:$G$17,6,FALSE)</f>
        <v>0</v>
      </c>
      <c r="BC40" s="17">
        <f>VLOOKUP($A40,'Onsite Role Distribution'!$B$13:$G$17,6,FALSE)</f>
        <v>0</v>
      </c>
      <c r="BD40" s="17">
        <f>VLOOKUP($A40,'Onsite Role Distribution'!$B$13:$G$17,6,FALSE)</f>
        <v>0</v>
      </c>
      <c r="BE40" s="17">
        <f>VLOOKUP($A40,'Onsite Role Distribution'!$B$13:$G$17,6,FALSE)</f>
        <v>0</v>
      </c>
      <c r="BF40" s="17">
        <f>VLOOKUP($A40,'Onsite Role Distribution'!$B$13:$G$17,6,FALSE)</f>
        <v>0</v>
      </c>
      <c r="BG40" s="17">
        <f>VLOOKUP($A40,'Onsite Role Distribution'!$B$13:$G$17,6,FALSE)</f>
        <v>0</v>
      </c>
      <c r="BH40" s="17">
        <f>VLOOKUP($A40,'Onsite Role Distribution'!$B$13:$G$17,6,FALSE)</f>
        <v>0</v>
      </c>
      <c r="BI40" s="17">
        <f>VLOOKUP($A40,'Onsite Role Distribution'!$B$13:$G$17,6,FALSE)</f>
        <v>0</v>
      </c>
      <c r="BJ40" s="17">
        <f>VLOOKUP($A40,'Onsite Role Distribution'!$B$13:$G$17,6,FALSE)</f>
        <v>0</v>
      </c>
      <c r="BK40" s="17">
        <f>VLOOKUP($A40,'Onsite Role Distribution'!$B$13:$G$17,6,FALSE)</f>
        <v>0</v>
      </c>
    </row>
    <row r="41" spans="1:63" x14ac:dyDescent="0.35">
      <c r="A41" t="s">
        <v>19</v>
      </c>
      <c r="B41" t="s">
        <v>22</v>
      </c>
      <c r="C41" t="str">
        <f t="shared" si="0"/>
        <v>LeadOnsite-Landed</v>
      </c>
      <c r="D41" s="14">
        <f>VLOOKUP($A41,'Onsite Role Distribution'!$B$13:$G$17,2,FALSE)</f>
        <v>1</v>
      </c>
      <c r="E41" s="14">
        <f>VLOOKUP($A41,'Onsite Role Distribution'!$B$13:$G$17,2,FALSE)</f>
        <v>1</v>
      </c>
      <c r="F41" s="14">
        <f>VLOOKUP($A41,'Onsite Role Distribution'!$B$13:$G$17,2,FALSE)</f>
        <v>1</v>
      </c>
      <c r="G41" s="14">
        <f>VLOOKUP($A41,'Onsite Role Distribution'!$B$13:$G$17,2,FALSE)</f>
        <v>1</v>
      </c>
      <c r="H41" s="14">
        <f>VLOOKUP($A41,'Onsite Role Distribution'!$B$13:$G$17,2,FALSE)</f>
        <v>1</v>
      </c>
      <c r="I41" s="14">
        <f>VLOOKUP($A41,'Onsite Role Distribution'!$B$13:$G$17,2,FALSE)</f>
        <v>1</v>
      </c>
      <c r="J41" s="14">
        <f>VLOOKUP($A41,'Onsite Role Distribution'!$B$13:$G$17,2,FALSE)</f>
        <v>1</v>
      </c>
      <c r="K41" s="14">
        <f>VLOOKUP($A41,'Onsite Role Distribution'!$B$13:$G$17,2,FALSE)</f>
        <v>1</v>
      </c>
      <c r="L41" s="14">
        <f>VLOOKUP($A41,'Onsite Role Distribution'!$B$13:$G$17,2,FALSE)</f>
        <v>1</v>
      </c>
      <c r="M41" s="14">
        <f>VLOOKUP($A41,'Onsite Role Distribution'!$B$13:$G$17,2,FALSE)</f>
        <v>1</v>
      </c>
      <c r="N41" s="14">
        <f>VLOOKUP($A41,'Onsite Role Distribution'!$B$13:$G$17,2,FALSE)</f>
        <v>1</v>
      </c>
      <c r="O41" s="14">
        <f>VLOOKUP($A41,'Onsite Role Distribution'!$B$13:$G$17,2,FALSE)</f>
        <v>1</v>
      </c>
      <c r="P41" s="6">
        <f>VLOOKUP($A41,'Onsite Role Distribution'!$B$13:$G$17,3,FALSE)</f>
        <v>0</v>
      </c>
      <c r="Q41" s="6">
        <f>VLOOKUP($A41,'Onsite Role Distribution'!$B$13:$G$17,3,FALSE)</f>
        <v>0</v>
      </c>
      <c r="R41" s="6">
        <f>VLOOKUP($A41,'Onsite Role Distribution'!$B$13:$G$17,3,FALSE)</f>
        <v>0</v>
      </c>
      <c r="S41" s="6">
        <f>VLOOKUP($A41,'Onsite Role Distribution'!$B$13:$G$17,3,FALSE)</f>
        <v>0</v>
      </c>
      <c r="T41" s="6">
        <f>VLOOKUP($A41,'Onsite Role Distribution'!$B$13:$G$17,3,FALSE)</f>
        <v>0</v>
      </c>
      <c r="U41" s="6">
        <f>VLOOKUP($A41,'Onsite Role Distribution'!$B$13:$G$17,3,FALSE)</f>
        <v>0</v>
      </c>
      <c r="V41" s="6">
        <f>VLOOKUP($A41,'Onsite Role Distribution'!$B$13:$G$17,3,FALSE)</f>
        <v>0</v>
      </c>
      <c r="W41" s="6">
        <f>VLOOKUP($A41,'Onsite Role Distribution'!$B$13:$G$17,3,FALSE)</f>
        <v>0</v>
      </c>
      <c r="X41" s="6">
        <f>VLOOKUP($A41,'Onsite Role Distribution'!$B$13:$G$17,3,FALSE)</f>
        <v>0</v>
      </c>
      <c r="Y41" s="6">
        <f>VLOOKUP($A41,'Onsite Role Distribution'!$B$13:$G$17,3,FALSE)</f>
        <v>0</v>
      </c>
      <c r="Z41" s="6">
        <f>VLOOKUP($A41,'Onsite Role Distribution'!$B$13:$G$17,3,FALSE)</f>
        <v>0</v>
      </c>
      <c r="AA41" s="6">
        <f>VLOOKUP($A41,'Onsite Role Distribution'!$B$13:$G$17,3,FALSE)</f>
        <v>0</v>
      </c>
      <c r="AB41" s="15">
        <f>VLOOKUP($A41,'Onsite Role Distribution'!$B$13:$G$17,4,FALSE)</f>
        <v>0</v>
      </c>
      <c r="AC41" s="15">
        <f>VLOOKUP($A41,'Onsite Role Distribution'!$B$13:$G$17,4,FALSE)</f>
        <v>0</v>
      </c>
      <c r="AD41" s="15">
        <f>VLOOKUP($A41,'Onsite Role Distribution'!$B$13:$G$17,4,FALSE)</f>
        <v>0</v>
      </c>
      <c r="AE41" s="15">
        <f>VLOOKUP($A41,'Onsite Role Distribution'!$B$13:$G$17,4,FALSE)</f>
        <v>0</v>
      </c>
      <c r="AF41" s="15">
        <f>VLOOKUP($A41,'Onsite Role Distribution'!$B$13:$G$17,4,FALSE)</f>
        <v>0</v>
      </c>
      <c r="AG41" s="15">
        <f>VLOOKUP($A41,'Onsite Role Distribution'!$B$13:$G$17,4,FALSE)</f>
        <v>0</v>
      </c>
      <c r="AH41" s="15">
        <f>VLOOKUP($A41,'Onsite Role Distribution'!$B$13:$G$17,4,FALSE)</f>
        <v>0</v>
      </c>
      <c r="AI41" s="15">
        <f>VLOOKUP($A41,'Onsite Role Distribution'!$B$13:$G$17,4,FALSE)</f>
        <v>0</v>
      </c>
      <c r="AJ41" s="15">
        <f>VLOOKUP($A41,'Onsite Role Distribution'!$B$13:$G$17,4,FALSE)</f>
        <v>0</v>
      </c>
      <c r="AK41" s="15">
        <f>VLOOKUP($A41,'Onsite Role Distribution'!$B$13:$G$17,4,FALSE)</f>
        <v>0</v>
      </c>
      <c r="AL41" s="15">
        <f>VLOOKUP($A41,'Onsite Role Distribution'!$B$13:$G$17,4,FALSE)</f>
        <v>0</v>
      </c>
      <c r="AM41" s="15">
        <f>VLOOKUP($A41,'Onsite Role Distribution'!$B$13:$G$17,4,FALSE)</f>
        <v>0</v>
      </c>
      <c r="AN41" s="16">
        <f>VLOOKUP($A41,'Onsite Role Distribution'!$B$13:$G$17,5,FALSE)</f>
        <v>0</v>
      </c>
      <c r="AO41" s="16">
        <f>VLOOKUP($A41,'Onsite Role Distribution'!$B$13:$G$17,5,FALSE)</f>
        <v>0</v>
      </c>
      <c r="AP41" s="16">
        <f>VLOOKUP($A41,'Onsite Role Distribution'!$B$13:$G$17,5,FALSE)</f>
        <v>0</v>
      </c>
      <c r="AQ41" s="16">
        <f>VLOOKUP($A41,'Onsite Role Distribution'!$B$13:$G$17,5,FALSE)</f>
        <v>0</v>
      </c>
      <c r="AR41" s="16">
        <f>VLOOKUP($A41,'Onsite Role Distribution'!$B$13:$G$17,5,FALSE)</f>
        <v>0</v>
      </c>
      <c r="AS41" s="16">
        <f>VLOOKUP($A41,'Onsite Role Distribution'!$B$13:$G$17,5,FALSE)</f>
        <v>0</v>
      </c>
      <c r="AT41" s="16">
        <f>VLOOKUP($A41,'Onsite Role Distribution'!$B$13:$G$17,5,FALSE)</f>
        <v>0</v>
      </c>
      <c r="AU41" s="16">
        <f>VLOOKUP($A41,'Onsite Role Distribution'!$B$13:$G$17,5,FALSE)</f>
        <v>0</v>
      </c>
      <c r="AV41" s="16">
        <f>VLOOKUP($A41,'Onsite Role Distribution'!$B$13:$G$17,5,FALSE)</f>
        <v>0</v>
      </c>
      <c r="AW41" s="16">
        <f>VLOOKUP($A41,'Onsite Role Distribution'!$B$13:$G$17,5,FALSE)</f>
        <v>0</v>
      </c>
      <c r="AX41" s="16">
        <f>VLOOKUP($A41,'Onsite Role Distribution'!$B$13:$G$17,5,FALSE)</f>
        <v>0</v>
      </c>
      <c r="AY41" s="16">
        <f>VLOOKUP($A41,'Onsite Role Distribution'!$B$13:$G$17,5,FALSE)</f>
        <v>0</v>
      </c>
      <c r="AZ41" s="17">
        <f>VLOOKUP($A41,'Onsite Role Distribution'!$B$13:$G$17,6,FALSE)</f>
        <v>0</v>
      </c>
      <c r="BA41" s="17">
        <f>VLOOKUP($A41,'Onsite Role Distribution'!$B$13:$G$17,6,FALSE)</f>
        <v>0</v>
      </c>
      <c r="BB41" s="17">
        <f>VLOOKUP($A41,'Onsite Role Distribution'!$B$13:$G$17,6,FALSE)</f>
        <v>0</v>
      </c>
      <c r="BC41" s="17">
        <f>VLOOKUP($A41,'Onsite Role Distribution'!$B$13:$G$17,6,FALSE)</f>
        <v>0</v>
      </c>
      <c r="BD41" s="17">
        <f>VLOOKUP($A41,'Onsite Role Distribution'!$B$13:$G$17,6,FALSE)</f>
        <v>0</v>
      </c>
      <c r="BE41" s="17">
        <f>VLOOKUP($A41,'Onsite Role Distribution'!$B$13:$G$17,6,FALSE)</f>
        <v>0</v>
      </c>
      <c r="BF41" s="17">
        <f>VLOOKUP($A41,'Onsite Role Distribution'!$B$13:$G$17,6,FALSE)</f>
        <v>0</v>
      </c>
      <c r="BG41" s="17">
        <f>VLOOKUP($A41,'Onsite Role Distribution'!$B$13:$G$17,6,FALSE)</f>
        <v>0</v>
      </c>
      <c r="BH41" s="17">
        <f>VLOOKUP($A41,'Onsite Role Distribution'!$B$13:$G$17,6,FALSE)</f>
        <v>0</v>
      </c>
      <c r="BI41" s="17">
        <f>VLOOKUP($A41,'Onsite Role Distribution'!$B$13:$G$17,6,FALSE)</f>
        <v>0</v>
      </c>
      <c r="BJ41" s="17">
        <f>VLOOKUP($A41,'Onsite Role Distribution'!$B$13:$G$17,6,FALSE)</f>
        <v>0</v>
      </c>
      <c r="BK41" s="17">
        <f>VLOOKUP($A41,'Onsite Role Distribution'!$B$13:$G$17,6,FALSE)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L28"/>
  <sheetViews>
    <sheetView tabSelected="1" zoomScale="166" zoomScaleNormal="166" workbookViewId="0">
      <selection activeCell="Q3" sqref="Q3"/>
    </sheetView>
  </sheetViews>
  <sheetFormatPr defaultRowHeight="14.5" x14ac:dyDescent="0.35"/>
  <cols>
    <col min="1" max="1" width="19.1796875" customWidth="1"/>
    <col min="2" max="2" width="13" bestFit="1" customWidth="1"/>
    <col min="3" max="3" width="17.26953125" customWidth="1"/>
    <col min="4" max="4" width="19.1796875" customWidth="1"/>
  </cols>
  <sheetData>
    <row r="2" spans="1:64" x14ac:dyDescent="0.35">
      <c r="A2" t="s">
        <v>25</v>
      </c>
      <c r="B2" t="s">
        <v>26</v>
      </c>
      <c r="C2" t="s">
        <v>27</v>
      </c>
      <c r="D2" t="s">
        <v>88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 t="s">
        <v>56</v>
      </c>
      <c r="AH2" t="s">
        <v>57</v>
      </c>
      <c r="AI2" t="s">
        <v>58</v>
      </c>
      <c r="AJ2" t="s">
        <v>59</v>
      </c>
      <c r="AK2" t="s">
        <v>60</v>
      </c>
      <c r="AL2" t="s">
        <v>61</v>
      </c>
      <c r="AM2" t="s">
        <v>62</v>
      </c>
      <c r="AN2" t="s">
        <v>63</v>
      </c>
      <c r="AO2" t="s">
        <v>64</v>
      </c>
      <c r="AP2" t="s">
        <v>65</v>
      </c>
      <c r="AQ2" t="s">
        <v>66</v>
      </c>
      <c r="AR2" t="s">
        <v>67</v>
      </c>
      <c r="AS2" t="s">
        <v>68</v>
      </c>
      <c r="AT2" t="s">
        <v>69</v>
      </c>
      <c r="AU2" t="s">
        <v>70</v>
      </c>
      <c r="AV2" t="s">
        <v>71</v>
      </c>
      <c r="AW2" t="s">
        <v>72</v>
      </c>
      <c r="AX2" t="s">
        <v>73</v>
      </c>
      <c r="AY2" t="s">
        <v>74</v>
      </c>
      <c r="AZ2" t="s">
        <v>75</v>
      </c>
      <c r="BA2" t="s">
        <v>76</v>
      </c>
      <c r="BB2" t="s">
        <v>77</v>
      </c>
      <c r="BC2" t="s">
        <v>78</v>
      </c>
      <c r="BD2" t="s">
        <v>79</v>
      </c>
      <c r="BE2" t="s">
        <v>80</v>
      </c>
      <c r="BF2" t="s">
        <v>81</v>
      </c>
      <c r="BG2" t="s">
        <v>82</v>
      </c>
      <c r="BH2" t="s">
        <v>83</v>
      </c>
      <c r="BI2" t="s">
        <v>84</v>
      </c>
      <c r="BJ2" t="s">
        <v>85</v>
      </c>
      <c r="BK2" t="s">
        <v>86</v>
      </c>
      <c r="BL2" t="s">
        <v>87</v>
      </c>
    </row>
    <row r="3" spans="1:64" x14ac:dyDescent="0.35">
      <c r="A3" t="s">
        <v>13</v>
      </c>
      <c r="B3" t="s">
        <v>12</v>
      </c>
      <c r="C3" t="str">
        <f t="shared" ref="C3:C28" si="0">A3&amp;B3</f>
        <v>BSAIndia</v>
      </c>
      <c r="D3" t="s">
        <v>89</v>
      </c>
      <c r="E3" s="14">
        <f>ROUND(VLOOKUP($C3,RLS!$C$26:$O$31,3, FALSE)*'Unit Distribution'!$B3,0)</f>
        <v>1</v>
      </c>
      <c r="F3" s="14">
        <f>ROUND(VLOOKUP($C3,RLS!$C$26:$O$31,3, FALSE)*'Unit Distribution'!$B3,0)</f>
        <v>1</v>
      </c>
      <c r="G3" s="14">
        <f>ROUND(VLOOKUP($C3,RLS!$C$26:$O$31,3, FALSE)*'Unit Distribution'!$B3,0)</f>
        <v>1</v>
      </c>
      <c r="H3" s="14">
        <f>ROUND(VLOOKUP($C3,RLS!$C$26:$O$31,3, FALSE)*'Unit Distribution'!$B3,0)</f>
        <v>1</v>
      </c>
      <c r="I3" s="14">
        <f>ROUND(VLOOKUP($C3,RLS!$C$26:$O$31,3, FALSE)*'Unit Distribution'!$B3,0)</f>
        <v>1</v>
      </c>
      <c r="J3" s="14">
        <f>ROUND(VLOOKUP($C3,RLS!$C$26:$O$31,3, FALSE)*'Unit Distribution'!$B3,0)</f>
        <v>1</v>
      </c>
      <c r="K3" s="14">
        <f>ROUND(VLOOKUP($C3,RLS!$C$26:$O$31,3, FALSE)*'Unit Distribution'!$B3,0)</f>
        <v>1</v>
      </c>
      <c r="L3" s="14">
        <f>ROUND(VLOOKUP($C3,RLS!$C$26:$O$31,3, FALSE)*'Unit Distribution'!$B3,0)</f>
        <v>1</v>
      </c>
      <c r="M3" s="14">
        <f>ROUND(VLOOKUP($C3,RLS!$C$26:$O$31,3, FALSE)*'Unit Distribution'!$B3,0)</f>
        <v>1</v>
      </c>
      <c r="N3" s="14">
        <f>ROUND(VLOOKUP($C3,RLS!$C$26:$O$31,3, FALSE)*'Unit Distribution'!$B3,0)</f>
        <v>1</v>
      </c>
      <c r="O3" s="14">
        <f>ROUND(VLOOKUP($C3,RLS!$C$26:$O$31,3, FALSE)*'Unit Distribution'!$B3,0)</f>
        <v>1</v>
      </c>
      <c r="P3" s="14">
        <f>ROUND(VLOOKUP($C3,RLS!$C$26:$O$31,3, FALSE)*'Unit Distribution'!$B3,0)</f>
        <v>1</v>
      </c>
      <c r="Q3" s="14"/>
    </row>
    <row r="4" spans="1:64" x14ac:dyDescent="0.35">
      <c r="A4" t="s">
        <v>13</v>
      </c>
      <c r="B4" t="s">
        <v>12</v>
      </c>
      <c r="C4" t="str">
        <f t="shared" si="0"/>
        <v>BSAIndia</v>
      </c>
      <c r="D4" t="s">
        <v>90</v>
      </c>
      <c r="E4" s="14">
        <f>ROUND(VLOOKUP($C4,RLS!$C$26:$O$31,3,FALSE)-E3,0)</f>
        <v>1</v>
      </c>
      <c r="F4" s="14">
        <f>ROUND(VLOOKUP($C4,RLS!$C$26:$O$31,3,FALSE)-F3,0)</f>
        <v>1</v>
      </c>
      <c r="G4" s="14">
        <f>ROUND(VLOOKUP($C4,RLS!$C$26:$O$31,3,FALSE)-G3,0)</f>
        <v>1</v>
      </c>
      <c r="H4" s="14">
        <f>ROUND(VLOOKUP($C4,RLS!$C$26:$O$31,3,FALSE)-H3,0)</f>
        <v>1</v>
      </c>
      <c r="I4" s="14">
        <f>ROUND(VLOOKUP($C4,RLS!$C$26:$O$31,3,FALSE)-I3,0)</f>
        <v>1</v>
      </c>
      <c r="J4" s="14">
        <f>ROUND(VLOOKUP($C4,RLS!$C$26:$O$31,3,FALSE)-J3,0)</f>
        <v>1</v>
      </c>
      <c r="K4" s="14">
        <f>ROUND(VLOOKUP($C4,RLS!$C$26:$O$31,3,FALSE)-K3,0)</f>
        <v>1</v>
      </c>
      <c r="L4" s="14">
        <f>ROUND(VLOOKUP($C4,RLS!$C$26:$O$31,3,FALSE)-L3,0)</f>
        <v>1</v>
      </c>
      <c r="M4" s="14">
        <f>ROUND(VLOOKUP($C4,RLS!$C$26:$O$31,3,FALSE)-M3,0)</f>
        <v>1</v>
      </c>
      <c r="N4" s="14">
        <f>ROUND(VLOOKUP($C4,RLS!$C$26:$O$31,3,FALSE)-N3,0)</f>
        <v>1</v>
      </c>
      <c r="O4" s="14">
        <f>ROUND(VLOOKUP($C4,RLS!$C$26:$O$31,3,FALSE)-O3,0)</f>
        <v>1</v>
      </c>
      <c r="P4" s="14">
        <f>ROUND(VLOOKUP($C4,RLS!$C$26:$O$31,3,FALSE)-P3,0)</f>
        <v>1</v>
      </c>
      <c r="Q4" s="14"/>
    </row>
    <row r="5" spans="1:64" x14ac:dyDescent="0.35">
      <c r="A5" t="s">
        <v>20</v>
      </c>
      <c r="B5" t="s">
        <v>12</v>
      </c>
      <c r="C5" t="str">
        <f t="shared" si="0"/>
        <v>DevIndia</v>
      </c>
      <c r="D5" t="s">
        <v>89</v>
      </c>
      <c r="E5" s="14">
        <f>ROUND(VLOOKUP($C5,RLS!$C$26:$O$31,3, FALSE)*'Unit Distribution'!$B3,0)</f>
        <v>2</v>
      </c>
      <c r="F5" s="14">
        <f>ROUND(VLOOKUP($C5,RLS!$C$26:$O$31,3, FALSE)*'Unit Distribution'!$B3,0)</f>
        <v>2</v>
      </c>
      <c r="G5" s="14">
        <f>ROUND(VLOOKUP($C5,RLS!$C$26:$O$31,3, FALSE)*'Unit Distribution'!$B3,0)</f>
        <v>2</v>
      </c>
      <c r="H5" s="14">
        <f>ROUND(VLOOKUP($C5,RLS!$C$26:$O$31,3, FALSE)*'Unit Distribution'!$B3,0)</f>
        <v>2</v>
      </c>
      <c r="I5" s="14">
        <f>ROUND(VLOOKUP($C5,RLS!$C$26:$O$31,3, FALSE)*'Unit Distribution'!$B3,0)</f>
        <v>2</v>
      </c>
      <c r="J5" s="14">
        <f>ROUND(VLOOKUP($C5,RLS!$C$26:$O$31,3, FALSE)*'Unit Distribution'!$B3,0)</f>
        <v>2</v>
      </c>
      <c r="K5" s="14">
        <f>ROUND(VLOOKUP($C5,RLS!$C$26:$O$31,3, FALSE)*'Unit Distribution'!$B3,0)</f>
        <v>2</v>
      </c>
      <c r="L5" s="14">
        <f>ROUND(VLOOKUP($C5,RLS!$C$26:$O$31,3, FALSE)*'Unit Distribution'!$B3,0)</f>
        <v>2</v>
      </c>
      <c r="M5" s="14">
        <f>ROUND(VLOOKUP($C5,RLS!$C$26:$O$31,3, FALSE)*'Unit Distribution'!$B3,0)</f>
        <v>2</v>
      </c>
      <c r="N5" s="14">
        <f>ROUND(VLOOKUP($C5,RLS!$C$26:$O$31,3, FALSE)*'Unit Distribution'!$B3,0)</f>
        <v>2</v>
      </c>
      <c r="O5" s="14">
        <f>ROUND(VLOOKUP($C5,RLS!$C$26:$O$31,3, FALSE)*'Unit Distribution'!$B3,0)</f>
        <v>2</v>
      </c>
      <c r="P5" s="14">
        <f>ROUND(VLOOKUP($C5,RLS!$C$26:$O$31,3, FALSE)*'Unit Distribution'!$B3,0)</f>
        <v>2</v>
      </c>
      <c r="Q5" s="14"/>
    </row>
    <row r="6" spans="1:64" x14ac:dyDescent="0.35">
      <c r="A6" t="s">
        <v>20</v>
      </c>
      <c r="B6" t="s">
        <v>12</v>
      </c>
      <c r="C6" t="str">
        <f t="shared" si="0"/>
        <v>DevIndia</v>
      </c>
      <c r="D6" t="s">
        <v>90</v>
      </c>
      <c r="E6" s="14">
        <f>ROUND(VLOOKUP($C6,RLS!$C$26:$O$31,3,FALSE)-E5,2)</f>
        <v>6</v>
      </c>
      <c r="F6" s="14">
        <f>ROUND(VLOOKUP($C6,RLS!$C$26:$O$31,3,FALSE)-F5,2)</f>
        <v>6</v>
      </c>
      <c r="G6" s="14">
        <f>ROUND(VLOOKUP($C6,RLS!$C$26:$O$31,3,FALSE)-G5,2)</f>
        <v>6</v>
      </c>
      <c r="H6" s="14">
        <f>ROUND(VLOOKUP($C6,RLS!$C$26:$O$31,3,FALSE)-H5,2)</f>
        <v>6</v>
      </c>
      <c r="I6" s="14">
        <f>ROUND(VLOOKUP($C6,RLS!$C$26:$O$31,3,FALSE)-I5,2)</f>
        <v>6</v>
      </c>
      <c r="J6" s="14">
        <f>ROUND(VLOOKUP($C6,RLS!$C$26:$O$31,3,FALSE)-J5,2)</f>
        <v>6</v>
      </c>
      <c r="K6" s="14">
        <f>ROUND(VLOOKUP($C6,RLS!$C$26:$O$31,3,FALSE)-K5,2)</f>
        <v>6</v>
      </c>
      <c r="L6" s="14">
        <f>ROUND(VLOOKUP($C6,RLS!$C$26:$O$31,3,FALSE)-L5,2)</f>
        <v>6</v>
      </c>
      <c r="M6" s="14">
        <f>ROUND(VLOOKUP($C6,RLS!$C$26:$O$31,3,FALSE)-M5,2)</f>
        <v>6</v>
      </c>
      <c r="N6" s="14">
        <f>ROUND(VLOOKUP($C6,RLS!$C$26:$O$31,3,FALSE)-N5,2)</f>
        <v>6</v>
      </c>
      <c r="O6" s="14">
        <f>ROUND(VLOOKUP($C6,RLS!$C$26:$O$31,3,FALSE)-O5,2)</f>
        <v>6</v>
      </c>
      <c r="P6" s="14">
        <f>ROUND(VLOOKUP($C6,RLS!$C$26:$O$31,3,FALSE)-P5,2)</f>
        <v>6</v>
      </c>
      <c r="Q6" s="14"/>
    </row>
    <row r="7" spans="1:64" x14ac:dyDescent="0.35">
      <c r="A7" t="s">
        <v>15</v>
      </c>
      <c r="B7" t="s">
        <v>12</v>
      </c>
      <c r="C7" t="str">
        <f t="shared" si="0"/>
        <v>TesterIndia</v>
      </c>
      <c r="D7" t="s">
        <v>89</v>
      </c>
      <c r="E7" s="14">
        <f>ROUND(VLOOKUP($C7,RLS!$C$26:$O$31,3, FALSE)*'Unit Distribution'!$B3,0)</f>
        <v>1</v>
      </c>
      <c r="F7" s="14">
        <f>ROUND(VLOOKUP($C7,RLS!$C$26:$O$31,3, FALSE)*'Unit Distribution'!$B3,0)</f>
        <v>1</v>
      </c>
      <c r="G7" s="14">
        <f>ROUND(VLOOKUP($C7,RLS!$C$26:$O$31,3, FALSE)*'Unit Distribution'!$B3,0)</f>
        <v>1</v>
      </c>
      <c r="H7" s="14">
        <f>ROUND(VLOOKUP($C7,RLS!$C$26:$O$31,3, FALSE)*'Unit Distribution'!$B3,0)</f>
        <v>1</v>
      </c>
      <c r="I7" s="14">
        <f>ROUND(VLOOKUP($C7,RLS!$C$26:$O$31,3, FALSE)*'Unit Distribution'!$B3,0)</f>
        <v>1</v>
      </c>
      <c r="J7" s="14">
        <f>ROUND(VLOOKUP($C7,RLS!$C$26:$O$31,3, FALSE)*'Unit Distribution'!$B3,0)</f>
        <v>1</v>
      </c>
      <c r="K7" s="14">
        <f>ROUND(VLOOKUP($C7,RLS!$C$26:$O$31,3, FALSE)*'Unit Distribution'!$B3,0)</f>
        <v>1</v>
      </c>
      <c r="L7" s="14">
        <f>ROUND(VLOOKUP($C7,RLS!$C$26:$O$31,3, FALSE)*'Unit Distribution'!$B3,0)</f>
        <v>1</v>
      </c>
      <c r="M7" s="14">
        <f>ROUND(VLOOKUP($C7,RLS!$C$26:$O$31,3, FALSE)*'Unit Distribution'!$B3,0)</f>
        <v>1</v>
      </c>
      <c r="N7" s="14">
        <f>ROUND(VLOOKUP($C7,RLS!$C$26:$O$31,3, FALSE)*'Unit Distribution'!$B3,0)</f>
        <v>1</v>
      </c>
      <c r="O7" s="14">
        <f>ROUND(VLOOKUP($C7,RLS!$C$26:$O$31,3, FALSE)*'Unit Distribution'!$B3,0)</f>
        <v>1</v>
      </c>
      <c r="P7" s="14">
        <f>ROUND(VLOOKUP($C7,RLS!$C$26:$O$31,3, FALSE)*'Unit Distribution'!$B3,0)</f>
        <v>1</v>
      </c>
      <c r="Q7" s="14"/>
    </row>
    <row r="8" spans="1:64" x14ac:dyDescent="0.35">
      <c r="A8" t="s">
        <v>15</v>
      </c>
      <c r="B8" t="s">
        <v>12</v>
      </c>
      <c r="C8" t="str">
        <f t="shared" si="0"/>
        <v>TesterIndia</v>
      </c>
      <c r="D8" t="s">
        <v>90</v>
      </c>
      <c r="E8" s="14">
        <f>ROUND(VLOOKUP($C8,RLS!$C$26:$O$31,3,FALSE)-E7,0)</f>
        <v>3</v>
      </c>
      <c r="F8" s="14">
        <f>ROUND(VLOOKUP($C8,RLS!$C$26:$O$31,3,FALSE)-F7,0)</f>
        <v>3</v>
      </c>
      <c r="G8" s="14">
        <f>ROUND(VLOOKUP($C8,RLS!$C$26:$O$31,3,FALSE)-G7,0)</f>
        <v>3</v>
      </c>
      <c r="H8" s="14">
        <f>ROUND(VLOOKUP($C8,RLS!$C$26:$O$31,3,FALSE)-H7,0)</f>
        <v>3</v>
      </c>
      <c r="I8" s="14">
        <f>ROUND(VLOOKUP($C8,RLS!$C$26:$O$31,3,FALSE)-I7,0)</f>
        <v>3</v>
      </c>
      <c r="J8" s="14">
        <f>ROUND(VLOOKUP($C8,RLS!$C$26:$O$31,3,FALSE)-J7,0)</f>
        <v>3</v>
      </c>
      <c r="K8" s="14">
        <f>ROUND(VLOOKUP($C8,RLS!$C$26:$O$31,3,FALSE)-K7,0)</f>
        <v>3</v>
      </c>
      <c r="L8" s="14">
        <f>ROUND(VLOOKUP($C8,RLS!$C$26:$O$31,3,FALSE)-L7,0)</f>
        <v>3</v>
      </c>
      <c r="M8" s="14">
        <f>ROUND(VLOOKUP($C8,RLS!$C$26:$O$31,3,FALSE)-M7,0)</f>
        <v>3</v>
      </c>
      <c r="N8" s="14">
        <f>ROUND(VLOOKUP($C8,RLS!$C$26:$O$31,3,FALSE)-N7,0)</f>
        <v>3</v>
      </c>
      <c r="O8" s="14">
        <f>ROUND(VLOOKUP($C8,RLS!$C$26:$O$31,3,FALSE)-O7,0)</f>
        <v>3</v>
      </c>
      <c r="P8" s="14">
        <f>ROUND(VLOOKUP($C8,RLS!$C$26:$O$31,3,FALSE)-P7,0)</f>
        <v>3</v>
      </c>
      <c r="Q8" s="14"/>
    </row>
    <row r="9" spans="1:64" x14ac:dyDescent="0.35">
      <c r="A9" t="s">
        <v>16</v>
      </c>
      <c r="B9" t="s">
        <v>12</v>
      </c>
      <c r="C9" t="str">
        <f t="shared" si="0"/>
        <v>MaintenanceIndia</v>
      </c>
      <c r="D9" t="s">
        <v>94</v>
      </c>
      <c r="E9" s="14">
        <f>ROUND(VLOOKUP($C9,RLS!$C$26:$O$31,3, FALSE),0)</f>
        <v>5</v>
      </c>
      <c r="F9" s="14">
        <f>ROUND(VLOOKUP($C9,RLS!$C$26:$O$31,3, FALSE),0)</f>
        <v>5</v>
      </c>
      <c r="G9" s="14">
        <f>ROUND(VLOOKUP($C9,RLS!$C$26:$O$31,3, FALSE),0)</f>
        <v>5</v>
      </c>
      <c r="H9" s="14">
        <f>ROUND(VLOOKUP($C9,RLS!$C$26:$O$31,3, FALSE),0)</f>
        <v>5</v>
      </c>
      <c r="I9" s="14">
        <f>ROUND(VLOOKUP($C9,RLS!$C$26:$O$31,3, FALSE),0)</f>
        <v>5</v>
      </c>
      <c r="J9" s="14">
        <f>ROUND(VLOOKUP($C9,RLS!$C$26:$O$31,3, FALSE),0)</f>
        <v>5</v>
      </c>
      <c r="K9" s="14">
        <f>ROUND(VLOOKUP($C9,RLS!$C$26:$O$31,3, FALSE),0)</f>
        <v>5</v>
      </c>
      <c r="L9" s="14">
        <f>ROUND(VLOOKUP($C9,RLS!$C$26:$O$31,3, FALSE),0)</f>
        <v>5</v>
      </c>
      <c r="M9" s="14">
        <f>ROUND(VLOOKUP($C9,RLS!$C$26:$O$31,3, FALSE),0)</f>
        <v>5</v>
      </c>
      <c r="N9" s="14">
        <f>ROUND(VLOOKUP($C9,RLS!$C$26:$O$31,3, FALSE),0)</f>
        <v>5</v>
      </c>
      <c r="O9" s="14">
        <f>ROUND(VLOOKUP($C9,RLS!$C$26:$O$31,3, FALSE),0)</f>
        <v>5</v>
      </c>
      <c r="P9" s="14">
        <f>ROUND(VLOOKUP($C9,RLS!$C$26:$O$31,4, FALSE),0)</f>
        <v>5</v>
      </c>
      <c r="Q9" s="14"/>
    </row>
    <row r="10" spans="1:64" x14ac:dyDescent="0.35">
      <c r="A10" t="s">
        <v>17</v>
      </c>
      <c r="B10" t="s">
        <v>12</v>
      </c>
      <c r="C10" t="str">
        <f t="shared" si="0"/>
        <v>PMIndia</v>
      </c>
      <c r="D10" t="s">
        <v>93</v>
      </c>
      <c r="E10" s="14">
        <f>ROUND(VLOOKUP($C10,RLS!$C$26:$O$31,3, FALSE),0)</f>
        <v>2</v>
      </c>
      <c r="F10" s="14">
        <f>ROUND(VLOOKUP($C10,RLS!$C$26:$O$31,3, FALSE),0)</f>
        <v>2</v>
      </c>
      <c r="G10" s="14">
        <f>ROUND(VLOOKUP($C10,RLS!$C$26:$O$31,3, FALSE),0)</f>
        <v>2</v>
      </c>
      <c r="H10" s="14">
        <f>ROUND(VLOOKUP($C10,RLS!$C$26:$O$31,3, FALSE),0)</f>
        <v>2</v>
      </c>
      <c r="I10" s="14">
        <f>ROUND(VLOOKUP($C10,RLS!$C$26:$O$31,3, FALSE),0)</f>
        <v>2</v>
      </c>
      <c r="J10" s="14">
        <f>ROUND(VLOOKUP($C10,RLS!$C$26:$O$31,3, FALSE),0)</f>
        <v>2</v>
      </c>
      <c r="K10" s="14">
        <f>ROUND(VLOOKUP($C10,RLS!$C$26:$O$31,3, FALSE),0)</f>
        <v>2</v>
      </c>
      <c r="L10" s="14">
        <f>ROUND(VLOOKUP($C10,RLS!$C$26:$O$31,3, FALSE),0)</f>
        <v>2</v>
      </c>
      <c r="M10" s="14">
        <f>ROUND(VLOOKUP($C10,RLS!$C$26:$O$31,3, FALSE),0)</f>
        <v>2</v>
      </c>
      <c r="N10" s="14">
        <f>ROUND(VLOOKUP($C10,RLS!$C$26:$O$31,3, FALSE),0)</f>
        <v>2</v>
      </c>
      <c r="O10" s="14">
        <f>ROUND(VLOOKUP($C10,RLS!$C$26:$O$31,3, FALSE),0)</f>
        <v>2</v>
      </c>
      <c r="P10" s="14">
        <f>ROUND(VLOOKUP($C10,RLS!$C$26:$O$31,3, FALSE),0)</f>
        <v>2</v>
      </c>
      <c r="Q10" s="14"/>
    </row>
    <row r="11" spans="1:64" x14ac:dyDescent="0.35">
      <c r="A11" t="s">
        <v>19</v>
      </c>
      <c r="B11" t="s">
        <v>12</v>
      </c>
      <c r="C11" t="str">
        <f t="shared" si="0"/>
        <v>LeadIndia</v>
      </c>
      <c r="D11" t="s">
        <v>89</v>
      </c>
      <c r="E11" s="14">
        <f>ROUND(VLOOKUP($C11,RLS!$C$26:$O$31,3, FALSE)*'Unit Distribution'!$B3,0)</f>
        <v>1</v>
      </c>
      <c r="F11" s="14">
        <f>ROUND(VLOOKUP($C11,RLS!$C$26:$O$31,3, FALSE)*'Unit Distribution'!$B3,0)</f>
        <v>1</v>
      </c>
      <c r="G11" s="14">
        <f>ROUND(VLOOKUP($C11,RLS!$C$26:$O$31,3, FALSE)*'Unit Distribution'!$B3,0)</f>
        <v>1</v>
      </c>
      <c r="H11" s="14">
        <f>ROUND(VLOOKUP($C11,RLS!$C$26:$O$31,3, FALSE)*'Unit Distribution'!$B3,0)</f>
        <v>1</v>
      </c>
      <c r="I11" s="14">
        <f>ROUND(VLOOKUP($C11,RLS!$C$26:$O$31,3, FALSE)*'Unit Distribution'!$B3,0)</f>
        <v>1</v>
      </c>
      <c r="J11" s="14">
        <f>ROUND(VLOOKUP($C11,RLS!$C$26:$O$31,3, FALSE)*'Unit Distribution'!$B3,0)</f>
        <v>1</v>
      </c>
      <c r="K11" s="14">
        <f>ROUND(VLOOKUP($C11,RLS!$C$26:$O$31,3, FALSE)*'Unit Distribution'!$B3,0)</f>
        <v>1</v>
      </c>
      <c r="L11" s="14">
        <f>ROUND(VLOOKUP($C11,RLS!$C$26:$O$31,3, FALSE)*'Unit Distribution'!$B3,0)</f>
        <v>1</v>
      </c>
      <c r="M11" s="14">
        <f>ROUND(VLOOKUP($C11,RLS!$C$26:$O$31,3, FALSE)*'Unit Distribution'!$B3,0)</f>
        <v>1</v>
      </c>
      <c r="N11" s="14">
        <f>ROUND(VLOOKUP($C11,RLS!$C$26:$O$31,3, FALSE)*'Unit Distribution'!$B3,0)</f>
        <v>1</v>
      </c>
      <c r="O11" s="14">
        <f>ROUND(VLOOKUP($C11,RLS!$C$26:$O$31,3, FALSE)*'Unit Distribution'!$B3,0)</f>
        <v>1</v>
      </c>
      <c r="P11" s="14">
        <f>ROUND(VLOOKUP($C11,RLS!$C$26:$O$31,3, FALSE)*'Unit Distribution'!$B3,0)</f>
        <v>1</v>
      </c>
      <c r="Q11" s="14"/>
    </row>
    <row r="12" spans="1:64" x14ac:dyDescent="0.35">
      <c r="A12" t="s">
        <v>19</v>
      </c>
      <c r="B12" t="s">
        <v>12</v>
      </c>
      <c r="C12" t="str">
        <f t="shared" ref="C12" si="1">A12&amp;B12</f>
        <v>LeadIndia</v>
      </c>
      <c r="D12" t="s">
        <v>90</v>
      </c>
      <c r="E12" s="14">
        <f>ROUND(VLOOKUP($C12,RLS!$C$26:$O$31,3, FALSE)*'Unit Distribution'!$B4,0)</f>
        <v>1</v>
      </c>
      <c r="F12" s="14">
        <f>ROUND(VLOOKUP($C12,RLS!$C$26:$O$31,3, FALSE)*'Unit Distribution'!$B4,0)</f>
        <v>1</v>
      </c>
      <c r="G12" s="14">
        <f>ROUND(VLOOKUP($C12,RLS!$C$26:$O$31,3, FALSE)*'Unit Distribution'!$B4,0)</f>
        <v>1</v>
      </c>
      <c r="H12" s="14">
        <f>ROUND(VLOOKUP($C12,RLS!$C$26:$O$31,3, FALSE)*'Unit Distribution'!$B4,0)</f>
        <v>1</v>
      </c>
      <c r="I12" s="14">
        <f>ROUND(VLOOKUP($C12,RLS!$C$26:$O$31,3, FALSE)*'Unit Distribution'!$B4,0)</f>
        <v>1</v>
      </c>
      <c r="J12" s="14">
        <f>ROUND(VLOOKUP($C12,RLS!$C$26:$O$31,3, FALSE)*'Unit Distribution'!$B4,0)</f>
        <v>1</v>
      </c>
      <c r="K12" s="14">
        <f>ROUND(VLOOKUP($C12,RLS!$C$26:$O$31,3, FALSE)*'Unit Distribution'!$B4,0)</f>
        <v>1</v>
      </c>
      <c r="L12" s="14">
        <f>ROUND(VLOOKUP($C12,RLS!$C$26:$O$31,3, FALSE)*'Unit Distribution'!$B4,0)</f>
        <v>1</v>
      </c>
      <c r="M12" s="14">
        <f>ROUND(VLOOKUP($C12,RLS!$C$26:$O$31,3, FALSE)*'Unit Distribution'!$B4,0)</f>
        <v>1</v>
      </c>
      <c r="N12" s="14">
        <f>ROUND(VLOOKUP($C12,RLS!$C$26:$O$31,3, FALSE)*'Unit Distribution'!$B4,0)</f>
        <v>1</v>
      </c>
      <c r="O12" s="14">
        <f>ROUND(VLOOKUP($C12,RLS!$C$26:$O$31,3, FALSE)*'Unit Distribution'!$B4,0)</f>
        <v>1</v>
      </c>
      <c r="P12" s="14">
        <f>ROUND(VLOOKUP($C12,RLS!$C$26:$O$31,3, FALSE)*'Unit Distribution'!$B4,0)</f>
        <v>1</v>
      </c>
      <c r="Q12" s="14"/>
    </row>
    <row r="13" spans="1:64" x14ac:dyDescent="0.35">
      <c r="A13" t="s">
        <v>13</v>
      </c>
      <c r="B13" t="s">
        <v>9</v>
      </c>
      <c r="C13" t="str">
        <f t="shared" si="0"/>
        <v>BSAOnsite</v>
      </c>
      <c r="D13" t="s">
        <v>89</v>
      </c>
      <c r="E13" s="14">
        <f>ROUND(VLOOKUP($C13,RLS!$C$32:$O$36,3, FALSE)*'Unit Distribution'!$B$3,0)</f>
        <v>1</v>
      </c>
      <c r="F13" s="14">
        <f>ROUND(VLOOKUP($C13,RLS!$C$32:$O$36,3, FALSE)*'Unit Distribution'!$B$3,0)</f>
        <v>1</v>
      </c>
      <c r="G13" s="14">
        <f>ROUND(VLOOKUP($C13,RLS!$C$32:$O$36,3, FALSE)*'Unit Distribution'!$B$3,0)</f>
        <v>1</v>
      </c>
      <c r="H13" s="14">
        <f>ROUND(VLOOKUP($C13,RLS!$C$32:$O$36,3, FALSE)*'Unit Distribution'!$B$3,0)</f>
        <v>1</v>
      </c>
      <c r="I13" s="14">
        <f>ROUND(VLOOKUP($C13,RLS!$C$32:$O$36,3, FALSE)*'Unit Distribution'!$B$3,0)</f>
        <v>1</v>
      </c>
      <c r="J13" s="14">
        <f>ROUND(VLOOKUP($C13,RLS!$C$32:$O$36,3, FALSE)*'Unit Distribution'!$B$3,0)</f>
        <v>1</v>
      </c>
      <c r="K13" s="14">
        <f>ROUND(VLOOKUP($C13,RLS!$C$32:$O$36,3, FALSE)*'Unit Distribution'!$B$3,0)</f>
        <v>1</v>
      </c>
      <c r="L13" s="14">
        <f>ROUND(VLOOKUP($C13,RLS!$C$32:$O$36,3, FALSE)*'Unit Distribution'!$B$3,0)</f>
        <v>1</v>
      </c>
      <c r="M13" s="14">
        <f>ROUND(VLOOKUP($C13,RLS!$C$32:$O$36,3, FALSE)*'Unit Distribution'!$B$3,0)</f>
        <v>1</v>
      </c>
      <c r="N13" s="14">
        <f>ROUND(VLOOKUP($C13,RLS!$C$32:$O$36,3, FALSE)*'Unit Distribution'!$B$3,0)</f>
        <v>1</v>
      </c>
      <c r="O13" s="14">
        <f>ROUND(VLOOKUP($C13,RLS!$C$32:$O$36,3, FALSE)*'Unit Distribution'!$B$3,0)</f>
        <v>1</v>
      </c>
      <c r="P13" s="14">
        <f>ROUND(VLOOKUP($C13,RLS!$C$32:$O$36,3, FALSE)*'Unit Distribution'!$B$3,0)</f>
        <v>1</v>
      </c>
      <c r="Q13" s="14"/>
    </row>
    <row r="14" spans="1:64" x14ac:dyDescent="0.35">
      <c r="A14" t="s">
        <v>13</v>
      </c>
      <c r="B14" t="s">
        <v>9</v>
      </c>
      <c r="C14" t="str">
        <f t="shared" si="0"/>
        <v>BSAOnsite</v>
      </c>
      <c r="D14" t="s">
        <v>90</v>
      </c>
      <c r="E14" s="14">
        <f>ROUND(VLOOKUP($C14,RLS!$C$32:$O$36,3,FALSE)-E13,0)</f>
        <v>1</v>
      </c>
      <c r="F14" s="14">
        <f>ROUND(VLOOKUP($C14,RLS!$C$32:$O$36,3,FALSE)-F13,0)</f>
        <v>1</v>
      </c>
      <c r="G14" s="14">
        <f>ROUND(VLOOKUP($C14,RLS!$C$32:$O$36,3,FALSE)-G13,0)</f>
        <v>1</v>
      </c>
      <c r="H14" s="14">
        <f>ROUND(VLOOKUP($C14,RLS!$C$32:$O$36,3,FALSE)-H13,0)</f>
        <v>1</v>
      </c>
      <c r="I14" s="14">
        <f>ROUND(VLOOKUP($C14,RLS!$C$32:$O$36,3,FALSE)-I13,0)</f>
        <v>1</v>
      </c>
      <c r="J14" s="14">
        <f>ROUND(VLOOKUP($C14,RLS!$C$32:$O$36,3,FALSE)-J13,0)</f>
        <v>1</v>
      </c>
      <c r="K14" s="14">
        <f>ROUND(VLOOKUP($C14,RLS!$C$32:$O$36,3,FALSE)-K13,0)</f>
        <v>1</v>
      </c>
      <c r="L14" s="14">
        <f>ROUND(VLOOKUP($C14,RLS!$C$32:$O$36,3,FALSE)-L13,0)</f>
        <v>1</v>
      </c>
      <c r="M14" s="14">
        <f>ROUND(VLOOKUP($C14,RLS!$C$32:$O$36,3,FALSE)-M13,0)</f>
        <v>1</v>
      </c>
      <c r="N14" s="14">
        <f>ROUND(VLOOKUP($C14,RLS!$C$32:$O$36,3,FALSE)-N13,0)</f>
        <v>1</v>
      </c>
      <c r="O14" s="14">
        <f>ROUND(VLOOKUP($C14,RLS!$C$32:$O$36,3,FALSE)-O13,0)</f>
        <v>1</v>
      </c>
      <c r="P14" s="14">
        <f>ROUND(VLOOKUP($C14,RLS!$C$32:$O$36,3,FALSE)-P13,0)</f>
        <v>1</v>
      </c>
      <c r="Q14" s="14"/>
    </row>
    <row r="15" spans="1:64" x14ac:dyDescent="0.35">
      <c r="A15" t="s">
        <v>20</v>
      </c>
      <c r="B15" t="s">
        <v>9</v>
      </c>
      <c r="C15" t="str">
        <f t="shared" si="0"/>
        <v>DevOnsite</v>
      </c>
      <c r="D15" t="s">
        <v>89</v>
      </c>
      <c r="E15" s="14">
        <f>ROUND(VLOOKUP($C15,RLS!$C$32:$O$36,3, FALSE)*'Unit Distribution'!$B$3,0)</f>
        <v>1</v>
      </c>
      <c r="F15" s="14">
        <f>ROUND(VLOOKUP($C15,RLS!$C$32:$O$36,3, FALSE)*'Unit Distribution'!$B$3,0)</f>
        <v>1</v>
      </c>
      <c r="G15" s="14">
        <f>ROUND(VLOOKUP($C15,RLS!$C$32:$O$36,3, FALSE)*'Unit Distribution'!$B$3,0)</f>
        <v>1</v>
      </c>
      <c r="H15" s="14">
        <f>ROUND(VLOOKUP($C15,RLS!$C$32:$O$36,3, FALSE)*'Unit Distribution'!$B$3,0)</f>
        <v>1</v>
      </c>
      <c r="I15" s="14">
        <f>ROUND(VLOOKUP($C15,RLS!$C$32:$O$36,3, FALSE)*'Unit Distribution'!$B$3,0)</f>
        <v>1</v>
      </c>
      <c r="J15" s="14">
        <f>ROUND(VLOOKUP($C15,RLS!$C$32:$O$36,3, FALSE)*'Unit Distribution'!$B$3,0)</f>
        <v>1</v>
      </c>
      <c r="K15" s="14">
        <f>ROUND(VLOOKUP($C15,RLS!$C$32:$O$36,3, FALSE)*'Unit Distribution'!$B$3,0)</f>
        <v>1</v>
      </c>
      <c r="L15" s="14">
        <f>ROUND(VLOOKUP($C15,RLS!$C$32:$O$36,3, FALSE)*'Unit Distribution'!$B$3,0)</f>
        <v>1</v>
      </c>
      <c r="M15" s="14">
        <f>ROUND(VLOOKUP($C15,RLS!$C$32:$O$36,3, FALSE)*'Unit Distribution'!$B$3,0)</f>
        <v>1</v>
      </c>
      <c r="N15" s="14">
        <f>ROUND(VLOOKUP($C15,RLS!$C$32:$O$36,3, FALSE)*'Unit Distribution'!$B$3,0)</f>
        <v>1</v>
      </c>
      <c r="O15" s="14">
        <f>ROUND(VLOOKUP($C15,RLS!$C$32:$O$36,3, FALSE)*'Unit Distribution'!$B$3,0)</f>
        <v>1</v>
      </c>
      <c r="P15" s="14">
        <f>ROUND(VLOOKUP($C15,RLS!$C$32:$O$36,3, FALSE)*'Unit Distribution'!$B$3,0)</f>
        <v>1</v>
      </c>
      <c r="Q15" s="14"/>
    </row>
    <row r="16" spans="1:64" x14ac:dyDescent="0.35">
      <c r="A16" t="s">
        <v>20</v>
      </c>
      <c r="B16" t="s">
        <v>9</v>
      </c>
      <c r="C16" t="str">
        <f t="shared" si="0"/>
        <v>DevOnsite</v>
      </c>
      <c r="D16" t="s">
        <v>90</v>
      </c>
      <c r="E16" s="14">
        <f>ROUND(VLOOKUP($C16,RLS!$C$32:$O$36,3,FALSE)-E15,0)</f>
        <v>1</v>
      </c>
      <c r="F16" s="14">
        <f>ROUND(VLOOKUP($C16,RLS!$C$32:$O$36,3,FALSE)-F15,0)</f>
        <v>1</v>
      </c>
      <c r="G16" s="14">
        <f>ROUND(VLOOKUP($C16,RLS!$C$32:$O$36,3,FALSE)-G15,0)</f>
        <v>1</v>
      </c>
      <c r="H16" s="14">
        <f>ROUND(VLOOKUP($C16,RLS!$C$32:$O$36,3,FALSE)-H15,0)</f>
        <v>1</v>
      </c>
      <c r="I16" s="14">
        <f>ROUND(VLOOKUP($C16,RLS!$C$32:$O$36,3,FALSE)-I15,0)</f>
        <v>1</v>
      </c>
      <c r="J16" s="14">
        <f>ROUND(VLOOKUP($C16,RLS!$C$32:$O$36,3,FALSE)-J15,0)</f>
        <v>1</v>
      </c>
      <c r="K16" s="14">
        <f>ROUND(VLOOKUP($C16,RLS!$C$32:$O$36,3,FALSE)-K15,0)</f>
        <v>1</v>
      </c>
      <c r="L16" s="14">
        <f>ROUND(VLOOKUP($C16,RLS!$C$32:$O$36,3,FALSE)-L15,0)</f>
        <v>1</v>
      </c>
      <c r="M16" s="14">
        <f>ROUND(VLOOKUP($C16,RLS!$C$32:$O$36,3,FALSE)-M15,0)</f>
        <v>1</v>
      </c>
      <c r="N16" s="14">
        <f>ROUND(VLOOKUP($C16,RLS!$C$32:$O$36,3,FALSE)-N15,0)</f>
        <v>1</v>
      </c>
      <c r="O16" s="14">
        <f>ROUND(VLOOKUP($C16,RLS!$C$32:$O$36,3,FALSE)-O15,0)</f>
        <v>1</v>
      </c>
      <c r="P16" s="14">
        <f>ROUND(VLOOKUP($C16,RLS!$C$32:$O$36,3,FALSE)-P15,0)</f>
        <v>1</v>
      </c>
      <c r="Q16" s="14"/>
    </row>
    <row r="17" spans="1:17" x14ac:dyDescent="0.35">
      <c r="A17" t="s">
        <v>15</v>
      </c>
      <c r="B17" t="s">
        <v>9</v>
      </c>
      <c r="C17" t="str">
        <f t="shared" si="0"/>
        <v>TesterOnsite</v>
      </c>
      <c r="D17" t="s">
        <v>89</v>
      </c>
      <c r="E17" s="14">
        <f>ROUND(VLOOKUP($C17,RLS!$C$32:$O$36,3, FALSE)*'Unit Distribution'!$B$3,0)</f>
        <v>0</v>
      </c>
      <c r="F17" s="14">
        <f>ROUND(VLOOKUP($C17,RLS!$C$32:$O$36,3, FALSE)*'Unit Distribution'!$B$3,0)</f>
        <v>0</v>
      </c>
      <c r="G17" s="14">
        <f>ROUND(VLOOKUP($C17,RLS!$C$32:$O$36,3, FALSE)*'Unit Distribution'!$B$3,0)</f>
        <v>0</v>
      </c>
      <c r="H17" s="14">
        <f>ROUND(VLOOKUP($C17,RLS!$C$32:$O$36,3, FALSE)*'Unit Distribution'!$B$3,0)</f>
        <v>0</v>
      </c>
      <c r="I17" s="14">
        <f>ROUND(VLOOKUP($C17,RLS!$C$32:$O$36,3, FALSE)*'Unit Distribution'!$B$3,0)</f>
        <v>0</v>
      </c>
      <c r="J17" s="14">
        <f>ROUND(VLOOKUP($C17,RLS!$C$32:$O$36,3, FALSE)*'Unit Distribution'!$B$3,0)</f>
        <v>0</v>
      </c>
      <c r="K17" s="14">
        <f>ROUND(VLOOKUP($C17,RLS!$C$32:$O$36,3, FALSE)*'Unit Distribution'!$B$3,0)</f>
        <v>0</v>
      </c>
      <c r="L17" s="14">
        <f>ROUND(VLOOKUP($C17,RLS!$C$32:$O$36,3, FALSE)*'Unit Distribution'!$B$3,0)</f>
        <v>0</v>
      </c>
      <c r="M17" s="14">
        <f>ROUND(VLOOKUP($C17,RLS!$C$32:$O$36,3, FALSE)*'Unit Distribution'!$B$3,0)</f>
        <v>0</v>
      </c>
      <c r="N17" s="14">
        <f>ROUND(VLOOKUP($C17,RLS!$C$32:$O$36,3, FALSE)*'Unit Distribution'!$B$3,0)</f>
        <v>0</v>
      </c>
      <c r="O17" s="14">
        <f>ROUND(VLOOKUP($C17,RLS!$C$32:$O$36,3, FALSE)*'Unit Distribution'!$B$3,0)</f>
        <v>0</v>
      </c>
      <c r="P17" s="14">
        <f>ROUND(VLOOKUP($C17,RLS!$C$32:$O$36,3, FALSE)*'Unit Distribution'!$B$3,0)</f>
        <v>0</v>
      </c>
      <c r="Q17" s="14"/>
    </row>
    <row r="18" spans="1:17" x14ac:dyDescent="0.35">
      <c r="A18" t="s">
        <v>15</v>
      </c>
      <c r="B18" t="s">
        <v>9</v>
      </c>
      <c r="C18" t="str">
        <f t="shared" si="0"/>
        <v>TesterOnsite</v>
      </c>
      <c r="D18" t="s">
        <v>90</v>
      </c>
      <c r="E18" s="14">
        <f>ROUND(VLOOKUP($C18,RLS!$C$32:$O$36,3,FALSE)-E17,0)</f>
        <v>1</v>
      </c>
      <c r="F18" s="14">
        <f>ROUND(VLOOKUP($C18,RLS!$C$32:$O$36,3,FALSE)-F17,0)</f>
        <v>1</v>
      </c>
      <c r="G18" s="14">
        <f>ROUND(VLOOKUP($C18,RLS!$C$32:$O$36,3,FALSE)-G17,0)</f>
        <v>1</v>
      </c>
      <c r="H18" s="14">
        <f>ROUND(VLOOKUP($C18,RLS!$C$32:$O$36,3,FALSE)-H17,0)</f>
        <v>1</v>
      </c>
      <c r="I18" s="14">
        <f>ROUND(VLOOKUP($C18,RLS!$C$32:$O$36,3,FALSE)-I17,0)</f>
        <v>1</v>
      </c>
      <c r="J18" s="14">
        <f>ROUND(VLOOKUP($C18,RLS!$C$32:$O$36,3,FALSE)-J17,0)</f>
        <v>1</v>
      </c>
      <c r="K18" s="14">
        <f>ROUND(VLOOKUP($C18,RLS!$C$32:$O$36,3,FALSE)-K17,0)</f>
        <v>1</v>
      </c>
      <c r="L18" s="14">
        <f>ROUND(VLOOKUP($C18,RLS!$C$32:$O$36,3,FALSE)-L17,0)</f>
        <v>1</v>
      </c>
      <c r="M18" s="14">
        <f>ROUND(VLOOKUP($C18,RLS!$C$32:$O$36,3,FALSE)-M17,0)</f>
        <v>1</v>
      </c>
      <c r="N18" s="14">
        <f>ROUND(VLOOKUP($C18,RLS!$C$32:$O$36,3,FALSE)-N17,0)</f>
        <v>1</v>
      </c>
      <c r="O18" s="14">
        <f>ROUND(VLOOKUP($C18,RLS!$C$32:$O$36,3,FALSE)-O17,0)</f>
        <v>1</v>
      </c>
      <c r="P18" s="14">
        <f>ROUND(VLOOKUP($C18,RLS!$C$32:$O$36,3,FALSE)-P17,0)</f>
        <v>1</v>
      </c>
      <c r="Q18" s="14"/>
    </row>
    <row r="19" spans="1:17" x14ac:dyDescent="0.35">
      <c r="A19" t="s">
        <v>17</v>
      </c>
      <c r="B19" t="s">
        <v>9</v>
      </c>
      <c r="C19" t="str">
        <f t="shared" si="0"/>
        <v>PMOnsite</v>
      </c>
      <c r="D19" t="s">
        <v>93</v>
      </c>
      <c r="E19" s="14">
        <f>ROUND(VLOOKUP($C19,RLS!$C$32:$O$36,3, FALSE),0)</f>
        <v>0</v>
      </c>
      <c r="F19" s="14">
        <f>ROUND(VLOOKUP($C19,RLS!$C$32:$O$36,3, FALSE),2)</f>
        <v>0</v>
      </c>
      <c r="G19" s="14">
        <f>ROUND(VLOOKUP($C19,RLS!$C$32:$O$36,3, FALSE),2)</f>
        <v>0</v>
      </c>
      <c r="H19" s="14">
        <f>ROUND(VLOOKUP($C19,RLS!$C$32:$O$36,3, FALSE),2)</f>
        <v>0</v>
      </c>
      <c r="I19" s="14">
        <f>ROUND(VLOOKUP($C19,RLS!$C$32:$O$36,3, FALSE),2)</f>
        <v>0</v>
      </c>
      <c r="J19" s="14">
        <f>ROUND(VLOOKUP($C19,RLS!$C$32:$O$36,3, FALSE),2)</f>
        <v>0</v>
      </c>
      <c r="K19" s="14">
        <f>ROUND(VLOOKUP($C19,RLS!$C$32:$O$36,3, FALSE),2)</f>
        <v>0</v>
      </c>
      <c r="L19" s="14">
        <f>ROUND(VLOOKUP($C19,RLS!$C$32:$O$36,3, FALSE),2)</f>
        <v>0</v>
      </c>
      <c r="M19" s="14">
        <f>ROUND(VLOOKUP($C19,RLS!$C$32:$O$36,3, FALSE),2)</f>
        <v>0</v>
      </c>
      <c r="N19" s="14">
        <f>ROUND(VLOOKUP($C19,RLS!$C$32:$O$36,3, FALSE),2)</f>
        <v>0</v>
      </c>
      <c r="O19" s="14">
        <f>ROUND(VLOOKUP($C19,RLS!$C$32:$O$36,3, FALSE),2)</f>
        <v>0</v>
      </c>
      <c r="P19" s="14">
        <f>ROUND(VLOOKUP($C19,RLS!$C$32:$O$36,3, FALSE),2)</f>
        <v>0</v>
      </c>
      <c r="Q19" s="14"/>
    </row>
    <row r="20" spans="1:17" x14ac:dyDescent="0.35">
      <c r="A20" t="s">
        <v>19</v>
      </c>
      <c r="B20" t="s">
        <v>9</v>
      </c>
      <c r="C20" t="str">
        <f t="shared" si="0"/>
        <v>LeadOnsite</v>
      </c>
      <c r="E20" s="14">
        <f>ROUND(VLOOKUP($C20,RLS!$C$32:$O$36,3, FALSE),2)</f>
        <v>1</v>
      </c>
      <c r="F20" s="14">
        <f>ROUND(VLOOKUP($C20,RLS!$C$32:$O$36,3, FALSE),2)</f>
        <v>1</v>
      </c>
      <c r="G20" s="14">
        <f>ROUND(VLOOKUP($C20,RLS!$C$32:$O$36,3, FALSE),2)</f>
        <v>1</v>
      </c>
      <c r="H20" s="14">
        <f>ROUND(VLOOKUP($C20,RLS!$C$32:$O$36,3, FALSE),2)</f>
        <v>1</v>
      </c>
      <c r="I20" s="14">
        <f>ROUND(VLOOKUP($C20,RLS!$C$32:$O$36,3, FALSE),2)</f>
        <v>1</v>
      </c>
      <c r="J20" s="14">
        <f>ROUND(VLOOKUP($C20,RLS!$C$32:$O$36,3, FALSE),2)</f>
        <v>1</v>
      </c>
      <c r="K20" s="14">
        <f>ROUND(VLOOKUP($C20,RLS!$C$32:$O$36,3, FALSE),2)</f>
        <v>1</v>
      </c>
      <c r="L20" s="14">
        <f>ROUND(VLOOKUP($C20,RLS!$C$32:$O$36,3, FALSE),2)</f>
        <v>1</v>
      </c>
      <c r="M20" s="14">
        <f>ROUND(VLOOKUP($C20,RLS!$C$32:$O$36,3, FALSE),2)</f>
        <v>1</v>
      </c>
      <c r="N20" s="14">
        <f>ROUND(VLOOKUP($C20,RLS!$C$32:$O$36,3, FALSE),2)</f>
        <v>1</v>
      </c>
      <c r="O20" s="14">
        <f>ROUND(VLOOKUP($C20,RLS!$C$32:$O$36,3, FALSE),2)</f>
        <v>1</v>
      </c>
      <c r="P20" s="14">
        <f>ROUND(VLOOKUP($C20,RLS!$C$32:$O$36,3, FALSE),2)</f>
        <v>1</v>
      </c>
      <c r="Q20" s="14"/>
    </row>
    <row r="21" spans="1:17" x14ac:dyDescent="0.35">
      <c r="A21" t="s">
        <v>13</v>
      </c>
      <c r="B21" t="s">
        <v>22</v>
      </c>
      <c r="C21" t="str">
        <f t="shared" si="0"/>
        <v>BSAOnsite-Landed</v>
      </c>
      <c r="D21" t="s">
        <v>89</v>
      </c>
      <c r="E21" s="14">
        <f>ROUND(VLOOKUP($C21,RLS!$C$37:$O$41,3, FALSE)*'Unit Distribution'!$B$3,0)</f>
        <v>1</v>
      </c>
      <c r="F21" s="14">
        <f>ROUND(VLOOKUP($C21,RLS!$C$37:$O$41,3, FALSE)*'Unit Distribution'!$B$3,0)</f>
        <v>1</v>
      </c>
      <c r="G21" s="14">
        <f>ROUND(VLOOKUP($C21,RLS!$C$37:$O$41,3, FALSE)*'Unit Distribution'!$B$3,0)</f>
        <v>1</v>
      </c>
      <c r="H21" s="14">
        <f>ROUND(VLOOKUP($C21,RLS!$C$37:$O$41,3, FALSE)*'Unit Distribution'!$B$3,0)</f>
        <v>1</v>
      </c>
      <c r="I21" s="14">
        <f>ROUND(VLOOKUP($C21,RLS!$C$37:$O$41,3, FALSE)*'Unit Distribution'!$B$3,0)</f>
        <v>1</v>
      </c>
      <c r="J21" s="14">
        <f>ROUND(VLOOKUP($C21,RLS!$C$37:$O$41,3, FALSE)*'Unit Distribution'!$B$3,0)</f>
        <v>1</v>
      </c>
      <c r="K21" s="14">
        <f>ROUND(VLOOKUP($C21,RLS!$C$37:$O$41,3, FALSE)*'Unit Distribution'!$B$3,0)</f>
        <v>1</v>
      </c>
      <c r="L21" s="14">
        <f>ROUND(VLOOKUP($C21,RLS!$C$37:$O$41,3, FALSE)*'Unit Distribution'!$B$3,0)</f>
        <v>1</v>
      </c>
      <c r="M21" s="14">
        <f>ROUND(VLOOKUP($C21,RLS!$C$37:$O$41,3, FALSE)*'Unit Distribution'!$B$3,0)</f>
        <v>1</v>
      </c>
      <c r="N21" s="14">
        <f>ROUND(VLOOKUP($C21,RLS!$C$37:$O$41,3, FALSE)*'Unit Distribution'!$B$3,0)</f>
        <v>1</v>
      </c>
      <c r="O21" s="14">
        <f>ROUND(VLOOKUP($C21,RLS!$C$37:$O$41,3, FALSE)*'Unit Distribution'!$B$3,0)</f>
        <v>1</v>
      </c>
      <c r="P21" s="14">
        <f>ROUND(VLOOKUP($C21,RLS!$C$37:$O$41,3, FALSE)*'Unit Distribution'!$B$3,0)</f>
        <v>1</v>
      </c>
      <c r="Q21" s="14"/>
    </row>
    <row r="22" spans="1:17" x14ac:dyDescent="0.35">
      <c r="A22" t="s">
        <v>13</v>
      </c>
      <c r="B22" t="s">
        <v>22</v>
      </c>
      <c r="C22" t="str">
        <f t="shared" si="0"/>
        <v>BSAOnsite-Landed</v>
      </c>
      <c r="D22" t="s">
        <v>90</v>
      </c>
      <c r="E22" s="14">
        <f>ROUND(VLOOKUP($C22,RLS!$C$37:$O$41,3,FALSE)-E21,0)</f>
        <v>1</v>
      </c>
      <c r="F22" s="14">
        <f>ROUND(VLOOKUP($C22,RLS!$C$37:$O$41,3,FALSE)-F21,0)</f>
        <v>1</v>
      </c>
      <c r="G22" s="14">
        <f>ROUND(VLOOKUP($C22,RLS!$C$37:$O$41,3,FALSE)-G21,0)</f>
        <v>1</v>
      </c>
      <c r="H22" s="14">
        <f>ROUND(VLOOKUP($C22,RLS!$C$37:$O$41,3,FALSE)-H21,0)</f>
        <v>1</v>
      </c>
      <c r="I22" s="14">
        <f>ROUND(VLOOKUP($C22,RLS!$C$37:$O$41,3,FALSE)-I21,0)</f>
        <v>1</v>
      </c>
      <c r="J22" s="14">
        <f>ROUND(VLOOKUP($C22,RLS!$C$37:$O$41,3,FALSE)-J21,0)</f>
        <v>1</v>
      </c>
      <c r="K22" s="14">
        <f>ROUND(VLOOKUP($C22,RLS!$C$37:$O$41,3,FALSE)-K21,0)</f>
        <v>1</v>
      </c>
      <c r="L22" s="14">
        <f>ROUND(VLOOKUP($C22,RLS!$C$37:$O$41,3,FALSE)-L21,0)</f>
        <v>1</v>
      </c>
      <c r="M22" s="14">
        <f>ROUND(VLOOKUP($C22,RLS!$C$37:$O$41,3,FALSE)-M21,0)</f>
        <v>1</v>
      </c>
      <c r="N22" s="14">
        <f>ROUND(VLOOKUP($C22,RLS!$C$37:$O$41,3,FALSE)-N21,0)</f>
        <v>1</v>
      </c>
      <c r="O22" s="14">
        <f>ROUND(VLOOKUP($C22,RLS!$C$37:$O$41,3,FALSE)-O21,0)</f>
        <v>1</v>
      </c>
      <c r="P22" s="14">
        <f>ROUND(VLOOKUP($C22,RLS!$C$37:$O$41,3,FALSE)-P21,0)</f>
        <v>1</v>
      </c>
      <c r="Q22" s="14"/>
    </row>
    <row r="23" spans="1:17" x14ac:dyDescent="0.35">
      <c r="A23" t="s">
        <v>20</v>
      </c>
      <c r="B23" t="s">
        <v>22</v>
      </c>
      <c r="C23" t="str">
        <f t="shared" si="0"/>
        <v>DevOnsite-Landed</v>
      </c>
      <c r="D23" t="s">
        <v>89</v>
      </c>
      <c r="E23" s="14">
        <f>ROUND(VLOOKUP($C23,RLS!$C$37:$O$41,3, FALSE)*'Unit Distribution'!$B$3,0)</f>
        <v>1</v>
      </c>
      <c r="F23" s="14">
        <f>ROUND(VLOOKUP($C23,RLS!$C$37:$O$41,3, FALSE)*'Unit Distribution'!$B$3,0)</f>
        <v>1</v>
      </c>
      <c r="G23" s="14">
        <f>ROUND(VLOOKUP($C23,RLS!$C$37:$O$41,3, FALSE)*'Unit Distribution'!$B$3,0)</f>
        <v>1</v>
      </c>
      <c r="H23" s="14">
        <f>ROUND(VLOOKUP($C23,RLS!$C$37:$O$41,3, FALSE)*'Unit Distribution'!$B$3,0)</f>
        <v>1</v>
      </c>
      <c r="I23" s="14">
        <f>ROUND(VLOOKUP($C23,RLS!$C$37:$O$41,3, FALSE)*'Unit Distribution'!$B$3,0)</f>
        <v>1</v>
      </c>
      <c r="J23" s="14">
        <f>ROUND(VLOOKUP($C23,RLS!$C$37:$O$41,3, FALSE)*'Unit Distribution'!$B$3,0)</f>
        <v>1</v>
      </c>
      <c r="K23" s="14">
        <f>ROUND(VLOOKUP($C23,RLS!$C$37:$O$41,3, FALSE)*'Unit Distribution'!$B$3,0)</f>
        <v>1</v>
      </c>
      <c r="L23" s="14">
        <f>ROUND(VLOOKUP($C23,RLS!$C$37:$O$41,3, FALSE)*'Unit Distribution'!$B$3,0)</f>
        <v>1</v>
      </c>
      <c r="M23" s="14">
        <f>ROUND(VLOOKUP($C23,RLS!$C$37:$O$41,3, FALSE)*'Unit Distribution'!$B$3,0)</f>
        <v>1</v>
      </c>
      <c r="N23" s="14">
        <f>ROUND(VLOOKUP($C23,RLS!$C$37:$O$41,3, FALSE)*'Unit Distribution'!$B$3,0)</f>
        <v>1</v>
      </c>
      <c r="O23" s="14">
        <f>ROUND(VLOOKUP($C23,RLS!$C$37:$O$41,3, FALSE)*'Unit Distribution'!$B$3,0)</f>
        <v>1</v>
      </c>
      <c r="P23" s="14">
        <f>ROUND(VLOOKUP($C23,RLS!$C$37:$O$41,3, FALSE)*'Unit Distribution'!$B$3,0)</f>
        <v>1</v>
      </c>
      <c r="Q23" s="14"/>
    </row>
    <row r="24" spans="1:17" x14ac:dyDescent="0.35">
      <c r="A24" t="s">
        <v>20</v>
      </c>
      <c r="B24" t="s">
        <v>22</v>
      </c>
      <c r="C24" t="str">
        <f t="shared" si="0"/>
        <v>DevOnsite-Landed</v>
      </c>
      <c r="D24" t="s">
        <v>90</v>
      </c>
      <c r="E24" s="14">
        <f>ROUND(VLOOKUP($C24,RLS!$C$37:$O$41,3,FALSE)-E23,0)</f>
        <v>2</v>
      </c>
      <c r="F24" s="14">
        <f>ROUND(VLOOKUP($C24,RLS!$C$37:$O$41,3,FALSE)-F23,0)</f>
        <v>2</v>
      </c>
      <c r="G24" s="14">
        <f>ROUND(VLOOKUP($C24,RLS!$C$37:$O$41,3,FALSE)-G23,0)</f>
        <v>2</v>
      </c>
      <c r="H24" s="14">
        <f>ROUND(VLOOKUP($C24,RLS!$C$37:$O$41,3,FALSE)-H23,0)</f>
        <v>2</v>
      </c>
      <c r="I24" s="14">
        <f>ROUND(VLOOKUP($C24,RLS!$C$37:$O$41,3,FALSE)-I23,0)</f>
        <v>2</v>
      </c>
      <c r="J24" s="14">
        <f>ROUND(VLOOKUP($C24,RLS!$C$37:$O$41,3,FALSE)-J23,0)</f>
        <v>2</v>
      </c>
      <c r="K24" s="14">
        <f>ROUND(VLOOKUP($C24,RLS!$C$37:$O$41,3,FALSE)-K23,0)</f>
        <v>2</v>
      </c>
      <c r="L24" s="14">
        <f>ROUND(VLOOKUP($C24,RLS!$C$37:$O$41,3,FALSE)-L23,0)</f>
        <v>2</v>
      </c>
      <c r="M24" s="14">
        <f>ROUND(VLOOKUP($C24,RLS!$C$37:$O$41,3,FALSE)-M23,0)</f>
        <v>2</v>
      </c>
      <c r="N24" s="14">
        <f>ROUND(VLOOKUP($C24,RLS!$C$37:$O$41,3,FALSE)-N23,0)</f>
        <v>2</v>
      </c>
      <c r="O24" s="14">
        <f>ROUND(VLOOKUP($C24,RLS!$C$37:$O$41,3,FALSE)-O23,0)</f>
        <v>2</v>
      </c>
      <c r="P24" s="14">
        <f>ROUND(VLOOKUP($C24,RLS!$C$37:$O$41,3,FALSE)-P23,0)</f>
        <v>2</v>
      </c>
      <c r="Q24" s="14"/>
    </row>
    <row r="25" spans="1:17" x14ac:dyDescent="0.35">
      <c r="A25" t="s">
        <v>15</v>
      </c>
      <c r="B25" t="s">
        <v>22</v>
      </c>
      <c r="C25" t="str">
        <f t="shared" si="0"/>
        <v>TesterOnsite-Landed</v>
      </c>
      <c r="D25" t="s">
        <v>89</v>
      </c>
      <c r="E25" s="14">
        <f>ROUND(VLOOKUP($C25,RLS!$C$37:$O$41,3, FALSE)*'Unit Distribution'!$B$3,0)</f>
        <v>0</v>
      </c>
      <c r="F25" s="14">
        <f>ROUND(VLOOKUP($C25,RLS!$C$37:$O$41,3, FALSE)*'Unit Distribution'!$B$3,0)</f>
        <v>0</v>
      </c>
      <c r="G25" s="14">
        <f>ROUND(VLOOKUP($C25,RLS!$C$37:$O$41,3, FALSE)*'Unit Distribution'!$B$3,0)</f>
        <v>0</v>
      </c>
      <c r="H25" s="14">
        <f>ROUND(VLOOKUP($C25,RLS!$C$37:$O$41,3, FALSE)*'Unit Distribution'!$B$3,0)</f>
        <v>0</v>
      </c>
      <c r="I25" s="14">
        <f>ROUND(VLOOKUP($C25,RLS!$C$37:$O$41,3, FALSE)*'Unit Distribution'!$B$3,0)</f>
        <v>0</v>
      </c>
      <c r="J25" s="14">
        <f>ROUND(VLOOKUP($C25,RLS!$C$37:$O$41,3, FALSE)*'Unit Distribution'!$B$3,0)</f>
        <v>0</v>
      </c>
      <c r="K25" s="14">
        <f>ROUND(VLOOKUP($C25,RLS!$C$37:$O$41,3, FALSE)*'Unit Distribution'!$B$3,0)</f>
        <v>0</v>
      </c>
      <c r="L25" s="14">
        <f>ROUND(VLOOKUP($C25,RLS!$C$37:$O$41,3, FALSE)*'Unit Distribution'!$B$3,0)</f>
        <v>0</v>
      </c>
      <c r="M25" s="14">
        <f>ROUND(VLOOKUP($C25,RLS!$C$37:$O$41,3, FALSE)*'Unit Distribution'!$B$3,0)</f>
        <v>0</v>
      </c>
      <c r="N25" s="14">
        <f>ROUND(VLOOKUP($C25,RLS!$C$37:$O$41,3, FALSE)*'Unit Distribution'!$B$3,0)</f>
        <v>0</v>
      </c>
      <c r="O25" s="14">
        <f>ROUND(VLOOKUP($C25,RLS!$C$37:$O$41,3, FALSE)*'Unit Distribution'!$B$3,0)</f>
        <v>0</v>
      </c>
      <c r="P25" s="14">
        <f>ROUND(VLOOKUP($C25,RLS!$C$37:$O$41,3, FALSE)*'Unit Distribution'!$B$3,0)</f>
        <v>0</v>
      </c>
      <c r="Q25" s="14"/>
    </row>
    <row r="26" spans="1:17" x14ac:dyDescent="0.35">
      <c r="A26" t="s">
        <v>15</v>
      </c>
      <c r="B26" t="s">
        <v>22</v>
      </c>
      <c r="C26" t="str">
        <f t="shared" si="0"/>
        <v>TesterOnsite-Landed</v>
      </c>
      <c r="D26" t="s">
        <v>90</v>
      </c>
      <c r="E26" s="14">
        <f>ROUND(VLOOKUP($C26,RLS!$C$37:$O$41,3,FALSE)-E25,0)</f>
        <v>1</v>
      </c>
      <c r="F26" s="14">
        <f>ROUND(VLOOKUP($C26,RLS!$C$37:$O$41,3,FALSE)-F25,0)</f>
        <v>1</v>
      </c>
      <c r="G26" s="14">
        <f>ROUND(VLOOKUP($C26,RLS!$C$37:$O$41,3,FALSE)-G25,0)</f>
        <v>1</v>
      </c>
      <c r="H26" s="14">
        <f>ROUND(VLOOKUP($C26,RLS!$C$37:$O$41,3,FALSE)-H25,0)</f>
        <v>1</v>
      </c>
      <c r="I26" s="14">
        <f>ROUND(VLOOKUP($C26,RLS!$C$37:$O$41,3,FALSE)-I25,0)</f>
        <v>1</v>
      </c>
      <c r="J26" s="14">
        <f>ROUND(VLOOKUP($C26,RLS!$C$37:$O$41,3,FALSE)-J25,0)</f>
        <v>1</v>
      </c>
      <c r="K26" s="14">
        <f>ROUND(VLOOKUP($C26,RLS!$C$37:$O$41,3,FALSE)-K25,0)</f>
        <v>1</v>
      </c>
      <c r="L26" s="14">
        <f>ROUND(VLOOKUP($C26,RLS!$C$37:$O$41,3,FALSE)-L25,0)</f>
        <v>1</v>
      </c>
      <c r="M26" s="14">
        <f>ROUND(VLOOKUP($C26,RLS!$C$37:$O$41,3,FALSE)-M25,0)</f>
        <v>1</v>
      </c>
      <c r="N26" s="14">
        <f>ROUND(VLOOKUP($C26,RLS!$C$37:$O$41,3,FALSE)-N25,0)</f>
        <v>1</v>
      </c>
      <c r="O26" s="14">
        <f>ROUND(VLOOKUP($C26,RLS!$C$37:$O$41,3,FALSE)-O25,0)</f>
        <v>1</v>
      </c>
      <c r="P26" s="14">
        <f>ROUND(VLOOKUP($C26,RLS!$C$37:$O$41,3,FALSE)-P25,0)</f>
        <v>1</v>
      </c>
      <c r="Q26" s="14"/>
    </row>
    <row r="27" spans="1:17" x14ac:dyDescent="0.35">
      <c r="A27" t="s">
        <v>17</v>
      </c>
      <c r="B27" t="s">
        <v>22</v>
      </c>
      <c r="C27" t="str">
        <f t="shared" si="0"/>
        <v>PMOnsite-Landed</v>
      </c>
      <c r="E27" s="14">
        <f>ROUND(VLOOKUP($C27,RLS!$C$37:$O$41,3, FALSE),0)</f>
        <v>0</v>
      </c>
      <c r="F27" s="14">
        <f>ROUND(VLOOKUP($C27,RLS!$C$37:$O$41,3, FALSE),0)</f>
        <v>0</v>
      </c>
      <c r="G27" s="14">
        <f>ROUND(VLOOKUP($C27,RLS!$C$37:$O$41,3, FALSE),0)</f>
        <v>0</v>
      </c>
      <c r="H27" s="14">
        <f>ROUND(VLOOKUP($C27,RLS!$C$37:$O$41,3, FALSE),0)</f>
        <v>0</v>
      </c>
      <c r="I27" s="14">
        <f>ROUND(VLOOKUP($C27,RLS!$C$37:$O$41,3, FALSE),0)</f>
        <v>0</v>
      </c>
      <c r="J27" s="14">
        <f>ROUND(VLOOKUP($C27,RLS!$C$37:$O$41,3, FALSE),0)</f>
        <v>0</v>
      </c>
      <c r="K27" s="14">
        <f>ROUND(VLOOKUP($C27,RLS!$C$37:$O$41,3, FALSE),0)</f>
        <v>0</v>
      </c>
      <c r="L27" s="14">
        <f>ROUND(VLOOKUP($C27,RLS!$C$37:$O$41,3, FALSE),0)</f>
        <v>0</v>
      </c>
      <c r="M27" s="14">
        <f>ROUND(VLOOKUP($C27,RLS!$C$37:$O$41,3, FALSE),0)</f>
        <v>0</v>
      </c>
      <c r="N27" s="14">
        <f>ROUND(VLOOKUP($C27,RLS!$C$37:$O$41,3, FALSE),0)</f>
        <v>0</v>
      </c>
      <c r="O27" s="14">
        <f>ROUND(VLOOKUP($C27,RLS!$C$37:$O$41,3, FALSE),0)</f>
        <v>0</v>
      </c>
      <c r="P27" s="14">
        <f>ROUND(VLOOKUP($C27,RLS!$C$37:$O$41,3, FALSE),0)</f>
        <v>0</v>
      </c>
      <c r="Q27" s="14"/>
    </row>
    <row r="28" spans="1:17" x14ac:dyDescent="0.35">
      <c r="A28" t="s">
        <v>19</v>
      </c>
      <c r="B28" t="s">
        <v>22</v>
      </c>
      <c r="C28" t="str">
        <f t="shared" si="0"/>
        <v>LeadOnsite-Landed</v>
      </c>
      <c r="D28" t="s">
        <v>89</v>
      </c>
      <c r="E28" s="14">
        <f>ROUND(VLOOKUP($C28,RLS!$C$37:$O$41,3, FALSE),0)</f>
        <v>1</v>
      </c>
      <c r="F28" s="14">
        <f>ROUND(VLOOKUP($C28,RLS!$C$37:$O$41,3, FALSE),0)</f>
        <v>1</v>
      </c>
      <c r="G28" s="14">
        <f>ROUND(VLOOKUP($C28,RLS!$C$37:$O$41,3, FALSE),0)</f>
        <v>1</v>
      </c>
      <c r="H28" s="14">
        <f>ROUND(VLOOKUP($C28,RLS!$C$37:$O$41,3, FALSE),0)</f>
        <v>1</v>
      </c>
      <c r="I28" s="14">
        <f>ROUND(VLOOKUP($C28,RLS!$C$37:$O$41,3, FALSE),0)</f>
        <v>1</v>
      </c>
      <c r="J28" s="14">
        <f>ROUND(VLOOKUP($C28,RLS!$C$37:$O$41,3, FALSE),0)</f>
        <v>1</v>
      </c>
      <c r="K28" s="14">
        <f>ROUND(VLOOKUP($C28,RLS!$C$37:$O$41,3, FALSE),0)</f>
        <v>1</v>
      </c>
      <c r="L28" s="14">
        <f>ROUND(VLOOKUP($C28,RLS!$C$37:$O$41,3, FALSE),0)</f>
        <v>1</v>
      </c>
      <c r="M28" s="14">
        <f>ROUND(VLOOKUP($C28,RLS!$C$37:$O$41,3, FALSE),0)</f>
        <v>1</v>
      </c>
      <c r="N28" s="14">
        <f>ROUND(VLOOKUP($C28,RLS!$C$37:$O$41,3, FALSE),0)</f>
        <v>1</v>
      </c>
      <c r="O28" s="14">
        <f>ROUND(VLOOKUP($C28,RLS!$C$37:$O$41,3, FALSE),0)</f>
        <v>1</v>
      </c>
      <c r="P28" s="14">
        <f>ROUND(VLOOKUP($C28,RLS!$C$37:$O$41,3, FALSE),0)</f>
        <v>1</v>
      </c>
      <c r="Q28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4"/>
  <sheetViews>
    <sheetView workbookViewId="0">
      <selection activeCell="C8" sqref="C8"/>
    </sheetView>
  </sheetViews>
  <sheetFormatPr defaultRowHeight="14.5" x14ac:dyDescent="0.35"/>
  <sheetData>
    <row r="2" spans="1:2" x14ac:dyDescent="0.35">
      <c r="A2" t="s">
        <v>91</v>
      </c>
      <c r="B2" t="s">
        <v>92</v>
      </c>
    </row>
    <row r="3" spans="1:2" x14ac:dyDescent="0.35">
      <c r="A3" t="s">
        <v>89</v>
      </c>
      <c r="B3" s="2">
        <v>0.29499999999999998</v>
      </c>
    </row>
    <row r="4" spans="1:2" x14ac:dyDescent="0.35">
      <c r="A4" t="s">
        <v>90</v>
      </c>
      <c r="B4" s="2">
        <v>0.70499999999999996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Standar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FTE</vt:lpstr>
      <vt:lpstr>India Role Distribution</vt:lpstr>
      <vt:lpstr>Onsite Role Distribution</vt:lpstr>
      <vt:lpstr>Productivity</vt:lpstr>
      <vt:lpstr>Transfer</vt:lpstr>
      <vt:lpstr>RLS</vt:lpstr>
      <vt:lpstr>RLS Detail</vt:lpstr>
      <vt:lpstr>Unit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Prasad, Mukesh Kumar</dc:creator>
  <cp:keywords/>
  <dc:description/>
  <cp:lastModifiedBy>Prasad, Mukesh Kumar</cp:lastModifiedBy>
  <cp:revision/>
  <dcterms:created xsi:type="dcterms:W3CDTF">2026-09-26T16:21:00Z</dcterms:created>
  <dcterms:modified xsi:type="dcterms:W3CDTF">2026-09-27T07:05:02Z</dcterms:modified>
  <cp:category/>
  <cp:contentStatus/>
</cp:coreProperties>
</file>