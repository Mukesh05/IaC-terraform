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0256186c38449ae/Documents/mlj/"/>
    </mc:Choice>
  </mc:AlternateContent>
  <xr:revisionPtr revIDLastSave="2" documentId="11_731C83DC6F702F37CFAE9E9EF9AE525FC9C91FE3" xr6:coauthVersionLast="47" xr6:coauthVersionMax="47" xr10:uidLastSave="{0AC28C99-3F84-4F90-B4F7-FF0D8E1D1814}"/>
  <bookViews>
    <workbookView xWindow="28690" yWindow="-80" windowWidth="38620" windowHeight="21100" activeTab="6" xr2:uid="{00000000-000D-0000-FFFF-FFFF00000000}"/>
  </bookViews>
  <sheets>
    <sheet name="FTE" sheetId="1" r:id="rId1"/>
    <sheet name="India Role Distribution" sheetId="2" r:id="rId2"/>
    <sheet name="Onsite Role Distribution" sheetId="3" r:id="rId3"/>
    <sheet name="Productivity" sheetId="4" r:id="rId4"/>
    <sheet name="Transfer" sheetId="5" r:id="rId5"/>
    <sheet name="RLS" sheetId="6" r:id="rId6"/>
    <sheet name="RLS Detail" sheetId="7" r:id="rId7"/>
    <sheet name="Unit Distribution" sheetId="8" r:id="rId8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8" i="7" l="1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BK41" i="6"/>
  <c r="BJ41" i="6"/>
  <c r="BI41" i="6"/>
  <c r="BH41" i="6"/>
  <c r="BG41" i="6"/>
  <c r="BF41" i="6"/>
  <c r="BE41" i="6"/>
  <c r="BD41" i="6"/>
  <c r="BC41" i="6"/>
  <c r="BB41" i="6"/>
  <c r="BA41" i="6"/>
  <c r="AZ41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K40" i="6"/>
  <c r="BJ40" i="6"/>
  <c r="BI40" i="6"/>
  <c r="BH40" i="6"/>
  <c r="BG40" i="6"/>
  <c r="BF40" i="6"/>
  <c r="BE40" i="6"/>
  <c r="BD40" i="6"/>
  <c r="BC40" i="6"/>
  <c r="BB40" i="6"/>
  <c r="BA40" i="6"/>
  <c r="AZ40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K39" i="6"/>
  <c r="BJ39" i="6"/>
  <c r="BI39" i="6"/>
  <c r="BH39" i="6"/>
  <c r="BG39" i="6"/>
  <c r="BF39" i="6"/>
  <c r="BE39" i="6"/>
  <c r="BD39" i="6"/>
  <c r="BC39" i="6"/>
  <c r="BB39" i="6"/>
  <c r="BA39" i="6"/>
  <c r="AZ39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K38" i="6"/>
  <c r="BJ38" i="6"/>
  <c r="BI38" i="6"/>
  <c r="BH38" i="6"/>
  <c r="BG38" i="6"/>
  <c r="BF38" i="6"/>
  <c r="BE38" i="6"/>
  <c r="BD38" i="6"/>
  <c r="BC38" i="6"/>
  <c r="BB38" i="6"/>
  <c r="BA38" i="6"/>
  <c r="AZ38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K37" i="6"/>
  <c r="BJ37" i="6"/>
  <c r="BI37" i="6"/>
  <c r="BH37" i="6"/>
  <c r="BG37" i="6"/>
  <c r="BF37" i="6"/>
  <c r="BE37" i="6"/>
  <c r="BD37" i="6"/>
  <c r="BC37" i="6"/>
  <c r="BB37" i="6"/>
  <c r="BA37" i="6"/>
  <c r="AZ37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K36" i="6"/>
  <c r="BJ36" i="6"/>
  <c r="BI36" i="6"/>
  <c r="BH36" i="6"/>
  <c r="BG36" i="6"/>
  <c r="BF36" i="6"/>
  <c r="BE36" i="6"/>
  <c r="BD36" i="6"/>
  <c r="BC36" i="6"/>
  <c r="BB36" i="6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K35" i="6"/>
  <c r="BJ35" i="6"/>
  <c r="BI35" i="6"/>
  <c r="BH35" i="6"/>
  <c r="BG35" i="6"/>
  <c r="BF35" i="6"/>
  <c r="BE35" i="6"/>
  <c r="BD35" i="6"/>
  <c r="BC35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K34" i="6"/>
  <c r="BJ34" i="6"/>
  <c r="BI34" i="6"/>
  <c r="BH34" i="6"/>
  <c r="BG34" i="6"/>
  <c r="BF34" i="6"/>
  <c r="BE34" i="6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K33" i="6"/>
  <c r="BJ33" i="6"/>
  <c r="BI33" i="6"/>
  <c r="BH33" i="6"/>
  <c r="BG33" i="6"/>
  <c r="BF33" i="6"/>
  <c r="BE33" i="6"/>
  <c r="BD33" i="6"/>
  <c r="BC33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K32" i="6"/>
  <c r="BJ32" i="6"/>
  <c r="BI32" i="6"/>
  <c r="BH32" i="6"/>
  <c r="BG32" i="6"/>
  <c r="BF32" i="6"/>
  <c r="BE32" i="6"/>
  <c r="BD32" i="6"/>
  <c r="BC32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X13" i="7" s="1"/>
  <c r="BK31" i="6"/>
  <c r="BJ31" i="6"/>
  <c r="BI31" i="6"/>
  <c r="BH31" i="6"/>
  <c r="BG31" i="6"/>
  <c r="BF31" i="6"/>
  <c r="BE31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K30" i="6"/>
  <c r="BJ30" i="6"/>
  <c r="BI30" i="6"/>
  <c r="BH30" i="6"/>
  <c r="BG30" i="6"/>
  <c r="BF30" i="6"/>
  <c r="BE30" i="6"/>
  <c r="BD30" i="6"/>
  <c r="BC30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C29" i="6"/>
  <c r="BK28" i="6"/>
  <c r="BJ28" i="6"/>
  <c r="BI28" i="6"/>
  <c r="BH28" i="6"/>
  <c r="BG28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K27" i="6"/>
  <c r="BJ27" i="6"/>
  <c r="BI27" i="6"/>
  <c r="BH27" i="6"/>
  <c r="BG27" i="6"/>
  <c r="BF27" i="6"/>
  <c r="BE27" i="6"/>
  <c r="BD27" i="6"/>
  <c r="BC27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K26" i="6"/>
  <c r="BJ26" i="6"/>
  <c r="BI26" i="6"/>
  <c r="BH26" i="6"/>
  <c r="BG26" i="6"/>
  <c r="BF26" i="6"/>
  <c r="BE26" i="6"/>
  <c r="BE29" i="6" s="1"/>
  <c r="BD26" i="6"/>
  <c r="BC26" i="6"/>
  <c r="BB26" i="6"/>
  <c r="BA26" i="6"/>
  <c r="AZ26" i="6"/>
  <c r="AY26" i="6"/>
  <c r="AX26" i="6"/>
  <c r="AW26" i="6"/>
  <c r="AV26" i="6"/>
  <c r="AU26" i="6"/>
  <c r="AT26" i="6"/>
  <c r="AS26" i="6"/>
  <c r="AS29" i="6" s="1"/>
  <c r="AR26" i="6"/>
  <c r="AQ26" i="6"/>
  <c r="AP26" i="6"/>
  <c r="AO26" i="6"/>
  <c r="AN26" i="6"/>
  <c r="AM26" i="6"/>
  <c r="AL26" i="6"/>
  <c r="AK26" i="6"/>
  <c r="AJ26" i="6"/>
  <c r="AI26" i="6"/>
  <c r="AH26" i="6"/>
  <c r="AG26" i="6"/>
  <c r="AG29" i="6" s="1"/>
  <c r="AF26" i="6"/>
  <c r="AE26" i="6"/>
  <c r="AD26" i="6"/>
  <c r="AC26" i="6"/>
  <c r="AB26" i="6"/>
  <c r="AA26" i="6"/>
  <c r="Z26" i="6"/>
  <c r="Y26" i="6"/>
  <c r="X26" i="6"/>
  <c r="W26" i="6"/>
  <c r="V26" i="6"/>
  <c r="U26" i="6"/>
  <c r="U29" i="6" s="1"/>
  <c r="T26" i="6"/>
  <c r="S26" i="6"/>
  <c r="R26" i="6"/>
  <c r="Q26" i="6"/>
  <c r="P26" i="6"/>
  <c r="O26" i="6"/>
  <c r="N26" i="6"/>
  <c r="M26" i="6"/>
  <c r="L26" i="6"/>
  <c r="K26" i="6"/>
  <c r="J26" i="6"/>
  <c r="I26" i="6"/>
  <c r="I29" i="6" s="1"/>
  <c r="H26" i="6"/>
  <c r="G26" i="6"/>
  <c r="F26" i="6"/>
  <c r="E26" i="6"/>
  <c r="D26" i="6"/>
  <c r="C26" i="6"/>
  <c r="D13" i="2"/>
  <c r="F6" i="1"/>
  <c r="F8" i="1" s="1"/>
  <c r="E6" i="1"/>
  <c r="E8" i="1" s="1"/>
  <c r="D6" i="1"/>
  <c r="D8" i="1" s="1"/>
  <c r="C6" i="1"/>
  <c r="C8" i="1" s="1"/>
  <c r="B6" i="1"/>
  <c r="B8" i="1" s="1"/>
  <c r="BE25" i="7" l="1"/>
  <c r="BI23" i="7"/>
  <c r="BB28" i="7"/>
  <c r="AW11" i="7"/>
  <c r="AW12" i="7" s="1"/>
  <c r="AP28" i="7"/>
  <c r="BJ3" i="7"/>
  <c r="AP15" i="7"/>
  <c r="AP16" i="7" s="1"/>
  <c r="AP27" i="7"/>
  <c r="AX14" i="7"/>
  <c r="BB5" i="7"/>
  <c r="BB6" i="7" s="1"/>
  <c r="BD17" i="7"/>
  <c r="BD18" i="7" s="1"/>
  <c r="T29" i="6"/>
  <c r="BK25" i="7"/>
  <c r="BK26" i="7" s="1"/>
  <c r="BB7" i="7"/>
  <c r="BB8" i="7" s="1"/>
  <c r="BD19" i="7"/>
  <c r="AF29" i="6"/>
  <c r="BB20" i="7"/>
  <c r="BG21" i="7"/>
  <c r="BG22" i="7" s="1"/>
  <c r="H29" i="6"/>
  <c r="BB21" i="7"/>
  <c r="BE21" i="7"/>
  <c r="BE22" i="7" s="1"/>
  <c r="BE26" i="7"/>
  <c r="BB10" i="7"/>
  <c r="BF20" i="7"/>
  <c r="BB11" i="7"/>
  <c r="BB12" i="7" s="1"/>
  <c r="BB23" i="7"/>
  <c r="BB24" i="7" s="1"/>
  <c r="BE19" i="7"/>
  <c r="BI11" i="7"/>
  <c r="BG23" i="7"/>
  <c r="BI25" i="7"/>
  <c r="BI26" i="7" s="1"/>
  <c r="BC17" i="7"/>
  <c r="BB13" i="7"/>
  <c r="BB14" i="7" s="1"/>
  <c r="BK13" i="7"/>
  <c r="BK14" i="7" s="1"/>
  <c r="BE7" i="7"/>
  <c r="BE8" i="7" s="1"/>
  <c r="BC5" i="7"/>
  <c r="BC6" i="7" s="1"/>
  <c r="AQ28" i="7"/>
  <c r="AQ5" i="7"/>
  <c r="AQ6" i="7" s="1"/>
  <c r="BL27" i="7"/>
  <c r="BJ25" i="7"/>
  <c r="BJ26" i="7" s="1"/>
  <c r="BI24" i="7"/>
  <c r="BH23" i="7"/>
  <c r="BH24" i="7" s="1"/>
  <c r="BF21" i="7"/>
  <c r="BF22" i="7" s="1"/>
  <c r="BE20" i="7"/>
  <c r="BC18" i="7"/>
  <c r="BB17" i="7"/>
  <c r="BB18" i="7" s="1"/>
  <c r="BL15" i="7"/>
  <c r="BL16" i="7" s="1"/>
  <c r="BJ13" i="7"/>
  <c r="BJ14" i="7" s="1"/>
  <c r="BI12" i="7"/>
  <c r="BH11" i="7"/>
  <c r="BH12" i="7" s="1"/>
  <c r="BG10" i="7"/>
  <c r="BD7" i="7"/>
  <c r="BD8" i="7" s="1"/>
  <c r="BL3" i="7"/>
  <c r="BL4" i="7" s="1"/>
  <c r="BH10" i="7"/>
  <c r="AR5" i="7"/>
  <c r="AR6" i="7" s="1"/>
  <c r="AY25" i="7"/>
  <c r="AY26" i="7" s="1"/>
  <c r="BL28" i="7"/>
  <c r="BK27" i="7"/>
  <c r="BD20" i="7"/>
  <c r="BC19" i="7"/>
  <c r="BK15" i="7"/>
  <c r="BK16" i="7" s="1"/>
  <c r="BI13" i="7"/>
  <c r="BI14" i="7" s="1"/>
  <c r="BG11" i="7"/>
  <c r="BG12" i="7" s="1"/>
  <c r="BF10" i="7"/>
  <c r="BC7" i="7"/>
  <c r="BC8" i="7" s="1"/>
  <c r="BK3" i="7"/>
  <c r="AX25" i="7"/>
  <c r="AX26" i="7" s="1"/>
  <c r="BK28" i="7"/>
  <c r="BJ27" i="7"/>
  <c r="BH25" i="7"/>
  <c r="BH26" i="7" s="1"/>
  <c r="BG24" i="7"/>
  <c r="BF23" i="7"/>
  <c r="BF24" i="7" s="1"/>
  <c r="BD21" i="7"/>
  <c r="BD22" i="7" s="1"/>
  <c r="BC20" i="7"/>
  <c r="BB19" i="7"/>
  <c r="BL17" i="7"/>
  <c r="BL18" i="7" s="1"/>
  <c r="BJ15" i="7"/>
  <c r="BH13" i="7"/>
  <c r="BH14" i="7" s="1"/>
  <c r="BF11" i="7"/>
  <c r="BF12" i="7" s="1"/>
  <c r="BE10" i="7"/>
  <c r="BL5" i="7"/>
  <c r="BL6" i="7" s="1"/>
  <c r="BK4" i="7"/>
  <c r="AP3" i="7"/>
  <c r="AP4" i="7" s="1"/>
  <c r="AT7" i="7"/>
  <c r="AT8" i="7" s="1"/>
  <c r="AT19" i="7"/>
  <c r="AW23" i="7"/>
  <c r="AW24" i="7" s="1"/>
  <c r="BJ28" i="7"/>
  <c r="BI27" i="7"/>
  <c r="BG25" i="7"/>
  <c r="BG26" i="7" s="1"/>
  <c r="BE23" i="7"/>
  <c r="BE24" i="7" s="1"/>
  <c r="BC21" i="7"/>
  <c r="BC22" i="7" s="1"/>
  <c r="BK17" i="7"/>
  <c r="BK18" i="7" s="1"/>
  <c r="BJ16" i="7"/>
  <c r="BI15" i="7"/>
  <c r="BI16" i="7" s="1"/>
  <c r="BG13" i="7"/>
  <c r="BG14" i="7" s="1"/>
  <c r="BE11" i="7"/>
  <c r="BE12" i="7" s="1"/>
  <c r="BD10" i="7"/>
  <c r="BK5" i="7"/>
  <c r="BK6" i="7" s="1"/>
  <c r="BJ4" i="7"/>
  <c r="BI3" i="7"/>
  <c r="BI4" i="7" s="1"/>
  <c r="L29" i="6"/>
  <c r="AV29" i="6"/>
  <c r="AU20" i="7"/>
  <c r="AV23" i="7"/>
  <c r="AV24" i="7" s="1"/>
  <c r="BI28" i="7"/>
  <c r="BH27" i="7"/>
  <c r="BF25" i="7"/>
  <c r="BF26" i="7" s="1"/>
  <c r="BD23" i="7"/>
  <c r="BD24" i="7" s="1"/>
  <c r="BL19" i="7"/>
  <c r="BJ17" i="7"/>
  <c r="BJ18" i="7" s="1"/>
  <c r="BH15" i="7"/>
  <c r="BF13" i="7"/>
  <c r="BF14" i="7" s="1"/>
  <c r="BD11" i="7"/>
  <c r="BD12" i="7" s="1"/>
  <c r="BC10" i="7"/>
  <c r="BL7" i="7"/>
  <c r="BL8" i="7" s="1"/>
  <c r="BJ5" i="7"/>
  <c r="BJ6" i="7" s="1"/>
  <c r="BH3" i="7"/>
  <c r="BH4" i="7" s="1"/>
  <c r="AS7" i="7"/>
  <c r="AS8" i="7" s="1"/>
  <c r="X29" i="6"/>
  <c r="BH29" i="6"/>
  <c r="M29" i="6"/>
  <c r="Y29" i="6"/>
  <c r="AK29" i="6"/>
  <c r="AW29" i="6"/>
  <c r="BI29" i="6"/>
  <c r="AV21" i="7"/>
  <c r="AV22" i="7" s="1"/>
  <c r="AU21" i="7"/>
  <c r="AU22" i="7" s="1"/>
  <c r="BH28" i="7"/>
  <c r="BG27" i="7"/>
  <c r="BC23" i="7"/>
  <c r="BC24" i="7" s="1"/>
  <c r="BB22" i="7"/>
  <c r="BL20" i="7"/>
  <c r="BK19" i="7"/>
  <c r="BI17" i="7"/>
  <c r="BH16" i="7"/>
  <c r="BG15" i="7"/>
  <c r="BG16" i="7" s="1"/>
  <c r="BE13" i="7"/>
  <c r="BE14" i="7" s="1"/>
  <c r="BC11" i="7"/>
  <c r="BC12" i="7" s="1"/>
  <c r="BK7" i="7"/>
  <c r="BK8" i="7" s="1"/>
  <c r="BI5" i="7"/>
  <c r="BI6" i="7" s="1"/>
  <c r="BG3" i="7"/>
  <c r="BG4" i="7" s="1"/>
  <c r="AJ29" i="6"/>
  <c r="AP21" i="7"/>
  <c r="AP22" i="7" s="1"/>
  <c r="AW10" i="7"/>
  <c r="AT21" i="7"/>
  <c r="AT22" i="7" s="1"/>
  <c r="BG28" i="7"/>
  <c r="BF27" i="7"/>
  <c r="BD25" i="7"/>
  <c r="BD26" i="7" s="1"/>
  <c r="BL21" i="7"/>
  <c r="BL22" i="7" s="1"/>
  <c r="BK20" i="7"/>
  <c r="BJ19" i="7"/>
  <c r="BI18" i="7"/>
  <c r="BH17" i="7"/>
  <c r="BH18" i="7" s="1"/>
  <c r="BF15" i="7"/>
  <c r="BF16" i="7" s="1"/>
  <c r="BD13" i="7"/>
  <c r="BD14" i="7" s="1"/>
  <c r="BJ7" i="7"/>
  <c r="BJ8" i="7" s="1"/>
  <c r="BH5" i="7"/>
  <c r="BH6" i="7" s="1"/>
  <c r="BF3" i="7"/>
  <c r="BF4" i="7" s="1"/>
  <c r="AX11" i="7"/>
  <c r="AX12" i="7" s="1"/>
  <c r="AX23" i="7"/>
  <c r="AX24" i="7" s="1"/>
  <c r="AT20" i="7"/>
  <c r="BF28" i="7"/>
  <c r="BE27" i="7"/>
  <c r="BC25" i="7"/>
  <c r="BC26" i="7" s="1"/>
  <c r="BK21" i="7"/>
  <c r="BK22" i="7" s="1"/>
  <c r="BJ20" i="7"/>
  <c r="BI19" i="7"/>
  <c r="BG17" i="7"/>
  <c r="BG18" i="7" s="1"/>
  <c r="BE15" i="7"/>
  <c r="BE16" i="7" s="1"/>
  <c r="BC13" i="7"/>
  <c r="BC14" i="7" s="1"/>
  <c r="BL10" i="7"/>
  <c r="BI7" i="7"/>
  <c r="BI8" i="7" s="1"/>
  <c r="BG5" i="7"/>
  <c r="BG6" i="7" s="1"/>
  <c r="BE3" i="7"/>
  <c r="BE4" i="7" s="1"/>
  <c r="AS19" i="7"/>
  <c r="BE28" i="7"/>
  <c r="BD27" i="7"/>
  <c r="BB25" i="7"/>
  <c r="BB26" i="7" s="1"/>
  <c r="BL23" i="7"/>
  <c r="BL24" i="7" s="1"/>
  <c r="BJ21" i="7"/>
  <c r="BJ22" i="7" s="1"/>
  <c r="BI20" i="7"/>
  <c r="BH19" i="7"/>
  <c r="BF17" i="7"/>
  <c r="BF18" i="7" s="1"/>
  <c r="BD15" i="7"/>
  <c r="BD16" i="7" s="1"/>
  <c r="BL11" i="7"/>
  <c r="BL12" i="7" s="1"/>
  <c r="BK10" i="7"/>
  <c r="BH7" i="7"/>
  <c r="BH8" i="7" s="1"/>
  <c r="BF5" i="7"/>
  <c r="BF6" i="7" s="1"/>
  <c r="BD3" i="7"/>
  <c r="BD4" i="7" s="1"/>
  <c r="AZ13" i="7"/>
  <c r="AZ14" i="7" s="1"/>
  <c r="AP25" i="7"/>
  <c r="AP26" i="7" s="1"/>
  <c r="AQ17" i="7"/>
  <c r="AQ18" i="7" s="1"/>
  <c r="BD28" i="7"/>
  <c r="BC27" i="7"/>
  <c r="BK23" i="7"/>
  <c r="BK24" i="7" s="1"/>
  <c r="BI21" i="7"/>
  <c r="BI22" i="7" s="1"/>
  <c r="BH20" i="7"/>
  <c r="BG19" i="7"/>
  <c r="BE17" i="7"/>
  <c r="BE18" i="7" s="1"/>
  <c r="BC15" i="7"/>
  <c r="BC16" i="7" s="1"/>
  <c r="BK11" i="7"/>
  <c r="BK12" i="7" s="1"/>
  <c r="BJ10" i="7"/>
  <c r="BG7" i="7"/>
  <c r="BG8" i="7" s="1"/>
  <c r="BE5" i="7"/>
  <c r="BE6" i="7" s="1"/>
  <c r="BC3" i="7"/>
  <c r="BC4" i="7" s="1"/>
  <c r="F29" i="6"/>
  <c r="P9" i="7" s="1"/>
  <c r="R29" i="6"/>
  <c r="AD29" i="6"/>
  <c r="AP29" i="6"/>
  <c r="BB29" i="6"/>
  <c r="AY13" i="7"/>
  <c r="AY14" i="7" s="1"/>
  <c r="BC28" i="7"/>
  <c r="BB27" i="7"/>
  <c r="BL25" i="7"/>
  <c r="BL26" i="7" s="1"/>
  <c r="BJ23" i="7"/>
  <c r="BJ24" i="7" s="1"/>
  <c r="BH21" i="7"/>
  <c r="BH22" i="7" s="1"/>
  <c r="BG20" i="7"/>
  <c r="BF19" i="7"/>
  <c r="BB15" i="7"/>
  <c r="BB16" i="7" s="1"/>
  <c r="BL13" i="7"/>
  <c r="BL14" i="7" s="1"/>
  <c r="BJ11" i="7"/>
  <c r="BJ12" i="7" s="1"/>
  <c r="BI10" i="7"/>
  <c r="BF7" i="7"/>
  <c r="BF8" i="7" s="1"/>
  <c r="BD5" i="7"/>
  <c r="BD6" i="7" s="1"/>
  <c r="BB3" i="7"/>
  <c r="BB4" i="7" s="1"/>
  <c r="AZ27" i="7"/>
  <c r="AS20" i="7"/>
  <c r="AR19" i="7"/>
  <c r="AP17" i="7"/>
  <c r="AP18" i="7" s="1"/>
  <c r="AZ15" i="7"/>
  <c r="AZ16" i="7" s="1"/>
  <c r="AV11" i="7"/>
  <c r="AV12" i="7" s="1"/>
  <c r="AU10" i="7"/>
  <c r="AR7" i="7"/>
  <c r="AR8" i="7" s="1"/>
  <c r="AP5" i="7"/>
  <c r="AP6" i="7" s="1"/>
  <c r="AZ3" i="7"/>
  <c r="AZ4" i="7" s="1"/>
  <c r="N29" i="6"/>
  <c r="Z29" i="6"/>
  <c r="AL29" i="6"/>
  <c r="AX29" i="6"/>
  <c r="BJ29" i="6"/>
  <c r="E29" i="6"/>
  <c r="M9" i="7" s="1"/>
  <c r="Q29" i="6"/>
  <c r="AC29" i="6"/>
  <c r="AO29" i="6"/>
  <c r="BA29" i="6"/>
  <c r="AH19" i="7"/>
  <c r="AE17" i="7"/>
  <c r="AE18" i="7" s="1"/>
  <c r="AZ28" i="7"/>
  <c r="AY27" i="7"/>
  <c r="AW25" i="7"/>
  <c r="AW26" i="7" s="1"/>
  <c r="AU23" i="7"/>
  <c r="AU24" i="7" s="1"/>
  <c r="AS21" i="7"/>
  <c r="AS22" i="7" s="1"/>
  <c r="AR20" i="7"/>
  <c r="AQ19" i="7"/>
  <c r="AY15" i="7"/>
  <c r="AY16" i="7" s="1"/>
  <c r="AW13" i="7"/>
  <c r="AW14" i="7" s="1"/>
  <c r="AU11" i="7"/>
  <c r="AU12" i="7" s="1"/>
  <c r="AT10" i="7"/>
  <c r="AQ7" i="7"/>
  <c r="AQ8" i="7" s="1"/>
  <c r="AY3" i="7"/>
  <c r="AY4" i="7" s="1"/>
  <c r="AY29" i="6"/>
  <c r="AY28" i="7"/>
  <c r="AX27" i="7"/>
  <c r="AV25" i="7"/>
  <c r="AV26" i="7" s="1"/>
  <c r="AT23" i="7"/>
  <c r="AR21" i="7"/>
  <c r="AR22" i="7" s="1"/>
  <c r="AQ20" i="7"/>
  <c r="AP19" i="7"/>
  <c r="AZ17" i="7"/>
  <c r="AZ18" i="7" s="1"/>
  <c r="AX15" i="7"/>
  <c r="AX16" i="7" s="1"/>
  <c r="AV13" i="7"/>
  <c r="AV14" i="7" s="1"/>
  <c r="AT11" i="7"/>
  <c r="AT12" i="7" s="1"/>
  <c r="AS10" i="7"/>
  <c r="AP7" i="7"/>
  <c r="AP8" i="7" s="1"/>
  <c r="AZ5" i="7"/>
  <c r="AZ6" i="7" s="1"/>
  <c r="AX3" i="7"/>
  <c r="AX4" i="7" s="1"/>
  <c r="AA29" i="6"/>
  <c r="D29" i="6"/>
  <c r="AX28" i="7"/>
  <c r="AW27" i="7"/>
  <c r="AU25" i="7"/>
  <c r="AU26" i="7" s="1"/>
  <c r="AT24" i="7"/>
  <c r="AS23" i="7"/>
  <c r="AS24" i="7" s="1"/>
  <c r="AQ21" i="7"/>
  <c r="AQ22" i="7" s="1"/>
  <c r="AP20" i="7"/>
  <c r="AY17" i="7"/>
  <c r="AY18" i="7" s="1"/>
  <c r="AW15" i="7"/>
  <c r="AW16" i="7" s="1"/>
  <c r="AU13" i="7"/>
  <c r="AU14" i="7" s="1"/>
  <c r="AS11" i="7"/>
  <c r="AS12" i="7" s="1"/>
  <c r="AR10" i="7"/>
  <c r="AY5" i="7"/>
  <c r="AY6" i="7" s="1"/>
  <c r="AW3" i="7"/>
  <c r="AW4" i="7" s="1"/>
  <c r="O29" i="6"/>
  <c r="AZ29" i="6"/>
  <c r="BL9" i="7" s="1"/>
  <c r="AW28" i="7"/>
  <c r="AV27" i="7"/>
  <c r="AT25" i="7"/>
  <c r="AT26" i="7" s="1"/>
  <c r="AR23" i="7"/>
  <c r="AR24" i="7" s="1"/>
  <c r="AZ19" i="7"/>
  <c r="AX17" i="7"/>
  <c r="AX18" i="7" s="1"/>
  <c r="AV15" i="7"/>
  <c r="AV16" i="7" s="1"/>
  <c r="AT13" i="7"/>
  <c r="AT14" i="7" s="1"/>
  <c r="AR11" i="7"/>
  <c r="AR12" i="7" s="1"/>
  <c r="AQ10" i="7"/>
  <c r="AZ7" i="7"/>
  <c r="AX5" i="7"/>
  <c r="AX6" i="7" s="1"/>
  <c r="AV3" i="7"/>
  <c r="AV4" i="7" s="1"/>
  <c r="AM29" i="6"/>
  <c r="AN29" i="6"/>
  <c r="AU9" i="7" s="1"/>
  <c r="AV28" i="7"/>
  <c r="AU27" i="7"/>
  <c r="AS25" i="7"/>
  <c r="AS26" i="7" s="1"/>
  <c r="AQ23" i="7"/>
  <c r="AQ24" i="7" s="1"/>
  <c r="AZ20" i="7"/>
  <c r="AY19" i="7"/>
  <c r="AW17" i="7"/>
  <c r="AW18" i="7" s="1"/>
  <c r="AU15" i="7"/>
  <c r="AS13" i="7"/>
  <c r="AS14" i="7" s="1"/>
  <c r="AQ11" i="7"/>
  <c r="AQ12" i="7" s="1"/>
  <c r="AP10" i="7"/>
  <c r="AZ8" i="7"/>
  <c r="AY7" i="7"/>
  <c r="AY8" i="7" s="1"/>
  <c r="AW5" i="7"/>
  <c r="AU3" i="7"/>
  <c r="AU4" i="7" s="1"/>
  <c r="BK29" i="6"/>
  <c r="P29" i="6"/>
  <c r="AB9" i="7" s="1"/>
  <c r="G29" i="6"/>
  <c r="S29" i="6"/>
  <c r="AE29" i="6"/>
  <c r="AQ29" i="6"/>
  <c r="BC29" i="6"/>
  <c r="X28" i="7"/>
  <c r="AU28" i="7"/>
  <c r="AT27" i="7"/>
  <c r="AR25" i="7"/>
  <c r="AR26" i="7" s="1"/>
  <c r="AP23" i="7"/>
  <c r="AP24" i="7" s="1"/>
  <c r="AZ21" i="7"/>
  <c r="AY20" i="7"/>
  <c r="AX19" i="7"/>
  <c r="AV17" i="7"/>
  <c r="AV18" i="7" s="1"/>
  <c r="AU16" i="7"/>
  <c r="AT15" i="7"/>
  <c r="AT16" i="7" s="1"/>
  <c r="AR13" i="7"/>
  <c r="AR14" i="7" s="1"/>
  <c r="AP11" i="7"/>
  <c r="AP12" i="7" s="1"/>
  <c r="AX7" i="7"/>
  <c r="AX8" i="7" s="1"/>
  <c r="AW6" i="7"/>
  <c r="AV5" i="7"/>
  <c r="AV6" i="7" s="1"/>
  <c r="AT3" i="7"/>
  <c r="AT4" i="7" s="1"/>
  <c r="AE11" i="7"/>
  <c r="AE12" i="7" s="1"/>
  <c r="AB29" i="6"/>
  <c r="AD9" i="7" s="1"/>
  <c r="AT28" i="7"/>
  <c r="AS27" i="7"/>
  <c r="AQ25" i="7"/>
  <c r="AQ26" i="7" s="1"/>
  <c r="AZ22" i="7"/>
  <c r="AY21" i="7"/>
  <c r="AY22" i="7" s="1"/>
  <c r="AX20" i="7"/>
  <c r="AW19" i="7"/>
  <c r="AU17" i="7"/>
  <c r="AU18" i="7" s="1"/>
  <c r="AS15" i="7"/>
  <c r="AS16" i="7" s="1"/>
  <c r="AQ13" i="7"/>
  <c r="AQ14" i="7" s="1"/>
  <c r="AZ10" i="7"/>
  <c r="AW7" i="7"/>
  <c r="AU5" i="7"/>
  <c r="AU6" i="7" s="1"/>
  <c r="AS3" i="7"/>
  <c r="AS4" i="7" s="1"/>
  <c r="AV10" i="7"/>
  <c r="AR29" i="6"/>
  <c r="BD29" i="6"/>
  <c r="AS28" i="7"/>
  <c r="AR27" i="7"/>
  <c r="AZ23" i="7"/>
  <c r="AZ24" i="7" s="1"/>
  <c r="AX21" i="7"/>
  <c r="AX22" i="7" s="1"/>
  <c r="AW20" i="7"/>
  <c r="AV19" i="7"/>
  <c r="AT17" i="7"/>
  <c r="AT18" i="7" s="1"/>
  <c r="AR15" i="7"/>
  <c r="AR16" i="7" s="1"/>
  <c r="AP13" i="7"/>
  <c r="AP14" i="7" s="1"/>
  <c r="AZ11" i="7"/>
  <c r="AZ12" i="7" s="1"/>
  <c r="AY10" i="7"/>
  <c r="AW8" i="7"/>
  <c r="AV7" i="7"/>
  <c r="AV8" i="7" s="1"/>
  <c r="AT5" i="7"/>
  <c r="AT6" i="7" s="1"/>
  <c r="AR3" i="7"/>
  <c r="AR4" i="7" s="1"/>
  <c r="AE25" i="7"/>
  <c r="AE26" i="7" s="1"/>
  <c r="AR28" i="7"/>
  <c r="AQ27" i="7"/>
  <c r="AY23" i="7"/>
  <c r="AY24" i="7" s="1"/>
  <c r="AW21" i="7"/>
  <c r="AW22" i="7" s="1"/>
  <c r="AV20" i="7"/>
  <c r="AU19" i="7"/>
  <c r="AS17" i="7"/>
  <c r="AS18" i="7" s="1"/>
  <c r="AQ15" i="7"/>
  <c r="AQ16" i="7" s="1"/>
  <c r="AY11" i="7"/>
  <c r="AY12" i="7" s="1"/>
  <c r="AX10" i="7"/>
  <c r="AU7" i="7"/>
  <c r="AU8" i="7" s="1"/>
  <c r="AS5" i="7"/>
  <c r="AS6" i="7" s="1"/>
  <c r="AQ3" i="7"/>
  <c r="AQ4" i="7" s="1"/>
  <c r="K29" i="6"/>
  <c r="W29" i="6"/>
  <c r="AI29" i="6"/>
  <c r="AU29" i="6"/>
  <c r="BG29" i="6"/>
  <c r="J29" i="6"/>
  <c r="V29" i="6"/>
  <c r="AH29" i="6"/>
  <c r="AT29" i="6"/>
  <c r="BF29" i="6"/>
  <c r="AZ25" i="7"/>
  <c r="AZ26" i="7" s="1"/>
  <c r="AR17" i="7"/>
  <c r="AR18" i="7" s="1"/>
  <c r="O3" i="7"/>
  <c r="O4" i="7" s="1"/>
  <c r="AD3" i="7"/>
  <c r="I5" i="7"/>
  <c r="X5" i="7"/>
  <c r="X6" i="7" s="1"/>
  <c r="AL5" i="7"/>
  <c r="AL6" i="7" s="1"/>
  <c r="Q7" i="7"/>
  <c r="Q8" i="7" s="1"/>
  <c r="AE7" i="7"/>
  <c r="AE8" i="7" s="1"/>
  <c r="O10" i="7"/>
  <c r="AC10" i="7"/>
  <c r="AG11" i="7"/>
  <c r="AG12" i="7" s="1"/>
  <c r="R11" i="7"/>
  <c r="R12" i="7" s="1"/>
  <c r="AF11" i="7"/>
  <c r="AF12" i="7" s="1"/>
  <c r="H12" i="7"/>
  <c r="L13" i="7"/>
  <c r="L14" i="7" s="1"/>
  <c r="Z13" i="7"/>
  <c r="Z14" i="7" s="1"/>
  <c r="AO13" i="7"/>
  <c r="AO14" i="7" s="1"/>
  <c r="E15" i="7"/>
  <c r="E16" i="7" s="1"/>
  <c r="S15" i="7"/>
  <c r="S16" i="7" s="1"/>
  <c r="AH15" i="7"/>
  <c r="M17" i="7"/>
  <c r="M18" i="7" s="1"/>
  <c r="AB17" i="7"/>
  <c r="BA17" i="7"/>
  <c r="BA18" i="7" s="1"/>
  <c r="F19" i="7"/>
  <c r="T19" i="7"/>
  <c r="AI19" i="7"/>
  <c r="J20" i="7"/>
  <c r="X20" i="7"/>
  <c r="AM20" i="7"/>
  <c r="N21" i="7"/>
  <c r="N22" i="7" s="1"/>
  <c r="AC21" i="7"/>
  <c r="AC22" i="7" s="1"/>
  <c r="G23" i="7"/>
  <c r="G24" i="7" s="1"/>
  <c r="V23" i="7"/>
  <c r="V24" i="7" s="1"/>
  <c r="AJ23" i="7"/>
  <c r="P25" i="7"/>
  <c r="P26" i="7" s="1"/>
  <c r="AD25" i="7"/>
  <c r="AD26" i="7" s="1"/>
  <c r="H27" i="7"/>
  <c r="W27" i="7"/>
  <c r="AL27" i="7"/>
  <c r="N28" i="7"/>
  <c r="Q3" i="7"/>
  <c r="Q4" i="7" s="1"/>
  <c r="AE3" i="7"/>
  <c r="AE4" i="7" s="1"/>
  <c r="K5" i="7"/>
  <c r="K6" i="7" s="1"/>
  <c r="Y5" i="7"/>
  <c r="Y6" i="7" s="1"/>
  <c r="AN5" i="7"/>
  <c r="AN6" i="7" s="1"/>
  <c r="AG7" i="7"/>
  <c r="R7" i="7"/>
  <c r="AF7" i="7"/>
  <c r="AF8" i="7" s="1"/>
  <c r="P10" i="7"/>
  <c r="AD10" i="7"/>
  <c r="E11" i="7"/>
  <c r="S11" i="7"/>
  <c r="S12" i="7" s="1"/>
  <c r="AH11" i="7"/>
  <c r="I12" i="7"/>
  <c r="M13" i="7"/>
  <c r="M14" i="7" s="1"/>
  <c r="AB13" i="7"/>
  <c r="AB14" i="7" s="1"/>
  <c r="BA13" i="7"/>
  <c r="F15" i="7"/>
  <c r="F16" i="7" s="1"/>
  <c r="T15" i="7"/>
  <c r="AI15" i="7"/>
  <c r="AI16" i="7" s="1"/>
  <c r="N17" i="7"/>
  <c r="N18" i="7" s="1"/>
  <c r="AC17" i="7"/>
  <c r="AC18" i="7" s="1"/>
  <c r="G19" i="7"/>
  <c r="V19" i="7"/>
  <c r="AJ19" i="7"/>
  <c r="K20" i="7"/>
  <c r="Z20" i="7"/>
  <c r="AN20" i="7"/>
  <c r="P21" i="7"/>
  <c r="P22" i="7" s="1"/>
  <c r="AD21" i="7"/>
  <c r="H23" i="7"/>
  <c r="H24" i="7" s="1"/>
  <c r="W23" i="7"/>
  <c r="W24" i="7" s="1"/>
  <c r="AK23" i="7"/>
  <c r="AK24" i="7" s="1"/>
  <c r="Q25" i="7"/>
  <c r="Q26" i="7" s="1"/>
  <c r="J27" i="7"/>
  <c r="X27" i="7"/>
  <c r="AM27" i="7"/>
  <c r="O28" i="7"/>
  <c r="AG3" i="7"/>
  <c r="AG4" i="7" s="1"/>
  <c r="R3" i="7"/>
  <c r="R4" i="7" s="1"/>
  <c r="AF3" i="7"/>
  <c r="AF4" i="7" s="1"/>
  <c r="L5" i="7"/>
  <c r="L6" i="7" s="1"/>
  <c r="Z5" i="7"/>
  <c r="Z6" i="7" s="1"/>
  <c r="AO5" i="7"/>
  <c r="AO6" i="7" s="1"/>
  <c r="E7" i="7"/>
  <c r="E8" i="7" s="1"/>
  <c r="S7" i="7"/>
  <c r="AH7" i="7"/>
  <c r="AH8" i="7" s="1"/>
  <c r="BA9" i="7"/>
  <c r="Q10" i="7"/>
  <c r="AF10" i="7"/>
  <c r="F11" i="7"/>
  <c r="T11" i="7"/>
  <c r="T12" i="7" s="1"/>
  <c r="AI11" i="7"/>
  <c r="AI12" i="7" s="1"/>
  <c r="J12" i="7"/>
  <c r="N13" i="7"/>
  <c r="AC13" i="7"/>
  <c r="G15" i="7"/>
  <c r="G16" i="7" s="1"/>
  <c r="V15" i="7"/>
  <c r="AJ15" i="7"/>
  <c r="AJ16" i="7" s="1"/>
  <c r="P17" i="7"/>
  <c r="AD17" i="7"/>
  <c r="AD18" i="7" s="1"/>
  <c r="H19" i="7"/>
  <c r="W19" i="7"/>
  <c r="AK19" i="7"/>
  <c r="L20" i="7"/>
  <c r="AA20" i="7"/>
  <c r="AO20" i="7"/>
  <c r="Q21" i="7"/>
  <c r="AE21" i="7"/>
  <c r="AE22" i="7" s="1"/>
  <c r="J23" i="7"/>
  <c r="X23" i="7"/>
  <c r="X24" i="7" s="1"/>
  <c r="AL23" i="7"/>
  <c r="AM25" i="7"/>
  <c r="AM26" i="7" s="1"/>
  <c r="AA25" i="7"/>
  <c r="AA26" i="7" s="1"/>
  <c r="O25" i="7"/>
  <c r="O26" i="7" s="1"/>
  <c r="AH25" i="7"/>
  <c r="AH26" i="7" s="1"/>
  <c r="V25" i="7"/>
  <c r="V26" i="7" s="1"/>
  <c r="J25" i="7"/>
  <c r="J26" i="7" s="1"/>
  <c r="R25" i="7"/>
  <c r="AF25" i="7"/>
  <c r="AF26" i="7" s="1"/>
  <c r="K27" i="7"/>
  <c r="Y27" i="7"/>
  <c r="AO27" i="7"/>
  <c r="Q28" i="7"/>
  <c r="E3" i="7"/>
  <c r="E4" i="7" s="1"/>
  <c r="S3" i="7"/>
  <c r="S4" i="7" s="1"/>
  <c r="AH3" i="7"/>
  <c r="AH4" i="7" s="1"/>
  <c r="M5" i="7"/>
  <c r="M6" i="7" s="1"/>
  <c r="AB5" i="7"/>
  <c r="AB6" i="7" s="1"/>
  <c r="BA5" i="7"/>
  <c r="BA6" i="7" s="1"/>
  <c r="F7" i="7"/>
  <c r="F8" i="7" s="1"/>
  <c r="T7" i="7"/>
  <c r="T8" i="7" s="1"/>
  <c r="AI7" i="7"/>
  <c r="AI8" i="7" s="1"/>
  <c r="AJ10" i="7"/>
  <c r="X10" i="7"/>
  <c r="L10" i="7"/>
  <c r="AE10" i="7"/>
  <c r="S10" i="7"/>
  <c r="G10" i="7"/>
  <c r="R10" i="7"/>
  <c r="AG10" i="7"/>
  <c r="G11" i="7"/>
  <c r="V11" i="7"/>
  <c r="V12" i="7" s="1"/>
  <c r="AJ11" i="7"/>
  <c r="AJ12" i="7" s="1"/>
  <c r="K12" i="7"/>
  <c r="P13" i="7"/>
  <c r="P14" i="7" s="1"/>
  <c r="AD13" i="7"/>
  <c r="AD14" i="7" s="1"/>
  <c r="H15" i="7"/>
  <c r="W15" i="7"/>
  <c r="W16" i="7" s="1"/>
  <c r="AK15" i="7"/>
  <c r="AK16" i="7" s="1"/>
  <c r="Q17" i="7"/>
  <c r="Q18" i="7" s="1"/>
  <c r="J19" i="7"/>
  <c r="X19" i="7"/>
  <c r="AL19" i="7"/>
  <c r="N20" i="7"/>
  <c r="AB20" i="7"/>
  <c r="AM21" i="7"/>
  <c r="AM22" i="7" s="1"/>
  <c r="AA21" i="7"/>
  <c r="AA22" i="7" s="1"/>
  <c r="O21" i="7"/>
  <c r="O22" i="7" s="1"/>
  <c r="AH21" i="7"/>
  <c r="AH22" i="7" s="1"/>
  <c r="V21" i="7"/>
  <c r="V22" i="7" s="1"/>
  <c r="J21" i="7"/>
  <c r="J22" i="7" s="1"/>
  <c r="R21" i="7"/>
  <c r="R22" i="7" s="1"/>
  <c r="AF21" i="7"/>
  <c r="AF22" i="7" s="1"/>
  <c r="K23" i="7"/>
  <c r="K24" i="7" s="1"/>
  <c r="Y23" i="7"/>
  <c r="AM23" i="7"/>
  <c r="E25" i="7"/>
  <c r="E26" i="7" s="1"/>
  <c r="S25" i="7"/>
  <c r="S26" i="7" s="1"/>
  <c r="AG25" i="7"/>
  <c r="AG26" i="7" s="1"/>
  <c r="L27" i="7"/>
  <c r="Z27" i="7"/>
  <c r="BA27" i="7"/>
  <c r="S28" i="7"/>
  <c r="F3" i="7"/>
  <c r="F4" i="7" s="1"/>
  <c r="T3" i="7"/>
  <c r="T4" i="7" s="1"/>
  <c r="AI3" i="7"/>
  <c r="AI4" i="7" s="1"/>
  <c r="N5" i="7"/>
  <c r="N6" i="7" s="1"/>
  <c r="AC5" i="7"/>
  <c r="AC6" i="7" s="1"/>
  <c r="G7" i="7"/>
  <c r="G8" i="7" s="1"/>
  <c r="V7" i="7"/>
  <c r="V8" i="7" s="1"/>
  <c r="AJ7" i="7"/>
  <c r="AJ8" i="7" s="1"/>
  <c r="E10" i="7"/>
  <c r="T10" i="7"/>
  <c r="AH10" i="7"/>
  <c r="H11" i="7"/>
  <c r="W11" i="7"/>
  <c r="W12" i="7" s="1"/>
  <c r="AK11" i="7"/>
  <c r="AK12" i="7" s="1"/>
  <c r="L12" i="7"/>
  <c r="Q13" i="7"/>
  <c r="Q14" i="7" s="1"/>
  <c r="AE13" i="7"/>
  <c r="AE14" i="7" s="1"/>
  <c r="J15" i="7"/>
  <c r="J16" i="7" s="1"/>
  <c r="X15" i="7"/>
  <c r="X16" i="7" s="1"/>
  <c r="AL15" i="7"/>
  <c r="AL16" i="7" s="1"/>
  <c r="AM17" i="7"/>
  <c r="AM18" i="7" s="1"/>
  <c r="AA17" i="7"/>
  <c r="AA18" i="7" s="1"/>
  <c r="O17" i="7"/>
  <c r="O18" i="7" s="1"/>
  <c r="AH17" i="7"/>
  <c r="AH18" i="7" s="1"/>
  <c r="V17" i="7"/>
  <c r="V18" i="7" s="1"/>
  <c r="J17" i="7"/>
  <c r="J18" i="7" s="1"/>
  <c r="R17" i="7"/>
  <c r="R18" i="7" s="1"/>
  <c r="AF17" i="7"/>
  <c r="AF18" i="7" s="1"/>
  <c r="K19" i="7"/>
  <c r="Y19" i="7"/>
  <c r="AM19" i="7"/>
  <c r="O20" i="7"/>
  <c r="AC20" i="7"/>
  <c r="E21" i="7"/>
  <c r="E22" i="7" s="1"/>
  <c r="S21" i="7"/>
  <c r="S22" i="7" s="1"/>
  <c r="AG21" i="7"/>
  <c r="AG22" i="7" s="1"/>
  <c r="L23" i="7"/>
  <c r="L24" i="7" s="1"/>
  <c r="Z23" i="7"/>
  <c r="Z24" i="7" s="1"/>
  <c r="AO23" i="7"/>
  <c r="AO24" i="7" s="1"/>
  <c r="F25" i="7"/>
  <c r="F26" i="7" s="1"/>
  <c r="T25" i="7"/>
  <c r="T26" i="7" s="1"/>
  <c r="AI25" i="7"/>
  <c r="AI26" i="7" s="1"/>
  <c r="M27" i="7"/>
  <c r="AA27" i="7"/>
  <c r="BA28" i="7"/>
  <c r="T28" i="7"/>
  <c r="G3" i="7"/>
  <c r="G4" i="7" s="1"/>
  <c r="V3" i="7"/>
  <c r="V4" i="7" s="1"/>
  <c r="AJ3" i="7"/>
  <c r="AJ4" i="7" s="1"/>
  <c r="P5" i="7"/>
  <c r="P6" i="7" s="1"/>
  <c r="AD5" i="7"/>
  <c r="AD6" i="7" s="1"/>
  <c r="H7" i="7"/>
  <c r="H8" i="7" s="1"/>
  <c r="W7" i="7"/>
  <c r="W8" i="7" s="1"/>
  <c r="AK7" i="7"/>
  <c r="F10" i="7"/>
  <c r="U10" i="7"/>
  <c r="AI10" i="7"/>
  <c r="J11" i="7"/>
  <c r="X11" i="7"/>
  <c r="X12" i="7" s="1"/>
  <c r="AL11" i="7"/>
  <c r="AL12" i="7" s="1"/>
  <c r="N12" i="7"/>
  <c r="AM13" i="7"/>
  <c r="AM14" i="7" s="1"/>
  <c r="AA13" i="7"/>
  <c r="AA14" i="7" s="1"/>
  <c r="O13" i="7"/>
  <c r="O14" i="7" s="1"/>
  <c r="AH13" i="7"/>
  <c r="AH14" i="7" s="1"/>
  <c r="V13" i="7"/>
  <c r="V14" i="7" s="1"/>
  <c r="J13" i="7"/>
  <c r="J14" i="7" s="1"/>
  <c r="R13" i="7"/>
  <c r="R14" i="7" s="1"/>
  <c r="AF13" i="7"/>
  <c r="AF14" i="7" s="1"/>
  <c r="K15" i="7"/>
  <c r="K16" i="7" s="1"/>
  <c r="Y15" i="7"/>
  <c r="Y16" i="7" s="1"/>
  <c r="AM15" i="7"/>
  <c r="AM16" i="7" s="1"/>
  <c r="E17" i="7"/>
  <c r="E18" i="7" s="1"/>
  <c r="S17" i="7"/>
  <c r="S18" i="7" s="1"/>
  <c r="AG17" i="7"/>
  <c r="AG18" i="7" s="1"/>
  <c r="L19" i="7"/>
  <c r="Z19" i="7"/>
  <c r="AO19" i="7"/>
  <c r="P20" i="7"/>
  <c r="AE20" i="7"/>
  <c r="F21" i="7"/>
  <c r="F22" i="7" s="1"/>
  <c r="T21" i="7"/>
  <c r="T22" i="7" s="1"/>
  <c r="AI21" i="7"/>
  <c r="AI22" i="7" s="1"/>
  <c r="M23" i="7"/>
  <c r="M24" i="7" s="1"/>
  <c r="AA23" i="7"/>
  <c r="AA24" i="7" s="1"/>
  <c r="BA23" i="7"/>
  <c r="BA24" i="7" s="1"/>
  <c r="G25" i="7"/>
  <c r="G26" i="7" s="1"/>
  <c r="U25" i="7"/>
  <c r="U26" i="7" s="1"/>
  <c r="AJ25" i="7"/>
  <c r="AJ26" i="7" s="1"/>
  <c r="N27" i="7"/>
  <c r="AC27" i="7"/>
  <c r="E28" i="7"/>
  <c r="U28" i="7"/>
  <c r="H3" i="7"/>
  <c r="H4" i="7" s="1"/>
  <c r="W3" i="7"/>
  <c r="W4" i="7" s="1"/>
  <c r="AK3" i="7"/>
  <c r="AK4" i="7" s="1"/>
  <c r="Q5" i="7"/>
  <c r="Q6" i="7" s="1"/>
  <c r="AE5" i="7"/>
  <c r="AE6" i="7" s="1"/>
  <c r="J7" i="7"/>
  <c r="J8" i="7" s="1"/>
  <c r="X7" i="7"/>
  <c r="X8" i="7" s="1"/>
  <c r="AL7" i="7"/>
  <c r="AL8" i="7" s="1"/>
  <c r="O9" i="7"/>
  <c r="H10" i="7"/>
  <c r="V10" i="7"/>
  <c r="AK10" i="7"/>
  <c r="K11" i="7"/>
  <c r="Y11" i="7"/>
  <c r="AM11" i="7"/>
  <c r="AM12" i="7" s="1"/>
  <c r="O12" i="7"/>
  <c r="E13" i="7"/>
  <c r="E14" i="7" s="1"/>
  <c r="S13" i="7"/>
  <c r="S14" i="7" s="1"/>
  <c r="AG13" i="7"/>
  <c r="AG14" i="7" s="1"/>
  <c r="L15" i="7"/>
  <c r="L16" i="7" s="1"/>
  <c r="Z15" i="7"/>
  <c r="Z16" i="7" s="1"/>
  <c r="AO15" i="7"/>
  <c r="AO16" i="7" s="1"/>
  <c r="F17" i="7"/>
  <c r="F18" i="7" s="1"/>
  <c r="T17" i="7"/>
  <c r="T18" i="7" s="1"/>
  <c r="AI17" i="7"/>
  <c r="AI18" i="7" s="1"/>
  <c r="M19" i="7"/>
  <c r="AA19" i="7"/>
  <c r="BA19" i="7"/>
  <c r="Q20" i="7"/>
  <c r="AF20" i="7"/>
  <c r="G21" i="7"/>
  <c r="G22" i="7" s="1"/>
  <c r="U21" i="7"/>
  <c r="U22" i="7" s="1"/>
  <c r="AJ21" i="7"/>
  <c r="AJ22" i="7" s="1"/>
  <c r="N23" i="7"/>
  <c r="N24" i="7" s="1"/>
  <c r="AC23" i="7"/>
  <c r="AC24" i="7" s="1"/>
  <c r="Y24" i="7"/>
  <c r="H25" i="7"/>
  <c r="H26" i="7" s="1"/>
  <c r="W25" i="7"/>
  <c r="W26" i="7" s="1"/>
  <c r="AK25" i="7"/>
  <c r="AK26" i="7" s="1"/>
  <c r="O27" i="7"/>
  <c r="AD27" i="7"/>
  <c r="G28" i="7"/>
  <c r="V28" i="7"/>
  <c r="J3" i="7"/>
  <c r="J4" i="7" s="1"/>
  <c r="X3" i="7"/>
  <c r="X4" i="7" s="1"/>
  <c r="AL3" i="7"/>
  <c r="AL4" i="7" s="1"/>
  <c r="AM5" i="7"/>
  <c r="AM6" i="7" s="1"/>
  <c r="AA5" i="7"/>
  <c r="AA6" i="7" s="1"/>
  <c r="O5" i="7"/>
  <c r="O6" i="7" s="1"/>
  <c r="AH5" i="7"/>
  <c r="AH6" i="7" s="1"/>
  <c r="V5" i="7"/>
  <c r="V6" i="7" s="1"/>
  <c r="J5" i="7"/>
  <c r="J6" i="7" s="1"/>
  <c r="R5" i="7"/>
  <c r="R6" i="7" s="1"/>
  <c r="AF5" i="7"/>
  <c r="AF6" i="7" s="1"/>
  <c r="K7" i="7"/>
  <c r="K8" i="7" s="1"/>
  <c r="Y7" i="7"/>
  <c r="Y8" i="7" s="1"/>
  <c r="AM7" i="7"/>
  <c r="AM8" i="7" s="1"/>
  <c r="I10" i="7"/>
  <c r="W10" i="7"/>
  <c r="AL10" i="7"/>
  <c r="L11" i="7"/>
  <c r="Z11" i="7"/>
  <c r="Z12" i="7" s="1"/>
  <c r="AO11" i="7"/>
  <c r="AO12" i="7" s="1"/>
  <c r="P12" i="7"/>
  <c r="F13" i="7"/>
  <c r="F14" i="7" s="1"/>
  <c r="T13" i="7"/>
  <c r="T14" i="7" s="1"/>
  <c r="AI13" i="7"/>
  <c r="AI14" i="7" s="1"/>
  <c r="M15" i="7"/>
  <c r="M16" i="7" s="1"/>
  <c r="AA15" i="7"/>
  <c r="AA16" i="7" s="1"/>
  <c r="BA15" i="7"/>
  <c r="BA16" i="7" s="1"/>
  <c r="G17" i="7"/>
  <c r="G18" i="7" s="1"/>
  <c r="U17" i="7"/>
  <c r="U18" i="7" s="1"/>
  <c r="AJ17" i="7"/>
  <c r="AJ18" i="7" s="1"/>
  <c r="N19" i="7"/>
  <c r="AC19" i="7"/>
  <c r="BA20" i="7"/>
  <c r="AD20" i="7"/>
  <c r="R20" i="7"/>
  <c r="F20" i="7"/>
  <c r="AK20" i="7"/>
  <c r="Y20" i="7"/>
  <c r="M20" i="7"/>
  <c r="S20" i="7"/>
  <c r="AG20" i="7"/>
  <c r="H21" i="7"/>
  <c r="H22" i="7" s="1"/>
  <c r="W21" i="7"/>
  <c r="W22" i="7" s="1"/>
  <c r="AK21" i="7"/>
  <c r="AK22" i="7" s="1"/>
  <c r="O23" i="7"/>
  <c r="O24" i="7" s="1"/>
  <c r="AD23" i="7"/>
  <c r="AD24" i="7" s="1"/>
  <c r="I25" i="7"/>
  <c r="I26" i="7" s="1"/>
  <c r="X25" i="7"/>
  <c r="X26" i="7" s="1"/>
  <c r="AL25" i="7"/>
  <c r="AL26" i="7" s="1"/>
  <c r="Q27" i="7"/>
  <c r="AF27" i="7"/>
  <c r="H28" i="7"/>
  <c r="W28" i="7"/>
  <c r="K3" i="7"/>
  <c r="K4" i="7" s="1"/>
  <c r="Y3" i="7"/>
  <c r="Y4" i="7" s="1"/>
  <c r="AM3" i="7"/>
  <c r="AM4" i="7" s="1"/>
  <c r="E5" i="7"/>
  <c r="E6" i="7" s="1"/>
  <c r="S5" i="7"/>
  <c r="S6" i="7" s="1"/>
  <c r="AG5" i="7"/>
  <c r="AG6" i="7" s="1"/>
  <c r="I6" i="7"/>
  <c r="L7" i="7"/>
  <c r="L8" i="7" s="1"/>
  <c r="Z7" i="7"/>
  <c r="Z8" i="7" s="1"/>
  <c r="AO7" i="7"/>
  <c r="AO8" i="7" s="1"/>
  <c r="J10" i="7"/>
  <c r="Y10" i="7"/>
  <c r="AM10" i="7"/>
  <c r="M11" i="7"/>
  <c r="AA11" i="7"/>
  <c r="AA12" i="7" s="1"/>
  <c r="BA11" i="7"/>
  <c r="BA12" i="7" s="1"/>
  <c r="G13" i="7"/>
  <c r="G14" i="7" s="1"/>
  <c r="U13" i="7"/>
  <c r="U14" i="7" s="1"/>
  <c r="AJ13" i="7"/>
  <c r="AJ14" i="7" s="1"/>
  <c r="N15" i="7"/>
  <c r="N16" i="7" s="1"/>
  <c r="AC15" i="7"/>
  <c r="AC16" i="7" s="1"/>
  <c r="H17" i="7"/>
  <c r="H18" i="7" s="1"/>
  <c r="W17" i="7"/>
  <c r="W18" i="7" s="1"/>
  <c r="AK17" i="7"/>
  <c r="AK18" i="7" s="1"/>
  <c r="O19" i="7"/>
  <c r="AD19" i="7"/>
  <c r="E20" i="7"/>
  <c r="T20" i="7"/>
  <c r="AH20" i="7"/>
  <c r="I21" i="7"/>
  <c r="I22" i="7" s="1"/>
  <c r="X21" i="7"/>
  <c r="X22" i="7" s="1"/>
  <c r="AL21" i="7"/>
  <c r="AL22" i="7" s="1"/>
  <c r="Q23" i="7"/>
  <c r="Q24" i="7" s="1"/>
  <c r="AE23" i="7"/>
  <c r="AE24" i="7" s="1"/>
  <c r="K25" i="7"/>
  <c r="K26" i="7" s="1"/>
  <c r="Y25" i="7"/>
  <c r="Y26" i="7" s="1"/>
  <c r="AN25" i="7"/>
  <c r="AN26" i="7" s="1"/>
  <c r="AG27" i="7"/>
  <c r="R27" i="7"/>
  <c r="AH27" i="7"/>
  <c r="I28" i="7"/>
  <c r="AE27" i="7"/>
  <c r="AM28" i="7"/>
  <c r="AL28" i="7"/>
  <c r="AI28" i="7"/>
  <c r="AH28" i="7"/>
  <c r="AF28" i="7"/>
  <c r="L3" i="7"/>
  <c r="L4" i="7" s="1"/>
  <c r="Z3" i="7"/>
  <c r="Z4" i="7" s="1"/>
  <c r="AO3" i="7"/>
  <c r="AO4" i="7" s="1"/>
  <c r="F5" i="7"/>
  <c r="F6" i="7" s="1"/>
  <c r="T5" i="7"/>
  <c r="T6" i="7" s="1"/>
  <c r="AI5" i="7"/>
  <c r="AI6" i="7" s="1"/>
  <c r="M7" i="7"/>
  <c r="AA7" i="7"/>
  <c r="AA8" i="7" s="1"/>
  <c r="BA7" i="7"/>
  <c r="BA8" i="7" s="1"/>
  <c r="K10" i="7"/>
  <c r="Z10" i="7"/>
  <c r="AN10" i="7"/>
  <c r="N11" i="7"/>
  <c r="AC11" i="7"/>
  <c r="AC12" i="7" s="1"/>
  <c r="F12" i="7"/>
  <c r="Y12" i="7"/>
  <c r="M12" i="7"/>
  <c r="H13" i="7"/>
  <c r="H14" i="7" s="1"/>
  <c r="W13" i="7"/>
  <c r="W14" i="7" s="1"/>
  <c r="AK13" i="7"/>
  <c r="AK14" i="7" s="1"/>
  <c r="O15" i="7"/>
  <c r="O16" i="7" s="1"/>
  <c r="AD15" i="7"/>
  <c r="AD16" i="7" s="1"/>
  <c r="T16" i="7"/>
  <c r="AH16" i="7"/>
  <c r="I17" i="7"/>
  <c r="I18" i="7" s="1"/>
  <c r="X17" i="7"/>
  <c r="X18" i="7" s="1"/>
  <c r="AL17" i="7"/>
  <c r="AL18" i="7" s="1"/>
  <c r="AB18" i="7"/>
  <c r="Q19" i="7"/>
  <c r="AE19" i="7"/>
  <c r="G20" i="7"/>
  <c r="U20" i="7"/>
  <c r="AI20" i="7"/>
  <c r="K21" i="7"/>
  <c r="K22" i="7" s="1"/>
  <c r="Y21" i="7"/>
  <c r="Y22" i="7" s="1"/>
  <c r="AN21" i="7"/>
  <c r="AN22" i="7" s="1"/>
  <c r="AG23" i="7"/>
  <c r="AG24" i="7" s="1"/>
  <c r="R23" i="7"/>
  <c r="R24" i="7" s="1"/>
  <c r="AF23" i="7"/>
  <c r="AF24" i="7" s="1"/>
  <c r="AJ24" i="7"/>
  <c r="L25" i="7"/>
  <c r="L26" i="7" s="1"/>
  <c r="Z25" i="7"/>
  <c r="Z26" i="7" s="1"/>
  <c r="AO25" i="7"/>
  <c r="AO26" i="7" s="1"/>
  <c r="E27" i="7"/>
  <c r="S27" i="7"/>
  <c r="AI27" i="7"/>
  <c r="J28" i="7"/>
  <c r="Z28" i="7"/>
  <c r="M3" i="7"/>
  <c r="M4" i="7" s="1"/>
  <c r="AA3" i="7"/>
  <c r="AA4" i="7" s="1"/>
  <c r="BA3" i="7"/>
  <c r="BA4" i="7" s="1"/>
  <c r="G5" i="7"/>
  <c r="G6" i="7" s="1"/>
  <c r="U5" i="7"/>
  <c r="U6" i="7" s="1"/>
  <c r="AJ5" i="7"/>
  <c r="AJ6" i="7" s="1"/>
  <c r="N7" i="7"/>
  <c r="N8" i="7" s="1"/>
  <c r="AC7" i="7"/>
  <c r="AC8" i="7" s="1"/>
  <c r="R8" i="7"/>
  <c r="AK8" i="7"/>
  <c r="M8" i="7"/>
  <c r="S8" i="7"/>
  <c r="AG8" i="7"/>
  <c r="M10" i="7"/>
  <c r="AA10" i="7"/>
  <c r="AO10" i="7"/>
  <c r="O11" i="7"/>
  <c r="AD11" i="7"/>
  <c r="AD12" i="7" s="1"/>
  <c r="E12" i="7"/>
  <c r="AH12" i="7"/>
  <c r="I13" i="7"/>
  <c r="I14" i="7" s="1"/>
  <c r="X13" i="7"/>
  <c r="X14" i="7" s="1"/>
  <c r="AL13" i="7"/>
  <c r="AL14" i="7" s="1"/>
  <c r="N14" i="7"/>
  <c r="BA14" i="7"/>
  <c r="Q15" i="7"/>
  <c r="Q16" i="7" s="1"/>
  <c r="AE15" i="7"/>
  <c r="AE16" i="7" s="1"/>
  <c r="K17" i="7"/>
  <c r="K18" i="7" s="1"/>
  <c r="Y17" i="7"/>
  <c r="Y18" i="7" s="1"/>
  <c r="AN17" i="7"/>
  <c r="AN18" i="7" s="1"/>
  <c r="AG19" i="7"/>
  <c r="R19" i="7"/>
  <c r="AF19" i="7"/>
  <c r="H20" i="7"/>
  <c r="V20" i="7"/>
  <c r="AJ20" i="7"/>
  <c r="L21" i="7"/>
  <c r="L22" i="7" s="1"/>
  <c r="Z21" i="7"/>
  <c r="Z22" i="7" s="1"/>
  <c r="AO21" i="7"/>
  <c r="AO22" i="7" s="1"/>
  <c r="AD22" i="7"/>
  <c r="E23" i="7"/>
  <c r="E24" i="7" s="1"/>
  <c r="S23" i="7"/>
  <c r="S24" i="7" s="1"/>
  <c r="AH23" i="7"/>
  <c r="AH24" i="7" s="1"/>
  <c r="AL24" i="7"/>
  <c r="M25" i="7"/>
  <c r="M26" i="7" s="1"/>
  <c r="AB25" i="7"/>
  <c r="AB26" i="7" s="1"/>
  <c r="BA25" i="7"/>
  <c r="BA26" i="7" s="1"/>
  <c r="F27" i="7"/>
  <c r="T27" i="7"/>
  <c r="AJ27" i="7"/>
  <c r="K28" i="7"/>
  <c r="AA28" i="7"/>
  <c r="N3" i="7"/>
  <c r="N4" i="7" s="1"/>
  <c r="AC3" i="7"/>
  <c r="AC4" i="7" s="1"/>
  <c r="AD4" i="7"/>
  <c r="H5" i="7"/>
  <c r="H6" i="7" s="1"/>
  <c r="W5" i="7"/>
  <c r="W6" i="7" s="1"/>
  <c r="AK5" i="7"/>
  <c r="AK6" i="7" s="1"/>
  <c r="O7" i="7"/>
  <c r="O8" i="7" s="1"/>
  <c r="AD7" i="7"/>
  <c r="AD8" i="7" s="1"/>
  <c r="N10" i="7"/>
  <c r="AB10" i="7"/>
  <c r="BA10" i="7"/>
  <c r="Q11" i="7"/>
  <c r="Q12" i="7" s="1"/>
  <c r="G12" i="7"/>
  <c r="K13" i="7"/>
  <c r="K14" i="7" s="1"/>
  <c r="Y13" i="7"/>
  <c r="Y14" i="7" s="1"/>
  <c r="AN13" i="7"/>
  <c r="AN14" i="7" s="1"/>
  <c r="AC14" i="7"/>
  <c r="AG15" i="7"/>
  <c r="AG16" i="7" s="1"/>
  <c r="R15" i="7"/>
  <c r="R16" i="7" s="1"/>
  <c r="AF15" i="7"/>
  <c r="AF16" i="7" s="1"/>
  <c r="H16" i="7"/>
  <c r="V16" i="7"/>
  <c r="L17" i="7"/>
  <c r="L18" i="7" s="1"/>
  <c r="Z17" i="7"/>
  <c r="Z18" i="7" s="1"/>
  <c r="AO17" i="7"/>
  <c r="AO18" i="7" s="1"/>
  <c r="P18" i="7"/>
  <c r="E19" i="7"/>
  <c r="S19" i="7"/>
  <c r="I20" i="7"/>
  <c r="W20" i="7"/>
  <c r="AL20" i="7"/>
  <c r="M21" i="7"/>
  <c r="M22" i="7" s="1"/>
  <c r="AB21" i="7"/>
  <c r="AB22" i="7" s="1"/>
  <c r="BA21" i="7"/>
  <c r="BA22" i="7" s="1"/>
  <c r="Q22" i="7"/>
  <c r="F23" i="7"/>
  <c r="F24" i="7" s="1"/>
  <c r="T23" i="7"/>
  <c r="T24" i="7" s="1"/>
  <c r="AI23" i="7"/>
  <c r="AI24" i="7" s="1"/>
  <c r="J24" i="7"/>
  <c r="AM24" i="7"/>
  <c r="N25" i="7"/>
  <c r="N26" i="7" s="1"/>
  <c r="AC25" i="7"/>
  <c r="AC26" i="7" s="1"/>
  <c r="R26" i="7"/>
  <c r="G27" i="7"/>
  <c r="V27" i="7"/>
  <c r="AK27" i="7"/>
  <c r="L28" i="7"/>
  <c r="AC28" i="7"/>
  <c r="AE28" i="7"/>
  <c r="AG28" i="7"/>
  <c r="AJ28" i="7"/>
  <c r="P3" i="7"/>
  <c r="P4" i="7" s="1"/>
  <c r="AB3" i="7"/>
  <c r="AB4" i="7" s="1"/>
  <c r="AN3" i="7"/>
  <c r="AN4" i="7" s="1"/>
  <c r="P7" i="7"/>
  <c r="P8" i="7" s="1"/>
  <c r="AB7" i="7"/>
  <c r="AB8" i="7" s="1"/>
  <c r="AN7" i="7"/>
  <c r="AN8" i="7" s="1"/>
  <c r="P11" i="7"/>
  <c r="AB11" i="7"/>
  <c r="AB12" i="7" s="1"/>
  <c r="AN11" i="7"/>
  <c r="AN12" i="7" s="1"/>
  <c r="P15" i="7"/>
  <c r="P16" i="7" s="1"/>
  <c r="AB15" i="7"/>
  <c r="AB16" i="7" s="1"/>
  <c r="AN15" i="7"/>
  <c r="AN16" i="7" s="1"/>
  <c r="P19" i="7"/>
  <c r="AB19" i="7"/>
  <c r="AN19" i="7"/>
  <c r="P23" i="7"/>
  <c r="P24" i="7" s="1"/>
  <c r="AB23" i="7"/>
  <c r="AB24" i="7" s="1"/>
  <c r="AN23" i="7"/>
  <c r="AN24" i="7" s="1"/>
  <c r="P27" i="7"/>
  <c r="AB27" i="7"/>
  <c r="AN27" i="7"/>
  <c r="M28" i="7"/>
  <c r="Y28" i="7"/>
  <c r="AK28" i="7"/>
  <c r="P28" i="7"/>
  <c r="AB28" i="7"/>
  <c r="AN28" i="7"/>
  <c r="AO28" i="7"/>
  <c r="I3" i="7"/>
  <c r="I4" i="7" s="1"/>
  <c r="U3" i="7"/>
  <c r="U4" i="7" s="1"/>
  <c r="I7" i="7"/>
  <c r="I8" i="7" s="1"/>
  <c r="U7" i="7"/>
  <c r="U8" i="7" s="1"/>
  <c r="I11" i="7"/>
  <c r="U11" i="7"/>
  <c r="U12" i="7" s="1"/>
  <c r="I15" i="7"/>
  <c r="I16" i="7" s="1"/>
  <c r="U15" i="7"/>
  <c r="U16" i="7" s="1"/>
  <c r="I19" i="7"/>
  <c r="U19" i="7"/>
  <c r="I23" i="7"/>
  <c r="I24" i="7" s="1"/>
  <c r="U23" i="7"/>
  <c r="U24" i="7" s="1"/>
  <c r="I27" i="7"/>
  <c r="U27" i="7"/>
  <c r="F28" i="7"/>
  <c r="R28" i="7"/>
  <c r="AD28" i="7"/>
  <c r="AO9" i="7" l="1"/>
  <c r="AW9" i="7"/>
  <c r="U9" i="7"/>
  <c r="AZ9" i="7"/>
  <c r="W9" i="7"/>
  <c r="AA9" i="7"/>
  <c r="T9" i="7"/>
  <c r="Z9" i="7"/>
  <c r="Q9" i="7"/>
  <c r="S9" i="7"/>
  <c r="X9" i="7"/>
  <c r="R9" i="7"/>
  <c r="Y9" i="7"/>
  <c r="V9" i="7"/>
  <c r="BD9" i="7"/>
  <c r="F9" i="7"/>
  <c r="H9" i="7"/>
  <c r="J9" i="7"/>
  <c r="K9" i="7"/>
  <c r="BG9" i="7"/>
  <c r="BE9" i="7"/>
  <c r="BH9" i="7"/>
  <c r="G9" i="7"/>
  <c r="L9" i="7"/>
  <c r="AQ9" i="7"/>
  <c r="BB9" i="7"/>
  <c r="E9" i="7"/>
  <c r="BC9" i="7"/>
  <c r="I9" i="7"/>
  <c r="BF9" i="7"/>
  <c r="BK9" i="7"/>
  <c r="N9" i="7"/>
  <c r="AX9" i="7"/>
  <c r="AY9" i="7"/>
  <c r="BI9" i="7"/>
  <c r="AP9" i="7"/>
  <c r="BJ9" i="7"/>
  <c r="AE9" i="7"/>
  <c r="AF9" i="7"/>
  <c r="AN9" i="7"/>
  <c r="AK9" i="7"/>
  <c r="AG9" i="7"/>
  <c r="AT9" i="7"/>
  <c r="AR9" i="7"/>
  <c r="AC9" i="7"/>
  <c r="AJ9" i="7"/>
  <c r="AL9" i="7"/>
  <c r="AI9" i="7"/>
  <c r="AH9" i="7"/>
  <c r="AS9" i="7"/>
  <c r="AV9" i="7"/>
  <c r="AM9" i="7"/>
</calcChain>
</file>

<file path=xl/sharedStrings.xml><?xml version="1.0" encoding="utf-8"?>
<sst xmlns="http://schemas.openxmlformats.org/spreadsheetml/2006/main" count="298" uniqueCount="95">
  <si>
    <t>Year1</t>
  </si>
  <si>
    <t>Year2</t>
  </si>
  <si>
    <t>Year3</t>
  </si>
  <si>
    <t>Year4</t>
  </si>
  <si>
    <t>Year5</t>
  </si>
  <si>
    <t>Onsite</t>
  </si>
  <si>
    <t>PM</t>
  </si>
  <si>
    <t>Lead</t>
  </si>
  <si>
    <t>BSA</t>
  </si>
  <si>
    <t>Dev</t>
  </si>
  <si>
    <t>Tester</t>
  </si>
  <si>
    <t>Onsite-FSI</t>
  </si>
  <si>
    <t>Onsite-Landed</t>
  </si>
  <si>
    <t>TOTAL FTE Year 1</t>
  </si>
  <si>
    <t>Onsite FTE (non-FSI)</t>
  </si>
  <si>
    <t>Onsite FTE (FSI)</t>
  </si>
  <si>
    <t>Onsite FTE (Landed)</t>
  </si>
  <si>
    <t>Offshore</t>
  </si>
  <si>
    <t>Total</t>
  </si>
  <si>
    <t>India</t>
  </si>
  <si>
    <t>Developer</t>
  </si>
  <si>
    <t>Maintenance</t>
  </si>
  <si>
    <t>Other</t>
  </si>
  <si>
    <t>Productivity</t>
  </si>
  <si>
    <t>Transfer</t>
  </si>
  <si>
    <t>Role</t>
  </si>
  <si>
    <t>Location</t>
  </si>
  <si>
    <t>RoleLocation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</si>
  <si>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</si>
  <si>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</si>
  <si>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</si>
  <si>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</si>
  <si>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</si>
  <si>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</si>
  <si>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</si>
  <si>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</si>
  <si>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</si>
  <si>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</si>
  <si>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</si>
  <si>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</si>
  <si>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</si>
  <si>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</si>
  <si>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</si>
  <si>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</si>
  <si>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</si>
  <si>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</si>
  <si>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</si>
  <si>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</si>
  <si>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</si>
  <si>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</si>
  <si>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</si>
  <si>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</si>
  <si>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</si>
  <si>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</si>
  <si>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</si>
  <si>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</si>
  <si>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</si>
  <si>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</si>
  <si>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</si>
  <si>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</si>
  <si>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</si>
  <si>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</si>
  <si>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</si>
  <si>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</si>
  <si>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</si>
  <si>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</si>
  <si>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</si>
  <si>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</si>
  <si>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</si>
  <si>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</si>
  <si>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</si>
  <si>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</si>
  <si>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</si>
  <si>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</si>
  <si>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</si>
  <si>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</si>
  <si>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</si>
  <si>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</si>
  <si>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</si>
  <si>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</si>
  <si>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</si>
  <si>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</si>
  <si>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</si>
  <si>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</si>
  <si>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</si>
  <si>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</si>
  <si>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</si>
  <si>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</si>
  <si>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Pool</t>
  </si>
  <si>
    <t>POD</t>
  </si>
  <si>
    <t>Team</t>
  </si>
  <si>
    <t>AMS</t>
  </si>
  <si>
    <t>HZ</t>
  </si>
  <si>
    <t>Unit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</si>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</sst>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9.5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D2DCE3"/>
      </left>
      <right style="thin">
        <color rgb="FFD2DCE3"/>
      </right>
      <top style="thin">
        <color rgb="FFD2DCE3"/>
      </top>
      <bottom style="thin">
        <color rgb="FFD2DC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2" xfId="0" applyFill="1" applyBorder="1"/>
    <xf numFmtId="0" fontId="0" fillId="7" borderId="2" xfId="0" applyFill="1" applyBorder="1"/>
    <xf numFmtId="0" fontId="0" fillId="8" borderId="2" xfId="0" applyFill="1" applyBorder="1"/>
    <xf numFmtId="164" fontId="1" fillId="2" borderId="1" xfId="0" applyNumberFormat="1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zoomScale="154" zoomScaleNormal="154" workbookViewId="0">
      <selection activeCell="C7" sqref="C7"/>
    </sheetView>
  </sheetViews>
  <sheetFormatPr defaultRowHeight="14.5" x14ac:dyDescent="0.35"/>
  <cols>
    <col min="1" max="1" width="23.7265625" customWidth="1"/>
  </cols>
  <sheetData>
    <row r="1" spans="1:6" x14ac:dyDescent="0.35">
      <c r="A1" t="s">
        <v>13</v>
      </c>
      <c r="B1">
        <v>39</v>
      </c>
    </row>
    <row r="2" spans="1:6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1:6" x14ac:dyDescent="0.35">
      <c r="A3" t="s">
        <v>14</v>
      </c>
      <c r="B3" s="3">
        <v>6</v>
      </c>
      <c r="C3" s="3">
        <v>6</v>
      </c>
      <c r="D3" s="3">
        <v>4</v>
      </c>
      <c r="E3" s="3">
        <v>4</v>
      </c>
      <c r="F3" s="3">
        <v>1</v>
      </c>
    </row>
    <row r="4" spans="1:6" x14ac:dyDescent="0.35">
      <c r="A4" t="s">
        <v>15</v>
      </c>
      <c r="B4" s="4">
        <v>0</v>
      </c>
      <c r="C4" s="4">
        <v>0</v>
      </c>
      <c r="D4" s="4">
        <v>0</v>
      </c>
      <c r="E4" s="4">
        <v>1</v>
      </c>
      <c r="F4" s="4">
        <v>0</v>
      </c>
    </row>
    <row r="5" spans="1:6" x14ac:dyDescent="0.35">
      <c r="A5" t="s">
        <v>16</v>
      </c>
      <c r="B5" s="5">
        <v>7</v>
      </c>
      <c r="C5" s="5">
        <v>3</v>
      </c>
      <c r="D5" s="5">
        <v>2</v>
      </c>
      <c r="E5" s="5">
        <v>2</v>
      </c>
      <c r="F5" s="5">
        <v>2</v>
      </c>
    </row>
    <row r="6" spans="1:6" x14ac:dyDescent="0.35">
      <c r="A6" t="s">
        <v>5</v>
      </c>
      <c r="B6">
        <f>B3+B4+B5</f>
        <v>13</v>
      </c>
      <c r="C6">
        <f>C3+C4+C5</f>
        <v>9</v>
      </c>
      <c r="D6">
        <f>D3+D4+D5</f>
        <v>6</v>
      </c>
      <c r="E6">
        <f>E3+E4+E5</f>
        <v>7</v>
      </c>
      <c r="F6">
        <f>F3+F4+F5</f>
        <v>3</v>
      </c>
    </row>
    <row r="7" spans="1:6" x14ac:dyDescent="0.35">
      <c r="A7" t="s">
        <v>17</v>
      </c>
      <c r="B7" s="6">
        <v>23</v>
      </c>
      <c r="C7" s="6">
        <v>22</v>
      </c>
      <c r="D7" s="6">
        <v>20</v>
      </c>
      <c r="E7" s="6">
        <v>12</v>
      </c>
      <c r="F7" s="6">
        <v>13</v>
      </c>
    </row>
    <row r="8" spans="1:6" x14ac:dyDescent="0.35">
      <c r="A8" t="s">
        <v>18</v>
      </c>
      <c r="B8">
        <f>SUM(B6:B7)</f>
        <v>36</v>
      </c>
      <c r="C8">
        <f>SUM(C6:C7)</f>
        <v>31</v>
      </c>
      <c r="D8">
        <f>SUM(D6:D7)</f>
        <v>26</v>
      </c>
      <c r="E8">
        <f>SUM(E6:E7)</f>
        <v>19</v>
      </c>
      <c r="F8">
        <f>SUM(F6:F7)</f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13"/>
  <sheetViews>
    <sheetView zoomScale="184" zoomScaleNormal="184" workbookViewId="0">
      <selection activeCell="D13" sqref="D13"/>
    </sheetView>
  </sheetViews>
  <sheetFormatPr defaultRowHeight="14.5" x14ac:dyDescent="0.35"/>
  <cols>
    <col min="2" max="2" width="27.81640625" customWidth="1"/>
    <col min="6" max="6" width="12.1796875" customWidth="1"/>
  </cols>
  <sheetData>
    <row r="2" spans="1:4" x14ac:dyDescent="0.35">
      <c r="A2" t="s">
        <v>19</v>
      </c>
      <c r="B2" t="s">
        <v>8</v>
      </c>
      <c r="C2" s="13">
        <v>0.108253</v>
      </c>
    </row>
    <row r="3" spans="1:4" x14ac:dyDescent="0.35">
      <c r="A3" t="s">
        <v>19</v>
      </c>
      <c r="B3" t="s">
        <v>20</v>
      </c>
      <c r="C3" s="13">
        <v>0.33145599999999997</v>
      </c>
    </row>
    <row r="4" spans="1:4" x14ac:dyDescent="0.35">
      <c r="A4" t="s">
        <v>19</v>
      </c>
      <c r="B4" t="s">
        <v>10</v>
      </c>
      <c r="C4" s="13">
        <v>0.17644199999999999</v>
      </c>
    </row>
    <row r="5" spans="1:4" x14ac:dyDescent="0.35">
      <c r="A5" t="s">
        <v>19</v>
      </c>
      <c r="B5" t="s">
        <v>21</v>
      </c>
      <c r="C5" s="13">
        <v>0.23341999999999999</v>
      </c>
    </row>
    <row r="6" spans="1:4" x14ac:dyDescent="0.35">
      <c r="A6" t="s">
        <v>19</v>
      </c>
      <c r="B6" t="s">
        <v>6</v>
      </c>
      <c r="C6" s="13">
        <v>8.0962000000000006E-2</v>
      </c>
    </row>
    <row r="7" spans="1:4" x14ac:dyDescent="0.35">
      <c r="A7" t="s">
        <v>19</v>
      </c>
      <c r="B7" t="s">
        <v>22</v>
      </c>
      <c r="C7" s="13">
        <v>6.9449999999999998E-2</v>
      </c>
    </row>
    <row r="13" spans="1:4" x14ac:dyDescent="0.35">
      <c r="D13">
        <f>12*C2</f>
        <v>1.2990360000000001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7"/>
  <sheetViews>
    <sheetView zoomScale="178" zoomScaleNormal="178" workbookViewId="0">
      <selection activeCell="C4" sqref="C4:C7"/>
    </sheetView>
  </sheetViews>
  <sheetFormatPr defaultRowHeight="14.5" x14ac:dyDescent="0.35"/>
  <cols>
    <col min="1" max="1" width="13.453125" bestFit="1" customWidth="1"/>
    <col min="2" max="2" width="10.81640625" bestFit="1" customWidth="1"/>
  </cols>
  <sheetData>
    <row r="2" spans="1:7" x14ac:dyDescent="0.35">
      <c r="C2" t="s">
        <v>0</v>
      </c>
      <c r="D2" t="s">
        <v>1</v>
      </c>
      <c r="E2" t="s">
        <v>2</v>
      </c>
      <c r="F2" t="s">
        <v>3</v>
      </c>
      <c r="G2" t="s">
        <v>4</v>
      </c>
    </row>
    <row r="3" spans="1:7" x14ac:dyDescent="0.35">
      <c r="A3" s="9" t="s">
        <v>5</v>
      </c>
      <c r="B3" t="s">
        <v>6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</row>
    <row r="4" spans="1:7" x14ac:dyDescent="0.35">
      <c r="B4" t="s">
        <v>7</v>
      </c>
      <c r="C4" s="10">
        <v>1</v>
      </c>
      <c r="D4" s="10">
        <v>1</v>
      </c>
      <c r="E4" s="10">
        <v>1</v>
      </c>
      <c r="F4" s="10">
        <v>1</v>
      </c>
      <c r="G4" s="10">
        <v>0</v>
      </c>
    </row>
    <row r="5" spans="1:7" x14ac:dyDescent="0.35">
      <c r="B5" t="s">
        <v>8</v>
      </c>
      <c r="C5" s="10">
        <v>2</v>
      </c>
      <c r="D5" s="10">
        <v>2</v>
      </c>
      <c r="E5" s="10">
        <v>1</v>
      </c>
      <c r="F5" s="10">
        <v>1</v>
      </c>
      <c r="G5" s="10">
        <v>0</v>
      </c>
    </row>
    <row r="6" spans="1:7" x14ac:dyDescent="0.35">
      <c r="B6" t="s">
        <v>9</v>
      </c>
      <c r="C6" s="10">
        <v>2</v>
      </c>
      <c r="D6" s="10">
        <v>2</v>
      </c>
      <c r="E6" s="10">
        <v>2</v>
      </c>
      <c r="F6" s="10">
        <v>2</v>
      </c>
      <c r="G6" s="10">
        <v>1</v>
      </c>
    </row>
    <row r="7" spans="1:7" x14ac:dyDescent="0.35">
      <c r="B7" t="s">
        <v>10</v>
      </c>
      <c r="C7" s="10">
        <v>1</v>
      </c>
      <c r="D7" s="10">
        <v>1</v>
      </c>
      <c r="E7" s="10">
        <v>0</v>
      </c>
      <c r="F7" s="10">
        <v>0</v>
      </c>
      <c r="G7" s="10">
        <v>0</v>
      </c>
    </row>
    <row r="8" spans="1:7" x14ac:dyDescent="0.35">
      <c r="A8" s="7" t="s">
        <v>11</v>
      </c>
      <c r="B8" t="s">
        <v>6</v>
      </c>
      <c r="C8" s="11"/>
      <c r="D8" s="11"/>
      <c r="E8" s="11"/>
      <c r="F8" s="11"/>
      <c r="G8" s="11"/>
    </row>
    <row r="9" spans="1:7" x14ac:dyDescent="0.35">
      <c r="B9" t="s">
        <v>7</v>
      </c>
      <c r="C9" s="11"/>
      <c r="D9" s="11"/>
      <c r="E9" s="11"/>
      <c r="F9" s="11"/>
      <c r="G9" s="11"/>
    </row>
    <row r="10" spans="1:7" x14ac:dyDescent="0.35">
      <c r="B10" t="s">
        <v>8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</row>
    <row r="11" spans="1:7" x14ac:dyDescent="0.35">
      <c r="B11" t="s">
        <v>9</v>
      </c>
      <c r="C11" s="11">
        <v>0</v>
      </c>
      <c r="D11" s="11">
        <v>0</v>
      </c>
      <c r="E11" s="11">
        <v>0</v>
      </c>
      <c r="F11" s="11">
        <v>1</v>
      </c>
      <c r="G11" s="11">
        <v>0</v>
      </c>
    </row>
    <row r="12" spans="1:7" x14ac:dyDescent="0.35">
      <c r="B12" t="s">
        <v>10</v>
      </c>
      <c r="C12" s="11"/>
      <c r="D12" s="11"/>
      <c r="E12" s="11"/>
      <c r="F12" s="11"/>
      <c r="G12" s="11"/>
    </row>
    <row r="13" spans="1:7" x14ac:dyDescent="0.35">
      <c r="A13" s="8" t="s">
        <v>12</v>
      </c>
      <c r="B13" t="s">
        <v>6</v>
      </c>
      <c r="C13" s="12"/>
      <c r="D13" s="12"/>
      <c r="E13" s="12"/>
      <c r="F13" s="12"/>
      <c r="G13" s="12"/>
    </row>
    <row r="14" spans="1:7" x14ac:dyDescent="0.35">
      <c r="B14" t="s">
        <v>7</v>
      </c>
      <c r="C14" s="12">
        <v>1</v>
      </c>
      <c r="D14" s="12">
        <v>0</v>
      </c>
      <c r="E14" s="12">
        <v>0</v>
      </c>
      <c r="F14" s="12">
        <v>0</v>
      </c>
      <c r="G14" s="12">
        <v>0</v>
      </c>
    </row>
    <row r="15" spans="1:7" x14ac:dyDescent="0.35">
      <c r="B15" t="s">
        <v>8</v>
      </c>
      <c r="C15" s="12">
        <v>2</v>
      </c>
      <c r="D15" s="12">
        <v>1</v>
      </c>
      <c r="E15" s="12">
        <v>0</v>
      </c>
      <c r="F15" s="12">
        <v>0</v>
      </c>
      <c r="G15" s="12">
        <v>0</v>
      </c>
    </row>
    <row r="16" spans="1:7" x14ac:dyDescent="0.35">
      <c r="B16" t="s">
        <v>9</v>
      </c>
      <c r="C16" s="12">
        <v>3</v>
      </c>
      <c r="D16" s="12">
        <v>1</v>
      </c>
      <c r="E16" s="12">
        <v>1</v>
      </c>
      <c r="F16" s="12">
        <v>1</v>
      </c>
      <c r="G16" s="12">
        <v>1</v>
      </c>
    </row>
    <row r="17" spans="2:7" x14ac:dyDescent="0.35">
      <c r="B17" t="s">
        <v>10</v>
      </c>
      <c r="C17" s="12">
        <v>1</v>
      </c>
      <c r="D17" s="12">
        <v>1</v>
      </c>
      <c r="E17" s="12">
        <v>1</v>
      </c>
      <c r="F17" s="12">
        <v>1</v>
      </c>
      <c r="G17" s="1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3"/>
  <sheetViews>
    <sheetView workbookViewId="0">
      <selection activeCell="D14" sqref="D14"/>
    </sheetView>
  </sheetViews>
  <sheetFormatPr defaultRowHeight="14.5" x14ac:dyDescent="0.35"/>
  <cols>
    <col min="1" max="1" width="10.54296875" bestFit="1" customWidth="1"/>
  </cols>
  <sheetData>
    <row r="2" spans="1:6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1:6" x14ac:dyDescent="0.35">
      <c r="A3" t="s">
        <v>23</v>
      </c>
      <c r="C3" s="1">
        <v>0.15</v>
      </c>
      <c r="D3" s="1">
        <v>0.34</v>
      </c>
      <c r="E3" s="1">
        <v>0.39</v>
      </c>
      <c r="F3" s="1">
        <v>0.44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F3"/>
  <sheetViews>
    <sheetView workbookViewId="0">
      <selection activeCell="C9" sqref="C9"/>
    </sheetView>
  </sheetViews>
  <sheetFormatPr defaultRowHeight="14.5" x14ac:dyDescent="0.35"/>
  <sheetData>
    <row r="2" spans="1:6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1:6" x14ac:dyDescent="0.35">
      <c r="A3" t="s">
        <v>24</v>
      </c>
      <c r="E3" s="1">
        <v>0.15</v>
      </c>
      <c r="F3" s="1">
        <v>0.15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5:BK41"/>
  <sheetViews>
    <sheetView topLeftCell="A21" zoomScale="190" zoomScaleNormal="190" workbookViewId="0">
      <selection activeCell="P21" sqref="P1:P1048576"/>
    </sheetView>
  </sheetViews>
  <sheetFormatPr defaultRowHeight="14.5" x14ac:dyDescent="0.35"/>
  <cols>
    <col min="1" max="1" width="18.453125" customWidth="1"/>
    <col min="2" max="2" width="13.1796875" customWidth="1"/>
    <col min="3" max="3" width="18.26953125" bestFit="1" customWidth="1"/>
  </cols>
  <sheetData>
    <row r="25" spans="1:63" x14ac:dyDescent="0.35">
      <c r="A25" t="s">
        <v>25</v>
      </c>
      <c r="B25" t="s">
        <v>26</v>
      </c>
      <c r="C25" t="s">
        <v>27</v>
      </c>
      <c r="D25" t="s">
        <v>28</v>
      </c>
      <c r="E25" t="s">
        <v>29</v>
      </c>
      <c r="F25" t="s">
        <v>30</v>
      </c>
      <c r="G25" t="s">
        <v>31</v>
      </c>
      <c r="H25" t="s">
        <v>32</v>
      </c>
      <c r="I25" t="s">
        <v>33</v>
      </c>
      <c r="J25" t="s">
        <v>34</v>
      </c>
      <c r="K25" t="s">
        <v>35</v>
      </c>
      <c r="L25" t="s">
        <v>36</v>
      </c>
      <c r="M25" t="s">
        <v>37</v>
      </c>
      <c r="N25" t="s">
        <v>38</v>
      </c>
      <c r="O25" t="s">
        <v>39</v>
      </c>
      <c r="P25" t="s">
        <v>40</v>
      </c>
      <c r="Q25" t="s">
        <v>41</v>
      </c>
      <c r="R25" t="s">
        <v>42</v>
      </c>
      <c r="S25" t="s">
        <v>43</v>
      </c>
      <c r="T25" t="s">
        <v>44</v>
      </c>
      <c r="U25" t="s">
        <v>45</v>
      </c>
      <c r="V25" t="s">
        <v>46</v>
      </c>
      <c r="W25" t="s">
        <v>47</v>
      </c>
      <c r="X25" t="s">
        <v>48</v>
      </c>
      <c r="Y25" t="s">
        <v>49</v>
      </c>
      <c r="Z25" t="s">
        <v>50</v>
      </c>
      <c r="AA25" t="s">
        <v>51</v>
      </c>
      <c r="AB25" t="s">
        <v>52</v>
      </c>
      <c r="AC25" t="s">
        <v>53</v>
      </c>
      <c r="AD25" t="s">
        <v>54</v>
      </c>
      <c r="AE25" t="s">
        <v>55</v>
      </c>
      <c r="AF25" t="s">
        <v>56</v>
      </c>
      <c r="AG25" t="s">
        <v>57</v>
      </c>
      <c r="AH25" t="s">
        <v>58</v>
      </c>
      <c r="AI25" t="s">
        <v>59</v>
      </c>
      <c r="AJ25" t="s">
        <v>60</v>
      </c>
      <c r="AK25" t="s">
        <v>61</v>
      </c>
      <c r="AL25" t="s">
        <v>62</v>
      </c>
      <c r="AM25" t="s">
        <v>63</v>
      </c>
      <c r="AN25" t="s">
        <v>64</v>
      </c>
      <c r="AO25" t="s">
        <v>65</v>
      </c>
      <c r="AP25" t="s">
        <v>66</v>
      </c>
      <c r="AQ25" t="s">
        <v>67</v>
      </c>
      <c r="AR25" t="s">
        <v>68</v>
      </c>
      <c r="AS25" t="s">
        <v>69</v>
      </c>
      <c r="AT25" t="s">
        <v>70</v>
      </c>
      <c r="AU25" t="s">
        <v>71</v>
      </c>
      <c r="AV25" t="s">
        <v>72</v>
      </c>
      <c r="AW25" t="s">
        <v>73</v>
      </c>
      <c r="AX25" t="s">
        <v>74</v>
      </c>
      <c r="AY25" t="s">
        <v>75</v>
      </c>
      <c r="AZ25" t="s">
        <v>76</v>
      </c>
      <c r="BA25" t="s">
        <v>77</v>
      </c>
      <c r="BB25" t="s">
        <v>78</v>
      </c>
      <c r="BC25" t="s">
        <v>79</v>
      </c>
      <c r="BD25" t="s">
        <v>80</v>
      </c>
      <c r="BE25" t="s">
        <v>81</v>
      </c>
      <c r="BF25" t="s">
        <v>82</v>
      </c>
      <c r="BG25" t="s">
        <v>83</v>
      </c>
      <c r="BH25" t="s">
        <v>84</v>
      </c>
      <c r="BI25" t="s">
        <v>85</v>
      </c>
      <c r="BJ25" t="s">
        <v>86</v>
      </c>
      <c r="BK25" t="s">
        <v>87</v>
      </c>
    </row>
    <row r="26" spans="1:63" x14ac:dyDescent="0.35">
      <c r="A26" t="s">
        <v>8</v>
      </c>
      <c r="B26" t="s">
        <v>19</v>
      </c>
      <c r="C26" t="str">
        <f t="shared" ref="C26:C41" si="0">A26&amp;B26</f>
        <v>BSAIndia</v>
      </c>
      <c r="D26" s="14">
        <f>ROUND(FTE!$B$7*'India Role Distribution'!$C2,0)</f>
        <v>2</v>
      </c>
      <c r="E26" s="14">
        <f>ROUND(FTE!$B$7*'India Role Distribution'!$C2,0)</f>
        <v>2</v>
      </c>
      <c r="F26" s="14">
        <f>ROUND(FTE!$B$7*'India Role Distribution'!$C2,0)</f>
        <v>2</v>
      </c>
      <c r="G26" s="14">
        <f>ROUND(FTE!$B$7*'India Role Distribution'!$C2,0)</f>
        <v>2</v>
      </c>
      <c r="H26" s="14">
        <f>ROUND(FTE!$B$7*'India Role Distribution'!$C2,0)</f>
        <v>2</v>
      </c>
      <c r="I26" s="14">
        <f>ROUND(FTE!$B$7*'India Role Distribution'!$C2,0)</f>
        <v>2</v>
      </c>
      <c r="J26" s="14">
        <f>ROUND(FTE!$B$7*'India Role Distribution'!$C2,0)</f>
        <v>2</v>
      </c>
      <c r="K26" s="14">
        <f>ROUND(FTE!$B$7*'India Role Distribution'!$C2,0)</f>
        <v>2</v>
      </c>
      <c r="L26" s="14">
        <f>ROUND(FTE!$B$7*'India Role Distribution'!$C2,0)</f>
        <v>2</v>
      </c>
      <c r="M26" s="14">
        <f>ROUND(FTE!$B$7*'India Role Distribution'!$C2,0)</f>
        <v>2</v>
      </c>
      <c r="N26" s="14">
        <f>ROUND(FTE!$B$7*'India Role Distribution'!$C2,0)</f>
        <v>2</v>
      </c>
      <c r="O26" s="14">
        <f>ROUND(FTE!$B$7*'India Role Distribution'!$C2,0)</f>
        <v>2</v>
      </c>
      <c r="P26" s="6">
        <f>ROUND(FTE!$C$7*'India Role Distribution'!$C2,0)</f>
        <v>2</v>
      </c>
      <c r="Q26" s="6">
        <f>ROUND(FTE!$C$7*'India Role Distribution'!$C2,0)</f>
        <v>2</v>
      </c>
      <c r="R26" s="6">
        <f>ROUND(FTE!$C$7*'India Role Distribution'!$C2,0)</f>
        <v>2</v>
      </c>
      <c r="S26" s="6">
        <f>ROUND(FTE!$C$7*'India Role Distribution'!$C2,0)</f>
        <v>2</v>
      </c>
      <c r="T26" s="6">
        <f>ROUND(FTE!$C$7*'India Role Distribution'!$C2,0)</f>
        <v>2</v>
      </c>
      <c r="U26" s="6">
        <f>ROUND(FTE!$C$7*'India Role Distribution'!$C2,0)</f>
        <v>2</v>
      </c>
      <c r="V26" s="6">
        <f>ROUND(FTE!$C$7*'India Role Distribution'!$C2,0)</f>
        <v>2</v>
      </c>
      <c r="W26" s="6">
        <f>ROUND(FTE!$C$7*'India Role Distribution'!$C2,0)</f>
        <v>2</v>
      </c>
      <c r="X26" s="6">
        <f>ROUND(FTE!$C$7*'India Role Distribution'!$C2,0)</f>
        <v>2</v>
      </c>
      <c r="Y26" s="6">
        <f>ROUND(FTE!$C$7*'India Role Distribution'!$C2,0)</f>
        <v>2</v>
      </c>
      <c r="Z26" s="6">
        <f>ROUND(FTE!$C$7*'India Role Distribution'!$C2,0)</f>
        <v>2</v>
      </c>
      <c r="AA26" s="6">
        <f>ROUND(FTE!$C$7*'India Role Distribution'!$C2,0)</f>
        <v>2</v>
      </c>
      <c r="AB26" s="15">
        <f>ROUND(FTE!$D$7*'India Role Distribution'!$C2,0)</f>
        <v>2</v>
      </c>
      <c r="AC26" s="15">
        <f>ROUND(FTE!$D$7*'India Role Distribution'!$C2,0)</f>
        <v>2</v>
      </c>
      <c r="AD26" s="15">
        <f>ROUND(FTE!$D$7*'India Role Distribution'!$C2,0)</f>
        <v>2</v>
      </c>
      <c r="AE26" s="15">
        <f>ROUND(FTE!$D$7*'India Role Distribution'!$C2,0)</f>
        <v>2</v>
      </c>
      <c r="AF26" s="15">
        <f>ROUND(FTE!$D$7*'India Role Distribution'!$C2,0)</f>
        <v>2</v>
      </c>
      <c r="AG26" s="15">
        <f>ROUND(FTE!$D$7*'India Role Distribution'!$C2,0)</f>
        <v>2</v>
      </c>
      <c r="AH26" s="15">
        <f>ROUND(FTE!$D$7*'India Role Distribution'!$C2,0)</f>
        <v>2</v>
      </c>
      <c r="AI26" s="15">
        <f>ROUND(FTE!$D$7*'India Role Distribution'!$C2,0)</f>
        <v>2</v>
      </c>
      <c r="AJ26" s="15">
        <f>ROUND(FTE!$D$7*'India Role Distribution'!$C2,0)</f>
        <v>2</v>
      </c>
      <c r="AK26" s="15">
        <f>ROUND(FTE!$D$7*'India Role Distribution'!$C2,0)</f>
        <v>2</v>
      </c>
      <c r="AL26" s="15">
        <f>ROUND(FTE!$D$7*'India Role Distribution'!$C2,0)</f>
        <v>2</v>
      </c>
      <c r="AM26" s="15">
        <f>ROUND(FTE!$D$7*'India Role Distribution'!$C2,0)</f>
        <v>2</v>
      </c>
      <c r="AN26" s="16">
        <f>ROUND(FTE!$E$7*'India Role Distribution'!$C2,0)</f>
        <v>1</v>
      </c>
      <c r="AO26" s="16">
        <f>ROUND(FTE!$E$7*'India Role Distribution'!$C2,0)</f>
        <v>1</v>
      </c>
      <c r="AP26" s="16">
        <f>ROUND(FTE!$E$7*'India Role Distribution'!$C2,0)</f>
        <v>1</v>
      </c>
      <c r="AQ26" s="16">
        <f>ROUND(FTE!$E$7*'India Role Distribution'!$C2,0)</f>
        <v>1</v>
      </c>
      <c r="AR26" s="16">
        <f>ROUND(FTE!$E$7*'India Role Distribution'!$C2,0)</f>
        <v>1</v>
      </c>
      <c r="AS26" s="16">
        <f>ROUND(FTE!$E$7*'India Role Distribution'!$C2,0)</f>
        <v>1</v>
      </c>
      <c r="AT26" s="16">
        <f>ROUND(FTE!$E$7*'India Role Distribution'!$C2,0)</f>
        <v>1</v>
      </c>
      <c r="AU26" s="16">
        <f>ROUND(FTE!$E$7*'India Role Distribution'!$C2,0)</f>
        <v>1</v>
      </c>
      <c r="AV26" s="16">
        <f>ROUND(FTE!$E$7*'India Role Distribution'!$C2,0)</f>
        <v>1</v>
      </c>
      <c r="AW26" s="16">
        <f>ROUND(FTE!$E$7*'India Role Distribution'!$C2,0)</f>
        <v>1</v>
      </c>
      <c r="AX26" s="16">
        <f>ROUND(FTE!$E$7*'India Role Distribution'!$C2,0)</f>
        <v>1</v>
      </c>
      <c r="AY26" s="16">
        <f>ROUND(FTE!$E$7*'India Role Distribution'!$C2,0)</f>
        <v>1</v>
      </c>
      <c r="AZ26" s="17">
        <f>ROUND(FTE!$F$7*'India Role Distribution'!$C2,0)</f>
        <v>1</v>
      </c>
      <c r="BA26" s="17">
        <f>ROUND(FTE!$F$7*'India Role Distribution'!$C2,0)</f>
        <v>1</v>
      </c>
      <c r="BB26" s="17">
        <f>ROUND(FTE!$F$7*'India Role Distribution'!$C2,0)</f>
        <v>1</v>
      </c>
      <c r="BC26" s="17">
        <f>ROUND(FTE!$F$7*'India Role Distribution'!$C2,0)</f>
        <v>1</v>
      </c>
      <c r="BD26" s="17">
        <f>ROUND(FTE!$F$7*'India Role Distribution'!$C2,0)</f>
        <v>1</v>
      </c>
      <c r="BE26" s="17">
        <f>ROUND(FTE!$F$7*'India Role Distribution'!$C2,0)</f>
        <v>1</v>
      </c>
      <c r="BF26" s="17">
        <f>ROUND(FTE!$F$7*'India Role Distribution'!$C2,0)</f>
        <v>1</v>
      </c>
      <c r="BG26" s="17">
        <f>ROUND(FTE!$F$7*'India Role Distribution'!$C2,0)</f>
        <v>1</v>
      </c>
      <c r="BH26" s="17">
        <f>ROUND(FTE!$F$7*'India Role Distribution'!$C2,0)</f>
        <v>1</v>
      </c>
      <c r="BI26" s="17">
        <f>ROUND(FTE!$F$7*'India Role Distribution'!$C2,0)</f>
        <v>1</v>
      </c>
      <c r="BJ26" s="17">
        <f>ROUND(FTE!$F$7*'India Role Distribution'!$C2,0)</f>
        <v>1</v>
      </c>
      <c r="BK26" s="17">
        <f>ROUND(FTE!$F$7*'India Role Distribution'!$C2,0)</f>
        <v>1</v>
      </c>
    </row>
    <row r="27" spans="1:63" x14ac:dyDescent="0.35">
      <c r="A27" t="s">
        <v>9</v>
      </c>
      <c r="B27" t="s">
        <v>19</v>
      </c>
      <c r="C27" t="str">
        <f t="shared" si="0"/>
        <v>DevIndia</v>
      </c>
      <c r="D27" s="14">
        <f>ROUND(FTE!$B$7*'India Role Distribution'!$C3,0)</f>
        <v>8</v>
      </c>
      <c r="E27" s="14">
        <f>ROUND(FTE!$B$7*'India Role Distribution'!$C3,0)</f>
        <v>8</v>
      </c>
      <c r="F27" s="14">
        <f>ROUND(FTE!$B$7*'India Role Distribution'!$C3,0)</f>
        <v>8</v>
      </c>
      <c r="G27" s="14">
        <f>ROUND(FTE!$B$7*'India Role Distribution'!$C3,0)</f>
        <v>8</v>
      </c>
      <c r="H27" s="14">
        <f>ROUND(FTE!$B$7*'India Role Distribution'!$C3,0)</f>
        <v>8</v>
      </c>
      <c r="I27" s="14">
        <f>ROUND(FTE!$B$7*'India Role Distribution'!$C3,0)</f>
        <v>8</v>
      </c>
      <c r="J27" s="14">
        <f>ROUND(FTE!$B$7*'India Role Distribution'!$C3,0)</f>
        <v>8</v>
      </c>
      <c r="K27" s="14">
        <f>ROUND(FTE!$B$7*'India Role Distribution'!$C3,0)</f>
        <v>8</v>
      </c>
      <c r="L27" s="14">
        <f>ROUND(FTE!$B$7*'India Role Distribution'!$C3,0)</f>
        <v>8</v>
      </c>
      <c r="M27" s="14">
        <f>ROUND(FTE!$B$7*'India Role Distribution'!$C3,0)</f>
        <v>8</v>
      </c>
      <c r="N27" s="14">
        <f>ROUND(FTE!$B$7*'India Role Distribution'!$C3,0)</f>
        <v>8</v>
      </c>
      <c r="O27" s="14">
        <f>ROUND(FTE!$B$7*'India Role Distribution'!$C3,0)</f>
        <v>8</v>
      </c>
      <c r="P27" s="6">
        <f>ROUND(FTE!$C$7*'India Role Distribution'!$C3,0)</f>
        <v>7</v>
      </c>
      <c r="Q27" s="6">
        <f>ROUND(FTE!$C$7*'India Role Distribution'!$C3,0)</f>
        <v>7</v>
      </c>
      <c r="R27" s="6">
        <f>ROUND(FTE!$C$7*'India Role Distribution'!$C3,0)</f>
        <v>7</v>
      </c>
      <c r="S27" s="6">
        <f>ROUND(FTE!$C$7*'India Role Distribution'!$C3,0)</f>
        <v>7</v>
      </c>
      <c r="T27" s="6">
        <f>ROUND(FTE!$C$7*'India Role Distribution'!$C3,0)</f>
        <v>7</v>
      </c>
      <c r="U27" s="6">
        <f>ROUND(FTE!$C$7*'India Role Distribution'!$C3,0)</f>
        <v>7</v>
      </c>
      <c r="V27" s="6">
        <f>ROUND(FTE!$C$7*'India Role Distribution'!$C3,0)</f>
        <v>7</v>
      </c>
      <c r="W27" s="6">
        <f>ROUND(FTE!$C$7*'India Role Distribution'!$C3,0)</f>
        <v>7</v>
      </c>
      <c r="X27" s="6">
        <f>ROUND(FTE!$C$7*'India Role Distribution'!$C3,0)</f>
        <v>7</v>
      </c>
      <c r="Y27" s="6">
        <f>ROUND(FTE!$C$7*'India Role Distribution'!$C3,0)</f>
        <v>7</v>
      </c>
      <c r="Z27" s="6">
        <f>ROUND(FTE!$C$7*'India Role Distribution'!$C3,0)</f>
        <v>7</v>
      </c>
      <c r="AA27" s="6">
        <f>ROUND(FTE!$C$7*'India Role Distribution'!$C3,0)</f>
        <v>7</v>
      </c>
      <c r="AB27" s="15">
        <f>ROUND(FTE!$D$7*'India Role Distribution'!$C3,0)</f>
        <v>7</v>
      </c>
      <c r="AC27" s="15">
        <f>ROUND(FTE!$D$7*'India Role Distribution'!$C3,0)</f>
        <v>7</v>
      </c>
      <c r="AD27" s="15">
        <f>ROUND(FTE!$D$7*'India Role Distribution'!$C3,0)</f>
        <v>7</v>
      </c>
      <c r="AE27" s="15">
        <f>ROUND(FTE!$D$7*'India Role Distribution'!$C3,0)</f>
        <v>7</v>
      </c>
      <c r="AF27" s="15">
        <f>ROUND(FTE!$D$7*'India Role Distribution'!$C3,0)</f>
        <v>7</v>
      </c>
      <c r="AG27" s="15">
        <f>ROUND(FTE!$D$7*'India Role Distribution'!$C3,0)</f>
        <v>7</v>
      </c>
      <c r="AH27" s="15">
        <f>ROUND(FTE!$D$7*'India Role Distribution'!$C3,0)</f>
        <v>7</v>
      </c>
      <c r="AI27" s="15">
        <f>ROUND(FTE!$D$7*'India Role Distribution'!$C3,0)</f>
        <v>7</v>
      </c>
      <c r="AJ27" s="15">
        <f>ROUND(FTE!$D$7*'India Role Distribution'!$C3,0)</f>
        <v>7</v>
      </c>
      <c r="AK27" s="15">
        <f>ROUND(FTE!$D$7*'India Role Distribution'!$C3,0)</f>
        <v>7</v>
      </c>
      <c r="AL27" s="15">
        <f>ROUND(FTE!$D$7*'India Role Distribution'!$C3,0)</f>
        <v>7</v>
      </c>
      <c r="AM27" s="15">
        <f>ROUND(FTE!$D$7*'India Role Distribution'!$C3,0)</f>
        <v>7</v>
      </c>
      <c r="AN27" s="16">
        <f>ROUND(FTE!$E$7*'India Role Distribution'!$C3,0)</f>
        <v>4</v>
      </c>
      <c r="AO27" s="16">
        <f>ROUND(FTE!$E$7*'India Role Distribution'!$C3,0)</f>
        <v>4</v>
      </c>
      <c r="AP27" s="16">
        <f>ROUND(FTE!$E$7*'India Role Distribution'!$C3,0)</f>
        <v>4</v>
      </c>
      <c r="AQ27" s="16">
        <f>ROUND(FTE!$E$7*'India Role Distribution'!$C3,0)</f>
        <v>4</v>
      </c>
      <c r="AR27" s="16">
        <f>ROUND(FTE!$E$7*'India Role Distribution'!$C3,0)</f>
        <v>4</v>
      </c>
      <c r="AS27" s="16">
        <f>ROUND(FTE!$E$7*'India Role Distribution'!$C3,0)</f>
        <v>4</v>
      </c>
      <c r="AT27" s="16">
        <f>ROUND(FTE!$E$7*'India Role Distribution'!$C3,0)</f>
        <v>4</v>
      </c>
      <c r="AU27" s="16">
        <f>ROUND(FTE!$E$7*'India Role Distribution'!$C3,0)</f>
        <v>4</v>
      </c>
      <c r="AV27" s="16">
        <f>ROUND(FTE!$E$7*'India Role Distribution'!$C3,0)</f>
        <v>4</v>
      </c>
      <c r="AW27" s="16">
        <f>ROUND(FTE!$E$7*'India Role Distribution'!$C3,0)</f>
        <v>4</v>
      </c>
      <c r="AX27" s="16">
        <f>ROUND(FTE!$E$7*'India Role Distribution'!$C3,0)</f>
        <v>4</v>
      </c>
      <c r="AY27" s="16">
        <f>ROUND(FTE!$E$7*'India Role Distribution'!$C3,0)</f>
        <v>4</v>
      </c>
      <c r="AZ27" s="17">
        <f>ROUND(FTE!$F$7*'India Role Distribution'!$C3,0)</f>
        <v>4</v>
      </c>
      <c r="BA27" s="17">
        <f>ROUND(FTE!$F$7*'India Role Distribution'!$C3,0)</f>
        <v>4</v>
      </c>
      <c r="BB27" s="17">
        <f>ROUND(FTE!$F$7*'India Role Distribution'!$C3,0)</f>
        <v>4</v>
      </c>
      <c r="BC27" s="17">
        <f>ROUND(FTE!$F$7*'India Role Distribution'!$C3,0)</f>
        <v>4</v>
      </c>
      <c r="BD27" s="17">
        <f>ROUND(FTE!$F$7*'India Role Distribution'!$C3,0)</f>
        <v>4</v>
      </c>
      <c r="BE27" s="17">
        <f>ROUND(FTE!$F$7*'India Role Distribution'!$C3,0)</f>
        <v>4</v>
      </c>
      <c r="BF27" s="17">
        <f>ROUND(FTE!$F$7*'India Role Distribution'!$C3,0)</f>
        <v>4</v>
      </c>
      <c r="BG27" s="17">
        <f>ROUND(FTE!$F$7*'India Role Distribution'!$C3,0)</f>
        <v>4</v>
      </c>
      <c r="BH27" s="17">
        <f>ROUND(FTE!$F$7*'India Role Distribution'!$C3,0)</f>
        <v>4</v>
      </c>
      <c r="BI27" s="17">
        <f>ROUND(FTE!$F$7*'India Role Distribution'!$C3,0)</f>
        <v>4</v>
      </c>
      <c r="BJ27" s="17">
        <f>ROUND(FTE!$F$7*'India Role Distribution'!$C3,0)</f>
        <v>4</v>
      </c>
      <c r="BK27" s="17">
        <f>ROUND(FTE!$F$7*'India Role Distribution'!$C3,0)</f>
        <v>4</v>
      </c>
    </row>
    <row r="28" spans="1:63" x14ac:dyDescent="0.35">
      <c r="A28" t="s">
        <v>10</v>
      </c>
      <c r="B28" t="s">
        <v>19</v>
      </c>
      <c r="C28" t="str">
        <f t="shared" si="0"/>
        <v>TesterIndia</v>
      </c>
      <c r="D28" s="14">
        <f>ROUND(FTE!$B$7*'India Role Distribution'!$C4,0)</f>
        <v>4</v>
      </c>
      <c r="E28" s="14">
        <f>ROUND(FTE!$B$7*'India Role Distribution'!$C4,0)</f>
        <v>4</v>
      </c>
      <c r="F28" s="14">
        <f>ROUND(FTE!$B$7*'India Role Distribution'!$C4,0)</f>
        <v>4</v>
      </c>
      <c r="G28" s="14">
        <f>ROUND(FTE!$B$7*'India Role Distribution'!$C4,0)</f>
        <v>4</v>
      </c>
      <c r="H28" s="14">
        <f>ROUND(FTE!$B$7*'India Role Distribution'!$C4,0)</f>
        <v>4</v>
      </c>
      <c r="I28" s="14">
        <f>ROUND(FTE!$B$7*'India Role Distribution'!$C4,0)</f>
        <v>4</v>
      </c>
      <c r="J28" s="14">
        <f>ROUND(FTE!$B$7*'India Role Distribution'!$C4,0)</f>
        <v>4</v>
      </c>
      <c r="K28" s="14">
        <f>ROUND(FTE!$B$7*'India Role Distribution'!$C4,0)</f>
        <v>4</v>
      </c>
      <c r="L28" s="14">
        <f>ROUND(FTE!$B$7*'India Role Distribution'!$C4,0)</f>
        <v>4</v>
      </c>
      <c r="M28" s="14">
        <f>ROUND(FTE!$B$7*'India Role Distribution'!$C4,0)</f>
        <v>4</v>
      </c>
      <c r="N28" s="14">
        <f>ROUND(FTE!$B$7*'India Role Distribution'!$C4,0)</f>
        <v>4</v>
      </c>
      <c r="O28" s="14">
        <f>ROUND(FTE!$B$7*'India Role Distribution'!$C4,0)</f>
        <v>4</v>
      </c>
      <c r="P28" s="6">
        <f>ROUND(FTE!$C$7*'India Role Distribution'!$C4,0)</f>
        <v>4</v>
      </c>
      <c r="Q28" s="6">
        <f>ROUND(FTE!$C$7*'India Role Distribution'!$C4,0)</f>
        <v>4</v>
      </c>
      <c r="R28" s="6">
        <f>ROUND(FTE!$C$7*'India Role Distribution'!$C4,0)</f>
        <v>4</v>
      </c>
      <c r="S28" s="6">
        <f>ROUND(FTE!$C$7*'India Role Distribution'!$C4,0)</f>
        <v>4</v>
      </c>
      <c r="T28" s="6">
        <f>ROUND(FTE!$C$7*'India Role Distribution'!$C4,0)</f>
        <v>4</v>
      </c>
      <c r="U28" s="6">
        <f>ROUND(FTE!$C$7*'India Role Distribution'!$C4,0)</f>
        <v>4</v>
      </c>
      <c r="V28" s="6">
        <f>ROUND(FTE!$C$7*'India Role Distribution'!$C4,0)</f>
        <v>4</v>
      </c>
      <c r="W28" s="6">
        <f>ROUND(FTE!$C$7*'India Role Distribution'!$C4,0)</f>
        <v>4</v>
      </c>
      <c r="X28" s="6">
        <f>ROUND(FTE!$C$7*'India Role Distribution'!$C4,0)</f>
        <v>4</v>
      </c>
      <c r="Y28" s="6">
        <f>ROUND(FTE!$C$7*'India Role Distribution'!$C4,0)</f>
        <v>4</v>
      </c>
      <c r="Z28" s="6">
        <f>ROUND(FTE!$C$7*'India Role Distribution'!$C4,0)</f>
        <v>4</v>
      </c>
      <c r="AA28" s="6">
        <f>ROUND(FTE!$C$7*'India Role Distribution'!$C4,0)</f>
        <v>4</v>
      </c>
      <c r="AB28" s="15">
        <f>ROUND(FTE!$D$7*'India Role Distribution'!$C4,0)</f>
        <v>4</v>
      </c>
      <c r="AC28" s="15">
        <f>ROUND(FTE!$D$7*'India Role Distribution'!$C4,0)</f>
        <v>4</v>
      </c>
      <c r="AD28" s="15">
        <f>ROUND(FTE!$D$7*'India Role Distribution'!$C4,0)</f>
        <v>4</v>
      </c>
      <c r="AE28" s="15">
        <f>ROUND(FTE!$D$7*'India Role Distribution'!$C4,0)</f>
        <v>4</v>
      </c>
      <c r="AF28" s="15">
        <f>ROUND(FTE!$D$7*'India Role Distribution'!$C4,0)</f>
        <v>4</v>
      </c>
      <c r="AG28" s="15">
        <f>ROUND(FTE!$D$7*'India Role Distribution'!$C4,0)</f>
        <v>4</v>
      </c>
      <c r="AH28" s="15">
        <f>ROUND(FTE!$D$7*'India Role Distribution'!$C4,0)</f>
        <v>4</v>
      </c>
      <c r="AI28" s="15">
        <f>ROUND(FTE!$D$7*'India Role Distribution'!$C4,0)</f>
        <v>4</v>
      </c>
      <c r="AJ28" s="15">
        <f>ROUND(FTE!$D$7*'India Role Distribution'!$C4,0)</f>
        <v>4</v>
      </c>
      <c r="AK28" s="15">
        <f>ROUND(FTE!$D$7*'India Role Distribution'!$C4,0)</f>
        <v>4</v>
      </c>
      <c r="AL28" s="15">
        <f>ROUND(FTE!$D$7*'India Role Distribution'!$C4,0)</f>
        <v>4</v>
      </c>
      <c r="AM28" s="15">
        <f>ROUND(FTE!$D$7*'India Role Distribution'!$C4,0)</f>
        <v>4</v>
      </c>
      <c r="AN28" s="16">
        <f>ROUND(FTE!$E$7*'India Role Distribution'!$C4,0)</f>
        <v>2</v>
      </c>
      <c r="AO28" s="16">
        <f>ROUND(FTE!$E$7*'India Role Distribution'!$C4,0)</f>
        <v>2</v>
      </c>
      <c r="AP28" s="16">
        <f>ROUND(FTE!$E$7*'India Role Distribution'!$C4,0)</f>
        <v>2</v>
      </c>
      <c r="AQ28" s="16">
        <f>ROUND(FTE!$E$7*'India Role Distribution'!$C4,0)</f>
        <v>2</v>
      </c>
      <c r="AR28" s="16">
        <f>ROUND(FTE!$E$7*'India Role Distribution'!$C4,0)</f>
        <v>2</v>
      </c>
      <c r="AS28" s="16">
        <f>ROUND(FTE!$E$7*'India Role Distribution'!$C4,0)</f>
        <v>2</v>
      </c>
      <c r="AT28" s="16">
        <f>ROUND(FTE!$E$7*'India Role Distribution'!$C4,0)</f>
        <v>2</v>
      </c>
      <c r="AU28" s="16">
        <f>ROUND(FTE!$E$7*'India Role Distribution'!$C4,0)</f>
        <v>2</v>
      </c>
      <c r="AV28" s="16">
        <f>ROUND(FTE!$E$7*'India Role Distribution'!$C4,0)</f>
        <v>2</v>
      </c>
      <c r="AW28" s="16">
        <f>ROUND(FTE!$E$7*'India Role Distribution'!$C4,0)</f>
        <v>2</v>
      </c>
      <c r="AX28" s="16">
        <f>ROUND(FTE!$E$7*'India Role Distribution'!$C4,0)</f>
        <v>2</v>
      </c>
      <c r="AY28" s="16">
        <f>ROUND(FTE!$E$7*'India Role Distribution'!$C4,0)</f>
        <v>2</v>
      </c>
      <c r="AZ28" s="17">
        <f>ROUND(FTE!$F$7*'India Role Distribution'!$C4,0)</f>
        <v>2</v>
      </c>
      <c r="BA28" s="17">
        <f>ROUND(FTE!$F$7*'India Role Distribution'!$C4,0)</f>
        <v>2</v>
      </c>
      <c r="BB28" s="17">
        <f>ROUND(FTE!$F$7*'India Role Distribution'!$C4,0)</f>
        <v>2</v>
      </c>
      <c r="BC28" s="17">
        <f>ROUND(FTE!$F$7*'India Role Distribution'!$C4,0)</f>
        <v>2</v>
      </c>
      <c r="BD28" s="17">
        <f>ROUND(FTE!$F$7*'India Role Distribution'!$C4,0)</f>
        <v>2</v>
      </c>
      <c r="BE28" s="17">
        <f>ROUND(FTE!$F$7*'India Role Distribution'!$C4,0)</f>
        <v>2</v>
      </c>
      <c r="BF28" s="17">
        <f>ROUND(FTE!$F$7*'India Role Distribution'!$C4,0)</f>
        <v>2</v>
      </c>
      <c r="BG28" s="17">
        <f>ROUND(FTE!$F$7*'India Role Distribution'!$C4,0)</f>
        <v>2</v>
      </c>
      <c r="BH28" s="17">
        <f>ROUND(FTE!$F$7*'India Role Distribution'!$C4,0)</f>
        <v>2</v>
      </c>
      <c r="BI28" s="17">
        <f>ROUND(FTE!$F$7*'India Role Distribution'!$C4,0)</f>
        <v>2</v>
      </c>
      <c r="BJ28" s="17">
        <f>ROUND(FTE!$F$7*'India Role Distribution'!$C4,0)</f>
        <v>2</v>
      </c>
      <c r="BK28" s="17">
        <f>ROUND(FTE!$F$7*'India Role Distribution'!$C4,0)</f>
        <v>2</v>
      </c>
    </row>
    <row r="29" spans="1:63" x14ac:dyDescent="0.35">
      <c r="A29" t="s">
        <v>21</v>
      </c>
      <c r="B29" t="s">
        <v>19</v>
      </c>
      <c r="C29" t="str">
        <f t="shared" si="0"/>
        <v>MaintenanceIndia</v>
      </c>
      <c r="D29" s="14">
        <f>FTE!$B$7-(D26+D27+D28+D30+D31)</f>
        <v>5</v>
      </c>
      <c r="E29" s="14">
        <f>FTE!$B$7-(E26+E27+E28+E30+E31)</f>
        <v>5</v>
      </c>
      <c r="F29" s="14">
        <f>FTE!$B$7-(F26+F27+F28+F30+F31)</f>
        <v>5</v>
      </c>
      <c r="G29" s="14">
        <f>FTE!$B$7-(G26+G27+G28+G30+G31)</f>
        <v>5</v>
      </c>
      <c r="H29" s="14">
        <f>FTE!$B$7-(H26+H27+H28+H30+H31)</f>
        <v>5</v>
      </c>
      <c r="I29" s="14">
        <f>FTE!$B$7-(I26+I27+I28+I30+I31)</f>
        <v>5</v>
      </c>
      <c r="J29" s="14">
        <f>FTE!$B$7-(J26+J27+J28+J30+J31)</f>
        <v>5</v>
      </c>
      <c r="K29" s="14">
        <f>FTE!$B$7-(K26+K27+K28+K30+K31)</f>
        <v>5</v>
      </c>
      <c r="L29" s="14">
        <f>FTE!$B$7-(L26+L27+L28+L30+L31)</f>
        <v>5</v>
      </c>
      <c r="M29" s="14">
        <f>FTE!$B$7-(M26+M27+M28+M30+M31)</f>
        <v>5</v>
      </c>
      <c r="N29" s="14">
        <f>FTE!$B$7-(N26+N27+N28+N30+N31)</f>
        <v>5</v>
      </c>
      <c r="O29" s="14">
        <f>FTE!$B$7-(O26+O27+O28+O30+O31)</f>
        <v>5</v>
      </c>
      <c r="P29" s="6">
        <f>FTE!$C$7-(P26+P27+P28+P30+P31)</f>
        <v>5</v>
      </c>
      <c r="Q29" s="6">
        <f>FTE!$C$7-(Q26+Q27+Q28+Q30+Q31)</f>
        <v>5</v>
      </c>
      <c r="R29" s="6">
        <f>FTE!$C$7-(R26+R27+R28+R30+R31)</f>
        <v>5</v>
      </c>
      <c r="S29" s="6">
        <f>FTE!$C$7-(S26+S27+S28+S30+S31)</f>
        <v>5</v>
      </c>
      <c r="T29" s="6">
        <f>FTE!$C$7-(T26+T27+T28+T30+T31)</f>
        <v>5</v>
      </c>
      <c r="U29" s="6">
        <f>FTE!$C$7-(U26+U27+U28+U30+U31)</f>
        <v>5</v>
      </c>
      <c r="V29" s="6">
        <f>FTE!$C$7-(V26+V27+V28+V30+V31)</f>
        <v>5</v>
      </c>
      <c r="W29" s="6">
        <f>FTE!$C$7-(W26+W27+W28+W30+W31)</f>
        <v>5</v>
      </c>
      <c r="X29" s="6">
        <f>FTE!$C$7-(X26+X27+X28+X30+X31)</f>
        <v>5</v>
      </c>
      <c r="Y29" s="6">
        <f>FTE!$C$7-(Y26+Y27+Y28+Y30+Y31)</f>
        <v>5</v>
      </c>
      <c r="Z29" s="6">
        <f>FTE!$C$7-(Z26+Z27+Z28+Z30+Z31)</f>
        <v>5</v>
      </c>
      <c r="AA29" s="6">
        <f>FTE!$C$7-(AA26+AA27+AA28+AA30+AA31)</f>
        <v>5</v>
      </c>
      <c r="AB29" s="15">
        <f>FTE!$D$7-(AB26+AB27+AB28+AB30+AB31)</f>
        <v>4</v>
      </c>
      <c r="AC29" s="15">
        <f>FTE!$D$7-(AC26+AC27+AC28+AC30+AC31)</f>
        <v>4</v>
      </c>
      <c r="AD29" s="15">
        <f>FTE!$D$7-(AD26+AD27+AD28+AD30+AD31)</f>
        <v>4</v>
      </c>
      <c r="AE29" s="15">
        <f>FTE!$D$7-(AE26+AE27+AE28+AE30+AE31)</f>
        <v>4</v>
      </c>
      <c r="AF29" s="15">
        <f>FTE!$D$7-(AF26+AF27+AF28+AF30+AF31)</f>
        <v>4</v>
      </c>
      <c r="AG29" s="15">
        <f>FTE!$D$7-(AG26+AG27+AG28+AG30+AG31)</f>
        <v>4</v>
      </c>
      <c r="AH29" s="15">
        <f>FTE!$D$7-(AH26+AH27+AH28+AH30+AH31)</f>
        <v>4</v>
      </c>
      <c r="AI29" s="15">
        <f>FTE!$D$7-(AI26+AI27+AI28+AI30+AI31)</f>
        <v>4</v>
      </c>
      <c r="AJ29" s="15">
        <f>FTE!$D$7-(AJ26+AJ27+AJ28+AJ30+AJ31)</f>
        <v>4</v>
      </c>
      <c r="AK29" s="15">
        <f>FTE!$D$7-(AK26+AK27+AK28+AK30+AK31)</f>
        <v>4</v>
      </c>
      <c r="AL29" s="15">
        <f>FTE!$D$7-(AL26+AL27+AL28+AL30+AL31)</f>
        <v>4</v>
      </c>
      <c r="AM29" s="15">
        <f>FTE!$D$7-(AM26+AM27+AM28+AM30+AM31)</f>
        <v>4</v>
      </c>
      <c r="AN29" s="16">
        <f>FTE!$E$7-(AN26+AN27+AN28+AN30+AN31)</f>
        <v>3</v>
      </c>
      <c r="AO29" s="16">
        <f>FTE!$E$7-(AO26+AO27+AO28+AO30+AO31)</f>
        <v>3</v>
      </c>
      <c r="AP29" s="16">
        <f>FTE!$E$7-(AP26+AP27+AP28+AP30+AP31)</f>
        <v>3</v>
      </c>
      <c r="AQ29" s="16">
        <f>FTE!$E$7-(AQ26+AQ27+AQ28+AQ30+AQ31)</f>
        <v>3</v>
      </c>
      <c r="AR29" s="16">
        <f>FTE!$E$7-(AR26+AR27+AR28+AR30+AR31)</f>
        <v>3</v>
      </c>
      <c r="AS29" s="16">
        <f>FTE!$E$7-(AS26+AS27+AS28+AS30+AS31)</f>
        <v>3</v>
      </c>
      <c r="AT29" s="16">
        <f>FTE!$E$7-(AT26+AT27+AT28+AT30+AT31)</f>
        <v>3</v>
      </c>
      <c r="AU29" s="16">
        <f>FTE!$E$7-(AU26+AU27+AU28+AU30+AU31)</f>
        <v>3</v>
      </c>
      <c r="AV29" s="16">
        <f>FTE!$E$7-(AV26+AV27+AV28+AV30+AV31)</f>
        <v>3</v>
      </c>
      <c r="AW29" s="16">
        <f>FTE!$E$7-(AW26+AW27+AW28+AW30+AW31)</f>
        <v>3</v>
      </c>
      <c r="AX29" s="16">
        <f>FTE!$E$7-(AX26+AX27+AX28+AX30+AX31)</f>
        <v>3</v>
      </c>
      <c r="AY29" s="16">
        <f>FTE!$E$7-(AY26+AY27+AY28+AY30+AY31)</f>
        <v>3</v>
      </c>
      <c r="AZ29" s="17">
        <f>FTE!$F$7-(AZ26+AZ27+AZ28+AZ30+AZ31)</f>
        <v>4</v>
      </c>
      <c r="BA29" s="17">
        <f>FTE!$F$7-(BA26+BA27+BA28+BA30+BA31)</f>
        <v>4</v>
      </c>
      <c r="BB29" s="17">
        <f>FTE!$F$7-(BB26+BB27+BB28+BB30+BB31)</f>
        <v>4</v>
      </c>
      <c r="BC29" s="17">
        <f>FTE!$F$7-(BC26+BC27+BC28+BC30+BC31)</f>
        <v>4</v>
      </c>
      <c r="BD29" s="17">
        <f>FTE!$F$7-(BD26+BD27+BD28+BD30+BD31)</f>
        <v>4</v>
      </c>
      <c r="BE29" s="17">
        <f>FTE!$F$7-(BE26+BE27+BE28+BE30+BE31)</f>
        <v>4</v>
      </c>
      <c r="BF29" s="17">
        <f>FTE!$F$7-(BF26+BF27+BF28+BF30+BF31)</f>
        <v>4</v>
      </c>
      <c r="BG29" s="17">
        <f>FTE!$F$7-(BG26+BG27+BG28+BG30+BG31)</f>
        <v>4</v>
      </c>
      <c r="BH29" s="17">
        <f>FTE!$F$7-(BH26+BH27+BH28+BH30+BH31)</f>
        <v>4</v>
      </c>
      <c r="BI29" s="17">
        <f>FTE!$F$7-(BI26+BI27+BI28+BI30+BI31)</f>
        <v>4</v>
      </c>
      <c r="BJ29" s="17">
        <f>FTE!$F$7-(BJ26+BJ27+BJ28+BJ30+BJ31)</f>
        <v>4</v>
      </c>
      <c r="BK29" s="17">
        <f>FTE!$F$7-(BK26+BK27+BK28+BK30+BK31)</f>
        <v>4</v>
      </c>
    </row>
    <row r="30" spans="1:63" x14ac:dyDescent="0.35">
      <c r="A30" t="s">
        <v>6</v>
      </c>
      <c r="B30" t="s">
        <v>19</v>
      </c>
      <c r="C30" t="str">
        <f t="shared" si="0"/>
        <v>PMIndia</v>
      </c>
      <c r="D30" s="14">
        <f>ROUND(FTE!$B$7*'India Role Distribution'!$C6,0)</f>
        <v>2</v>
      </c>
      <c r="E30" s="14">
        <f>ROUND(FTE!$B$7*'India Role Distribution'!$C6,0)</f>
        <v>2</v>
      </c>
      <c r="F30" s="14">
        <f>ROUND(FTE!$B$7*'India Role Distribution'!$C6,0)</f>
        <v>2</v>
      </c>
      <c r="G30" s="14">
        <f>ROUND(FTE!$B$7*'India Role Distribution'!$C6,0)</f>
        <v>2</v>
      </c>
      <c r="H30" s="14">
        <f>ROUND(FTE!$B$7*'India Role Distribution'!$C6,0)</f>
        <v>2</v>
      </c>
      <c r="I30" s="14">
        <f>ROUND(FTE!$B$7*'India Role Distribution'!$C6,0)</f>
        <v>2</v>
      </c>
      <c r="J30" s="14">
        <f>ROUND(FTE!$B$7*'India Role Distribution'!$C6,0)</f>
        <v>2</v>
      </c>
      <c r="K30" s="14">
        <f>ROUND(FTE!$B$7*'India Role Distribution'!$C6,0)</f>
        <v>2</v>
      </c>
      <c r="L30" s="14">
        <f>ROUND(FTE!$B$7*'India Role Distribution'!$C6,0)</f>
        <v>2</v>
      </c>
      <c r="M30" s="14">
        <f>ROUND(FTE!$B$7*'India Role Distribution'!$C6,0)</f>
        <v>2</v>
      </c>
      <c r="N30" s="14">
        <f>ROUND(FTE!$B$7*'India Role Distribution'!$C6,0)</f>
        <v>2</v>
      </c>
      <c r="O30" s="14">
        <f>ROUND(FTE!$B$7*'India Role Distribution'!$C6,0)</f>
        <v>2</v>
      </c>
      <c r="P30" s="6">
        <f>ROUND(FTE!$C$7*'India Role Distribution'!$C6,0)</f>
        <v>2</v>
      </c>
      <c r="Q30" s="6">
        <f>ROUND(FTE!$C$7*'India Role Distribution'!$C6,0)</f>
        <v>2</v>
      </c>
      <c r="R30" s="6">
        <f>ROUND(FTE!$C$7*'India Role Distribution'!$C6,0)</f>
        <v>2</v>
      </c>
      <c r="S30" s="6">
        <f>ROUND(FTE!$C$7*'India Role Distribution'!$C6,0)</f>
        <v>2</v>
      </c>
      <c r="T30" s="6">
        <f>ROUND(FTE!$C$7*'India Role Distribution'!$C6,0)</f>
        <v>2</v>
      </c>
      <c r="U30" s="6">
        <f>ROUND(FTE!$C$7*'India Role Distribution'!$C6,0)</f>
        <v>2</v>
      </c>
      <c r="V30" s="6">
        <f>ROUND(FTE!$C$7*'India Role Distribution'!$C6,0)</f>
        <v>2</v>
      </c>
      <c r="W30" s="6">
        <f>ROUND(FTE!$C$7*'India Role Distribution'!$C6,0)</f>
        <v>2</v>
      </c>
      <c r="X30" s="6">
        <f>ROUND(FTE!$C$7*'India Role Distribution'!$C6,0)</f>
        <v>2</v>
      </c>
      <c r="Y30" s="6">
        <f>ROUND(FTE!$C$7*'India Role Distribution'!$C6,0)</f>
        <v>2</v>
      </c>
      <c r="Z30" s="6">
        <f>ROUND(FTE!$C$7*'India Role Distribution'!$C6,0)</f>
        <v>2</v>
      </c>
      <c r="AA30" s="6">
        <f>ROUND(FTE!$C$7*'India Role Distribution'!$C6,0)</f>
        <v>2</v>
      </c>
      <c r="AB30" s="15">
        <f>ROUND(FTE!$D$7*'India Role Distribution'!$C6,0)</f>
        <v>2</v>
      </c>
      <c r="AC30" s="15">
        <f>ROUND(FTE!$D$7*'India Role Distribution'!$C6,0)</f>
        <v>2</v>
      </c>
      <c r="AD30" s="15">
        <f>ROUND(FTE!$D$7*'India Role Distribution'!$C6,0)</f>
        <v>2</v>
      </c>
      <c r="AE30" s="15">
        <f>ROUND(FTE!$D$7*'India Role Distribution'!$C6,0)</f>
        <v>2</v>
      </c>
      <c r="AF30" s="15">
        <f>ROUND(FTE!$D$7*'India Role Distribution'!$C6,0)</f>
        <v>2</v>
      </c>
      <c r="AG30" s="15">
        <f>ROUND(FTE!$D$7*'India Role Distribution'!$C6,0)</f>
        <v>2</v>
      </c>
      <c r="AH30" s="15">
        <f>ROUND(FTE!$D$7*'India Role Distribution'!$C6,0)</f>
        <v>2</v>
      </c>
      <c r="AI30" s="15">
        <f>ROUND(FTE!$D$7*'India Role Distribution'!$C6,0)</f>
        <v>2</v>
      </c>
      <c r="AJ30" s="15">
        <f>ROUND(FTE!$D$7*'India Role Distribution'!$C6,0)</f>
        <v>2</v>
      </c>
      <c r="AK30" s="15">
        <f>ROUND(FTE!$D$7*'India Role Distribution'!$C6,0)</f>
        <v>2</v>
      </c>
      <c r="AL30" s="15">
        <f>ROUND(FTE!$D$7*'India Role Distribution'!$C6,0)</f>
        <v>2</v>
      </c>
      <c r="AM30" s="15">
        <f>ROUND(FTE!$D$7*'India Role Distribution'!$C6,0)</f>
        <v>2</v>
      </c>
      <c r="AN30" s="16">
        <f>ROUND(FTE!$E$7*'India Role Distribution'!$C6,0)</f>
        <v>1</v>
      </c>
      <c r="AO30" s="16">
        <f>ROUND(FTE!$E$7*'India Role Distribution'!$C6,0)</f>
        <v>1</v>
      </c>
      <c r="AP30" s="16">
        <f>ROUND(FTE!$E$7*'India Role Distribution'!$C6,0)</f>
        <v>1</v>
      </c>
      <c r="AQ30" s="16">
        <f>ROUND(FTE!$E$7*'India Role Distribution'!$C6,0)</f>
        <v>1</v>
      </c>
      <c r="AR30" s="16">
        <f>ROUND(FTE!$E$7*'India Role Distribution'!$C6,0)</f>
        <v>1</v>
      </c>
      <c r="AS30" s="16">
        <f>ROUND(FTE!$E$7*'India Role Distribution'!$C6,0)</f>
        <v>1</v>
      </c>
      <c r="AT30" s="16">
        <f>ROUND(FTE!$E$7*'India Role Distribution'!$C6,0)</f>
        <v>1</v>
      </c>
      <c r="AU30" s="16">
        <f>ROUND(FTE!$E$7*'India Role Distribution'!$C6,0)</f>
        <v>1</v>
      </c>
      <c r="AV30" s="16">
        <f>ROUND(FTE!$E$7*'India Role Distribution'!$C6,0)</f>
        <v>1</v>
      </c>
      <c r="AW30" s="16">
        <f>ROUND(FTE!$E$7*'India Role Distribution'!$C6,0)</f>
        <v>1</v>
      </c>
      <c r="AX30" s="16">
        <f>ROUND(FTE!$E$7*'India Role Distribution'!$C6,0)</f>
        <v>1</v>
      </c>
      <c r="AY30" s="16">
        <f>ROUND(FTE!$E$7*'India Role Distribution'!$C6,0)</f>
        <v>1</v>
      </c>
      <c r="AZ30" s="17">
        <f>ROUND(FTE!$F$7*'India Role Distribution'!$C6,0)</f>
        <v>1</v>
      </c>
      <c r="BA30" s="17">
        <f>ROUND(FTE!$F$7*'India Role Distribution'!$C6,0)</f>
        <v>1</v>
      </c>
      <c r="BB30" s="17">
        <f>ROUND(FTE!$F$7*'India Role Distribution'!$C6,0)</f>
        <v>1</v>
      </c>
      <c r="BC30" s="17">
        <f>ROUND(FTE!$F$7*'India Role Distribution'!$C6,0)</f>
        <v>1</v>
      </c>
      <c r="BD30" s="17">
        <f>ROUND(FTE!$F$7*'India Role Distribution'!$C6,0)</f>
        <v>1</v>
      </c>
      <c r="BE30" s="17">
        <f>ROUND(FTE!$F$7*'India Role Distribution'!$C6,0)</f>
        <v>1</v>
      </c>
      <c r="BF30" s="17">
        <f>ROUND(FTE!$F$7*'India Role Distribution'!$C6,0)</f>
        <v>1</v>
      </c>
      <c r="BG30" s="17">
        <f>ROUND(FTE!$F$7*'India Role Distribution'!$C6,0)</f>
        <v>1</v>
      </c>
      <c r="BH30" s="17">
        <f>ROUND(FTE!$F$7*'India Role Distribution'!$C6,0)</f>
        <v>1</v>
      </c>
      <c r="BI30" s="17">
        <f>ROUND(FTE!$F$7*'India Role Distribution'!$C6,0)</f>
        <v>1</v>
      </c>
      <c r="BJ30" s="17">
        <f>ROUND(FTE!$F$7*'India Role Distribution'!$C6,0)</f>
        <v>1</v>
      </c>
      <c r="BK30" s="17">
        <f>ROUND(FTE!$F$7*'India Role Distribution'!$C6,0)</f>
        <v>1</v>
      </c>
    </row>
    <row r="31" spans="1:63" x14ac:dyDescent="0.35">
      <c r="A31" t="s">
        <v>7</v>
      </c>
      <c r="B31" t="s">
        <v>19</v>
      </c>
      <c r="C31" t="str">
        <f t="shared" si="0"/>
        <v>LeadIndia</v>
      </c>
      <c r="D31" s="14">
        <f>ROUND(FTE!$B$7*'India Role Distribution'!$C7,0)</f>
        <v>2</v>
      </c>
      <c r="E31" s="14">
        <f>ROUND(FTE!$B$7*'India Role Distribution'!$C7,0)</f>
        <v>2</v>
      </c>
      <c r="F31" s="14">
        <f>ROUND(FTE!$B$7*'India Role Distribution'!$C7,0)</f>
        <v>2</v>
      </c>
      <c r="G31" s="14">
        <f>ROUND(FTE!$B$7*'India Role Distribution'!$C7,0)</f>
        <v>2</v>
      </c>
      <c r="H31" s="14">
        <f>ROUND(FTE!$B$7*'India Role Distribution'!$C7,0)</f>
        <v>2</v>
      </c>
      <c r="I31" s="14">
        <f>ROUND(FTE!$B$7*'India Role Distribution'!$C7,0)</f>
        <v>2</v>
      </c>
      <c r="J31" s="14">
        <f>ROUND(FTE!$B$7*'India Role Distribution'!$C7,0)</f>
        <v>2</v>
      </c>
      <c r="K31" s="14">
        <f>ROUND(FTE!$B$7*'India Role Distribution'!$C7,0)</f>
        <v>2</v>
      </c>
      <c r="L31" s="14">
        <f>ROUND(FTE!$B$7*'India Role Distribution'!$C7,0)</f>
        <v>2</v>
      </c>
      <c r="M31" s="14">
        <f>ROUND(FTE!$B$7*'India Role Distribution'!$C7,0)</f>
        <v>2</v>
      </c>
      <c r="N31" s="14">
        <f>ROUND(FTE!$B$7*'India Role Distribution'!$C7,0)</f>
        <v>2</v>
      </c>
      <c r="O31" s="14">
        <f>ROUND(FTE!$B$7*'India Role Distribution'!$C7,0)</f>
        <v>2</v>
      </c>
      <c r="P31" s="6">
        <f>ROUND(FTE!$C$7*'India Role Distribution'!$C7,0)</f>
        <v>2</v>
      </c>
      <c r="Q31" s="6">
        <f>ROUND(FTE!$C$7*'India Role Distribution'!$C7,0)</f>
        <v>2</v>
      </c>
      <c r="R31" s="6">
        <f>ROUND(FTE!$C$7*'India Role Distribution'!$C7,0)</f>
        <v>2</v>
      </c>
      <c r="S31" s="6">
        <f>ROUND(FTE!$C$7*'India Role Distribution'!$C7,0)</f>
        <v>2</v>
      </c>
      <c r="T31" s="6">
        <f>ROUND(FTE!$C$7*'India Role Distribution'!$C7,0)</f>
        <v>2</v>
      </c>
      <c r="U31" s="6">
        <f>ROUND(FTE!$C$7*'India Role Distribution'!$C7,0)</f>
        <v>2</v>
      </c>
      <c r="V31" s="6">
        <f>ROUND(FTE!$C$7*'India Role Distribution'!$C7,0)</f>
        <v>2</v>
      </c>
      <c r="W31" s="6">
        <f>ROUND(FTE!$C$7*'India Role Distribution'!$C7,0)</f>
        <v>2</v>
      </c>
      <c r="X31" s="6">
        <f>ROUND(FTE!$C$7*'India Role Distribution'!$C7,0)</f>
        <v>2</v>
      </c>
      <c r="Y31" s="6">
        <f>ROUND(FTE!$C$7*'India Role Distribution'!$C7,0)</f>
        <v>2</v>
      </c>
      <c r="Z31" s="6">
        <f>ROUND(FTE!$C$7*'India Role Distribution'!$C7,0)</f>
        <v>2</v>
      </c>
      <c r="AA31" s="6">
        <f>ROUND(FTE!$C$7*'India Role Distribution'!$C7,0)</f>
        <v>2</v>
      </c>
      <c r="AB31" s="15">
        <f>ROUND(FTE!$D$7*'India Role Distribution'!$C7,0)</f>
        <v>1</v>
      </c>
      <c r="AC31" s="15">
        <f>ROUND(FTE!$D$7*'India Role Distribution'!$C7,0)</f>
        <v>1</v>
      </c>
      <c r="AD31" s="15">
        <f>ROUND(FTE!$D$7*'India Role Distribution'!$C7,0)</f>
        <v>1</v>
      </c>
      <c r="AE31" s="15">
        <f>ROUND(FTE!$D$7*'India Role Distribution'!$C7,0)</f>
        <v>1</v>
      </c>
      <c r="AF31" s="15">
        <f>ROUND(FTE!$D$7*'India Role Distribution'!$C7,0)</f>
        <v>1</v>
      </c>
      <c r="AG31" s="15">
        <f>ROUND(FTE!$D$7*'India Role Distribution'!$C7,0)</f>
        <v>1</v>
      </c>
      <c r="AH31" s="15">
        <f>ROUND(FTE!$D$7*'India Role Distribution'!$C7,0)</f>
        <v>1</v>
      </c>
      <c r="AI31" s="15">
        <f>ROUND(FTE!$D$7*'India Role Distribution'!$C7,0)</f>
        <v>1</v>
      </c>
      <c r="AJ31" s="15">
        <f>ROUND(FTE!$D$7*'India Role Distribution'!$C7,0)</f>
        <v>1</v>
      </c>
      <c r="AK31" s="15">
        <f>ROUND(FTE!$D$7*'India Role Distribution'!$C7,0)</f>
        <v>1</v>
      </c>
      <c r="AL31" s="15">
        <f>ROUND(FTE!$D$7*'India Role Distribution'!$C7,0)</f>
        <v>1</v>
      </c>
      <c r="AM31" s="15">
        <f>ROUND(FTE!$D$7*'India Role Distribution'!$C7,0)</f>
        <v>1</v>
      </c>
      <c r="AN31" s="16">
        <f>ROUND(FTE!$E$7*'India Role Distribution'!$C7,0)</f>
        <v>1</v>
      </c>
      <c r="AO31" s="16">
        <f>ROUND(FTE!$E$7*'India Role Distribution'!$C7,0)</f>
        <v>1</v>
      </c>
      <c r="AP31" s="16">
        <f>ROUND(FTE!$E$7*'India Role Distribution'!$C7,0)</f>
        <v>1</v>
      </c>
      <c r="AQ31" s="16">
        <f>ROUND(FTE!$E$7*'India Role Distribution'!$C7,0)</f>
        <v>1</v>
      </c>
      <c r="AR31" s="16">
        <f>ROUND(FTE!$E$7*'India Role Distribution'!$C7,0)</f>
        <v>1</v>
      </c>
      <c r="AS31" s="16">
        <f>ROUND(FTE!$E$7*'India Role Distribution'!$C7,0)</f>
        <v>1</v>
      </c>
      <c r="AT31" s="16">
        <f>ROUND(FTE!$E$7*'India Role Distribution'!$C7,0)</f>
        <v>1</v>
      </c>
      <c r="AU31" s="16">
        <f>ROUND(FTE!$E$7*'India Role Distribution'!$C7,0)</f>
        <v>1</v>
      </c>
      <c r="AV31" s="16">
        <f>ROUND(FTE!$E$7*'India Role Distribution'!$C7,0)</f>
        <v>1</v>
      </c>
      <c r="AW31" s="16">
        <f>ROUND(FTE!$E$7*'India Role Distribution'!$C7,0)</f>
        <v>1</v>
      </c>
      <c r="AX31" s="16">
        <f>ROUND(FTE!$E$7*'India Role Distribution'!$C7,0)</f>
        <v>1</v>
      </c>
      <c r="AY31" s="16">
        <f>ROUND(FTE!$E$7*'India Role Distribution'!$C7,0)</f>
        <v>1</v>
      </c>
      <c r="AZ31" s="17">
        <f>ROUND(FTE!$F$7*'India Role Distribution'!$C7,0)</f>
        <v>1</v>
      </c>
      <c r="BA31" s="17">
        <f>ROUND(FTE!$F$7*'India Role Distribution'!$C7,0)</f>
        <v>1</v>
      </c>
      <c r="BB31" s="17">
        <f>ROUND(FTE!$F$7*'India Role Distribution'!$C7,0)</f>
        <v>1</v>
      </c>
      <c r="BC31" s="17">
        <f>ROUND(FTE!$F$7*'India Role Distribution'!$C7,0)</f>
        <v>1</v>
      </c>
      <c r="BD31" s="17">
        <f>ROUND(FTE!$F$7*'India Role Distribution'!$C7,0)</f>
        <v>1</v>
      </c>
      <c r="BE31" s="17">
        <f>ROUND(FTE!$F$7*'India Role Distribution'!$C7,0)</f>
        <v>1</v>
      </c>
      <c r="BF31" s="17">
        <f>ROUND(FTE!$F$7*'India Role Distribution'!$C7,0)</f>
        <v>1</v>
      </c>
      <c r="BG31" s="17">
        <f>ROUND(FTE!$F$7*'India Role Distribution'!$C7,0)</f>
        <v>1</v>
      </c>
      <c r="BH31" s="17">
        <f>ROUND(FTE!$F$7*'India Role Distribution'!$C7,0)</f>
        <v>1</v>
      </c>
      <c r="BI31" s="17">
        <f>ROUND(FTE!$F$7*'India Role Distribution'!$C7,0)</f>
        <v>1</v>
      </c>
      <c r="BJ31" s="17">
        <f>ROUND(FTE!$F$7*'India Role Distribution'!$C7,0)</f>
        <v>1</v>
      </c>
      <c r="BK31" s="17">
        <f>ROUND(FTE!$F$7*'India Role Distribution'!$C7,0)</f>
        <v>1</v>
      </c>
    </row>
    <row r="32" spans="1:63" x14ac:dyDescent="0.35">
      <c r="A32" t="s">
        <v>8</v>
      </c>
      <c r="B32" t="s">
        <v>5</v>
      </c>
      <c r="C32" t="str">
        <f t="shared" si="0"/>
        <v>BSAOnsite</v>
      </c>
      <c r="D32" s="14">
        <f>VLOOKUP($A32,'Onsite Role Distribution'!$B$3:$G$7,2,FALSE)+VLOOKUP($A32,'Onsite Role Distribution'!$B$8:$G$12,2,FALSE)</f>
        <v>2</v>
      </c>
      <c r="E32" s="14">
        <f>VLOOKUP($A32,'Onsite Role Distribution'!$B$3:$G$7,2,FALSE)+VLOOKUP($A32,'Onsite Role Distribution'!$B$8:$G$12,2,FALSE)</f>
        <v>2</v>
      </c>
      <c r="F32" s="14">
        <f>VLOOKUP($A32,'Onsite Role Distribution'!$B$3:$G$7,2,FALSE)+VLOOKUP($A32,'Onsite Role Distribution'!$B$8:$G$12,2,FALSE)</f>
        <v>2</v>
      </c>
      <c r="G32" s="14">
        <f>VLOOKUP($A32,'Onsite Role Distribution'!$B$3:$G$7,2,FALSE)+VLOOKUP($A32,'Onsite Role Distribution'!$B$8:$G$12,2,FALSE)</f>
        <v>2</v>
      </c>
      <c r="H32" s="14">
        <f>VLOOKUP($A32,'Onsite Role Distribution'!$B$3:$G$7,2,FALSE)+VLOOKUP($A32,'Onsite Role Distribution'!$B$8:$G$12,2,FALSE)</f>
        <v>2</v>
      </c>
      <c r="I32" s="14">
        <f>VLOOKUP($A32,'Onsite Role Distribution'!$B$3:$G$7,2,FALSE)+VLOOKUP($A32,'Onsite Role Distribution'!$B$8:$G$12,2,FALSE)</f>
        <v>2</v>
      </c>
      <c r="J32" s="14">
        <f>VLOOKUP($A32,'Onsite Role Distribution'!$B$3:$G$7,2,FALSE)+VLOOKUP($A32,'Onsite Role Distribution'!$B$8:$G$12,2,FALSE)</f>
        <v>2</v>
      </c>
      <c r="K32" s="14">
        <f>VLOOKUP($A32,'Onsite Role Distribution'!$B$3:$G$7,2,FALSE)+VLOOKUP($A32,'Onsite Role Distribution'!$B$8:$G$12,2,FALSE)</f>
        <v>2</v>
      </c>
      <c r="L32" s="14">
        <f>VLOOKUP($A32,'Onsite Role Distribution'!$B$3:$G$7,2,FALSE)+VLOOKUP($A32,'Onsite Role Distribution'!$B$8:$G$12,2,FALSE)</f>
        <v>2</v>
      </c>
      <c r="M32" s="14">
        <f>VLOOKUP($A32,'Onsite Role Distribution'!$B$3:$G$7,2,FALSE)+VLOOKUP($A32,'Onsite Role Distribution'!$B$8:$G$12,2,FALSE)</f>
        <v>2</v>
      </c>
      <c r="N32" s="14">
        <f>VLOOKUP($A32,'Onsite Role Distribution'!$B$3:$G$7,2,FALSE)+VLOOKUP($A32,'Onsite Role Distribution'!$B$8:$G$12,2,FALSE)</f>
        <v>2</v>
      </c>
      <c r="O32" s="14">
        <f>VLOOKUP($A32,'Onsite Role Distribution'!$B$3:$G$7,2,FALSE)+VLOOKUP($A32,'Onsite Role Distribution'!$B$8:$G$12,2,FALSE)</f>
        <v>2</v>
      </c>
      <c r="P32" s="6">
        <f>VLOOKUP($A32,'Onsite Role Distribution'!$B$3:$G$7,3,FALSE)+VLOOKUP($A32,'Onsite Role Distribution'!$B$8:$G$12,3,FALSE)</f>
        <v>2</v>
      </c>
      <c r="Q32" s="6">
        <f>VLOOKUP($A32,'Onsite Role Distribution'!$B$3:$G$7,3,FALSE)+VLOOKUP($A32,'Onsite Role Distribution'!$B$8:$G$12,3,FALSE)</f>
        <v>2</v>
      </c>
      <c r="R32" s="6">
        <f>VLOOKUP($A32,'Onsite Role Distribution'!$B$3:$G$7,3,FALSE)+VLOOKUP($A32,'Onsite Role Distribution'!$B$8:$G$12,3,FALSE)</f>
        <v>2</v>
      </c>
      <c r="S32" s="6">
        <f>VLOOKUP($A32,'Onsite Role Distribution'!$B$3:$G$7,3,FALSE)+VLOOKUP($A32,'Onsite Role Distribution'!$B$8:$G$12,3,FALSE)</f>
        <v>2</v>
      </c>
      <c r="T32" s="6">
        <f>VLOOKUP($A32,'Onsite Role Distribution'!$B$3:$G$7,3,FALSE)+VLOOKUP($A32,'Onsite Role Distribution'!$B$8:$G$12,3,FALSE)</f>
        <v>2</v>
      </c>
      <c r="U32" s="6">
        <f>VLOOKUP($A32,'Onsite Role Distribution'!$B$3:$G$7,3,FALSE)+VLOOKUP($A32,'Onsite Role Distribution'!$B$8:$G$12,3,FALSE)</f>
        <v>2</v>
      </c>
      <c r="V32" s="6">
        <f>VLOOKUP($A32,'Onsite Role Distribution'!$B$3:$G$7,3,FALSE)+VLOOKUP($A32,'Onsite Role Distribution'!$B$8:$G$12,3,FALSE)</f>
        <v>2</v>
      </c>
      <c r="W32" s="6">
        <f>VLOOKUP($A32,'Onsite Role Distribution'!$B$3:$G$7,3,FALSE)+VLOOKUP($A32,'Onsite Role Distribution'!$B$8:$G$12,3,FALSE)</f>
        <v>2</v>
      </c>
      <c r="X32" s="6">
        <f>VLOOKUP($A32,'Onsite Role Distribution'!$B$3:$G$7,3,FALSE)+VLOOKUP($A32,'Onsite Role Distribution'!$B$8:$G$12,3,FALSE)</f>
        <v>2</v>
      </c>
      <c r="Y32" s="6">
        <f>VLOOKUP($A32,'Onsite Role Distribution'!$B$3:$G$7,3,FALSE)+VLOOKUP($A32,'Onsite Role Distribution'!$B$8:$G$12,3,FALSE)</f>
        <v>2</v>
      </c>
      <c r="Z32" s="6">
        <f>VLOOKUP($A32,'Onsite Role Distribution'!$B$3:$G$7,3,FALSE)+VLOOKUP($A32,'Onsite Role Distribution'!$B$8:$G$12,3,FALSE)</f>
        <v>2</v>
      </c>
      <c r="AA32" s="6">
        <f>VLOOKUP($A32,'Onsite Role Distribution'!$B$3:$G$7,3,FALSE)+VLOOKUP($A32,'Onsite Role Distribution'!$B$8:$G$12,3,FALSE)</f>
        <v>2</v>
      </c>
      <c r="AB32" s="15">
        <f>VLOOKUP($A32,'Onsite Role Distribution'!$B$3:$G$7,4,FALSE)+VLOOKUP($A32,'Onsite Role Distribution'!$B$8:$G$12,4,FALSE)</f>
        <v>1</v>
      </c>
      <c r="AC32" s="15">
        <f>VLOOKUP($A32,'Onsite Role Distribution'!$B$3:$G$7,4,FALSE)+VLOOKUP($A32,'Onsite Role Distribution'!$B$8:$G$12,4,FALSE)</f>
        <v>1</v>
      </c>
      <c r="AD32" s="15">
        <f>VLOOKUP($A32,'Onsite Role Distribution'!$B$3:$G$7,4,FALSE)+VLOOKUP($A32,'Onsite Role Distribution'!$B$8:$G$12,4,FALSE)</f>
        <v>1</v>
      </c>
      <c r="AE32" s="15">
        <f>VLOOKUP($A32,'Onsite Role Distribution'!$B$3:$G$7,4,FALSE)+VLOOKUP($A32,'Onsite Role Distribution'!$B$8:$G$12,4,FALSE)</f>
        <v>1</v>
      </c>
      <c r="AF32" s="15">
        <f>VLOOKUP($A32,'Onsite Role Distribution'!$B$3:$G$7,4,FALSE)+VLOOKUP($A32,'Onsite Role Distribution'!$B$8:$G$12,4,FALSE)</f>
        <v>1</v>
      </c>
      <c r="AG32" s="15">
        <f>VLOOKUP($A32,'Onsite Role Distribution'!$B$3:$G$7,4,FALSE)+VLOOKUP($A32,'Onsite Role Distribution'!$B$8:$G$12,4,FALSE)</f>
        <v>1</v>
      </c>
      <c r="AH32" s="15">
        <f>VLOOKUP($A32,'Onsite Role Distribution'!$B$3:$G$7,4,FALSE)+VLOOKUP($A32,'Onsite Role Distribution'!$B$8:$G$12,4,FALSE)</f>
        <v>1</v>
      </c>
      <c r="AI32" s="15">
        <f>VLOOKUP($A32,'Onsite Role Distribution'!$B$3:$G$7,4,FALSE)+VLOOKUP($A32,'Onsite Role Distribution'!$B$8:$G$12,4,FALSE)</f>
        <v>1</v>
      </c>
      <c r="AJ32" s="15">
        <f>VLOOKUP($A32,'Onsite Role Distribution'!$B$3:$G$7,4,FALSE)+VLOOKUP($A32,'Onsite Role Distribution'!$B$8:$G$12,4,FALSE)</f>
        <v>1</v>
      </c>
      <c r="AK32" s="15">
        <f>VLOOKUP($A32,'Onsite Role Distribution'!$B$3:$G$7,4,FALSE)+VLOOKUP($A32,'Onsite Role Distribution'!$B$8:$G$12,4,FALSE)</f>
        <v>1</v>
      </c>
      <c r="AL32" s="15">
        <f>VLOOKUP($A32,'Onsite Role Distribution'!$B$3:$G$7,4,FALSE)+VLOOKUP($A32,'Onsite Role Distribution'!$B$8:$G$12,4,FALSE)</f>
        <v>1</v>
      </c>
      <c r="AM32" s="15">
        <f>VLOOKUP($A32,'Onsite Role Distribution'!$B$3:$G$7,4,FALSE)+VLOOKUP($A32,'Onsite Role Distribution'!$B$8:$G$12,4,FALSE)</f>
        <v>1</v>
      </c>
      <c r="AN32" s="16">
        <f>VLOOKUP($A32,'Onsite Role Distribution'!$B$3:$G$7,5,FALSE)+VLOOKUP($A32,'Onsite Role Distribution'!$B$8:$G$12,5,FALSE)</f>
        <v>1</v>
      </c>
      <c r="AO32" s="16">
        <f>VLOOKUP($A32,'Onsite Role Distribution'!$B$3:$G$7,5,FALSE)+VLOOKUP($A32,'Onsite Role Distribution'!$B$8:$G$12,5,FALSE)</f>
        <v>1</v>
      </c>
      <c r="AP32" s="16">
        <f>VLOOKUP($A32,'Onsite Role Distribution'!$B$3:$G$7,5,FALSE)+VLOOKUP($A32,'Onsite Role Distribution'!$B$8:$G$12,5,FALSE)</f>
        <v>1</v>
      </c>
      <c r="AQ32" s="16">
        <f>VLOOKUP($A32,'Onsite Role Distribution'!$B$3:$G$7,5,FALSE)+VLOOKUP($A32,'Onsite Role Distribution'!$B$8:$G$12,5,FALSE)</f>
        <v>1</v>
      </c>
      <c r="AR32" s="16">
        <f>VLOOKUP($A32,'Onsite Role Distribution'!$B$3:$G$7,5,FALSE)+VLOOKUP($A32,'Onsite Role Distribution'!$B$8:$G$12,5,FALSE)</f>
        <v>1</v>
      </c>
      <c r="AS32" s="16">
        <f>VLOOKUP($A32,'Onsite Role Distribution'!$B$3:$G$7,5,FALSE)+VLOOKUP($A32,'Onsite Role Distribution'!$B$8:$G$12,5,FALSE)</f>
        <v>1</v>
      </c>
      <c r="AT32" s="16">
        <f>VLOOKUP($A32,'Onsite Role Distribution'!$B$3:$G$7,5,FALSE)+VLOOKUP($A32,'Onsite Role Distribution'!$B$8:$G$12,5,FALSE)</f>
        <v>1</v>
      </c>
      <c r="AU32" s="16">
        <f>VLOOKUP($A32,'Onsite Role Distribution'!$B$3:$G$7,5,FALSE)+VLOOKUP($A32,'Onsite Role Distribution'!$B$8:$G$12,5,FALSE)</f>
        <v>1</v>
      </c>
      <c r="AV32" s="16">
        <f>VLOOKUP($A32,'Onsite Role Distribution'!$B$3:$G$7,5,FALSE)+VLOOKUP($A32,'Onsite Role Distribution'!$B$8:$G$12,5,FALSE)</f>
        <v>1</v>
      </c>
      <c r="AW32" s="16">
        <f>VLOOKUP($A32,'Onsite Role Distribution'!$B$3:$G$7,5,FALSE)+VLOOKUP($A32,'Onsite Role Distribution'!$B$8:$G$12,5,FALSE)</f>
        <v>1</v>
      </c>
      <c r="AX32" s="16">
        <f>VLOOKUP($A32,'Onsite Role Distribution'!$B$3:$G$7,5,FALSE)+VLOOKUP($A32,'Onsite Role Distribution'!$B$8:$G$12,5,FALSE)</f>
        <v>1</v>
      </c>
      <c r="AY32" s="16">
        <f>VLOOKUP($A32,'Onsite Role Distribution'!$B$3:$G$7,5,FALSE)+VLOOKUP($A32,'Onsite Role Distribution'!$B$8:$G$12,5,FALSE)</f>
        <v>1</v>
      </c>
      <c r="AZ32" s="17">
        <f>VLOOKUP($A32,'Onsite Role Distribution'!$B$3:$G$7,6,FALSE)+VLOOKUP($A32,'Onsite Role Distribution'!$B$8:$G$12,6,FALSE)</f>
        <v>0</v>
      </c>
      <c r="BA32" s="17">
        <f>VLOOKUP($A32,'Onsite Role Distribution'!$B$3:$G$7,6,FALSE)+VLOOKUP($A32,'Onsite Role Distribution'!$B$8:$G$12,6,FALSE)</f>
        <v>0</v>
      </c>
      <c r="BB32" s="17">
        <f>VLOOKUP($A32,'Onsite Role Distribution'!$B$3:$G$7,6,FALSE)+VLOOKUP($A32,'Onsite Role Distribution'!$B$8:$G$12,6,FALSE)</f>
        <v>0</v>
      </c>
      <c r="BC32" s="17">
        <f>VLOOKUP($A32,'Onsite Role Distribution'!$B$3:$G$7,6,FALSE)+VLOOKUP($A32,'Onsite Role Distribution'!$B$8:$G$12,6,FALSE)</f>
        <v>0</v>
      </c>
      <c r="BD32" s="17">
        <f>VLOOKUP($A32,'Onsite Role Distribution'!$B$3:$G$7,6,FALSE)+VLOOKUP($A32,'Onsite Role Distribution'!$B$8:$G$12,6,FALSE)</f>
        <v>0</v>
      </c>
      <c r="BE32" s="17">
        <f>VLOOKUP($A32,'Onsite Role Distribution'!$B$3:$G$7,6,FALSE)+VLOOKUP($A32,'Onsite Role Distribution'!$B$8:$G$12,6,FALSE)</f>
        <v>0</v>
      </c>
      <c r="BF32" s="17">
        <f>VLOOKUP($A32,'Onsite Role Distribution'!$B$3:$G$7,6,FALSE)+VLOOKUP($A32,'Onsite Role Distribution'!$B$8:$G$12,6,FALSE)</f>
        <v>0</v>
      </c>
      <c r="BG32" s="17">
        <f>VLOOKUP($A32,'Onsite Role Distribution'!$B$3:$G$7,6,FALSE)+VLOOKUP($A32,'Onsite Role Distribution'!$B$8:$G$12,6,FALSE)</f>
        <v>0</v>
      </c>
      <c r="BH32" s="17">
        <f>VLOOKUP($A32,'Onsite Role Distribution'!$B$3:$G$7,6,FALSE)+VLOOKUP($A32,'Onsite Role Distribution'!$B$8:$G$12,6,FALSE)</f>
        <v>0</v>
      </c>
      <c r="BI32" s="17">
        <f>VLOOKUP($A32,'Onsite Role Distribution'!$B$3:$G$7,6,FALSE)+VLOOKUP($A32,'Onsite Role Distribution'!$B$8:$G$12,6,FALSE)</f>
        <v>0</v>
      </c>
      <c r="BJ32" s="17">
        <f>VLOOKUP($A32,'Onsite Role Distribution'!$B$3:$G$7,6,FALSE)+VLOOKUP($A32,'Onsite Role Distribution'!$B$8:$G$12,6,FALSE)</f>
        <v>0</v>
      </c>
      <c r="BK32" s="17">
        <f>VLOOKUP($A32,'Onsite Role Distribution'!$B$3:$G$7,6,FALSE)+VLOOKUP($A32,'Onsite Role Distribution'!$B$8:$G$12,6,FALSE)</f>
        <v>0</v>
      </c>
    </row>
    <row r="33" spans="1:63" x14ac:dyDescent="0.35">
      <c r="A33" t="s">
        <v>9</v>
      </c>
      <c r="B33" t="s">
        <v>5</v>
      </c>
      <c r="C33" t="str">
        <f t="shared" si="0"/>
        <v>DevOnsite</v>
      </c>
      <c r="D33" s="14">
        <f>VLOOKUP($A33,'Onsite Role Distribution'!$B$3:$G$7,2,FALSE)+VLOOKUP($A33,'Onsite Role Distribution'!$B$8:$G$12,2,FALSE)</f>
        <v>2</v>
      </c>
      <c r="E33" s="14">
        <f>VLOOKUP($A33,'Onsite Role Distribution'!$B$3:$G$7,2,FALSE)+VLOOKUP($A33,'Onsite Role Distribution'!$B$8:$G$12,2,FALSE)</f>
        <v>2</v>
      </c>
      <c r="F33" s="14">
        <f>VLOOKUP($A33,'Onsite Role Distribution'!$B$3:$G$7,2,FALSE)+VLOOKUP($A33,'Onsite Role Distribution'!$B$8:$G$12,2,FALSE)</f>
        <v>2</v>
      </c>
      <c r="G33" s="14">
        <f>VLOOKUP($A33,'Onsite Role Distribution'!$B$3:$G$7,2,FALSE)+VLOOKUP($A33,'Onsite Role Distribution'!$B$8:$G$12,2,FALSE)</f>
        <v>2</v>
      </c>
      <c r="H33" s="14">
        <f>VLOOKUP($A33,'Onsite Role Distribution'!$B$3:$G$7,2,FALSE)+VLOOKUP($A33,'Onsite Role Distribution'!$B$8:$G$12,2,FALSE)</f>
        <v>2</v>
      </c>
      <c r="I33" s="14">
        <f>VLOOKUP($A33,'Onsite Role Distribution'!$B$3:$G$7,2,FALSE)+VLOOKUP($A33,'Onsite Role Distribution'!$B$8:$G$12,2,FALSE)</f>
        <v>2</v>
      </c>
      <c r="J33" s="14">
        <f>VLOOKUP($A33,'Onsite Role Distribution'!$B$3:$G$7,2,FALSE)+VLOOKUP($A33,'Onsite Role Distribution'!$B$8:$G$12,2,FALSE)</f>
        <v>2</v>
      </c>
      <c r="K33" s="14">
        <f>VLOOKUP($A33,'Onsite Role Distribution'!$B$3:$G$7,2,FALSE)+VLOOKUP($A33,'Onsite Role Distribution'!$B$8:$G$12,2,FALSE)</f>
        <v>2</v>
      </c>
      <c r="L33" s="14">
        <f>VLOOKUP($A33,'Onsite Role Distribution'!$B$3:$G$7,2,FALSE)+VLOOKUP($A33,'Onsite Role Distribution'!$B$8:$G$12,2,FALSE)</f>
        <v>2</v>
      </c>
      <c r="M33" s="14">
        <f>VLOOKUP($A33,'Onsite Role Distribution'!$B$3:$G$7,2,FALSE)+VLOOKUP($A33,'Onsite Role Distribution'!$B$8:$G$12,2,FALSE)</f>
        <v>2</v>
      </c>
      <c r="N33" s="14">
        <f>VLOOKUP($A33,'Onsite Role Distribution'!$B$3:$G$7,2,FALSE)+VLOOKUP($A33,'Onsite Role Distribution'!$B$8:$G$12,2,FALSE)</f>
        <v>2</v>
      </c>
      <c r="O33" s="14">
        <f>VLOOKUP($A33,'Onsite Role Distribution'!$B$3:$G$7,2,FALSE)+VLOOKUP($A33,'Onsite Role Distribution'!$B$8:$G$12,2,FALSE)</f>
        <v>2</v>
      </c>
      <c r="P33" s="6">
        <f>VLOOKUP($A33,'Onsite Role Distribution'!$B$3:$G$7,3,FALSE)+VLOOKUP($A33,'Onsite Role Distribution'!$B$8:$G$12,3,FALSE)</f>
        <v>2</v>
      </c>
      <c r="Q33" s="6">
        <f>VLOOKUP($A33,'Onsite Role Distribution'!$B$3:$G$7,3,FALSE)+VLOOKUP($A33,'Onsite Role Distribution'!$B$8:$G$12,3,FALSE)</f>
        <v>2</v>
      </c>
      <c r="R33" s="6">
        <f>VLOOKUP($A33,'Onsite Role Distribution'!$B$3:$G$7,3,FALSE)+VLOOKUP($A33,'Onsite Role Distribution'!$B$8:$G$12,3,FALSE)</f>
        <v>2</v>
      </c>
      <c r="S33" s="6">
        <f>VLOOKUP($A33,'Onsite Role Distribution'!$B$3:$G$7,3,FALSE)+VLOOKUP($A33,'Onsite Role Distribution'!$B$8:$G$12,3,FALSE)</f>
        <v>2</v>
      </c>
      <c r="T33" s="6">
        <f>VLOOKUP($A33,'Onsite Role Distribution'!$B$3:$G$7,3,FALSE)+VLOOKUP($A33,'Onsite Role Distribution'!$B$8:$G$12,3,FALSE)</f>
        <v>2</v>
      </c>
      <c r="U33" s="6">
        <f>VLOOKUP($A33,'Onsite Role Distribution'!$B$3:$G$7,3,FALSE)+VLOOKUP($A33,'Onsite Role Distribution'!$B$8:$G$12,3,FALSE)</f>
        <v>2</v>
      </c>
      <c r="V33" s="6">
        <f>VLOOKUP($A33,'Onsite Role Distribution'!$B$3:$G$7,3,FALSE)+VLOOKUP($A33,'Onsite Role Distribution'!$B$8:$G$12,3,FALSE)</f>
        <v>2</v>
      </c>
      <c r="W33" s="6">
        <f>VLOOKUP($A33,'Onsite Role Distribution'!$B$3:$G$7,3,FALSE)+VLOOKUP($A33,'Onsite Role Distribution'!$B$8:$G$12,3,FALSE)</f>
        <v>2</v>
      </c>
      <c r="X33" s="6">
        <f>VLOOKUP($A33,'Onsite Role Distribution'!$B$3:$G$7,3,FALSE)+VLOOKUP($A33,'Onsite Role Distribution'!$B$8:$G$12,3,FALSE)</f>
        <v>2</v>
      </c>
      <c r="Y33" s="6">
        <f>VLOOKUP($A33,'Onsite Role Distribution'!$B$3:$G$7,3,FALSE)+VLOOKUP($A33,'Onsite Role Distribution'!$B$8:$G$12,3,FALSE)</f>
        <v>2</v>
      </c>
      <c r="Z33" s="6">
        <f>VLOOKUP($A33,'Onsite Role Distribution'!$B$3:$G$7,3,FALSE)+VLOOKUP($A33,'Onsite Role Distribution'!$B$8:$G$12,3,FALSE)</f>
        <v>2</v>
      </c>
      <c r="AA33" s="6">
        <f>VLOOKUP($A33,'Onsite Role Distribution'!$B$3:$G$7,3,FALSE)+VLOOKUP($A33,'Onsite Role Distribution'!$B$8:$G$12,3,FALSE)</f>
        <v>2</v>
      </c>
      <c r="AB33" s="15">
        <f>VLOOKUP($A33,'Onsite Role Distribution'!$B$3:$G$7,4,FALSE)+VLOOKUP($A33,'Onsite Role Distribution'!$B$8:$G$12,4,FALSE)</f>
        <v>2</v>
      </c>
      <c r="AC33" s="15">
        <f>VLOOKUP($A33,'Onsite Role Distribution'!$B$3:$G$7,4,FALSE)+VLOOKUP($A33,'Onsite Role Distribution'!$B$8:$G$12,4,FALSE)</f>
        <v>2</v>
      </c>
      <c r="AD33" s="15">
        <f>VLOOKUP($A33,'Onsite Role Distribution'!$B$3:$G$7,4,FALSE)+VLOOKUP($A33,'Onsite Role Distribution'!$B$8:$G$12,4,FALSE)</f>
        <v>2</v>
      </c>
      <c r="AE33" s="15">
        <f>VLOOKUP($A33,'Onsite Role Distribution'!$B$3:$G$7,4,FALSE)+VLOOKUP($A33,'Onsite Role Distribution'!$B$8:$G$12,4,FALSE)</f>
        <v>2</v>
      </c>
      <c r="AF33" s="15">
        <f>VLOOKUP($A33,'Onsite Role Distribution'!$B$3:$G$7,4,FALSE)+VLOOKUP($A33,'Onsite Role Distribution'!$B$8:$G$12,4,FALSE)</f>
        <v>2</v>
      </c>
      <c r="AG33" s="15">
        <f>VLOOKUP($A33,'Onsite Role Distribution'!$B$3:$G$7,4,FALSE)+VLOOKUP($A33,'Onsite Role Distribution'!$B$8:$G$12,4,FALSE)</f>
        <v>2</v>
      </c>
      <c r="AH33" s="15">
        <f>VLOOKUP($A33,'Onsite Role Distribution'!$B$3:$G$7,4,FALSE)+VLOOKUP($A33,'Onsite Role Distribution'!$B$8:$G$12,4,FALSE)</f>
        <v>2</v>
      </c>
      <c r="AI33" s="15">
        <f>VLOOKUP($A33,'Onsite Role Distribution'!$B$3:$G$7,4,FALSE)+VLOOKUP($A33,'Onsite Role Distribution'!$B$8:$G$12,4,FALSE)</f>
        <v>2</v>
      </c>
      <c r="AJ33" s="15">
        <f>VLOOKUP($A33,'Onsite Role Distribution'!$B$3:$G$7,4,FALSE)+VLOOKUP($A33,'Onsite Role Distribution'!$B$8:$G$12,4,FALSE)</f>
        <v>2</v>
      </c>
      <c r="AK33" s="15">
        <f>VLOOKUP($A33,'Onsite Role Distribution'!$B$3:$G$7,4,FALSE)+VLOOKUP($A33,'Onsite Role Distribution'!$B$8:$G$12,4,FALSE)</f>
        <v>2</v>
      </c>
      <c r="AL33" s="15">
        <f>VLOOKUP($A33,'Onsite Role Distribution'!$B$3:$G$7,4,FALSE)+VLOOKUP($A33,'Onsite Role Distribution'!$B$8:$G$12,4,FALSE)</f>
        <v>2</v>
      </c>
      <c r="AM33" s="15">
        <f>VLOOKUP($A33,'Onsite Role Distribution'!$B$3:$G$7,4,FALSE)+VLOOKUP($A33,'Onsite Role Distribution'!$B$8:$G$12,4,FALSE)</f>
        <v>2</v>
      </c>
      <c r="AN33" s="16">
        <f>VLOOKUP($A33,'Onsite Role Distribution'!$B$3:$G$7,5,FALSE)+VLOOKUP($A33,'Onsite Role Distribution'!$B$8:$G$12,5,FALSE)</f>
        <v>3</v>
      </c>
      <c r="AO33" s="16">
        <f>VLOOKUP($A33,'Onsite Role Distribution'!$B$3:$G$7,5,FALSE)+VLOOKUP($A33,'Onsite Role Distribution'!$B$8:$G$12,5,FALSE)</f>
        <v>3</v>
      </c>
      <c r="AP33" s="16">
        <f>VLOOKUP($A33,'Onsite Role Distribution'!$B$3:$G$7,5,FALSE)+VLOOKUP($A33,'Onsite Role Distribution'!$B$8:$G$12,5,FALSE)</f>
        <v>3</v>
      </c>
      <c r="AQ33" s="16">
        <f>VLOOKUP($A33,'Onsite Role Distribution'!$B$3:$G$7,5,FALSE)+VLOOKUP($A33,'Onsite Role Distribution'!$B$8:$G$12,5,FALSE)</f>
        <v>3</v>
      </c>
      <c r="AR33" s="16">
        <f>VLOOKUP($A33,'Onsite Role Distribution'!$B$3:$G$7,5,FALSE)+VLOOKUP($A33,'Onsite Role Distribution'!$B$8:$G$12,5,FALSE)</f>
        <v>3</v>
      </c>
      <c r="AS33" s="16">
        <f>VLOOKUP($A33,'Onsite Role Distribution'!$B$3:$G$7,5,FALSE)+VLOOKUP($A33,'Onsite Role Distribution'!$B$8:$G$12,5,FALSE)</f>
        <v>3</v>
      </c>
      <c r="AT33" s="16">
        <f>VLOOKUP($A33,'Onsite Role Distribution'!$B$3:$G$7,5,FALSE)+VLOOKUP($A33,'Onsite Role Distribution'!$B$8:$G$12,5,FALSE)</f>
        <v>3</v>
      </c>
      <c r="AU33" s="16">
        <f>VLOOKUP($A33,'Onsite Role Distribution'!$B$3:$G$7,5,FALSE)+VLOOKUP($A33,'Onsite Role Distribution'!$B$8:$G$12,5,FALSE)</f>
        <v>3</v>
      </c>
      <c r="AV33" s="16">
        <f>VLOOKUP($A33,'Onsite Role Distribution'!$B$3:$G$7,5,FALSE)+VLOOKUP($A33,'Onsite Role Distribution'!$B$8:$G$12,5,FALSE)</f>
        <v>3</v>
      </c>
      <c r="AW33" s="16">
        <f>VLOOKUP($A33,'Onsite Role Distribution'!$B$3:$G$7,5,FALSE)+VLOOKUP($A33,'Onsite Role Distribution'!$B$8:$G$12,5,FALSE)</f>
        <v>3</v>
      </c>
      <c r="AX33" s="16">
        <f>VLOOKUP($A33,'Onsite Role Distribution'!$B$3:$G$7,5,FALSE)+VLOOKUP($A33,'Onsite Role Distribution'!$B$8:$G$12,5,FALSE)</f>
        <v>3</v>
      </c>
      <c r="AY33" s="16">
        <f>VLOOKUP($A33,'Onsite Role Distribution'!$B$3:$G$7,5,FALSE)+VLOOKUP($A33,'Onsite Role Distribution'!$B$8:$G$12,5,FALSE)</f>
        <v>3</v>
      </c>
      <c r="AZ33" s="17">
        <f>VLOOKUP($A33,'Onsite Role Distribution'!$B$3:$G$7,6,FALSE)+VLOOKUP($A33,'Onsite Role Distribution'!$B$8:$G$12,6,FALSE)</f>
        <v>1</v>
      </c>
      <c r="BA33" s="17">
        <f>VLOOKUP($A33,'Onsite Role Distribution'!$B$3:$G$7,6,FALSE)+VLOOKUP($A33,'Onsite Role Distribution'!$B$8:$G$12,6,FALSE)</f>
        <v>1</v>
      </c>
      <c r="BB33" s="17">
        <f>VLOOKUP($A33,'Onsite Role Distribution'!$B$3:$G$7,6,FALSE)+VLOOKUP($A33,'Onsite Role Distribution'!$B$8:$G$12,6,FALSE)</f>
        <v>1</v>
      </c>
      <c r="BC33" s="17">
        <f>VLOOKUP($A33,'Onsite Role Distribution'!$B$3:$G$7,6,FALSE)+VLOOKUP($A33,'Onsite Role Distribution'!$B$8:$G$12,6,FALSE)</f>
        <v>1</v>
      </c>
      <c r="BD33" s="17">
        <f>VLOOKUP($A33,'Onsite Role Distribution'!$B$3:$G$7,6,FALSE)+VLOOKUP($A33,'Onsite Role Distribution'!$B$8:$G$12,6,FALSE)</f>
        <v>1</v>
      </c>
      <c r="BE33" s="17">
        <f>VLOOKUP($A33,'Onsite Role Distribution'!$B$3:$G$7,6,FALSE)+VLOOKUP($A33,'Onsite Role Distribution'!$B$8:$G$12,6,FALSE)</f>
        <v>1</v>
      </c>
      <c r="BF33" s="17">
        <f>VLOOKUP($A33,'Onsite Role Distribution'!$B$3:$G$7,6,FALSE)+VLOOKUP($A33,'Onsite Role Distribution'!$B$8:$G$12,6,FALSE)</f>
        <v>1</v>
      </c>
      <c r="BG33" s="17">
        <f>VLOOKUP($A33,'Onsite Role Distribution'!$B$3:$G$7,6,FALSE)+VLOOKUP($A33,'Onsite Role Distribution'!$B$8:$G$12,6,FALSE)</f>
        <v>1</v>
      </c>
      <c r="BH33" s="17">
        <f>VLOOKUP($A33,'Onsite Role Distribution'!$B$3:$G$7,6,FALSE)+VLOOKUP($A33,'Onsite Role Distribution'!$B$8:$G$12,6,FALSE)</f>
        <v>1</v>
      </c>
      <c r="BI33" s="17">
        <f>VLOOKUP($A33,'Onsite Role Distribution'!$B$3:$G$7,6,FALSE)+VLOOKUP($A33,'Onsite Role Distribution'!$B$8:$G$12,6,FALSE)</f>
        <v>1</v>
      </c>
      <c r="BJ33" s="17">
        <f>VLOOKUP($A33,'Onsite Role Distribution'!$B$3:$G$7,6,FALSE)+VLOOKUP($A33,'Onsite Role Distribution'!$B$8:$G$12,6,FALSE)</f>
        <v>1</v>
      </c>
      <c r="BK33" s="17">
        <f>VLOOKUP($A33,'Onsite Role Distribution'!$B$3:$G$7,6,FALSE)+VLOOKUP($A33,'Onsite Role Distribution'!$B$8:$G$12,6,FALSE)</f>
        <v>1</v>
      </c>
    </row>
    <row r="34" spans="1:63" x14ac:dyDescent="0.35">
      <c r="A34" t="s">
        <v>10</v>
      </c>
      <c r="B34" t="s">
        <v>5</v>
      </c>
      <c r="C34" t="str">
        <f t="shared" si="0"/>
        <v>TesterOnsite</v>
      </c>
      <c r="D34" s="14">
        <f>VLOOKUP($A34,'Onsite Role Distribution'!$B$3:$G$7,2,FALSE)+VLOOKUP($A34,'Onsite Role Distribution'!$B$8:$G$12,2,FALSE)</f>
        <v>1</v>
      </c>
      <c r="E34" s="14">
        <f>VLOOKUP($A34,'Onsite Role Distribution'!$B$3:$G$7,2,FALSE)+VLOOKUP($A34,'Onsite Role Distribution'!$B$8:$G$12,2,FALSE)</f>
        <v>1</v>
      </c>
      <c r="F34" s="14">
        <f>VLOOKUP($A34,'Onsite Role Distribution'!$B$3:$G$7,2,FALSE)+VLOOKUP($A34,'Onsite Role Distribution'!$B$8:$G$12,2,FALSE)</f>
        <v>1</v>
      </c>
      <c r="G34" s="14">
        <f>VLOOKUP($A34,'Onsite Role Distribution'!$B$3:$G$7,2,FALSE)+VLOOKUP($A34,'Onsite Role Distribution'!$B$8:$G$12,2,FALSE)</f>
        <v>1</v>
      </c>
      <c r="H34" s="14">
        <f>VLOOKUP($A34,'Onsite Role Distribution'!$B$3:$G$7,2,FALSE)+VLOOKUP($A34,'Onsite Role Distribution'!$B$8:$G$12,2,FALSE)</f>
        <v>1</v>
      </c>
      <c r="I34" s="14">
        <f>VLOOKUP($A34,'Onsite Role Distribution'!$B$3:$G$7,2,FALSE)+VLOOKUP($A34,'Onsite Role Distribution'!$B$8:$G$12,2,FALSE)</f>
        <v>1</v>
      </c>
      <c r="J34" s="14">
        <f>VLOOKUP($A34,'Onsite Role Distribution'!$B$3:$G$7,2,FALSE)+VLOOKUP($A34,'Onsite Role Distribution'!$B$8:$G$12,2,FALSE)</f>
        <v>1</v>
      </c>
      <c r="K34" s="14">
        <f>VLOOKUP($A34,'Onsite Role Distribution'!$B$3:$G$7,2,FALSE)+VLOOKUP($A34,'Onsite Role Distribution'!$B$8:$G$12,2,FALSE)</f>
        <v>1</v>
      </c>
      <c r="L34" s="14">
        <f>VLOOKUP($A34,'Onsite Role Distribution'!$B$3:$G$7,2,FALSE)+VLOOKUP($A34,'Onsite Role Distribution'!$B$8:$G$12,2,FALSE)</f>
        <v>1</v>
      </c>
      <c r="M34" s="14">
        <f>VLOOKUP($A34,'Onsite Role Distribution'!$B$3:$G$7,2,FALSE)+VLOOKUP($A34,'Onsite Role Distribution'!$B$8:$G$12,2,FALSE)</f>
        <v>1</v>
      </c>
      <c r="N34" s="14">
        <f>VLOOKUP($A34,'Onsite Role Distribution'!$B$3:$G$7,2,FALSE)+VLOOKUP($A34,'Onsite Role Distribution'!$B$8:$G$12,2,FALSE)</f>
        <v>1</v>
      </c>
      <c r="O34" s="14">
        <f>VLOOKUP($A34,'Onsite Role Distribution'!$B$3:$G$7,2,FALSE)+VLOOKUP($A34,'Onsite Role Distribution'!$B$8:$G$12,2,FALSE)</f>
        <v>1</v>
      </c>
      <c r="P34" s="6">
        <f>VLOOKUP($A34,'Onsite Role Distribution'!$B$3:$G$7,3,FALSE)+VLOOKUP($A34,'Onsite Role Distribution'!$B$8:$G$12,3,FALSE)</f>
        <v>1</v>
      </c>
      <c r="Q34" s="6">
        <f>VLOOKUP($A34,'Onsite Role Distribution'!$B$3:$G$7,3,FALSE)+VLOOKUP($A34,'Onsite Role Distribution'!$B$8:$G$12,3,FALSE)</f>
        <v>1</v>
      </c>
      <c r="R34" s="6">
        <f>VLOOKUP($A34,'Onsite Role Distribution'!$B$3:$G$7,3,FALSE)+VLOOKUP($A34,'Onsite Role Distribution'!$B$8:$G$12,3,FALSE)</f>
        <v>1</v>
      </c>
      <c r="S34" s="6">
        <f>VLOOKUP($A34,'Onsite Role Distribution'!$B$3:$G$7,3,FALSE)+VLOOKUP($A34,'Onsite Role Distribution'!$B$8:$G$12,3,FALSE)</f>
        <v>1</v>
      </c>
      <c r="T34" s="6">
        <f>VLOOKUP($A34,'Onsite Role Distribution'!$B$3:$G$7,3,FALSE)+VLOOKUP($A34,'Onsite Role Distribution'!$B$8:$G$12,3,FALSE)</f>
        <v>1</v>
      </c>
      <c r="U34" s="6">
        <f>VLOOKUP($A34,'Onsite Role Distribution'!$B$3:$G$7,3,FALSE)+VLOOKUP($A34,'Onsite Role Distribution'!$B$8:$G$12,3,FALSE)</f>
        <v>1</v>
      </c>
      <c r="V34" s="6">
        <f>VLOOKUP($A34,'Onsite Role Distribution'!$B$3:$G$7,3,FALSE)+VLOOKUP($A34,'Onsite Role Distribution'!$B$8:$G$12,3,FALSE)</f>
        <v>1</v>
      </c>
      <c r="W34" s="6">
        <f>VLOOKUP($A34,'Onsite Role Distribution'!$B$3:$G$7,3,FALSE)+VLOOKUP($A34,'Onsite Role Distribution'!$B$8:$G$12,3,FALSE)</f>
        <v>1</v>
      </c>
      <c r="X34" s="6">
        <f>VLOOKUP($A34,'Onsite Role Distribution'!$B$3:$G$7,3,FALSE)+VLOOKUP($A34,'Onsite Role Distribution'!$B$8:$G$12,3,FALSE)</f>
        <v>1</v>
      </c>
      <c r="Y34" s="6">
        <f>VLOOKUP($A34,'Onsite Role Distribution'!$B$3:$G$7,3,FALSE)+VLOOKUP($A34,'Onsite Role Distribution'!$B$8:$G$12,3,FALSE)</f>
        <v>1</v>
      </c>
      <c r="Z34" s="6">
        <f>VLOOKUP($A34,'Onsite Role Distribution'!$B$3:$G$7,3,FALSE)+VLOOKUP($A34,'Onsite Role Distribution'!$B$8:$G$12,3,FALSE)</f>
        <v>1</v>
      </c>
      <c r="AA34" s="6">
        <f>VLOOKUP($A34,'Onsite Role Distribution'!$B$3:$G$7,3,FALSE)+VLOOKUP($A34,'Onsite Role Distribution'!$B$8:$G$12,3,FALSE)</f>
        <v>1</v>
      </c>
      <c r="AB34" s="15">
        <f>VLOOKUP($A34,'Onsite Role Distribution'!$B$3:$G$7,4,FALSE)+VLOOKUP($A34,'Onsite Role Distribution'!$B$8:$G$12,4,FALSE)</f>
        <v>0</v>
      </c>
      <c r="AC34" s="15">
        <f>VLOOKUP($A34,'Onsite Role Distribution'!$B$3:$G$7,4,FALSE)+VLOOKUP($A34,'Onsite Role Distribution'!$B$8:$G$12,4,FALSE)</f>
        <v>0</v>
      </c>
      <c r="AD34" s="15">
        <f>VLOOKUP($A34,'Onsite Role Distribution'!$B$3:$G$7,4,FALSE)+VLOOKUP($A34,'Onsite Role Distribution'!$B$8:$G$12,4,FALSE)</f>
        <v>0</v>
      </c>
      <c r="AE34" s="15">
        <f>VLOOKUP($A34,'Onsite Role Distribution'!$B$3:$G$7,4,FALSE)+VLOOKUP($A34,'Onsite Role Distribution'!$B$8:$G$12,4,FALSE)</f>
        <v>0</v>
      </c>
      <c r="AF34" s="15">
        <f>VLOOKUP($A34,'Onsite Role Distribution'!$B$3:$G$7,4,FALSE)+VLOOKUP($A34,'Onsite Role Distribution'!$B$8:$G$12,4,FALSE)</f>
        <v>0</v>
      </c>
      <c r="AG34" s="15">
        <f>VLOOKUP($A34,'Onsite Role Distribution'!$B$3:$G$7,4,FALSE)+VLOOKUP($A34,'Onsite Role Distribution'!$B$8:$G$12,4,FALSE)</f>
        <v>0</v>
      </c>
      <c r="AH34" s="15">
        <f>VLOOKUP($A34,'Onsite Role Distribution'!$B$3:$G$7,4,FALSE)+VLOOKUP($A34,'Onsite Role Distribution'!$B$8:$G$12,4,FALSE)</f>
        <v>0</v>
      </c>
      <c r="AI34" s="15">
        <f>VLOOKUP($A34,'Onsite Role Distribution'!$B$3:$G$7,4,FALSE)+VLOOKUP($A34,'Onsite Role Distribution'!$B$8:$G$12,4,FALSE)</f>
        <v>0</v>
      </c>
      <c r="AJ34" s="15">
        <f>VLOOKUP($A34,'Onsite Role Distribution'!$B$3:$G$7,4,FALSE)+VLOOKUP($A34,'Onsite Role Distribution'!$B$8:$G$12,4,FALSE)</f>
        <v>0</v>
      </c>
      <c r="AK34" s="15">
        <f>VLOOKUP($A34,'Onsite Role Distribution'!$B$3:$G$7,4,FALSE)+VLOOKUP($A34,'Onsite Role Distribution'!$B$8:$G$12,4,FALSE)</f>
        <v>0</v>
      </c>
      <c r="AL34" s="15">
        <f>VLOOKUP($A34,'Onsite Role Distribution'!$B$3:$G$7,4,FALSE)+VLOOKUP($A34,'Onsite Role Distribution'!$B$8:$G$12,4,FALSE)</f>
        <v>0</v>
      </c>
      <c r="AM34" s="15">
        <f>VLOOKUP($A34,'Onsite Role Distribution'!$B$3:$G$7,4,FALSE)+VLOOKUP($A34,'Onsite Role Distribution'!$B$8:$G$12,4,FALSE)</f>
        <v>0</v>
      </c>
      <c r="AN34" s="16">
        <f>VLOOKUP($A34,'Onsite Role Distribution'!$B$3:$G$7,5,FALSE)+VLOOKUP($A34,'Onsite Role Distribution'!$B$8:$G$12,5,FALSE)</f>
        <v>0</v>
      </c>
      <c r="AO34" s="16">
        <f>VLOOKUP($A34,'Onsite Role Distribution'!$B$3:$G$7,5,FALSE)+VLOOKUP($A34,'Onsite Role Distribution'!$B$8:$G$12,5,FALSE)</f>
        <v>0</v>
      </c>
      <c r="AP34" s="16">
        <f>VLOOKUP($A34,'Onsite Role Distribution'!$B$3:$G$7,5,FALSE)+VLOOKUP($A34,'Onsite Role Distribution'!$B$8:$G$12,5,FALSE)</f>
        <v>0</v>
      </c>
      <c r="AQ34" s="16">
        <f>VLOOKUP($A34,'Onsite Role Distribution'!$B$3:$G$7,5,FALSE)+VLOOKUP($A34,'Onsite Role Distribution'!$B$8:$G$12,5,FALSE)</f>
        <v>0</v>
      </c>
      <c r="AR34" s="16">
        <f>VLOOKUP($A34,'Onsite Role Distribution'!$B$3:$G$7,5,FALSE)+VLOOKUP($A34,'Onsite Role Distribution'!$B$8:$G$12,5,FALSE)</f>
        <v>0</v>
      </c>
      <c r="AS34" s="16">
        <f>VLOOKUP($A34,'Onsite Role Distribution'!$B$3:$G$7,5,FALSE)+VLOOKUP($A34,'Onsite Role Distribution'!$B$8:$G$12,5,FALSE)</f>
        <v>0</v>
      </c>
      <c r="AT34" s="16">
        <f>VLOOKUP($A34,'Onsite Role Distribution'!$B$3:$G$7,5,FALSE)+VLOOKUP($A34,'Onsite Role Distribution'!$B$8:$G$12,5,FALSE)</f>
        <v>0</v>
      </c>
      <c r="AU34" s="16">
        <f>VLOOKUP($A34,'Onsite Role Distribution'!$B$3:$G$7,5,FALSE)+VLOOKUP($A34,'Onsite Role Distribution'!$B$8:$G$12,5,FALSE)</f>
        <v>0</v>
      </c>
      <c r="AV34" s="16">
        <f>VLOOKUP($A34,'Onsite Role Distribution'!$B$3:$G$7,5,FALSE)+VLOOKUP($A34,'Onsite Role Distribution'!$B$8:$G$12,5,FALSE)</f>
        <v>0</v>
      </c>
      <c r="AW34" s="16">
        <f>VLOOKUP($A34,'Onsite Role Distribution'!$B$3:$G$7,5,FALSE)+VLOOKUP($A34,'Onsite Role Distribution'!$B$8:$G$12,5,FALSE)</f>
        <v>0</v>
      </c>
      <c r="AX34" s="16">
        <f>VLOOKUP($A34,'Onsite Role Distribution'!$B$3:$G$7,5,FALSE)+VLOOKUP($A34,'Onsite Role Distribution'!$B$8:$G$12,5,FALSE)</f>
        <v>0</v>
      </c>
      <c r="AY34" s="16">
        <f>VLOOKUP($A34,'Onsite Role Distribution'!$B$3:$G$7,5,FALSE)+VLOOKUP($A34,'Onsite Role Distribution'!$B$8:$G$12,5,FALSE)</f>
        <v>0</v>
      </c>
      <c r="AZ34" s="17">
        <f>VLOOKUP($A34,'Onsite Role Distribution'!$B$3:$G$7,6,FALSE)+VLOOKUP($A34,'Onsite Role Distribution'!$B$8:$G$12,6,FALSE)</f>
        <v>0</v>
      </c>
      <c r="BA34" s="17">
        <f>VLOOKUP($A34,'Onsite Role Distribution'!$B$3:$G$7,6,FALSE)+VLOOKUP($A34,'Onsite Role Distribution'!$B$8:$G$12,6,FALSE)</f>
        <v>0</v>
      </c>
      <c r="BB34" s="17">
        <f>VLOOKUP($A34,'Onsite Role Distribution'!$B$3:$G$7,6,FALSE)+VLOOKUP($A34,'Onsite Role Distribution'!$B$8:$G$12,6,FALSE)</f>
        <v>0</v>
      </c>
      <c r="BC34" s="17">
        <f>VLOOKUP($A34,'Onsite Role Distribution'!$B$3:$G$7,6,FALSE)+VLOOKUP($A34,'Onsite Role Distribution'!$B$8:$G$12,6,FALSE)</f>
        <v>0</v>
      </c>
      <c r="BD34" s="17">
        <f>VLOOKUP($A34,'Onsite Role Distribution'!$B$3:$G$7,6,FALSE)+VLOOKUP($A34,'Onsite Role Distribution'!$B$8:$G$12,6,FALSE)</f>
        <v>0</v>
      </c>
      <c r="BE34" s="17">
        <f>VLOOKUP($A34,'Onsite Role Distribution'!$B$3:$G$7,6,FALSE)+VLOOKUP($A34,'Onsite Role Distribution'!$B$8:$G$12,6,FALSE)</f>
        <v>0</v>
      </c>
      <c r="BF34" s="17">
        <f>VLOOKUP($A34,'Onsite Role Distribution'!$B$3:$G$7,6,FALSE)+VLOOKUP($A34,'Onsite Role Distribution'!$B$8:$G$12,6,FALSE)</f>
        <v>0</v>
      </c>
      <c r="BG34" s="17">
        <f>VLOOKUP($A34,'Onsite Role Distribution'!$B$3:$G$7,6,FALSE)+VLOOKUP($A34,'Onsite Role Distribution'!$B$8:$G$12,6,FALSE)</f>
        <v>0</v>
      </c>
      <c r="BH34" s="17">
        <f>VLOOKUP($A34,'Onsite Role Distribution'!$B$3:$G$7,6,FALSE)+VLOOKUP($A34,'Onsite Role Distribution'!$B$8:$G$12,6,FALSE)</f>
        <v>0</v>
      </c>
      <c r="BI34" s="17">
        <f>VLOOKUP($A34,'Onsite Role Distribution'!$B$3:$G$7,6,FALSE)+VLOOKUP($A34,'Onsite Role Distribution'!$B$8:$G$12,6,FALSE)</f>
        <v>0</v>
      </c>
      <c r="BJ34" s="17">
        <f>VLOOKUP($A34,'Onsite Role Distribution'!$B$3:$G$7,6,FALSE)+VLOOKUP($A34,'Onsite Role Distribution'!$B$8:$G$12,6,FALSE)</f>
        <v>0</v>
      </c>
      <c r="BK34" s="17">
        <f>VLOOKUP($A34,'Onsite Role Distribution'!$B$3:$G$7,6,FALSE)+VLOOKUP($A34,'Onsite Role Distribution'!$B$8:$G$12,6,FALSE)</f>
        <v>0</v>
      </c>
    </row>
    <row r="35" spans="1:63" x14ac:dyDescent="0.35">
      <c r="A35" t="s">
        <v>6</v>
      </c>
      <c r="B35" t="s">
        <v>5</v>
      </c>
      <c r="C35" t="str">
        <f t="shared" si="0"/>
        <v>PMOnsite</v>
      </c>
      <c r="D35" s="14">
        <f>VLOOKUP($A35,'Onsite Role Distribution'!$B$3:$G$7,2,FALSE)+VLOOKUP($A35,'Onsite Role Distribution'!$B$8:$G$12,2,FALSE)</f>
        <v>0</v>
      </c>
      <c r="E35" s="14">
        <f>VLOOKUP($A35,'Onsite Role Distribution'!$B$3:$G$7,2,FALSE)+VLOOKUP($A35,'Onsite Role Distribution'!$B$8:$G$12,2,FALSE)</f>
        <v>0</v>
      </c>
      <c r="F35" s="14">
        <f>VLOOKUP($A35,'Onsite Role Distribution'!$B$3:$G$7,2,FALSE)+VLOOKUP($A35,'Onsite Role Distribution'!$B$8:$G$12,2,FALSE)</f>
        <v>0</v>
      </c>
      <c r="G35" s="14">
        <f>VLOOKUP($A35,'Onsite Role Distribution'!$B$3:$G$7,2,FALSE)+VLOOKUP($A35,'Onsite Role Distribution'!$B$8:$G$12,2,FALSE)</f>
        <v>0</v>
      </c>
      <c r="H35" s="14">
        <f>VLOOKUP($A35,'Onsite Role Distribution'!$B$3:$G$7,2,FALSE)+VLOOKUP($A35,'Onsite Role Distribution'!$B$8:$G$12,2,FALSE)</f>
        <v>0</v>
      </c>
      <c r="I35" s="14">
        <f>VLOOKUP($A35,'Onsite Role Distribution'!$B$3:$G$7,2,FALSE)+VLOOKUP($A35,'Onsite Role Distribution'!$B$8:$G$12,2,FALSE)</f>
        <v>0</v>
      </c>
      <c r="J35" s="14">
        <f>VLOOKUP($A35,'Onsite Role Distribution'!$B$3:$G$7,2,FALSE)+VLOOKUP($A35,'Onsite Role Distribution'!$B$8:$G$12,2,FALSE)</f>
        <v>0</v>
      </c>
      <c r="K35" s="14">
        <f>VLOOKUP($A35,'Onsite Role Distribution'!$B$3:$G$7,2,FALSE)+VLOOKUP($A35,'Onsite Role Distribution'!$B$8:$G$12,2,FALSE)</f>
        <v>0</v>
      </c>
      <c r="L35" s="14">
        <f>VLOOKUP($A35,'Onsite Role Distribution'!$B$3:$G$7,2,FALSE)+VLOOKUP($A35,'Onsite Role Distribution'!$B$8:$G$12,2,FALSE)</f>
        <v>0</v>
      </c>
      <c r="M35" s="14">
        <f>VLOOKUP($A35,'Onsite Role Distribution'!$B$3:$G$7,2,FALSE)+VLOOKUP($A35,'Onsite Role Distribution'!$B$8:$G$12,2,FALSE)</f>
        <v>0</v>
      </c>
      <c r="N35" s="14">
        <f>VLOOKUP($A35,'Onsite Role Distribution'!$B$3:$G$7,2,FALSE)+VLOOKUP($A35,'Onsite Role Distribution'!$B$8:$G$12,2,FALSE)</f>
        <v>0</v>
      </c>
      <c r="O35" s="14">
        <f>VLOOKUP($A35,'Onsite Role Distribution'!$B$3:$G$7,2,FALSE)+VLOOKUP($A35,'Onsite Role Distribution'!$B$8:$G$12,2,FALSE)</f>
        <v>0</v>
      </c>
      <c r="P35" s="6">
        <f>VLOOKUP($A35,'Onsite Role Distribution'!$B$3:$G$7,3,FALSE)+VLOOKUP($A35,'Onsite Role Distribution'!$B$8:$G$12,3,FALSE)</f>
        <v>0</v>
      </c>
      <c r="Q35" s="6">
        <f>VLOOKUP($A35,'Onsite Role Distribution'!$B$3:$G$7,3,FALSE)+VLOOKUP($A35,'Onsite Role Distribution'!$B$8:$G$12,3,FALSE)</f>
        <v>0</v>
      </c>
      <c r="R35" s="6">
        <f>VLOOKUP($A35,'Onsite Role Distribution'!$B$3:$G$7,3,FALSE)+VLOOKUP($A35,'Onsite Role Distribution'!$B$8:$G$12,3,FALSE)</f>
        <v>0</v>
      </c>
      <c r="S35" s="6">
        <f>VLOOKUP($A35,'Onsite Role Distribution'!$B$3:$G$7,3,FALSE)+VLOOKUP($A35,'Onsite Role Distribution'!$B$8:$G$12,3,FALSE)</f>
        <v>0</v>
      </c>
      <c r="T35" s="6">
        <f>VLOOKUP($A35,'Onsite Role Distribution'!$B$3:$G$7,3,FALSE)+VLOOKUP($A35,'Onsite Role Distribution'!$B$8:$G$12,3,FALSE)</f>
        <v>0</v>
      </c>
      <c r="U35" s="6">
        <f>VLOOKUP($A35,'Onsite Role Distribution'!$B$3:$G$7,3,FALSE)+VLOOKUP($A35,'Onsite Role Distribution'!$B$8:$G$12,3,FALSE)</f>
        <v>0</v>
      </c>
      <c r="V35" s="6">
        <f>VLOOKUP($A35,'Onsite Role Distribution'!$B$3:$G$7,3,FALSE)+VLOOKUP($A35,'Onsite Role Distribution'!$B$8:$G$12,3,FALSE)</f>
        <v>0</v>
      </c>
      <c r="W35" s="6">
        <f>VLOOKUP($A35,'Onsite Role Distribution'!$B$3:$G$7,3,FALSE)+VLOOKUP($A35,'Onsite Role Distribution'!$B$8:$G$12,3,FALSE)</f>
        <v>0</v>
      </c>
      <c r="X35" s="6">
        <f>VLOOKUP($A35,'Onsite Role Distribution'!$B$3:$G$7,3,FALSE)+VLOOKUP($A35,'Onsite Role Distribution'!$B$8:$G$12,3,FALSE)</f>
        <v>0</v>
      </c>
      <c r="Y35" s="6">
        <f>VLOOKUP($A35,'Onsite Role Distribution'!$B$3:$G$7,3,FALSE)+VLOOKUP($A35,'Onsite Role Distribution'!$B$8:$G$12,3,FALSE)</f>
        <v>0</v>
      </c>
      <c r="Z35" s="6">
        <f>VLOOKUP($A35,'Onsite Role Distribution'!$B$3:$G$7,3,FALSE)+VLOOKUP($A35,'Onsite Role Distribution'!$B$8:$G$12,3,FALSE)</f>
        <v>0</v>
      </c>
      <c r="AA35" s="6">
        <f>VLOOKUP($A35,'Onsite Role Distribution'!$B$3:$G$7,3,FALSE)+VLOOKUP($A35,'Onsite Role Distribution'!$B$8:$G$12,3,FALSE)</f>
        <v>0</v>
      </c>
      <c r="AB35" s="15">
        <f>VLOOKUP($A35,'Onsite Role Distribution'!$B$3:$G$7,4,FALSE)+VLOOKUP($A35,'Onsite Role Distribution'!$B$8:$G$12,4,FALSE)</f>
        <v>0</v>
      </c>
      <c r="AC35" s="15">
        <f>VLOOKUP($A35,'Onsite Role Distribution'!$B$3:$G$7,4,FALSE)+VLOOKUP($A35,'Onsite Role Distribution'!$B$8:$G$12,4,FALSE)</f>
        <v>0</v>
      </c>
      <c r="AD35" s="15">
        <f>VLOOKUP($A35,'Onsite Role Distribution'!$B$3:$G$7,4,FALSE)+VLOOKUP($A35,'Onsite Role Distribution'!$B$8:$G$12,4,FALSE)</f>
        <v>0</v>
      </c>
      <c r="AE35" s="15">
        <f>VLOOKUP($A35,'Onsite Role Distribution'!$B$3:$G$7,4,FALSE)+VLOOKUP($A35,'Onsite Role Distribution'!$B$8:$G$12,4,FALSE)</f>
        <v>0</v>
      </c>
      <c r="AF35" s="15">
        <f>VLOOKUP($A35,'Onsite Role Distribution'!$B$3:$G$7,4,FALSE)+VLOOKUP($A35,'Onsite Role Distribution'!$B$8:$G$12,4,FALSE)</f>
        <v>0</v>
      </c>
      <c r="AG35" s="15">
        <f>VLOOKUP($A35,'Onsite Role Distribution'!$B$3:$G$7,4,FALSE)+VLOOKUP($A35,'Onsite Role Distribution'!$B$8:$G$12,4,FALSE)</f>
        <v>0</v>
      </c>
      <c r="AH35" s="15">
        <f>VLOOKUP($A35,'Onsite Role Distribution'!$B$3:$G$7,4,FALSE)+VLOOKUP($A35,'Onsite Role Distribution'!$B$8:$G$12,4,FALSE)</f>
        <v>0</v>
      </c>
      <c r="AI35" s="15">
        <f>VLOOKUP($A35,'Onsite Role Distribution'!$B$3:$G$7,4,FALSE)+VLOOKUP($A35,'Onsite Role Distribution'!$B$8:$G$12,4,FALSE)</f>
        <v>0</v>
      </c>
      <c r="AJ35" s="15">
        <f>VLOOKUP($A35,'Onsite Role Distribution'!$B$3:$G$7,4,FALSE)+VLOOKUP($A35,'Onsite Role Distribution'!$B$8:$G$12,4,FALSE)</f>
        <v>0</v>
      </c>
      <c r="AK35" s="15">
        <f>VLOOKUP($A35,'Onsite Role Distribution'!$B$3:$G$7,4,FALSE)+VLOOKUP($A35,'Onsite Role Distribution'!$B$8:$G$12,4,FALSE)</f>
        <v>0</v>
      </c>
      <c r="AL35" s="15">
        <f>VLOOKUP($A35,'Onsite Role Distribution'!$B$3:$G$7,4,FALSE)+VLOOKUP($A35,'Onsite Role Distribution'!$B$8:$G$12,4,FALSE)</f>
        <v>0</v>
      </c>
      <c r="AM35" s="15">
        <f>VLOOKUP($A35,'Onsite Role Distribution'!$B$3:$G$7,4,FALSE)+VLOOKUP($A35,'Onsite Role Distribution'!$B$8:$G$12,4,FALSE)</f>
        <v>0</v>
      </c>
      <c r="AN35" s="16">
        <f>VLOOKUP($A35,'Onsite Role Distribution'!$B$3:$G$7,5,FALSE)+VLOOKUP($A35,'Onsite Role Distribution'!$B$8:$G$12,5,FALSE)</f>
        <v>0</v>
      </c>
      <c r="AO35" s="16">
        <f>VLOOKUP($A35,'Onsite Role Distribution'!$B$3:$G$7,5,FALSE)+VLOOKUP($A35,'Onsite Role Distribution'!$B$8:$G$12,5,FALSE)</f>
        <v>0</v>
      </c>
      <c r="AP35" s="16">
        <f>VLOOKUP($A35,'Onsite Role Distribution'!$B$3:$G$7,5,FALSE)+VLOOKUP($A35,'Onsite Role Distribution'!$B$8:$G$12,5,FALSE)</f>
        <v>0</v>
      </c>
      <c r="AQ35" s="16">
        <f>VLOOKUP($A35,'Onsite Role Distribution'!$B$3:$G$7,5,FALSE)+VLOOKUP($A35,'Onsite Role Distribution'!$B$8:$G$12,5,FALSE)</f>
        <v>0</v>
      </c>
      <c r="AR35" s="16">
        <f>VLOOKUP($A35,'Onsite Role Distribution'!$B$3:$G$7,5,FALSE)+VLOOKUP($A35,'Onsite Role Distribution'!$B$8:$G$12,5,FALSE)</f>
        <v>0</v>
      </c>
      <c r="AS35" s="16">
        <f>VLOOKUP($A35,'Onsite Role Distribution'!$B$3:$G$7,5,FALSE)+VLOOKUP($A35,'Onsite Role Distribution'!$B$8:$G$12,5,FALSE)</f>
        <v>0</v>
      </c>
      <c r="AT35" s="16">
        <f>VLOOKUP($A35,'Onsite Role Distribution'!$B$3:$G$7,5,FALSE)+VLOOKUP($A35,'Onsite Role Distribution'!$B$8:$G$12,5,FALSE)</f>
        <v>0</v>
      </c>
      <c r="AU35" s="16">
        <f>VLOOKUP($A35,'Onsite Role Distribution'!$B$3:$G$7,5,FALSE)+VLOOKUP($A35,'Onsite Role Distribution'!$B$8:$G$12,5,FALSE)</f>
        <v>0</v>
      </c>
      <c r="AV35" s="16">
        <f>VLOOKUP($A35,'Onsite Role Distribution'!$B$3:$G$7,5,FALSE)+VLOOKUP($A35,'Onsite Role Distribution'!$B$8:$G$12,5,FALSE)</f>
        <v>0</v>
      </c>
      <c r="AW35" s="16">
        <f>VLOOKUP($A35,'Onsite Role Distribution'!$B$3:$G$7,5,FALSE)+VLOOKUP($A35,'Onsite Role Distribution'!$B$8:$G$12,5,FALSE)</f>
        <v>0</v>
      </c>
      <c r="AX35" s="16">
        <f>VLOOKUP($A35,'Onsite Role Distribution'!$B$3:$G$7,5,FALSE)+VLOOKUP($A35,'Onsite Role Distribution'!$B$8:$G$12,5,FALSE)</f>
        <v>0</v>
      </c>
      <c r="AY35" s="16">
        <f>VLOOKUP($A35,'Onsite Role Distribution'!$B$3:$G$7,5,FALSE)+VLOOKUP($A35,'Onsite Role Distribution'!$B$8:$G$12,5,FALSE)</f>
        <v>0</v>
      </c>
      <c r="AZ35" s="17">
        <f>VLOOKUP($A35,'Onsite Role Distribution'!$B$3:$G$7,6,FALSE)+VLOOKUP($A35,'Onsite Role Distribution'!$B$8:$G$12,6,FALSE)</f>
        <v>0</v>
      </c>
      <c r="BA35" s="17">
        <f>VLOOKUP($A35,'Onsite Role Distribution'!$B$3:$G$7,6,FALSE)+VLOOKUP($A35,'Onsite Role Distribution'!$B$8:$G$12,6,FALSE)</f>
        <v>0</v>
      </c>
      <c r="BB35" s="17">
        <f>VLOOKUP($A35,'Onsite Role Distribution'!$B$3:$G$7,6,FALSE)+VLOOKUP($A35,'Onsite Role Distribution'!$B$8:$G$12,6,FALSE)</f>
        <v>0</v>
      </c>
      <c r="BC35" s="17">
        <f>VLOOKUP($A35,'Onsite Role Distribution'!$B$3:$G$7,6,FALSE)+VLOOKUP($A35,'Onsite Role Distribution'!$B$8:$G$12,6,FALSE)</f>
        <v>0</v>
      </c>
      <c r="BD35" s="17">
        <f>VLOOKUP($A35,'Onsite Role Distribution'!$B$3:$G$7,6,FALSE)+VLOOKUP($A35,'Onsite Role Distribution'!$B$8:$G$12,6,FALSE)</f>
        <v>0</v>
      </c>
      <c r="BE35" s="17">
        <f>VLOOKUP($A35,'Onsite Role Distribution'!$B$3:$G$7,6,FALSE)+VLOOKUP($A35,'Onsite Role Distribution'!$B$8:$G$12,6,FALSE)</f>
        <v>0</v>
      </c>
      <c r="BF35" s="17">
        <f>VLOOKUP($A35,'Onsite Role Distribution'!$B$3:$G$7,6,FALSE)+VLOOKUP($A35,'Onsite Role Distribution'!$B$8:$G$12,6,FALSE)</f>
        <v>0</v>
      </c>
      <c r="BG35" s="17">
        <f>VLOOKUP($A35,'Onsite Role Distribution'!$B$3:$G$7,6,FALSE)+VLOOKUP($A35,'Onsite Role Distribution'!$B$8:$G$12,6,FALSE)</f>
        <v>0</v>
      </c>
      <c r="BH35" s="17">
        <f>VLOOKUP($A35,'Onsite Role Distribution'!$B$3:$G$7,6,FALSE)+VLOOKUP($A35,'Onsite Role Distribution'!$B$8:$G$12,6,FALSE)</f>
        <v>0</v>
      </c>
      <c r="BI35" s="17">
        <f>VLOOKUP($A35,'Onsite Role Distribution'!$B$3:$G$7,6,FALSE)+VLOOKUP($A35,'Onsite Role Distribution'!$B$8:$G$12,6,FALSE)</f>
        <v>0</v>
      </c>
      <c r="BJ35" s="17">
        <f>VLOOKUP($A35,'Onsite Role Distribution'!$B$3:$G$7,6,FALSE)+VLOOKUP($A35,'Onsite Role Distribution'!$B$8:$G$12,6,FALSE)</f>
        <v>0</v>
      </c>
      <c r="BK35" s="17">
        <f>VLOOKUP($A35,'Onsite Role Distribution'!$B$3:$G$7,6,FALSE)+VLOOKUP($A35,'Onsite Role Distribution'!$B$8:$G$12,6,FALSE)</f>
        <v>0</v>
      </c>
    </row>
    <row r="36" spans="1:63" x14ac:dyDescent="0.35">
      <c r="A36" t="s">
        <v>7</v>
      </c>
      <c r="B36" t="s">
        <v>5</v>
      </c>
      <c r="C36" t="str">
        <f t="shared" si="0"/>
        <v>LeadOnsite</v>
      </c>
      <c r="D36" s="14">
        <f>VLOOKUP($A36,'Onsite Role Distribution'!$B$3:$G$7,2,FALSE)+VLOOKUP($A36,'Onsite Role Distribution'!$B$8:$G$12,2,FALSE)</f>
        <v>1</v>
      </c>
      <c r="E36" s="14">
        <f>VLOOKUP($A36,'Onsite Role Distribution'!$B$3:$G$7,2,FALSE)+VLOOKUP($A36,'Onsite Role Distribution'!$B$8:$G$12,2,FALSE)</f>
        <v>1</v>
      </c>
      <c r="F36" s="14">
        <f>VLOOKUP($A36,'Onsite Role Distribution'!$B$3:$G$7,2,FALSE)+VLOOKUP($A36,'Onsite Role Distribution'!$B$8:$G$12,2,FALSE)</f>
        <v>1</v>
      </c>
      <c r="G36" s="14">
        <f>VLOOKUP($A36,'Onsite Role Distribution'!$B$3:$G$7,2,FALSE)+VLOOKUP($A36,'Onsite Role Distribution'!$B$8:$G$12,2,FALSE)</f>
        <v>1</v>
      </c>
      <c r="H36" s="14">
        <f>VLOOKUP($A36,'Onsite Role Distribution'!$B$3:$G$7,2,FALSE)+VLOOKUP($A36,'Onsite Role Distribution'!$B$8:$G$12,2,FALSE)</f>
        <v>1</v>
      </c>
      <c r="I36" s="14">
        <f>VLOOKUP($A36,'Onsite Role Distribution'!$B$3:$G$7,2,FALSE)+VLOOKUP($A36,'Onsite Role Distribution'!$B$8:$G$12,2,FALSE)</f>
        <v>1</v>
      </c>
      <c r="J36" s="14">
        <f>VLOOKUP($A36,'Onsite Role Distribution'!$B$3:$G$7,2,FALSE)+VLOOKUP($A36,'Onsite Role Distribution'!$B$8:$G$12,2,FALSE)</f>
        <v>1</v>
      </c>
      <c r="K36" s="14">
        <f>VLOOKUP($A36,'Onsite Role Distribution'!$B$3:$G$7,2,FALSE)+VLOOKUP($A36,'Onsite Role Distribution'!$B$8:$G$12,2,FALSE)</f>
        <v>1</v>
      </c>
      <c r="L36" s="14">
        <f>VLOOKUP($A36,'Onsite Role Distribution'!$B$3:$G$7,2,FALSE)+VLOOKUP($A36,'Onsite Role Distribution'!$B$8:$G$12,2,FALSE)</f>
        <v>1</v>
      </c>
      <c r="M36" s="14">
        <f>VLOOKUP($A36,'Onsite Role Distribution'!$B$3:$G$7,2,FALSE)+VLOOKUP($A36,'Onsite Role Distribution'!$B$8:$G$12,2,FALSE)</f>
        <v>1</v>
      </c>
      <c r="N36" s="14">
        <f>VLOOKUP($A36,'Onsite Role Distribution'!$B$3:$G$7,2,FALSE)+VLOOKUP($A36,'Onsite Role Distribution'!$B$8:$G$12,2,FALSE)</f>
        <v>1</v>
      </c>
      <c r="O36" s="14">
        <f>VLOOKUP($A36,'Onsite Role Distribution'!$B$3:$G$7,2,FALSE)+VLOOKUP($A36,'Onsite Role Distribution'!$B$8:$G$12,2,FALSE)</f>
        <v>1</v>
      </c>
      <c r="P36" s="6">
        <f>VLOOKUP($A36,'Onsite Role Distribution'!$B$3:$G$7,3,FALSE)+VLOOKUP($A36,'Onsite Role Distribution'!$B$8:$G$12,3,FALSE)</f>
        <v>1</v>
      </c>
      <c r="Q36" s="6">
        <f>VLOOKUP($A36,'Onsite Role Distribution'!$B$3:$G$7,3,FALSE)+VLOOKUP($A36,'Onsite Role Distribution'!$B$8:$G$12,3,FALSE)</f>
        <v>1</v>
      </c>
      <c r="R36" s="6">
        <f>VLOOKUP($A36,'Onsite Role Distribution'!$B$3:$G$7,3,FALSE)+VLOOKUP($A36,'Onsite Role Distribution'!$B$8:$G$12,3,FALSE)</f>
        <v>1</v>
      </c>
      <c r="S36" s="6">
        <f>VLOOKUP($A36,'Onsite Role Distribution'!$B$3:$G$7,3,FALSE)+VLOOKUP($A36,'Onsite Role Distribution'!$B$8:$G$12,3,FALSE)</f>
        <v>1</v>
      </c>
      <c r="T36" s="6">
        <f>VLOOKUP($A36,'Onsite Role Distribution'!$B$3:$G$7,3,FALSE)+VLOOKUP($A36,'Onsite Role Distribution'!$B$8:$G$12,3,FALSE)</f>
        <v>1</v>
      </c>
      <c r="U36" s="6">
        <f>VLOOKUP($A36,'Onsite Role Distribution'!$B$3:$G$7,3,FALSE)+VLOOKUP($A36,'Onsite Role Distribution'!$B$8:$G$12,3,FALSE)</f>
        <v>1</v>
      </c>
      <c r="V36" s="6">
        <f>VLOOKUP($A36,'Onsite Role Distribution'!$B$3:$G$7,3,FALSE)+VLOOKUP($A36,'Onsite Role Distribution'!$B$8:$G$12,3,FALSE)</f>
        <v>1</v>
      </c>
      <c r="W36" s="6">
        <f>VLOOKUP($A36,'Onsite Role Distribution'!$B$3:$G$7,3,FALSE)+VLOOKUP($A36,'Onsite Role Distribution'!$B$8:$G$12,3,FALSE)</f>
        <v>1</v>
      </c>
      <c r="X36" s="6">
        <f>VLOOKUP($A36,'Onsite Role Distribution'!$B$3:$G$7,3,FALSE)+VLOOKUP($A36,'Onsite Role Distribution'!$B$8:$G$12,3,FALSE)</f>
        <v>1</v>
      </c>
      <c r="Y36" s="6">
        <f>VLOOKUP($A36,'Onsite Role Distribution'!$B$3:$G$7,3,FALSE)+VLOOKUP($A36,'Onsite Role Distribution'!$B$8:$G$12,3,FALSE)</f>
        <v>1</v>
      </c>
      <c r="Z36" s="6">
        <f>VLOOKUP($A36,'Onsite Role Distribution'!$B$3:$G$7,3,FALSE)+VLOOKUP($A36,'Onsite Role Distribution'!$B$8:$G$12,3,FALSE)</f>
        <v>1</v>
      </c>
      <c r="AA36" s="6">
        <f>VLOOKUP($A36,'Onsite Role Distribution'!$B$3:$G$7,3,FALSE)+VLOOKUP($A36,'Onsite Role Distribution'!$B$8:$G$12,3,FALSE)</f>
        <v>1</v>
      </c>
      <c r="AB36" s="15">
        <f>VLOOKUP($A36,'Onsite Role Distribution'!$B$3:$G$7,4,FALSE)+VLOOKUP($A36,'Onsite Role Distribution'!$B$8:$G$12,4,FALSE)</f>
        <v>1</v>
      </c>
      <c r="AC36" s="15">
        <f>VLOOKUP($A36,'Onsite Role Distribution'!$B$3:$G$7,4,FALSE)+VLOOKUP($A36,'Onsite Role Distribution'!$B$8:$G$12,4,FALSE)</f>
        <v>1</v>
      </c>
      <c r="AD36" s="15">
        <f>VLOOKUP($A36,'Onsite Role Distribution'!$B$3:$G$7,4,FALSE)+VLOOKUP($A36,'Onsite Role Distribution'!$B$8:$G$12,4,FALSE)</f>
        <v>1</v>
      </c>
      <c r="AE36" s="15">
        <f>VLOOKUP($A36,'Onsite Role Distribution'!$B$3:$G$7,4,FALSE)+VLOOKUP($A36,'Onsite Role Distribution'!$B$8:$G$12,4,FALSE)</f>
        <v>1</v>
      </c>
      <c r="AF36" s="15">
        <f>VLOOKUP($A36,'Onsite Role Distribution'!$B$3:$G$7,4,FALSE)+VLOOKUP($A36,'Onsite Role Distribution'!$B$8:$G$12,4,FALSE)</f>
        <v>1</v>
      </c>
      <c r="AG36" s="15">
        <f>VLOOKUP($A36,'Onsite Role Distribution'!$B$3:$G$7,4,FALSE)+VLOOKUP($A36,'Onsite Role Distribution'!$B$8:$G$12,4,FALSE)</f>
        <v>1</v>
      </c>
      <c r="AH36" s="15">
        <f>VLOOKUP($A36,'Onsite Role Distribution'!$B$3:$G$7,4,FALSE)+VLOOKUP($A36,'Onsite Role Distribution'!$B$8:$G$12,4,FALSE)</f>
        <v>1</v>
      </c>
      <c r="AI36" s="15">
        <f>VLOOKUP($A36,'Onsite Role Distribution'!$B$3:$G$7,4,FALSE)+VLOOKUP($A36,'Onsite Role Distribution'!$B$8:$G$12,4,FALSE)</f>
        <v>1</v>
      </c>
      <c r="AJ36" s="15">
        <f>VLOOKUP($A36,'Onsite Role Distribution'!$B$3:$G$7,4,FALSE)+VLOOKUP($A36,'Onsite Role Distribution'!$B$8:$G$12,4,FALSE)</f>
        <v>1</v>
      </c>
      <c r="AK36" s="15">
        <f>VLOOKUP($A36,'Onsite Role Distribution'!$B$3:$G$7,4,FALSE)+VLOOKUP($A36,'Onsite Role Distribution'!$B$8:$G$12,4,FALSE)</f>
        <v>1</v>
      </c>
      <c r="AL36" s="15">
        <f>VLOOKUP($A36,'Onsite Role Distribution'!$B$3:$G$7,4,FALSE)+VLOOKUP($A36,'Onsite Role Distribution'!$B$8:$G$12,4,FALSE)</f>
        <v>1</v>
      </c>
      <c r="AM36" s="15">
        <f>VLOOKUP($A36,'Onsite Role Distribution'!$B$3:$G$7,4,FALSE)+VLOOKUP($A36,'Onsite Role Distribution'!$B$8:$G$12,4,FALSE)</f>
        <v>1</v>
      </c>
      <c r="AN36" s="16">
        <f>VLOOKUP($A36,'Onsite Role Distribution'!$B$3:$G$7,5,FALSE)+VLOOKUP($A36,'Onsite Role Distribution'!$B$8:$G$12,5,FALSE)</f>
        <v>1</v>
      </c>
      <c r="AO36" s="16">
        <f>VLOOKUP($A36,'Onsite Role Distribution'!$B$3:$G$7,5,FALSE)+VLOOKUP($A36,'Onsite Role Distribution'!$B$8:$G$12,5,FALSE)</f>
        <v>1</v>
      </c>
      <c r="AP36" s="16">
        <f>VLOOKUP($A36,'Onsite Role Distribution'!$B$3:$G$7,5,FALSE)+VLOOKUP($A36,'Onsite Role Distribution'!$B$8:$G$12,5,FALSE)</f>
        <v>1</v>
      </c>
      <c r="AQ36" s="16">
        <f>VLOOKUP($A36,'Onsite Role Distribution'!$B$3:$G$7,5,FALSE)+VLOOKUP($A36,'Onsite Role Distribution'!$B$8:$G$12,5,FALSE)</f>
        <v>1</v>
      </c>
      <c r="AR36" s="16">
        <f>VLOOKUP($A36,'Onsite Role Distribution'!$B$3:$G$7,5,FALSE)+VLOOKUP($A36,'Onsite Role Distribution'!$B$8:$G$12,5,FALSE)</f>
        <v>1</v>
      </c>
      <c r="AS36" s="16">
        <f>VLOOKUP($A36,'Onsite Role Distribution'!$B$3:$G$7,5,FALSE)+VLOOKUP($A36,'Onsite Role Distribution'!$B$8:$G$12,5,FALSE)</f>
        <v>1</v>
      </c>
      <c r="AT36" s="16">
        <f>VLOOKUP($A36,'Onsite Role Distribution'!$B$3:$G$7,5,FALSE)+VLOOKUP($A36,'Onsite Role Distribution'!$B$8:$G$12,5,FALSE)</f>
        <v>1</v>
      </c>
      <c r="AU36" s="16">
        <f>VLOOKUP($A36,'Onsite Role Distribution'!$B$3:$G$7,5,FALSE)+VLOOKUP($A36,'Onsite Role Distribution'!$B$8:$G$12,5,FALSE)</f>
        <v>1</v>
      </c>
      <c r="AV36" s="16">
        <f>VLOOKUP($A36,'Onsite Role Distribution'!$B$3:$G$7,5,FALSE)+VLOOKUP($A36,'Onsite Role Distribution'!$B$8:$G$12,5,FALSE)</f>
        <v>1</v>
      </c>
      <c r="AW36" s="16">
        <f>VLOOKUP($A36,'Onsite Role Distribution'!$B$3:$G$7,5,FALSE)+VLOOKUP($A36,'Onsite Role Distribution'!$B$8:$G$12,5,FALSE)</f>
        <v>1</v>
      </c>
      <c r="AX36" s="16">
        <f>VLOOKUP($A36,'Onsite Role Distribution'!$B$3:$G$7,5,FALSE)+VLOOKUP($A36,'Onsite Role Distribution'!$B$8:$G$12,5,FALSE)</f>
        <v>1</v>
      </c>
      <c r="AY36" s="16">
        <f>VLOOKUP($A36,'Onsite Role Distribution'!$B$3:$G$7,5,FALSE)+VLOOKUP($A36,'Onsite Role Distribution'!$B$8:$G$12,5,FALSE)</f>
        <v>1</v>
      </c>
      <c r="AZ36" s="17">
        <f>VLOOKUP($A36,'Onsite Role Distribution'!$B$3:$G$7,6,FALSE)+VLOOKUP($A36,'Onsite Role Distribution'!$B$8:$G$12,6,FALSE)</f>
        <v>0</v>
      </c>
      <c r="BA36" s="17">
        <f>VLOOKUP($A36,'Onsite Role Distribution'!$B$3:$G$7,6,FALSE)+VLOOKUP($A36,'Onsite Role Distribution'!$B$8:$G$12,6,FALSE)</f>
        <v>0</v>
      </c>
      <c r="BB36" s="17">
        <f>VLOOKUP($A36,'Onsite Role Distribution'!$B$3:$G$7,6,FALSE)+VLOOKUP($A36,'Onsite Role Distribution'!$B$8:$G$12,6,FALSE)</f>
        <v>0</v>
      </c>
      <c r="BC36" s="17">
        <f>VLOOKUP($A36,'Onsite Role Distribution'!$B$3:$G$7,6,FALSE)+VLOOKUP($A36,'Onsite Role Distribution'!$B$8:$G$12,6,FALSE)</f>
        <v>0</v>
      </c>
      <c r="BD36" s="17">
        <f>VLOOKUP($A36,'Onsite Role Distribution'!$B$3:$G$7,6,FALSE)+VLOOKUP($A36,'Onsite Role Distribution'!$B$8:$G$12,6,FALSE)</f>
        <v>0</v>
      </c>
      <c r="BE36" s="17">
        <f>VLOOKUP($A36,'Onsite Role Distribution'!$B$3:$G$7,6,FALSE)+VLOOKUP($A36,'Onsite Role Distribution'!$B$8:$G$12,6,FALSE)</f>
        <v>0</v>
      </c>
      <c r="BF36" s="17">
        <f>VLOOKUP($A36,'Onsite Role Distribution'!$B$3:$G$7,6,FALSE)+VLOOKUP($A36,'Onsite Role Distribution'!$B$8:$G$12,6,FALSE)</f>
        <v>0</v>
      </c>
      <c r="BG36" s="17">
        <f>VLOOKUP($A36,'Onsite Role Distribution'!$B$3:$G$7,6,FALSE)+VLOOKUP($A36,'Onsite Role Distribution'!$B$8:$G$12,6,FALSE)</f>
        <v>0</v>
      </c>
      <c r="BH36" s="17">
        <f>VLOOKUP($A36,'Onsite Role Distribution'!$B$3:$G$7,6,FALSE)+VLOOKUP($A36,'Onsite Role Distribution'!$B$8:$G$12,6,FALSE)</f>
        <v>0</v>
      </c>
      <c r="BI36" s="17">
        <f>VLOOKUP($A36,'Onsite Role Distribution'!$B$3:$G$7,6,FALSE)+VLOOKUP($A36,'Onsite Role Distribution'!$B$8:$G$12,6,FALSE)</f>
        <v>0</v>
      </c>
      <c r="BJ36" s="17">
        <f>VLOOKUP($A36,'Onsite Role Distribution'!$B$3:$G$7,6,FALSE)+VLOOKUP($A36,'Onsite Role Distribution'!$B$8:$G$12,6,FALSE)</f>
        <v>0</v>
      </c>
      <c r="BK36" s="17">
        <f>VLOOKUP($A36,'Onsite Role Distribution'!$B$3:$G$7,6,FALSE)+VLOOKUP($A36,'Onsite Role Distribution'!$B$8:$G$12,6,FALSE)</f>
        <v>0</v>
      </c>
    </row>
    <row r="37" spans="1:63" x14ac:dyDescent="0.35">
      <c r="A37" t="s">
        <v>8</v>
      </c>
      <c r="B37" t="s">
        <v>12</v>
      </c>
      <c r="C37" t="str">
        <f t="shared" si="0"/>
        <v>BSAOnsite-Landed</v>
      </c>
      <c r="D37" s="14">
        <f>VLOOKUP($A37,'Onsite Role Distribution'!$B$13:$G$17,2,FALSE)</f>
        <v>2</v>
      </c>
      <c r="E37" s="14">
        <f>VLOOKUP($A37,'Onsite Role Distribution'!$B$13:$G$17,2,FALSE)</f>
        <v>2</v>
      </c>
      <c r="F37" s="14">
        <f>VLOOKUP($A37,'Onsite Role Distribution'!$B$13:$G$17,2,FALSE)</f>
        <v>2</v>
      </c>
      <c r="G37" s="14">
        <f>VLOOKUP($A37,'Onsite Role Distribution'!$B$13:$G$17,2,FALSE)</f>
        <v>2</v>
      </c>
      <c r="H37" s="14">
        <f>VLOOKUP($A37,'Onsite Role Distribution'!$B$13:$G$17,2,FALSE)</f>
        <v>2</v>
      </c>
      <c r="I37" s="14">
        <f>VLOOKUP($A37,'Onsite Role Distribution'!$B$13:$G$17,2,FALSE)</f>
        <v>2</v>
      </c>
      <c r="J37" s="14">
        <f>VLOOKUP($A37,'Onsite Role Distribution'!$B$13:$G$17,2,FALSE)</f>
        <v>2</v>
      </c>
      <c r="K37" s="14">
        <f>VLOOKUP($A37,'Onsite Role Distribution'!$B$13:$G$17,2,FALSE)</f>
        <v>2</v>
      </c>
      <c r="L37" s="14">
        <f>VLOOKUP($A37,'Onsite Role Distribution'!$B$13:$G$17,2,FALSE)</f>
        <v>2</v>
      </c>
      <c r="M37" s="14">
        <f>VLOOKUP($A37,'Onsite Role Distribution'!$B$13:$G$17,2,FALSE)</f>
        <v>2</v>
      </c>
      <c r="N37" s="14">
        <f>VLOOKUP($A37,'Onsite Role Distribution'!$B$13:$G$17,2,FALSE)</f>
        <v>2</v>
      </c>
      <c r="O37" s="14">
        <f>VLOOKUP($A37,'Onsite Role Distribution'!$B$13:$G$17,2,FALSE)</f>
        <v>2</v>
      </c>
      <c r="P37" s="6">
        <f>VLOOKUP($A37,'Onsite Role Distribution'!$B$13:$G$17,3,FALSE)</f>
        <v>1</v>
      </c>
      <c r="Q37" s="6">
        <f>VLOOKUP($A37,'Onsite Role Distribution'!$B$13:$G$17,3,FALSE)</f>
        <v>1</v>
      </c>
      <c r="R37" s="6">
        <f>VLOOKUP($A37,'Onsite Role Distribution'!$B$13:$G$17,3,FALSE)</f>
        <v>1</v>
      </c>
      <c r="S37" s="6">
        <f>VLOOKUP($A37,'Onsite Role Distribution'!$B$13:$G$17,3,FALSE)</f>
        <v>1</v>
      </c>
      <c r="T37" s="6">
        <f>VLOOKUP($A37,'Onsite Role Distribution'!$B$13:$G$17,3,FALSE)</f>
        <v>1</v>
      </c>
      <c r="U37" s="6">
        <f>VLOOKUP($A37,'Onsite Role Distribution'!$B$13:$G$17,3,FALSE)</f>
        <v>1</v>
      </c>
      <c r="V37" s="6">
        <f>VLOOKUP($A37,'Onsite Role Distribution'!$B$13:$G$17,3,FALSE)</f>
        <v>1</v>
      </c>
      <c r="W37" s="6">
        <f>VLOOKUP($A37,'Onsite Role Distribution'!$B$13:$G$17,3,FALSE)</f>
        <v>1</v>
      </c>
      <c r="X37" s="6">
        <f>VLOOKUP($A37,'Onsite Role Distribution'!$B$13:$G$17,3,FALSE)</f>
        <v>1</v>
      </c>
      <c r="Y37" s="6">
        <f>VLOOKUP($A37,'Onsite Role Distribution'!$B$13:$G$17,3,FALSE)</f>
        <v>1</v>
      </c>
      <c r="Z37" s="6">
        <f>VLOOKUP($A37,'Onsite Role Distribution'!$B$13:$G$17,3,FALSE)</f>
        <v>1</v>
      </c>
      <c r="AA37" s="6">
        <f>VLOOKUP($A37,'Onsite Role Distribution'!$B$13:$G$17,3,FALSE)</f>
        <v>1</v>
      </c>
      <c r="AB37" s="15">
        <f>VLOOKUP($A37,'Onsite Role Distribution'!$B$13:$G$17,4,FALSE)</f>
        <v>0</v>
      </c>
      <c r="AC37" s="15">
        <f>VLOOKUP($A37,'Onsite Role Distribution'!$B$13:$G$17,4,FALSE)</f>
        <v>0</v>
      </c>
      <c r="AD37" s="15">
        <f>VLOOKUP($A37,'Onsite Role Distribution'!$B$13:$G$17,4,FALSE)</f>
        <v>0</v>
      </c>
      <c r="AE37" s="15">
        <f>VLOOKUP($A37,'Onsite Role Distribution'!$B$13:$G$17,4,FALSE)</f>
        <v>0</v>
      </c>
      <c r="AF37" s="15">
        <f>VLOOKUP($A37,'Onsite Role Distribution'!$B$13:$G$17,4,FALSE)</f>
        <v>0</v>
      </c>
      <c r="AG37" s="15">
        <f>VLOOKUP($A37,'Onsite Role Distribution'!$B$13:$G$17,4,FALSE)</f>
        <v>0</v>
      </c>
      <c r="AH37" s="15">
        <f>VLOOKUP($A37,'Onsite Role Distribution'!$B$13:$G$17,4,FALSE)</f>
        <v>0</v>
      </c>
      <c r="AI37" s="15">
        <f>VLOOKUP($A37,'Onsite Role Distribution'!$B$13:$G$17,4,FALSE)</f>
        <v>0</v>
      </c>
      <c r="AJ37" s="15">
        <f>VLOOKUP($A37,'Onsite Role Distribution'!$B$13:$G$17,4,FALSE)</f>
        <v>0</v>
      </c>
      <c r="AK37" s="15">
        <f>VLOOKUP($A37,'Onsite Role Distribution'!$B$13:$G$17,4,FALSE)</f>
        <v>0</v>
      </c>
      <c r="AL37" s="15">
        <f>VLOOKUP($A37,'Onsite Role Distribution'!$B$13:$G$17,4,FALSE)</f>
        <v>0</v>
      </c>
      <c r="AM37" s="15">
        <f>VLOOKUP($A37,'Onsite Role Distribution'!$B$13:$G$17,4,FALSE)</f>
        <v>0</v>
      </c>
      <c r="AN37" s="16">
        <f>VLOOKUP($A37,'Onsite Role Distribution'!$B$13:$G$17,5,FALSE)</f>
        <v>0</v>
      </c>
      <c r="AO37" s="16">
        <f>VLOOKUP($A37,'Onsite Role Distribution'!$B$13:$G$17,5,FALSE)</f>
        <v>0</v>
      </c>
      <c r="AP37" s="16">
        <f>VLOOKUP($A37,'Onsite Role Distribution'!$B$13:$G$17,5,FALSE)</f>
        <v>0</v>
      </c>
      <c r="AQ37" s="16">
        <f>VLOOKUP($A37,'Onsite Role Distribution'!$B$13:$G$17,5,FALSE)</f>
        <v>0</v>
      </c>
      <c r="AR37" s="16">
        <f>VLOOKUP($A37,'Onsite Role Distribution'!$B$13:$G$17,5,FALSE)</f>
        <v>0</v>
      </c>
      <c r="AS37" s="16">
        <f>VLOOKUP($A37,'Onsite Role Distribution'!$B$13:$G$17,5,FALSE)</f>
        <v>0</v>
      </c>
      <c r="AT37" s="16">
        <f>VLOOKUP($A37,'Onsite Role Distribution'!$B$13:$G$17,5,FALSE)</f>
        <v>0</v>
      </c>
      <c r="AU37" s="16">
        <f>VLOOKUP($A37,'Onsite Role Distribution'!$B$13:$G$17,5,FALSE)</f>
        <v>0</v>
      </c>
      <c r="AV37" s="16">
        <f>VLOOKUP($A37,'Onsite Role Distribution'!$B$13:$G$17,5,FALSE)</f>
        <v>0</v>
      </c>
      <c r="AW37" s="16">
        <f>VLOOKUP($A37,'Onsite Role Distribution'!$B$13:$G$17,5,FALSE)</f>
        <v>0</v>
      </c>
      <c r="AX37" s="16">
        <f>VLOOKUP($A37,'Onsite Role Distribution'!$B$13:$G$17,5,FALSE)</f>
        <v>0</v>
      </c>
      <c r="AY37" s="16">
        <f>VLOOKUP($A37,'Onsite Role Distribution'!$B$13:$G$17,5,FALSE)</f>
        <v>0</v>
      </c>
      <c r="AZ37" s="17">
        <f>VLOOKUP($A37,'Onsite Role Distribution'!$B$13:$G$17,6,FALSE)</f>
        <v>0</v>
      </c>
      <c r="BA37" s="17">
        <f>VLOOKUP($A37,'Onsite Role Distribution'!$B$13:$G$17,6,FALSE)</f>
        <v>0</v>
      </c>
      <c r="BB37" s="17">
        <f>VLOOKUP($A37,'Onsite Role Distribution'!$B$13:$G$17,6,FALSE)</f>
        <v>0</v>
      </c>
      <c r="BC37" s="17">
        <f>VLOOKUP($A37,'Onsite Role Distribution'!$B$13:$G$17,6,FALSE)</f>
        <v>0</v>
      </c>
      <c r="BD37" s="17">
        <f>VLOOKUP($A37,'Onsite Role Distribution'!$B$13:$G$17,6,FALSE)</f>
        <v>0</v>
      </c>
      <c r="BE37" s="17">
        <f>VLOOKUP($A37,'Onsite Role Distribution'!$B$13:$G$17,6,FALSE)</f>
        <v>0</v>
      </c>
      <c r="BF37" s="17">
        <f>VLOOKUP($A37,'Onsite Role Distribution'!$B$13:$G$17,6,FALSE)</f>
        <v>0</v>
      </c>
      <c r="BG37" s="17">
        <f>VLOOKUP($A37,'Onsite Role Distribution'!$B$13:$G$17,6,FALSE)</f>
        <v>0</v>
      </c>
      <c r="BH37" s="17">
        <f>VLOOKUP($A37,'Onsite Role Distribution'!$B$13:$G$17,6,FALSE)</f>
        <v>0</v>
      </c>
      <c r="BI37" s="17">
        <f>VLOOKUP($A37,'Onsite Role Distribution'!$B$13:$G$17,6,FALSE)</f>
        <v>0</v>
      </c>
      <c r="BJ37" s="17">
        <f>VLOOKUP($A37,'Onsite Role Distribution'!$B$13:$G$17,6,FALSE)</f>
        <v>0</v>
      </c>
      <c r="BK37" s="17">
        <f>VLOOKUP($A37,'Onsite Role Distribution'!$B$13:$G$17,6,FALSE)</f>
        <v>0</v>
      </c>
    </row>
    <row r="38" spans="1:63" x14ac:dyDescent="0.35">
      <c r="A38" t="s">
        <v>9</v>
      </c>
      <c r="B38" t="s">
        <v>12</v>
      </c>
      <c r="C38" t="str">
        <f t="shared" si="0"/>
        <v>DevOnsite-Landed</v>
      </c>
      <c r="D38" s="14">
        <f>VLOOKUP($A38,'Onsite Role Distribution'!$B$13:$G$17,2,FALSE)</f>
        <v>3</v>
      </c>
      <c r="E38" s="14">
        <f>VLOOKUP($A38,'Onsite Role Distribution'!$B$13:$G$17,2,FALSE)</f>
        <v>3</v>
      </c>
      <c r="F38" s="14">
        <f>VLOOKUP($A38,'Onsite Role Distribution'!$B$13:$G$17,2,FALSE)</f>
        <v>3</v>
      </c>
      <c r="G38" s="14">
        <f>VLOOKUP($A38,'Onsite Role Distribution'!$B$13:$G$17,2,FALSE)</f>
        <v>3</v>
      </c>
      <c r="H38" s="14">
        <f>VLOOKUP($A38,'Onsite Role Distribution'!$B$13:$G$17,2,FALSE)</f>
        <v>3</v>
      </c>
      <c r="I38" s="14">
        <f>VLOOKUP($A38,'Onsite Role Distribution'!$B$13:$G$17,2,FALSE)</f>
        <v>3</v>
      </c>
      <c r="J38" s="14">
        <f>VLOOKUP($A38,'Onsite Role Distribution'!$B$13:$G$17,2,FALSE)</f>
        <v>3</v>
      </c>
      <c r="K38" s="14">
        <f>VLOOKUP($A38,'Onsite Role Distribution'!$B$13:$G$17,2,FALSE)</f>
        <v>3</v>
      </c>
      <c r="L38" s="14">
        <f>VLOOKUP($A38,'Onsite Role Distribution'!$B$13:$G$17,2,FALSE)</f>
        <v>3</v>
      </c>
      <c r="M38" s="14">
        <f>VLOOKUP($A38,'Onsite Role Distribution'!$B$13:$G$17,2,FALSE)</f>
        <v>3</v>
      </c>
      <c r="N38" s="14">
        <f>VLOOKUP($A38,'Onsite Role Distribution'!$B$13:$G$17,2,FALSE)</f>
        <v>3</v>
      </c>
      <c r="O38" s="14">
        <f>VLOOKUP($A38,'Onsite Role Distribution'!$B$13:$G$17,2,FALSE)</f>
        <v>3</v>
      </c>
      <c r="P38" s="6">
        <f>VLOOKUP($A38,'Onsite Role Distribution'!$B$13:$G$17,3,FALSE)</f>
        <v>1</v>
      </c>
      <c r="Q38" s="6">
        <f>VLOOKUP($A38,'Onsite Role Distribution'!$B$13:$G$17,3,FALSE)</f>
        <v>1</v>
      </c>
      <c r="R38" s="6">
        <f>VLOOKUP($A38,'Onsite Role Distribution'!$B$13:$G$17,3,FALSE)</f>
        <v>1</v>
      </c>
      <c r="S38" s="6">
        <f>VLOOKUP($A38,'Onsite Role Distribution'!$B$13:$G$17,3,FALSE)</f>
        <v>1</v>
      </c>
      <c r="T38" s="6">
        <f>VLOOKUP($A38,'Onsite Role Distribution'!$B$13:$G$17,3,FALSE)</f>
        <v>1</v>
      </c>
      <c r="U38" s="6">
        <f>VLOOKUP($A38,'Onsite Role Distribution'!$B$13:$G$17,3,FALSE)</f>
        <v>1</v>
      </c>
      <c r="V38" s="6">
        <f>VLOOKUP($A38,'Onsite Role Distribution'!$B$13:$G$17,3,FALSE)</f>
        <v>1</v>
      </c>
      <c r="W38" s="6">
        <f>VLOOKUP($A38,'Onsite Role Distribution'!$B$13:$G$17,3,FALSE)</f>
        <v>1</v>
      </c>
      <c r="X38" s="6">
        <f>VLOOKUP($A38,'Onsite Role Distribution'!$B$13:$G$17,3,FALSE)</f>
        <v>1</v>
      </c>
      <c r="Y38" s="6">
        <f>VLOOKUP($A38,'Onsite Role Distribution'!$B$13:$G$17,3,FALSE)</f>
        <v>1</v>
      </c>
      <c r="Z38" s="6">
        <f>VLOOKUP($A38,'Onsite Role Distribution'!$B$13:$G$17,3,FALSE)</f>
        <v>1</v>
      </c>
      <c r="AA38" s="6">
        <f>VLOOKUP($A38,'Onsite Role Distribution'!$B$13:$G$17,3,FALSE)</f>
        <v>1</v>
      </c>
      <c r="AB38" s="15">
        <f>VLOOKUP($A38,'Onsite Role Distribution'!$B$13:$G$17,4,FALSE)</f>
        <v>1</v>
      </c>
      <c r="AC38" s="15">
        <f>VLOOKUP($A38,'Onsite Role Distribution'!$B$13:$G$17,4,FALSE)</f>
        <v>1</v>
      </c>
      <c r="AD38" s="15">
        <f>VLOOKUP($A38,'Onsite Role Distribution'!$B$13:$G$17,4,FALSE)</f>
        <v>1</v>
      </c>
      <c r="AE38" s="15">
        <f>VLOOKUP($A38,'Onsite Role Distribution'!$B$13:$G$17,4,FALSE)</f>
        <v>1</v>
      </c>
      <c r="AF38" s="15">
        <f>VLOOKUP($A38,'Onsite Role Distribution'!$B$13:$G$17,4,FALSE)</f>
        <v>1</v>
      </c>
      <c r="AG38" s="15">
        <f>VLOOKUP($A38,'Onsite Role Distribution'!$B$13:$G$17,4,FALSE)</f>
        <v>1</v>
      </c>
      <c r="AH38" s="15">
        <f>VLOOKUP($A38,'Onsite Role Distribution'!$B$13:$G$17,4,FALSE)</f>
        <v>1</v>
      </c>
      <c r="AI38" s="15">
        <f>VLOOKUP($A38,'Onsite Role Distribution'!$B$13:$G$17,4,FALSE)</f>
        <v>1</v>
      </c>
      <c r="AJ38" s="15">
        <f>VLOOKUP($A38,'Onsite Role Distribution'!$B$13:$G$17,4,FALSE)</f>
        <v>1</v>
      </c>
      <c r="AK38" s="15">
        <f>VLOOKUP($A38,'Onsite Role Distribution'!$B$13:$G$17,4,FALSE)</f>
        <v>1</v>
      </c>
      <c r="AL38" s="15">
        <f>VLOOKUP($A38,'Onsite Role Distribution'!$B$13:$G$17,4,FALSE)</f>
        <v>1</v>
      </c>
      <c r="AM38" s="15">
        <f>VLOOKUP($A38,'Onsite Role Distribution'!$B$13:$G$17,4,FALSE)</f>
        <v>1</v>
      </c>
      <c r="AN38" s="16">
        <f>VLOOKUP($A38,'Onsite Role Distribution'!$B$13:$G$17,5,FALSE)</f>
        <v>1</v>
      </c>
      <c r="AO38" s="16">
        <f>VLOOKUP($A38,'Onsite Role Distribution'!$B$13:$G$17,5,FALSE)</f>
        <v>1</v>
      </c>
      <c r="AP38" s="16">
        <f>VLOOKUP($A38,'Onsite Role Distribution'!$B$13:$G$17,5,FALSE)</f>
        <v>1</v>
      </c>
      <c r="AQ38" s="16">
        <f>VLOOKUP($A38,'Onsite Role Distribution'!$B$13:$G$17,5,FALSE)</f>
        <v>1</v>
      </c>
      <c r="AR38" s="16">
        <f>VLOOKUP($A38,'Onsite Role Distribution'!$B$13:$G$17,5,FALSE)</f>
        <v>1</v>
      </c>
      <c r="AS38" s="16">
        <f>VLOOKUP($A38,'Onsite Role Distribution'!$B$13:$G$17,5,FALSE)</f>
        <v>1</v>
      </c>
      <c r="AT38" s="16">
        <f>VLOOKUP($A38,'Onsite Role Distribution'!$B$13:$G$17,5,FALSE)</f>
        <v>1</v>
      </c>
      <c r="AU38" s="16">
        <f>VLOOKUP($A38,'Onsite Role Distribution'!$B$13:$G$17,5,FALSE)</f>
        <v>1</v>
      </c>
      <c r="AV38" s="16">
        <f>VLOOKUP($A38,'Onsite Role Distribution'!$B$13:$G$17,5,FALSE)</f>
        <v>1</v>
      </c>
      <c r="AW38" s="16">
        <f>VLOOKUP($A38,'Onsite Role Distribution'!$B$13:$G$17,5,FALSE)</f>
        <v>1</v>
      </c>
      <c r="AX38" s="16">
        <f>VLOOKUP($A38,'Onsite Role Distribution'!$B$13:$G$17,5,FALSE)</f>
        <v>1</v>
      </c>
      <c r="AY38" s="16">
        <f>VLOOKUP($A38,'Onsite Role Distribution'!$B$13:$G$17,5,FALSE)</f>
        <v>1</v>
      </c>
      <c r="AZ38" s="17">
        <f>VLOOKUP($A38,'Onsite Role Distribution'!$B$13:$G$17,6,FALSE)</f>
        <v>1</v>
      </c>
      <c r="BA38" s="17">
        <f>VLOOKUP($A38,'Onsite Role Distribution'!$B$13:$G$17,6,FALSE)</f>
        <v>1</v>
      </c>
      <c r="BB38" s="17">
        <f>VLOOKUP($A38,'Onsite Role Distribution'!$B$13:$G$17,6,FALSE)</f>
        <v>1</v>
      </c>
      <c r="BC38" s="17">
        <f>VLOOKUP($A38,'Onsite Role Distribution'!$B$13:$G$17,6,FALSE)</f>
        <v>1</v>
      </c>
      <c r="BD38" s="17">
        <f>VLOOKUP($A38,'Onsite Role Distribution'!$B$13:$G$17,6,FALSE)</f>
        <v>1</v>
      </c>
      <c r="BE38" s="17">
        <f>VLOOKUP($A38,'Onsite Role Distribution'!$B$13:$G$17,6,FALSE)</f>
        <v>1</v>
      </c>
      <c r="BF38" s="17">
        <f>VLOOKUP($A38,'Onsite Role Distribution'!$B$13:$G$17,6,FALSE)</f>
        <v>1</v>
      </c>
      <c r="BG38" s="17">
        <f>VLOOKUP($A38,'Onsite Role Distribution'!$B$13:$G$17,6,FALSE)</f>
        <v>1</v>
      </c>
      <c r="BH38" s="17">
        <f>VLOOKUP($A38,'Onsite Role Distribution'!$B$13:$G$17,6,FALSE)</f>
        <v>1</v>
      </c>
      <c r="BI38" s="17">
        <f>VLOOKUP($A38,'Onsite Role Distribution'!$B$13:$G$17,6,FALSE)</f>
        <v>1</v>
      </c>
      <c r="BJ38" s="17">
        <f>VLOOKUP($A38,'Onsite Role Distribution'!$B$13:$G$17,6,FALSE)</f>
        <v>1</v>
      </c>
      <c r="BK38" s="17">
        <f>VLOOKUP($A38,'Onsite Role Distribution'!$B$13:$G$17,6,FALSE)</f>
        <v>1</v>
      </c>
    </row>
    <row r="39" spans="1:63" x14ac:dyDescent="0.35">
      <c r="A39" t="s">
        <v>10</v>
      </c>
      <c r="B39" t="s">
        <v>12</v>
      </c>
      <c r="C39" t="str">
        <f t="shared" si="0"/>
        <v>TesterOnsite-Landed</v>
      </c>
      <c r="D39" s="14">
        <f>VLOOKUP($A39,'Onsite Role Distribution'!$B$13:$G$17,2,FALSE)</f>
        <v>1</v>
      </c>
      <c r="E39" s="14">
        <f>VLOOKUP($A39,'Onsite Role Distribution'!$B$13:$G$17,2,FALSE)</f>
        <v>1</v>
      </c>
      <c r="F39" s="14">
        <f>VLOOKUP($A39,'Onsite Role Distribution'!$B$13:$G$17,2,FALSE)</f>
        <v>1</v>
      </c>
      <c r="G39" s="14">
        <f>VLOOKUP($A39,'Onsite Role Distribution'!$B$13:$G$17,2,FALSE)</f>
        <v>1</v>
      </c>
      <c r="H39" s="14">
        <f>VLOOKUP($A39,'Onsite Role Distribution'!$B$13:$G$17,2,FALSE)</f>
        <v>1</v>
      </c>
      <c r="I39" s="14">
        <f>VLOOKUP($A39,'Onsite Role Distribution'!$B$13:$G$17,2,FALSE)</f>
        <v>1</v>
      </c>
      <c r="J39" s="14">
        <f>VLOOKUP($A39,'Onsite Role Distribution'!$B$13:$G$17,2,FALSE)</f>
        <v>1</v>
      </c>
      <c r="K39" s="14">
        <f>VLOOKUP($A39,'Onsite Role Distribution'!$B$13:$G$17,2,FALSE)</f>
        <v>1</v>
      </c>
      <c r="L39" s="14">
        <f>VLOOKUP($A39,'Onsite Role Distribution'!$B$13:$G$17,2,FALSE)</f>
        <v>1</v>
      </c>
      <c r="M39" s="14">
        <f>VLOOKUP($A39,'Onsite Role Distribution'!$B$13:$G$17,2,FALSE)</f>
        <v>1</v>
      </c>
      <c r="N39" s="14">
        <f>VLOOKUP($A39,'Onsite Role Distribution'!$B$13:$G$17,2,FALSE)</f>
        <v>1</v>
      </c>
      <c r="O39" s="14">
        <f>VLOOKUP($A39,'Onsite Role Distribution'!$B$13:$G$17,2,FALSE)</f>
        <v>1</v>
      </c>
      <c r="P39" s="6">
        <f>VLOOKUP($A39,'Onsite Role Distribution'!$B$13:$G$17,3,FALSE)</f>
        <v>1</v>
      </c>
      <c r="Q39" s="6">
        <f>VLOOKUP($A39,'Onsite Role Distribution'!$B$13:$G$17,3,FALSE)</f>
        <v>1</v>
      </c>
      <c r="R39" s="6">
        <f>VLOOKUP($A39,'Onsite Role Distribution'!$B$13:$G$17,3,FALSE)</f>
        <v>1</v>
      </c>
      <c r="S39" s="6">
        <f>VLOOKUP($A39,'Onsite Role Distribution'!$B$13:$G$17,3,FALSE)</f>
        <v>1</v>
      </c>
      <c r="T39" s="6">
        <f>VLOOKUP($A39,'Onsite Role Distribution'!$B$13:$G$17,3,FALSE)</f>
        <v>1</v>
      </c>
      <c r="U39" s="6">
        <f>VLOOKUP($A39,'Onsite Role Distribution'!$B$13:$G$17,3,FALSE)</f>
        <v>1</v>
      </c>
      <c r="V39" s="6">
        <f>VLOOKUP($A39,'Onsite Role Distribution'!$B$13:$G$17,3,FALSE)</f>
        <v>1</v>
      </c>
      <c r="W39" s="6">
        <f>VLOOKUP($A39,'Onsite Role Distribution'!$B$13:$G$17,3,FALSE)</f>
        <v>1</v>
      </c>
      <c r="X39" s="6">
        <f>VLOOKUP($A39,'Onsite Role Distribution'!$B$13:$G$17,3,FALSE)</f>
        <v>1</v>
      </c>
      <c r="Y39" s="6">
        <f>VLOOKUP($A39,'Onsite Role Distribution'!$B$13:$G$17,3,FALSE)</f>
        <v>1</v>
      </c>
      <c r="Z39" s="6">
        <f>VLOOKUP($A39,'Onsite Role Distribution'!$B$13:$G$17,3,FALSE)</f>
        <v>1</v>
      </c>
      <c r="AA39" s="6">
        <f>VLOOKUP($A39,'Onsite Role Distribution'!$B$13:$G$17,3,FALSE)</f>
        <v>1</v>
      </c>
      <c r="AB39" s="15">
        <f>VLOOKUP($A39,'Onsite Role Distribution'!$B$13:$G$17,4,FALSE)</f>
        <v>1</v>
      </c>
      <c r="AC39" s="15">
        <f>VLOOKUP($A39,'Onsite Role Distribution'!$B$13:$G$17,4,FALSE)</f>
        <v>1</v>
      </c>
      <c r="AD39" s="15">
        <f>VLOOKUP($A39,'Onsite Role Distribution'!$B$13:$G$17,4,FALSE)</f>
        <v>1</v>
      </c>
      <c r="AE39" s="15">
        <f>VLOOKUP($A39,'Onsite Role Distribution'!$B$13:$G$17,4,FALSE)</f>
        <v>1</v>
      </c>
      <c r="AF39" s="15">
        <f>VLOOKUP($A39,'Onsite Role Distribution'!$B$13:$G$17,4,FALSE)</f>
        <v>1</v>
      </c>
      <c r="AG39" s="15">
        <f>VLOOKUP($A39,'Onsite Role Distribution'!$B$13:$G$17,4,FALSE)</f>
        <v>1</v>
      </c>
      <c r="AH39" s="15">
        <f>VLOOKUP($A39,'Onsite Role Distribution'!$B$13:$G$17,4,FALSE)</f>
        <v>1</v>
      </c>
      <c r="AI39" s="15">
        <f>VLOOKUP($A39,'Onsite Role Distribution'!$B$13:$G$17,4,FALSE)</f>
        <v>1</v>
      </c>
      <c r="AJ39" s="15">
        <f>VLOOKUP($A39,'Onsite Role Distribution'!$B$13:$G$17,4,FALSE)</f>
        <v>1</v>
      </c>
      <c r="AK39" s="15">
        <f>VLOOKUP($A39,'Onsite Role Distribution'!$B$13:$G$17,4,FALSE)</f>
        <v>1</v>
      </c>
      <c r="AL39" s="15">
        <f>VLOOKUP($A39,'Onsite Role Distribution'!$B$13:$G$17,4,FALSE)</f>
        <v>1</v>
      </c>
      <c r="AM39" s="15">
        <f>VLOOKUP($A39,'Onsite Role Distribution'!$B$13:$G$17,4,FALSE)</f>
        <v>1</v>
      </c>
      <c r="AN39" s="16">
        <f>VLOOKUP($A39,'Onsite Role Distribution'!$B$13:$G$17,5,FALSE)</f>
        <v>1</v>
      </c>
      <c r="AO39" s="16">
        <f>VLOOKUP($A39,'Onsite Role Distribution'!$B$13:$G$17,5,FALSE)</f>
        <v>1</v>
      </c>
      <c r="AP39" s="16">
        <f>VLOOKUP($A39,'Onsite Role Distribution'!$B$13:$G$17,5,FALSE)</f>
        <v>1</v>
      </c>
      <c r="AQ39" s="16">
        <f>VLOOKUP($A39,'Onsite Role Distribution'!$B$13:$G$17,5,FALSE)</f>
        <v>1</v>
      </c>
      <c r="AR39" s="16">
        <f>VLOOKUP($A39,'Onsite Role Distribution'!$B$13:$G$17,5,FALSE)</f>
        <v>1</v>
      </c>
      <c r="AS39" s="16">
        <f>VLOOKUP($A39,'Onsite Role Distribution'!$B$13:$G$17,5,FALSE)</f>
        <v>1</v>
      </c>
      <c r="AT39" s="16">
        <f>VLOOKUP($A39,'Onsite Role Distribution'!$B$13:$G$17,5,FALSE)</f>
        <v>1</v>
      </c>
      <c r="AU39" s="16">
        <f>VLOOKUP($A39,'Onsite Role Distribution'!$B$13:$G$17,5,FALSE)</f>
        <v>1</v>
      </c>
      <c r="AV39" s="16">
        <f>VLOOKUP($A39,'Onsite Role Distribution'!$B$13:$G$17,5,FALSE)</f>
        <v>1</v>
      </c>
      <c r="AW39" s="16">
        <f>VLOOKUP($A39,'Onsite Role Distribution'!$B$13:$G$17,5,FALSE)</f>
        <v>1</v>
      </c>
      <c r="AX39" s="16">
        <f>VLOOKUP($A39,'Onsite Role Distribution'!$B$13:$G$17,5,FALSE)</f>
        <v>1</v>
      </c>
      <c r="AY39" s="16">
        <f>VLOOKUP($A39,'Onsite Role Distribution'!$B$13:$G$17,5,FALSE)</f>
        <v>1</v>
      </c>
      <c r="AZ39" s="17">
        <f>VLOOKUP($A39,'Onsite Role Distribution'!$B$13:$G$17,6,FALSE)</f>
        <v>1</v>
      </c>
      <c r="BA39" s="17">
        <f>VLOOKUP($A39,'Onsite Role Distribution'!$B$13:$G$17,6,FALSE)</f>
        <v>1</v>
      </c>
      <c r="BB39" s="17">
        <f>VLOOKUP($A39,'Onsite Role Distribution'!$B$13:$G$17,6,FALSE)</f>
        <v>1</v>
      </c>
      <c r="BC39" s="17">
        <f>VLOOKUP($A39,'Onsite Role Distribution'!$B$13:$G$17,6,FALSE)</f>
        <v>1</v>
      </c>
      <c r="BD39" s="17">
        <f>VLOOKUP($A39,'Onsite Role Distribution'!$B$13:$G$17,6,FALSE)</f>
        <v>1</v>
      </c>
      <c r="BE39" s="17">
        <f>VLOOKUP($A39,'Onsite Role Distribution'!$B$13:$G$17,6,FALSE)</f>
        <v>1</v>
      </c>
      <c r="BF39" s="17">
        <f>VLOOKUP($A39,'Onsite Role Distribution'!$B$13:$G$17,6,FALSE)</f>
        <v>1</v>
      </c>
      <c r="BG39" s="17">
        <f>VLOOKUP($A39,'Onsite Role Distribution'!$B$13:$G$17,6,FALSE)</f>
        <v>1</v>
      </c>
      <c r="BH39" s="17">
        <f>VLOOKUP($A39,'Onsite Role Distribution'!$B$13:$G$17,6,FALSE)</f>
        <v>1</v>
      </c>
      <c r="BI39" s="17">
        <f>VLOOKUP($A39,'Onsite Role Distribution'!$B$13:$G$17,6,FALSE)</f>
        <v>1</v>
      </c>
      <c r="BJ39" s="17">
        <f>VLOOKUP($A39,'Onsite Role Distribution'!$B$13:$G$17,6,FALSE)</f>
        <v>1</v>
      </c>
      <c r="BK39" s="17">
        <f>VLOOKUP($A39,'Onsite Role Distribution'!$B$13:$G$17,6,FALSE)</f>
        <v>1</v>
      </c>
    </row>
    <row r="40" spans="1:63" x14ac:dyDescent="0.35">
      <c r="A40" t="s">
        <v>6</v>
      </c>
      <c r="B40" t="s">
        <v>12</v>
      </c>
      <c r="C40" t="str">
        <f t="shared" si="0"/>
        <v>PMOnsite-Landed</v>
      </c>
      <c r="D40" s="14">
        <f>VLOOKUP($A40,'Onsite Role Distribution'!$B$13:$G$17,2,FALSE)</f>
        <v>0</v>
      </c>
      <c r="E40" s="14">
        <f>VLOOKUP($A40,'Onsite Role Distribution'!$B$13:$G$17,2,FALSE)</f>
        <v>0</v>
      </c>
      <c r="F40" s="14">
        <f>VLOOKUP($A40,'Onsite Role Distribution'!$B$13:$G$17,2,FALSE)</f>
        <v>0</v>
      </c>
      <c r="G40" s="14">
        <f>VLOOKUP($A40,'Onsite Role Distribution'!$B$13:$G$17,2,FALSE)</f>
        <v>0</v>
      </c>
      <c r="H40" s="14">
        <f>VLOOKUP($A40,'Onsite Role Distribution'!$B$13:$G$17,2,FALSE)</f>
        <v>0</v>
      </c>
      <c r="I40" s="14">
        <f>VLOOKUP($A40,'Onsite Role Distribution'!$B$13:$G$17,2,FALSE)</f>
        <v>0</v>
      </c>
      <c r="J40" s="14">
        <f>VLOOKUP($A40,'Onsite Role Distribution'!$B$13:$G$17,2,FALSE)</f>
        <v>0</v>
      </c>
      <c r="K40" s="14">
        <f>VLOOKUP($A40,'Onsite Role Distribution'!$B$13:$G$17,2,FALSE)</f>
        <v>0</v>
      </c>
      <c r="L40" s="14">
        <f>VLOOKUP($A40,'Onsite Role Distribution'!$B$13:$G$17,2,FALSE)</f>
        <v>0</v>
      </c>
      <c r="M40" s="14">
        <f>VLOOKUP($A40,'Onsite Role Distribution'!$B$13:$G$17,2,FALSE)</f>
        <v>0</v>
      </c>
      <c r="N40" s="14">
        <f>VLOOKUP($A40,'Onsite Role Distribution'!$B$13:$G$17,2,FALSE)</f>
        <v>0</v>
      </c>
      <c r="O40" s="14">
        <f>VLOOKUP($A40,'Onsite Role Distribution'!$B$13:$G$17,2,FALSE)</f>
        <v>0</v>
      </c>
      <c r="P40" s="6">
        <f>VLOOKUP($A40,'Onsite Role Distribution'!$B$13:$G$17,3,FALSE)</f>
        <v>0</v>
      </c>
      <c r="Q40" s="6">
        <f>VLOOKUP($A40,'Onsite Role Distribution'!$B$13:$G$17,3,FALSE)</f>
        <v>0</v>
      </c>
      <c r="R40" s="6">
        <f>VLOOKUP($A40,'Onsite Role Distribution'!$B$13:$G$17,3,FALSE)</f>
        <v>0</v>
      </c>
      <c r="S40" s="6">
        <f>VLOOKUP($A40,'Onsite Role Distribution'!$B$13:$G$17,3,FALSE)</f>
        <v>0</v>
      </c>
      <c r="T40" s="6">
        <f>VLOOKUP($A40,'Onsite Role Distribution'!$B$13:$G$17,3,FALSE)</f>
        <v>0</v>
      </c>
      <c r="U40" s="6">
        <f>VLOOKUP($A40,'Onsite Role Distribution'!$B$13:$G$17,3,FALSE)</f>
        <v>0</v>
      </c>
      <c r="V40" s="6">
        <f>VLOOKUP($A40,'Onsite Role Distribution'!$B$13:$G$17,3,FALSE)</f>
        <v>0</v>
      </c>
      <c r="W40" s="6">
        <f>VLOOKUP($A40,'Onsite Role Distribution'!$B$13:$G$17,3,FALSE)</f>
        <v>0</v>
      </c>
      <c r="X40" s="6">
        <f>VLOOKUP($A40,'Onsite Role Distribution'!$B$13:$G$17,3,FALSE)</f>
        <v>0</v>
      </c>
      <c r="Y40" s="6">
        <f>VLOOKUP($A40,'Onsite Role Distribution'!$B$13:$G$17,3,FALSE)</f>
        <v>0</v>
      </c>
      <c r="Z40" s="6">
        <f>VLOOKUP($A40,'Onsite Role Distribution'!$B$13:$G$17,3,FALSE)</f>
        <v>0</v>
      </c>
      <c r="AA40" s="6">
        <f>VLOOKUP($A40,'Onsite Role Distribution'!$B$13:$G$17,3,FALSE)</f>
        <v>0</v>
      </c>
      <c r="AB40" s="15">
        <f>VLOOKUP($A40,'Onsite Role Distribution'!$B$13:$G$17,4,FALSE)</f>
        <v>0</v>
      </c>
      <c r="AC40" s="15">
        <f>VLOOKUP($A40,'Onsite Role Distribution'!$B$13:$G$17,4,FALSE)</f>
        <v>0</v>
      </c>
      <c r="AD40" s="15">
        <f>VLOOKUP($A40,'Onsite Role Distribution'!$B$13:$G$17,4,FALSE)</f>
        <v>0</v>
      </c>
      <c r="AE40" s="15">
        <f>VLOOKUP($A40,'Onsite Role Distribution'!$B$13:$G$17,4,FALSE)</f>
        <v>0</v>
      </c>
      <c r="AF40" s="15">
        <f>VLOOKUP($A40,'Onsite Role Distribution'!$B$13:$G$17,4,FALSE)</f>
        <v>0</v>
      </c>
      <c r="AG40" s="15">
        <f>VLOOKUP($A40,'Onsite Role Distribution'!$B$13:$G$17,4,FALSE)</f>
        <v>0</v>
      </c>
      <c r="AH40" s="15">
        <f>VLOOKUP($A40,'Onsite Role Distribution'!$B$13:$G$17,4,FALSE)</f>
        <v>0</v>
      </c>
      <c r="AI40" s="15">
        <f>VLOOKUP($A40,'Onsite Role Distribution'!$B$13:$G$17,4,FALSE)</f>
        <v>0</v>
      </c>
      <c r="AJ40" s="15">
        <f>VLOOKUP($A40,'Onsite Role Distribution'!$B$13:$G$17,4,FALSE)</f>
        <v>0</v>
      </c>
      <c r="AK40" s="15">
        <f>VLOOKUP($A40,'Onsite Role Distribution'!$B$13:$G$17,4,FALSE)</f>
        <v>0</v>
      </c>
      <c r="AL40" s="15">
        <f>VLOOKUP($A40,'Onsite Role Distribution'!$B$13:$G$17,4,FALSE)</f>
        <v>0</v>
      </c>
      <c r="AM40" s="15">
        <f>VLOOKUP($A40,'Onsite Role Distribution'!$B$13:$G$17,4,FALSE)</f>
        <v>0</v>
      </c>
      <c r="AN40" s="16">
        <f>VLOOKUP($A40,'Onsite Role Distribution'!$B$13:$G$17,5,FALSE)</f>
        <v>0</v>
      </c>
      <c r="AO40" s="16">
        <f>VLOOKUP($A40,'Onsite Role Distribution'!$B$13:$G$17,5,FALSE)</f>
        <v>0</v>
      </c>
      <c r="AP40" s="16">
        <f>VLOOKUP($A40,'Onsite Role Distribution'!$B$13:$G$17,5,FALSE)</f>
        <v>0</v>
      </c>
      <c r="AQ40" s="16">
        <f>VLOOKUP($A40,'Onsite Role Distribution'!$B$13:$G$17,5,FALSE)</f>
        <v>0</v>
      </c>
      <c r="AR40" s="16">
        <f>VLOOKUP($A40,'Onsite Role Distribution'!$B$13:$G$17,5,FALSE)</f>
        <v>0</v>
      </c>
      <c r="AS40" s="16">
        <f>VLOOKUP($A40,'Onsite Role Distribution'!$B$13:$G$17,5,FALSE)</f>
        <v>0</v>
      </c>
      <c r="AT40" s="16">
        <f>VLOOKUP($A40,'Onsite Role Distribution'!$B$13:$G$17,5,FALSE)</f>
        <v>0</v>
      </c>
      <c r="AU40" s="16">
        <f>VLOOKUP($A40,'Onsite Role Distribution'!$B$13:$G$17,5,FALSE)</f>
        <v>0</v>
      </c>
      <c r="AV40" s="16">
        <f>VLOOKUP($A40,'Onsite Role Distribution'!$B$13:$G$17,5,FALSE)</f>
        <v>0</v>
      </c>
      <c r="AW40" s="16">
        <f>VLOOKUP($A40,'Onsite Role Distribution'!$B$13:$G$17,5,FALSE)</f>
        <v>0</v>
      </c>
      <c r="AX40" s="16">
        <f>VLOOKUP($A40,'Onsite Role Distribution'!$B$13:$G$17,5,FALSE)</f>
        <v>0</v>
      </c>
      <c r="AY40" s="16">
        <f>VLOOKUP($A40,'Onsite Role Distribution'!$B$13:$G$17,5,FALSE)</f>
        <v>0</v>
      </c>
      <c r="AZ40" s="17">
        <f>VLOOKUP($A40,'Onsite Role Distribution'!$B$13:$G$17,6,FALSE)</f>
        <v>0</v>
      </c>
      <c r="BA40" s="17">
        <f>VLOOKUP($A40,'Onsite Role Distribution'!$B$13:$G$17,6,FALSE)</f>
        <v>0</v>
      </c>
      <c r="BB40" s="17">
        <f>VLOOKUP($A40,'Onsite Role Distribution'!$B$13:$G$17,6,FALSE)</f>
        <v>0</v>
      </c>
      <c r="BC40" s="17">
        <f>VLOOKUP($A40,'Onsite Role Distribution'!$B$13:$G$17,6,FALSE)</f>
        <v>0</v>
      </c>
      <c r="BD40" s="17">
        <f>VLOOKUP($A40,'Onsite Role Distribution'!$B$13:$G$17,6,FALSE)</f>
        <v>0</v>
      </c>
      <c r="BE40" s="17">
        <f>VLOOKUP($A40,'Onsite Role Distribution'!$B$13:$G$17,6,FALSE)</f>
        <v>0</v>
      </c>
      <c r="BF40" s="17">
        <f>VLOOKUP($A40,'Onsite Role Distribution'!$B$13:$G$17,6,FALSE)</f>
        <v>0</v>
      </c>
      <c r="BG40" s="17">
        <f>VLOOKUP($A40,'Onsite Role Distribution'!$B$13:$G$17,6,FALSE)</f>
        <v>0</v>
      </c>
      <c r="BH40" s="17">
        <f>VLOOKUP($A40,'Onsite Role Distribution'!$B$13:$G$17,6,FALSE)</f>
        <v>0</v>
      </c>
      <c r="BI40" s="17">
        <f>VLOOKUP($A40,'Onsite Role Distribution'!$B$13:$G$17,6,FALSE)</f>
        <v>0</v>
      </c>
      <c r="BJ40" s="17">
        <f>VLOOKUP($A40,'Onsite Role Distribution'!$B$13:$G$17,6,FALSE)</f>
        <v>0</v>
      </c>
      <c r="BK40" s="17">
        <f>VLOOKUP($A40,'Onsite Role Distribution'!$B$13:$G$17,6,FALSE)</f>
        <v>0</v>
      </c>
    </row>
    <row r="41" spans="1:63" x14ac:dyDescent="0.35">
      <c r="A41" t="s">
        <v>7</v>
      </c>
      <c r="B41" t="s">
        <v>12</v>
      </c>
      <c r="C41" t="str">
        <f t="shared" si="0"/>
        <v>LeadOnsite-Landed</v>
      </c>
      <c r="D41" s="14">
        <f>VLOOKUP($A41,'Onsite Role Distribution'!$B$13:$G$17,2,FALSE)</f>
        <v>1</v>
      </c>
      <c r="E41" s="14">
        <f>VLOOKUP($A41,'Onsite Role Distribution'!$B$13:$G$17,2,FALSE)</f>
        <v>1</v>
      </c>
      <c r="F41" s="14">
        <f>VLOOKUP($A41,'Onsite Role Distribution'!$B$13:$G$17,2,FALSE)</f>
        <v>1</v>
      </c>
      <c r="G41" s="14">
        <f>VLOOKUP($A41,'Onsite Role Distribution'!$B$13:$G$17,2,FALSE)</f>
        <v>1</v>
      </c>
      <c r="H41" s="14">
        <f>VLOOKUP($A41,'Onsite Role Distribution'!$B$13:$G$17,2,FALSE)</f>
        <v>1</v>
      </c>
      <c r="I41" s="14">
        <f>VLOOKUP($A41,'Onsite Role Distribution'!$B$13:$G$17,2,FALSE)</f>
        <v>1</v>
      </c>
      <c r="J41" s="14">
        <f>VLOOKUP($A41,'Onsite Role Distribution'!$B$13:$G$17,2,FALSE)</f>
        <v>1</v>
      </c>
      <c r="K41" s="14">
        <f>VLOOKUP($A41,'Onsite Role Distribution'!$B$13:$G$17,2,FALSE)</f>
        <v>1</v>
      </c>
      <c r="L41" s="14">
        <f>VLOOKUP($A41,'Onsite Role Distribution'!$B$13:$G$17,2,FALSE)</f>
        <v>1</v>
      </c>
      <c r="M41" s="14">
        <f>VLOOKUP($A41,'Onsite Role Distribution'!$B$13:$G$17,2,FALSE)</f>
        <v>1</v>
      </c>
      <c r="N41" s="14">
        <f>VLOOKUP($A41,'Onsite Role Distribution'!$B$13:$G$17,2,FALSE)</f>
        <v>1</v>
      </c>
      <c r="O41" s="14">
        <f>VLOOKUP($A41,'Onsite Role Distribution'!$B$13:$G$17,2,FALSE)</f>
        <v>1</v>
      </c>
      <c r="P41" s="6">
        <f>VLOOKUP($A41,'Onsite Role Distribution'!$B$13:$G$17,3,FALSE)</f>
        <v>0</v>
      </c>
      <c r="Q41" s="6">
        <f>VLOOKUP($A41,'Onsite Role Distribution'!$B$13:$G$17,3,FALSE)</f>
        <v>0</v>
      </c>
      <c r="R41" s="6">
        <f>VLOOKUP($A41,'Onsite Role Distribution'!$B$13:$G$17,3,FALSE)</f>
        <v>0</v>
      </c>
      <c r="S41" s="6">
        <f>VLOOKUP($A41,'Onsite Role Distribution'!$B$13:$G$17,3,FALSE)</f>
        <v>0</v>
      </c>
      <c r="T41" s="6">
        <f>VLOOKUP($A41,'Onsite Role Distribution'!$B$13:$G$17,3,FALSE)</f>
        <v>0</v>
      </c>
      <c r="U41" s="6">
        <f>VLOOKUP($A41,'Onsite Role Distribution'!$B$13:$G$17,3,FALSE)</f>
        <v>0</v>
      </c>
      <c r="V41" s="6">
        <f>VLOOKUP($A41,'Onsite Role Distribution'!$B$13:$G$17,3,FALSE)</f>
        <v>0</v>
      </c>
      <c r="W41" s="6">
        <f>VLOOKUP($A41,'Onsite Role Distribution'!$B$13:$G$17,3,FALSE)</f>
        <v>0</v>
      </c>
      <c r="X41" s="6">
        <f>VLOOKUP($A41,'Onsite Role Distribution'!$B$13:$G$17,3,FALSE)</f>
        <v>0</v>
      </c>
      <c r="Y41" s="6">
        <f>VLOOKUP($A41,'Onsite Role Distribution'!$B$13:$G$17,3,FALSE)</f>
        <v>0</v>
      </c>
      <c r="Z41" s="6">
        <f>VLOOKUP($A41,'Onsite Role Distribution'!$B$13:$G$17,3,FALSE)</f>
        <v>0</v>
      </c>
      <c r="AA41" s="6">
        <f>VLOOKUP($A41,'Onsite Role Distribution'!$B$13:$G$17,3,FALSE)</f>
        <v>0</v>
      </c>
      <c r="AB41" s="15">
        <f>VLOOKUP($A41,'Onsite Role Distribution'!$B$13:$G$17,4,FALSE)</f>
        <v>0</v>
      </c>
      <c r="AC41" s="15">
        <f>VLOOKUP($A41,'Onsite Role Distribution'!$B$13:$G$17,4,FALSE)</f>
        <v>0</v>
      </c>
      <c r="AD41" s="15">
        <f>VLOOKUP($A41,'Onsite Role Distribution'!$B$13:$G$17,4,FALSE)</f>
        <v>0</v>
      </c>
      <c r="AE41" s="15">
        <f>VLOOKUP($A41,'Onsite Role Distribution'!$B$13:$G$17,4,FALSE)</f>
        <v>0</v>
      </c>
      <c r="AF41" s="15">
        <f>VLOOKUP($A41,'Onsite Role Distribution'!$B$13:$G$17,4,FALSE)</f>
        <v>0</v>
      </c>
      <c r="AG41" s="15">
        <f>VLOOKUP($A41,'Onsite Role Distribution'!$B$13:$G$17,4,FALSE)</f>
        <v>0</v>
      </c>
      <c r="AH41" s="15">
        <f>VLOOKUP($A41,'Onsite Role Distribution'!$B$13:$G$17,4,FALSE)</f>
        <v>0</v>
      </c>
      <c r="AI41" s="15">
        <f>VLOOKUP($A41,'Onsite Role Distribution'!$B$13:$G$17,4,FALSE)</f>
        <v>0</v>
      </c>
      <c r="AJ41" s="15">
        <f>VLOOKUP($A41,'Onsite Role Distribution'!$B$13:$G$17,4,FALSE)</f>
        <v>0</v>
      </c>
      <c r="AK41" s="15">
        <f>VLOOKUP($A41,'Onsite Role Distribution'!$B$13:$G$17,4,FALSE)</f>
        <v>0</v>
      </c>
      <c r="AL41" s="15">
        <f>VLOOKUP($A41,'Onsite Role Distribution'!$B$13:$G$17,4,FALSE)</f>
        <v>0</v>
      </c>
      <c r="AM41" s="15">
        <f>VLOOKUP($A41,'Onsite Role Distribution'!$B$13:$G$17,4,FALSE)</f>
        <v>0</v>
      </c>
      <c r="AN41" s="16">
        <f>VLOOKUP($A41,'Onsite Role Distribution'!$B$13:$G$17,5,FALSE)</f>
        <v>0</v>
      </c>
      <c r="AO41" s="16">
        <f>VLOOKUP($A41,'Onsite Role Distribution'!$B$13:$G$17,5,FALSE)</f>
        <v>0</v>
      </c>
      <c r="AP41" s="16">
        <f>VLOOKUP($A41,'Onsite Role Distribution'!$B$13:$G$17,5,FALSE)</f>
        <v>0</v>
      </c>
      <c r="AQ41" s="16">
        <f>VLOOKUP($A41,'Onsite Role Distribution'!$B$13:$G$17,5,FALSE)</f>
        <v>0</v>
      </c>
      <c r="AR41" s="16">
        <f>VLOOKUP($A41,'Onsite Role Distribution'!$B$13:$G$17,5,FALSE)</f>
        <v>0</v>
      </c>
      <c r="AS41" s="16">
        <f>VLOOKUP($A41,'Onsite Role Distribution'!$B$13:$G$17,5,FALSE)</f>
        <v>0</v>
      </c>
      <c r="AT41" s="16">
        <f>VLOOKUP($A41,'Onsite Role Distribution'!$B$13:$G$17,5,FALSE)</f>
        <v>0</v>
      </c>
      <c r="AU41" s="16">
        <f>VLOOKUP($A41,'Onsite Role Distribution'!$B$13:$G$17,5,FALSE)</f>
        <v>0</v>
      </c>
      <c r="AV41" s="16">
        <f>VLOOKUP($A41,'Onsite Role Distribution'!$B$13:$G$17,5,FALSE)</f>
        <v>0</v>
      </c>
      <c r="AW41" s="16">
        <f>VLOOKUP($A41,'Onsite Role Distribution'!$B$13:$G$17,5,FALSE)</f>
        <v>0</v>
      </c>
      <c r="AX41" s="16">
        <f>VLOOKUP($A41,'Onsite Role Distribution'!$B$13:$G$17,5,FALSE)</f>
        <v>0</v>
      </c>
      <c r="AY41" s="16">
        <f>VLOOKUP($A41,'Onsite Role Distribution'!$B$13:$G$17,5,FALSE)</f>
        <v>0</v>
      </c>
      <c r="AZ41" s="17">
        <f>VLOOKUP($A41,'Onsite Role Distribution'!$B$13:$G$17,6,FALSE)</f>
        <v>0</v>
      </c>
      <c r="BA41" s="17">
        <f>VLOOKUP($A41,'Onsite Role Distribution'!$B$13:$G$17,6,FALSE)</f>
        <v>0</v>
      </c>
      <c r="BB41" s="17">
        <f>VLOOKUP($A41,'Onsite Role Distribution'!$B$13:$G$17,6,FALSE)</f>
        <v>0</v>
      </c>
      <c r="BC41" s="17">
        <f>VLOOKUP($A41,'Onsite Role Distribution'!$B$13:$G$17,6,FALSE)</f>
        <v>0</v>
      </c>
      <c r="BD41" s="17">
        <f>VLOOKUP($A41,'Onsite Role Distribution'!$B$13:$G$17,6,FALSE)</f>
        <v>0</v>
      </c>
      <c r="BE41" s="17">
        <f>VLOOKUP($A41,'Onsite Role Distribution'!$B$13:$G$17,6,FALSE)</f>
        <v>0</v>
      </c>
      <c r="BF41" s="17">
        <f>VLOOKUP($A41,'Onsite Role Distribution'!$B$13:$G$17,6,FALSE)</f>
        <v>0</v>
      </c>
      <c r="BG41" s="17">
        <f>VLOOKUP($A41,'Onsite Role Distribution'!$B$13:$G$17,6,FALSE)</f>
        <v>0</v>
      </c>
      <c r="BH41" s="17">
        <f>VLOOKUP($A41,'Onsite Role Distribution'!$B$13:$G$17,6,FALSE)</f>
        <v>0</v>
      </c>
      <c r="BI41" s="17">
        <f>VLOOKUP($A41,'Onsite Role Distribution'!$B$13:$G$17,6,FALSE)</f>
        <v>0</v>
      </c>
      <c r="BJ41" s="17">
        <f>VLOOKUP($A41,'Onsite Role Distribution'!$B$13:$G$17,6,FALSE)</f>
        <v>0</v>
      </c>
      <c r="BK41" s="17">
        <f>VLOOKUP($A41,'Onsite Role Distribution'!$B$13:$G$17,6,FALSE)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BL28"/>
  <sheetViews>
    <sheetView tabSelected="1" zoomScale="120" zoomScaleNormal="120" workbookViewId="0">
      <selection activeCell="BA3" sqref="BA3:BL28"/>
    </sheetView>
  </sheetViews>
  <sheetFormatPr defaultRowHeight="14.5" x14ac:dyDescent="0.35"/>
  <cols>
    <col min="1" max="1" width="19.1796875" customWidth="1"/>
    <col min="2" max="2" width="13" bestFit="1" customWidth="1"/>
    <col min="3" max="3" width="17.26953125" customWidth="1"/>
    <col min="4" max="4" width="19.1796875" customWidth="1"/>
  </cols>
  <sheetData>
    <row r="2" spans="1:64" x14ac:dyDescent="0.35">
      <c r="A2" t="s">
        <v>25</v>
      </c>
      <c r="B2" t="s">
        <v>26</v>
      </c>
      <c r="C2" t="s">
        <v>27</v>
      </c>
      <c r="D2" t="s">
        <v>88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 t="s">
        <v>37</v>
      </c>
      <c r="O2" t="s">
        <v>38</v>
      </c>
      <c r="P2" t="s">
        <v>39</v>
      </c>
      <c r="Q2" t="s">
        <v>40</v>
      </c>
      <c r="R2" t="s">
        <v>41</v>
      </c>
      <c r="S2" t="s">
        <v>42</v>
      </c>
      <c r="T2" t="s">
        <v>43</v>
      </c>
      <c r="U2" t="s">
        <v>44</v>
      </c>
      <c r="V2" t="s">
        <v>45</v>
      </c>
      <c r="W2" t="s">
        <v>46</v>
      </c>
      <c r="X2" t="s">
        <v>47</v>
      </c>
      <c r="Y2" t="s">
        <v>48</v>
      </c>
      <c r="Z2" t="s">
        <v>49</v>
      </c>
      <c r="AA2" t="s">
        <v>50</v>
      </c>
      <c r="AB2" t="s">
        <v>51</v>
      </c>
      <c r="AC2" t="s">
        <v>52</v>
      </c>
      <c r="AD2" t="s">
        <v>53</v>
      </c>
      <c r="AE2" t="s">
        <v>54</v>
      </c>
      <c r="AF2" t="s">
        <v>55</v>
      </c>
      <c r="AG2" t="s">
        <v>56</v>
      </c>
      <c r="AH2" t="s">
        <v>57</v>
      </c>
      <c r="AI2" t="s">
        <v>58</v>
      </c>
      <c r="AJ2" t="s">
        <v>59</v>
      </c>
      <c r="AK2" t="s">
        <v>60</v>
      </c>
      <c r="AL2" t="s">
        <v>61</v>
      </c>
      <c r="AM2" t="s">
        <v>62</v>
      </c>
      <c r="AN2" t="s">
        <v>63</v>
      </c>
      <c r="AO2" t="s">
        <v>64</v>
      </c>
      <c r="AP2" t="s">
        <v>65</v>
      </c>
      <c r="AQ2" t="s">
        <v>66</v>
      </c>
      <c r="AR2" t="s">
        <v>67</v>
      </c>
      <c r="AS2" t="s">
        <v>68</v>
      </c>
      <c r="AT2" t="s">
        <v>69</v>
      </c>
      <c r="AU2" t="s">
        <v>70</v>
      </c>
      <c r="AV2" t="s">
        <v>71</v>
      </c>
      <c r="AW2" t="s">
        <v>72</v>
      </c>
      <c r="AX2" t="s">
        <v>73</v>
      </c>
      <c r="AY2" t="s">
        <v>74</v>
      </c>
      <c r="AZ2" t="s">
        <v>75</v>
      </c>
      <c r="BA2" t="s">
        <v>76</v>
      </c>
      <c r="BB2" t="s">
        <v>77</v>
      </c>
      <c r="BC2" t="s">
        <v>78</v>
      </c>
      <c r="BD2" t="s">
        <v>79</v>
      </c>
      <c r="BE2" t="s">
        <v>80</v>
      </c>
      <c r="BF2" t="s">
        <v>81</v>
      </c>
      <c r="BG2" t="s">
        <v>82</v>
      </c>
      <c r="BH2" t="s">
        <v>83</v>
      </c>
      <c r="BI2" t="s">
        <v>84</v>
      </c>
      <c r="BJ2" t="s">
        <v>85</v>
      </c>
      <c r="BK2" t="s">
        <v>86</v>
      </c>
      <c r="BL2" t="s">
        <v>87</v>
      </c>
    </row>
    <row r="3" spans="1:64" x14ac:dyDescent="0.35">
      <c r="A3" t="s">
        <v>8</v>
      </c>
      <c r="B3" t="s">
        <v>19</v>
      </c>
      <c r="C3" t="str">
        <f t="shared" ref="C3:C28" si="0">A3&amp;B3</f>
        <v>BSAIndia</v>
      </c>
      <c r="D3" t="s">
        <v>89</v>
      </c>
      <c r="E3" s="14">
        <f>ROUND(VLOOKUP($C3,RLS!$C$26:$O$31,3, FALSE)*'Unit Distribution'!$B3,0)</f>
        <v>1</v>
      </c>
      <c r="F3" s="14">
        <f>ROUND(VLOOKUP($C3,RLS!$C$26:$O$31,3, FALSE)*'Unit Distribution'!$B3,0)</f>
        <v>1</v>
      </c>
      <c r="G3" s="14">
        <f>ROUND(VLOOKUP($C3,RLS!$C$26:$O$31,3, FALSE)*'Unit Distribution'!$B3,0)</f>
        <v>1</v>
      </c>
      <c r="H3" s="14">
        <f>ROUND(VLOOKUP($C3,RLS!$C$26:$O$31,3, FALSE)*'Unit Distribution'!$B3,0)</f>
        <v>1</v>
      </c>
      <c r="I3" s="14">
        <f>ROUND(VLOOKUP($C3,RLS!$C$26:$O$31,3, FALSE)*'Unit Distribution'!$B3,0)</f>
        <v>1</v>
      </c>
      <c r="J3" s="14">
        <f>ROUND(VLOOKUP($C3,RLS!$C$26:$O$31,3, FALSE)*'Unit Distribution'!$B3,0)</f>
        <v>1</v>
      </c>
      <c r="K3" s="14">
        <f>ROUND(VLOOKUP($C3,RLS!$C$26:$O$31,3, FALSE)*'Unit Distribution'!$B3,0)</f>
        <v>1</v>
      </c>
      <c r="L3" s="14">
        <f>ROUND(VLOOKUP($C3,RLS!$C$26:$O$31,3, FALSE)*'Unit Distribution'!$B3,0)</f>
        <v>1</v>
      </c>
      <c r="M3" s="14">
        <f>ROUND(VLOOKUP($C3,RLS!$C$26:$O$31,3, FALSE)*'Unit Distribution'!$B3,0)</f>
        <v>1</v>
      </c>
      <c r="N3" s="14">
        <f>ROUND(VLOOKUP($C3,RLS!$C$26:$O$31,3, FALSE)*'Unit Distribution'!$B3,0)</f>
        <v>1</v>
      </c>
      <c r="O3" s="14">
        <f>ROUND(VLOOKUP($C3,RLS!$C$26:$O$31,3, FALSE)*'Unit Distribution'!$B3,0)</f>
        <v>1</v>
      </c>
      <c r="P3" s="14">
        <f>ROUND(VLOOKUP($C3,RLS!$C$26:$O$31,3, FALSE)*'Unit Distribution'!$B3,0)</f>
        <v>1</v>
      </c>
      <c r="Q3" s="14">
        <f>ROUND(VLOOKUP($C3,RLS!$C$26:$P$31,14,FALSE)*'Unit Distribution'!$B$3,0)</f>
        <v>1</v>
      </c>
      <c r="R3" s="14">
        <f>ROUND(VLOOKUP($C3,RLS!$C$26:$P$31,14,FALSE)*'Unit Distribution'!$B$3,0)</f>
        <v>1</v>
      </c>
      <c r="S3" s="14">
        <f>ROUND(VLOOKUP($C3,RLS!$C$26:$P$31,14,FALSE)*'Unit Distribution'!$B$3,0)</f>
        <v>1</v>
      </c>
      <c r="T3" s="14">
        <f>ROUND(VLOOKUP($C3,RLS!$C$26:$P$31,14,FALSE)*'Unit Distribution'!$B$3,0)</f>
        <v>1</v>
      </c>
      <c r="U3" s="14">
        <f>ROUND(VLOOKUP($C3,RLS!$C$26:$P$31,14,FALSE)*'Unit Distribution'!$B$3,0)</f>
        <v>1</v>
      </c>
      <c r="V3" s="14">
        <f>ROUND(VLOOKUP($C3,RLS!$C$26:$P$31,14,FALSE)*'Unit Distribution'!$B$3,0)</f>
        <v>1</v>
      </c>
      <c r="W3" s="14">
        <f>ROUND(VLOOKUP($C3,RLS!$C$26:$P$31,14,FALSE)*'Unit Distribution'!$B$3,0)</f>
        <v>1</v>
      </c>
      <c r="X3" s="14">
        <f>ROUND(VLOOKUP($C3,RLS!$C$26:$P$31,14,FALSE)*'Unit Distribution'!$B$3,0)</f>
        <v>1</v>
      </c>
      <c r="Y3" s="14">
        <f>ROUND(VLOOKUP($C3,RLS!$C$26:$P$31,14,FALSE)*'Unit Distribution'!$B$3,0)</f>
        <v>1</v>
      </c>
      <c r="Z3" s="14">
        <f>ROUND(VLOOKUP($C3,RLS!$C$26:$P$31,14,FALSE)*'Unit Distribution'!$B$3,0)</f>
        <v>1</v>
      </c>
      <c r="AA3" s="14">
        <f>ROUND(VLOOKUP($C3,RLS!$C$26:$P$31,14,FALSE)*'Unit Distribution'!$B$3,0)</f>
        <v>1</v>
      </c>
      <c r="AB3" s="14">
        <f>ROUND(VLOOKUP($C3,RLS!$C$26:$P$31,14,FALSE)*'Unit Distribution'!$B$3,0)</f>
        <v>1</v>
      </c>
      <c r="AC3" s="14">
        <f>ROUND(VLOOKUP($C3,RLS!$C$26:$AB$31,26,FALSE)*'Unit Distribution'!$B$3,0)</f>
        <v>1</v>
      </c>
      <c r="AD3" s="14">
        <f>ROUND(VLOOKUP($C3,RLS!$C$26:$AB$31,26,FALSE)*'Unit Distribution'!$B$3,0)</f>
        <v>1</v>
      </c>
      <c r="AE3" s="14">
        <f>ROUND(VLOOKUP($C3,RLS!$C$26:$AB$31,26,FALSE)*'Unit Distribution'!$B$3,0)</f>
        <v>1</v>
      </c>
      <c r="AF3" s="14">
        <f>ROUND(VLOOKUP($C3,RLS!$C$26:$AB$31,26,FALSE)*'Unit Distribution'!$B$3,0)</f>
        <v>1</v>
      </c>
      <c r="AG3" s="14">
        <f>ROUND(VLOOKUP($C3,RLS!$C$26:$AB$31,26,FALSE)*'Unit Distribution'!$B$3,0)</f>
        <v>1</v>
      </c>
      <c r="AH3" s="14">
        <f>ROUND(VLOOKUP($C3,RLS!$C$26:$AB$31,26,FALSE)*'Unit Distribution'!$B$3,0)</f>
        <v>1</v>
      </c>
      <c r="AI3" s="14">
        <f>ROUND(VLOOKUP($C3,RLS!$C$26:$AB$31,26,FALSE)*'Unit Distribution'!$B$3,0)</f>
        <v>1</v>
      </c>
      <c r="AJ3" s="14">
        <f>ROUND(VLOOKUP($C3,RLS!$C$26:$AB$31,26,FALSE)*'Unit Distribution'!$B$3,0)</f>
        <v>1</v>
      </c>
      <c r="AK3" s="14">
        <f>ROUND(VLOOKUP($C3,RLS!$C$26:$AB$31,26,FALSE)*'Unit Distribution'!$B$3,0)</f>
        <v>1</v>
      </c>
      <c r="AL3" s="14">
        <f>ROUND(VLOOKUP($C3,RLS!$C$26:$AB$31,26,FALSE)*'Unit Distribution'!$B$3,0)</f>
        <v>1</v>
      </c>
      <c r="AM3" s="14">
        <f>ROUND(VLOOKUP($C3,RLS!$C$26:$AB$31,26,FALSE)*'Unit Distribution'!$B$3,0)</f>
        <v>1</v>
      </c>
      <c r="AN3" s="14">
        <f>ROUND(VLOOKUP($C3,RLS!$C$26:$AB$31,26,FALSE)*'Unit Distribution'!$B$3,0)</f>
        <v>1</v>
      </c>
      <c r="AO3" s="14">
        <f>ROUND(VLOOKUP($C3,RLS!$C$26:$AN$31,38,FALSE)*'Unit Distribution'!$B$3,0)</f>
        <v>0</v>
      </c>
      <c r="AP3" s="14">
        <f>ROUND(VLOOKUP($C3,RLS!$C$26:$AN$31,38,FALSE)*'Unit Distribution'!$B$3,0)</f>
        <v>0</v>
      </c>
      <c r="AQ3" s="14">
        <f>ROUND(VLOOKUP($C3,RLS!$C$26:$AN$31,38,FALSE)*'Unit Distribution'!$B$3,0)</f>
        <v>0</v>
      </c>
      <c r="AR3" s="14">
        <f>ROUND(VLOOKUP($C3,RLS!$C$26:$AN$31,38,FALSE)*'Unit Distribution'!$B$3,0)</f>
        <v>0</v>
      </c>
      <c r="AS3" s="14">
        <f>ROUND(VLOOKUP($C3,RLS!$C$26:$AN$31,38,FALSE)*'Unit Distribution'!$B$3,0)</f>
        <v>0</v>
      </c>
      <c r="AT3" s="14">
        <f>ROUND(VLOOKUP($C3,RLS!$C$26:$AN$31,38,FALSE)*'Unit Distribution'!$B$3,0)</f>
        <v>0</v>
      </c>
      <c r="AU3" s="14">
        <f>ROUND(VLOOKUP($C3,RLS!$C$26:$AN$31,38,FALSE)*'Unit Distribution'!$B$3,0)</f>
        <v>0</v>
      </c>
      <c r="AV3" s="14">
        <f>ROUND(VLOOKUP($C3,RLS!$C$26:$AN$31,38,FALSE)*'Unit Distribution'!$B$3,0)</f>
        <v>0</v>
      </c>
      <c r="AW3" s="14">
        <f>ROUND(VLOOKUP($C3,RLS!$C$26:$AN$31,38,FALSE)*'Unit Distribution'!$B$3,0)</f>
        <v>0</v>
      </c>
      <c r="AX3" s="14">
        <f>ROUND(VLOOKUP($C3,RLS!$C$26:$AN$31,38,FALSE)*'Unit Distribution'!$B$3,0)</f>
        <v>0</v>
      </c>
      <c r="AY3" s="14">
        <f>ROUND(VLOOKUP($C3,RLS!$C$26:$AN$31,38,FALSE)*'Unit Distribution'!$B$3,0)</f>
        <v>0</v>
      </c>
      <c r="AZ3" s="14">
        <f>ROUND(VLOOKUP($C3,RLS!$C$26:$AN$31,38,FALSE)*'Unit Distribution'!$B$3,0)</f>
        <v>0</v>
      </c>
      <c r="BA3" s="14">
        <f>ROUND(VLOOKUP($C3,RLS!$C$26:$AZ$31,50,FALSE)*'Unit Distribution'!$B$3,0)</f>
        <v>0</v>
      </c>
      <c r="BB3" s="14">
        <f>ROUND(VLOOKUP($C3,RLS!$C$26:$AZ$31,50,FALSE)*'Unit Distribution'!$B$3,0)</f>
        <v>0</v>
      </c>
      <c r="BC3" s="14">
        <f>ROUND(VLOOKUP($C3,RLS!$C$26:$AZ$31,50,FALSE)*'Unit Distribution'!$B$3,0)</f>
        <v>0</v>
      </c>
      <c r="BD3" s="14">
        <f>ROUND(VLOOKUP($C3,RLS!$C$26:$AZ$31,50,FALSE)*'Unit Distribution'!$B$3,0)</f>
        <v>0</v>
      </c>
      <c r="BE3" s="14">
        <f>ROUND(VLOOKUP($C3,RLS!$C$26:$AZ$31,50,FALSE)*'Unit Distribution'!$B$3,0)</f>
        <v>0</v>
      </c>
      <c r="BF3" s="14">
        <f>ROUND(VLOOKUP($C3,RLS!$C$26:$AZ$31,50,FALSE)*'Unit Distribution'!$B$3,0)</f>
        <v>0</v>
      </c>
      <c r="BG3" s="14">
        <f>ROUND(VLOOKUP($C3,RLS!$C$26:$AZ$31,50,FALSE)*'Unit Distribution'!$B$3,0)</f>
        <v>0</v>
      </c>
      <c r="BH3" s="14">
        <f>ROUND(VLOOKUP($C3,RLS!$C$26:$AZ$31,50,FALSE)*'Unit Distribution'!$B$3,0)</f>
        <v>0</v>
      </c>
      <c r="BI3" s="14">
        <f>ROUND(VLOOKUP($C3,RLS!$C$26:$AZ$31,50,FALSE)*'Unit Distribution'!$B$3,0)</f>
        <v>0</v>
      </c>
      <c r="BJ3" s="14">
        <f>ROUND(VLOOKUP($C3,RLS!$C$26:$AZ$31,50,FALSE)*'Unit Distribution'!$B$3,0)</f>
        <v>0</v>
      </c>
      <c r="BK3" s="14">
        <f>ROUND(VLOOKUP($C3,RLS!$C$26:$AZ$31,50,FALSE)*'Unit Distribution'!$B$3,0)</f>
        <v>0</v>
      </c>
      <c r="BL3" s="14">
        <f>ROUND(VLOOKUP($C3,RLS!$C$26:$AZ$31,50,FALSE)*'Unit Distribution'!$B$3,0)</f>
        <v>0</v>
      </c>
    </row>
    <row r="4" spans="1:64" x14ac:dyDescent="0.35">
      <c r="A4" t="s">
        <v>8</v>
      </c>
      <c r="B4" t="s">
        <v>19</v>
      </c>
      <c r="C4" t="str">
        <f t="shared" si="0"/>
        <v>BSAIndia</v>
      </c>
      <c r="D4" t="s">
        <v>90</v>
      </c>
      <c r="E4" s="14">
        <f>ROUND(VLOOKUP($C4,RLS!$C$26:$O$31,3,FALSE)-E3,0)</f>
        <v>1</v>
      </c>
      <c r="F4" s="14">
        <f>ROUND(VLOOKUP($C4,RLS!$C$26:$O$31,3,FALSE)-F3,0)</f>
        <v>1</v>
      </c>
      <c r="G4" s="14">
        <f>ROUND(VLOOKUP($C4,RLS!$C$26:$O$31,3,FALSE)-G3,0)</f>
        <v>1</v>
      </c>
      <c r="H4" s="14">
        <f>ROUND(VLOOKUP($C4,RLS!$C$26:$O$31,3,FALSE)-H3,0)</f>
        <v>1</v>
      </c>
      <c r="I4" s="14">
        <f>ROUND(VLOOKUP($C4,RLS!$C$26:$O$31,3,FALSE)-I3,0)</f>
        <v>1</v>
      </c>
      <c r="J4" s="14">
        <f>ROUND(VLOOKUP($C4,RLS!$C$26:$O$31,3,FALSE)-J3,0)</f>
        <v>1</v>
      </c>
      <c r="K4" s="14">
        <f>ROUND(VLOOKUP($C4,RLS!$C$26:$O$31,3,FALSE)-K3,0)</f>
        <v>1</v>
      </c>
      <c r="L4" s="14">
        <f>ROUND(VLOOKUP($C4,RLS!$C$26:$O$31,3,FALSE)-L3,0)</f>
        <v>1</v>
      </c>
      <c r="M4" s="14">
        <f>ROUND(VLOOKUP($C4,RLS!$C$26:$O$31,3,FALSE)-M3,0)</f>
        <v>1</v>
      </c>
      <c r="N4" s="14">
        <f>ROUND(VLOOKUP($C4,RLS!$C$26:$O$31,3,FALSE)-N3,0)</f>
        <v>1</v>
      </c>
      <c r="O4" s="14">
        <f>ROUND(VLOOKUP($C4,RLS!$C$26:$O$31,3,FALSE)-O3,0)</f>
        <v>1</v>
      </c>
      <c r="P4" s="14">
        <f>ROUND(VLOOKUP($C4,RLS!$C$26:$O$31,3,FALSE)-P3,0)</f>
        <v>1</v>
      </c>
      <c r="Q4" s="14">
        <f>ROUND(VLOOKUP($C4,RLS!$C$26:$P$31,14,FALSE)-Q3,0)</f>
        <v>1</v>
      </c>
      <c r="R4" s="14">
        <f>ROUND(VLOOKUP($C4,RLS!$C$26:$P$31,14,FALSE)-R3,0)</f>
        <v>1</v>
      </c>
      <c r="S4" s="14">
        <f>ROUND(VLOOKUP($C4,RLS!$C$26:$P$31,14,FALSE)-S3,0)</f>
        <v>1</v>
      </c>
      <c r="T4" s="14">
        <f>ROUND(VLOOKUP($C4,RLS!$C$26:$P$31,14,FALSE)-T3,0)</f>
        <v>1</v>
      </c>
      <c r="U4" s="14">
        <f>ROUND(VLOOKUP($C4,RLS!$C$26:$P$31,14,FALSE)-U3,0)</f>
        <v>1</v>
      </c>
      <c r="V4" s="14">
        <f>ROUND(VLOOKUP($C4,RLS!$C$26:$P$31,14,FALSE)-V3,0)</f>
        <v>1</v>
      </c>
      <c r="W4" s="14">
        <f>ROUND(VLOOKUP($C4,RLS!$C$26:$P$31,14,FALSE)-W3,0)</f>
        <v>1</v>
      </c>
      <c r="X4" s="14">
        <f>ROUND(VLOOKUP($C4,RLS!$C$26:$P$31,14,FALSE)-X3,0)</f>
        <v>1</v>
      </c>
      <c r="Y4" s="14">
        <f>ROUND(VLOOKUP($C4,RLS!$C$26:$P$31,14,FALSE)-Y3,0)</f>
        <v>1</v>
      </c>
      <c r="Z4" s="14">
        <f>ROUND(VLOOKUP($C4,RLS!$C$26:$P$31,14,FALSE)-Z3,0)</f>
        <v>1</v>
      </c>
      <c r="AA4" s="14">
        <f>ROUND(VLOOKUP($C4,RLS!$C$26:$P$31,14,FALSE)-AA3,0)</f>
        <v>1</v>
      </c>
      <c r="AB4" s="14">
        <f>ROUND(VLOOKUP($C4,RLS!$C$26:$P$31,14,FALSE)-AB3,0)</f>
        <v>1</v>
      </c>
      <c r="AC4" s="14">
        <f>ROUND(VLOOKUP($C4,RLS!$C$26:$AB$31,26,FALSE)-AC3,0)</f>
        <v>1</v>
      </c>
      <c r="AD4" s="14">
        <f>ROUND(VLOOKUP($C4,RLS!$C$26:$AB$31,26,FALSE)-AD3,0)</f>
        <v>1</v>
      </c>
      <c r="AE4" s="14">
        <f>ROUND(VLOOKUP($C4,RLS!$C$26:$AB$31,26,FALSE)-AE3,0)</f>
        <v>1</v>
      </c>
      <c r="AF4" s="14">
        <f>ROUND(VLOOKUP($C4,RLS!$C$26:$AB$31,26,FALSE)-AF3,0)</f>
        <v>1</v>
      </c>
      <c r="AG4" s="14">
        <f>ROUND(VLOOKUP($C4,RLS!$C$26:$AB$31,26,FALSE)-AG3,0)</f>
        <v>1</v>
      </c>
      <c r="AH4" s="14">
        <f>ROUND(VLOOKUP($C4,RLS!$C$26:$AB$31,26,FALSE)-AH3,0)</f>
        <v>1</v>
      </c>
      <c r="AI4" s="14">
        <f>ROUND(VLOOKUP($C4,RLS!$C$26:$AB$31,26,FALSE)-AI3,0)</f>
        <v>1</v>
      </c>
      <c r="AJ4" s="14">
        <f>ROUND(VLOOKUP($C4,RLS!$C$26:$AB$31,26,FALSE)-AJ3,0)</f>
        <v>1</v>
      </c>
      <c r="AK4" s="14">
        <f>ROUND(VLOOKUP($C4,RLS!$C$26:$AB$31,26,FALSE)-AK3,0)</f>
        <v>1</v>
      </c>
      <c r="AL4" s="14">
        <f>ROUND(VLOOKUP($C4,RLS!$C$26:$AB$31,26,FALSE)-AL3,0)</f>
        <v>1</v>
      </c>
      <c r="AM4" s="14">
        <f>ROUND(VLOOKUP($C4,RLS!$C$26:$AB$31,26,FALSE)-AM3,0)</f>
        <v>1</v>
      </c>
      <c r="AN4" s="14">
        <f>ROUND(VLOOKUP($C4,RLS!$C$26:$AB$31,26,FALSE)-AN3,0)</f>
        <v>1</v>
      </c>
      <c r="AO4" s="14">
        <f>ROUND(VLOOKUP($C4,RLS!$C$26:$AN$31,38,FALSE)-AO3,0)</f>
        <v>1</v>
      </c>
      <c r="AP4" s="14">
        <f>ROUND(VLOOKUP($C4,RLS!$C$26:$AN$31,38,FALSE)-AP3,0)</f>
        <v>1</v>
      </c>
      <c r="AQ4" s="14">
        <f>ROUND(VLOOKUP($C4,RLS!$C$26:$AN$31,38,FALSE)-AQ3,0)</f>
        <v>1</v>
      </c>
      <c r="AR4" s="14">
        <f>ROUND(VLOOKUP($C4,RLS!$C$26:$AN$31,38,FALSE)-AR3,0)</f>
        <v>1</v>
      </c>
      <c r="AS4" s="14">
        <f>ROUND(VLOOKUP($C4,RLS!$C$26:$AN$31,38,FALSE)-AS3,0)</f>
        <v>1</v>
      </c>
      <c r="AT4" s="14">
        <f>ROUND(VLOOKUP($C4,RLS!$C$26:$AN$31,38,FALSE)-AT3,0)</f>
        <v>1</v>
      </c>
      <c r="AU4" s="14">
        <f>ROUND(VLOOKUP($C4,RLS!$C$26:$AN$31,38,FALSE)-AU3,0)</f>
        <v>1</v>
      </c>
      <c r="AV4" s="14">
        <f>ROUND(VLOOKUP($C4,RLS!$C$26:$AN$31,38,FALSE)-AV3,0)</f>
        <v>1</v>
      </c>
      <c r="AW4" s="14">
        <f>ROUND(VLOOKUP($C4,RLS!$C$26:$AN$31,38,FALSE)-AW3,0)</f>
        <v>1</v>
      </c>
      <c r="AX4" s="14">
        <f>ROUND(VLOOKUP($C4,RLS!$C$26:$AN$31,38,FALSE)-AX3,0)</f>
        <v>1</v>
      </c>
      <c r="AY4" s="14">
        <f>ROUND(VLOOKUP($C4,RLS!$C$26:$AN$31,38,FALSE)-AY3,0)</f>
        <v>1</v>
      </c>
      <c r="AZ4" s="14">
        <f>ROUND(VLOOKUP($C4,RLS!$C$26:$AN$31,38,FALSE)-AZ3,0)</f>
        <v>1</v>
      </c>
      <c r="BA4" s="14">
        <f>ROUND(VLOOKUP($C4,RLS!$C$26:$AZ$31,50,FALSE)-BA3,0)</f>
        <v>1</v>
      </c>
      <c r="BB4" s="14">
        <f>ROUND(VLOOKUP($C4,RLS!$C$26:$AZ$31,50,FALSE)-BB3,0)</f>
        <v>1</v>
      </c>
      <c r="BC4" s="14">
        <f>ROUND(VLOOKUP($C4,RLS!$C$26:$AZ$31,50,FALSE)-BC3,0)</f>
        <v>1</v>
      </c>
      <c r="BD4" s="14">
        <f>ROUND(VLOOKUP($C4,RLS!$C$26:$AZ$31,50,FALSE)-BD3,0)</f>
        <v>1</v>
      </c>
      <c r="BE4" s="14">
        <f>ROUND(VLOOKUP($C4,RLS!$C$26:$AZ$31,50,FALSE)-BE3,0)</f>
        <v>1</v>
      </c>
      <c r="BF4" s="14">
        <f>ROUND(VLOOKUP($C4,RLS!$C$26:$AZ$31,50,FALSE)-BF3,0)</f>
        <v>1</v>
      </c>
      <c r="BG4" s="14">
        <f>ROUND(VLOOKUP($C4,RLS!$C$26:$AZ$31,50,FALSE)-BG3,0)</f>
        <v>1</v>
      </c>
      <c r="BH4" s="14">
        <f>ROUND(VLOOKUP($C4,RLS!$C$26:$AZ$31,50,FALSE)-BH3,0)</f>
        <v>1</v>
      </c>
      <c r="BI4" s="14">
        <f>ROUND(VLOOKUP($C4,RLS!$C$26:$AZ$31,50,FALSE)-BI3,0)</f>
        <v>1</v>
      </c>
      <c r="BJ4" s="14">
        <f>ROUND(VLOOKUP($C4,RLS!$C$26:$AZ$31,50,FALSE)-BJ3,0)</f>
        <v>1</v>
      </c>
      <c r="BK4" s="14">
        <f>ROUND(VLOOKUP($C4,RLS!$C$26:$AZ$31,50,FALSE)-BK3,0)</f>
        <v>1</v>
      </c>
      <c r="BL4" s="14">
        <f>ROUND(VLOOKUP($C4,RLS!$C$26:$AZ$31,50,FALSE)-BL3,0)</f>
        <v>1</v>
      </c>
    </row>
    <row r="5" spans="1:64" x14ac:dyDescent="0.35">
      <c r="A5" t="s">
        <v>9</v>
      </c>
      <c r="B5" t="s">
        <v>19</v>
      </c>
      <c r="C5" t="str">
        <f t="shared" si="0"/>
        <v>DevIndia</v>
      </c>
      <c r="D5" t="s">
        <v>89</v>
      </c>
      <c r="E5" s="14">
        <f>ROUND(VLOOKUP($C5,RLS!$C$26:$O$31,3, FALSE)*'Unit Distribution'!$B3,0)</f>
        <v>2</v>
      </c>
      <c r="F5" s="14">
        <f>ROUND(VLOOKUP($C5,RLS!$C$26:$O$31,3, FALSE)*'Unit Distribution'!$B3,0)</f>
        <v>2</v>
      </c>
      <c r="G5" s="14">
        <f>ROUND(VLOOKUP($C5,RLS!$C$26:$O$31,3, FALSE)*'Unit Distribution'!$B3,0)</f>
        <v>2</v>
      </c>
      <c r="H5" s="14">
        <f>ROUND(VLOOKUP($C5,RLS!$C$26:$O$31,3, FALSE)*'Unit Distribution'!$B3,0)</f>
        <v>2</v>
      </c>
      <c r="I5" s="14">
        <f>ROUND(VLOOKUP($C5,RLS!$C$26:$O$31,3, FALSE)*'Unit Distribution'!$B3,0)</f>
        <v>2</v>
      </c>
      <c r="J5" s="14">
        <f>ROUND(VLOOKUP($C5,RLS!$C$26:$O$31,3, FALSE)*'Unit Distribution'!$B3,0)</f>
        <v>2</v>
      </c>
      <c r="K5" s="14">
        <f>ROUND(VLOOKUP($C5,RLS!$C$26:$O$31,3, FALSE)*'Unit Distribution'!$B3,0)</f>
        <v>2</v>
      </c>
      <c r="L5" s="14">
        <f>ROUND(VLOOKUP($C5,RLS!$C$26:$O$31,3, FALSE)*'Unit Distribution'!$B3,0)</f>
        <v>2</v>
      </c>
      <c r="M5" s="14">
        <f>ROUND(VLOOKUP($C5,RLS!$C$26:$O$31,3, FALSE)*'Unit Distribution'!$B3,0)</f>
        <v>2</v>
      </c>
      <c r="N5" s="14">
        <f>ROUND(VLOOKUP($C5,RLS!$C$26:$O$31,3, FALSE)*'Unit Distribution'!$B3,0)</f>
        <v>2</v>
      </c>
      <c r="O5" s="14">
        <f>ROUND(VLOOKUP($C5,RLS!$C$26:$O$31,3, FALSE)*'Unit Distribution'!$B3,0)</f>
        <v>2</v>
      </c>
      <c r="P5" s="14">
        <f>ROUND(VLOOKUP($C5,RLS!$C$26:$O$31,3, FALSE)*'Unit Distribution'!$B3,0)</f>
        <v>2</v>
      </c>
      <c r="Q5" s="14">
        <f>ROUND(VLOOKUP($C5,RLS!$C$26:$P$31,14,FALSE)*'Unit Distribution'!$B$3,0)</f>
        <v>2</v>
      </c>
      <c r="R5" s="14">
        <f>ROUND(VLOOKUP($C5,RLS!$C$26:$P$31,14,FALSE)*'Unit Distribution'!$B$3,0)</f>
        <v>2</v>
      </c>
      <c r="S5" s="14">
        <f>ROUND(VLOOKUP($C5,RLS!$C$26:$P$31,14,FALSE)*'Unit Distribution'!$B$3,0)</f>
        <v>2</v>
      </c>
      <c r="T5" s="14">
        <f>ROUND(VLOOKUP($C5,RLS!$C$26:$P$31,14,FALSE)*'Unit Distribution'!$B$3,0)</f>
        <v>2</v>
      </c>
      <c r="U5" s="14">
        <f>ROUND(VLOOKUP($C5,RLS!$C$26:$P$31,14,FALSE)*'Unit Distribution'!$B$3,0)</f>
        <v>2</v>
      </c>
      <c r="V5" s="14">
        <f>ROUND(VLOOKUP($C5,RLS!$C$26:$P$31,14,FALSE)*'Unit Distribution'!$B$3,0)</f>
        <v>2</v>
      </c>
      <c r="W5" s="14">
        <f>ROUND(VLOOKUP($C5,RLS!$C$26:$P$31,14,FALSE)*'Unit Distribution'!$B$3,0)</f>
        <v>2</v>
      </c>
      <c r="X5" s="14">
        <f>ROUND(VLOOKUP($C5,RLS!$C$26:$P$31,14,FALSE)*'Unit Distribution'!$B$3,0)</f>
        <v>2</v>
      </c>
      <c r="Y5" s="14">
        <f>ROUND(VLOOKUP($C5,RLS!$C$26:$P$31,14,FALSE)*'Unit Distribution'!$B$3,0)</f>
        <v>2</v>
      </c>
      <c r="Z5" s="14">
        <f>ROUND(VLOOKUP($C5,RLS!$C$26:$P$31,14,FALSE)*'Unit Distribution'!$B$3,0)</f>
        <v>2</v>
      </c>
      <c r="AA5" s="14">
        <f>ROUND(VLOOKUP($C5,RLS!$C$26:$P$31,14,FALSE)*'Unit Distribution'!$B$3,0)</f>
        <v>2</v>
      </c>
      <c r="AB5" s="14">
        <f>ROUND(VLOOKUP($C5,RLS!$C$26:$P$31,14,FALSE)*'Unit Distribution'!$B$3,0)</f>
        <v>2</v>
      </c>
      <c r="AC5" s="14">
        <f>ROUND(VLOOKUP($C5,RLS!$C$26:$AB$31,26,FALSE)*'Unit Distribution'!$B$3,0)</f>
        <v>2</v>
      </c>
      <c r="AD5" s="14">
        <f>ROUND(VLOOKUP($C5,RLS!$C$26:$AB$31,26,FALSE)*'Unit Distribution'!$B$3,0)</f>
        <v>2</v>
      </c>
      <c r="AE5" s="14">
        <f>ROUND(VLOOKUP($C5,RLS!$C$26:$AB$31,26,FALSE)*'Unit Distribution'!$B$3,0)</f>
        <v>2</v>
      </c>
      <c r="AF5" s="14">
        <f>ROUND(VLOOKUP($C5,RLS!$C$26:$AB$31,26,FALSE)*'Unit Distribution'!$B$3,0)</f>
        <v>2</v>
      </c>
      <c r="AG5" s="14">
        <f>ROUND(VLOOKUP($C5,RLS!$C$26:$AB$31,26,FALSE)*'Unit Distribution'!$B$3,0)</f>
        <v>2</v>
      </c>
      <c r="AH5" s="14">
        <f>ROUND(VLOOKUP($C5,RLS!$C$26:$AB$31,26,FALSE)*'Unit Distribution'!$B$3,0)</f>
        <v>2</v>
      </c>
      <c r="AI5" s="14">
        <f>ROUND(VLOOKUP($C5,RLS!$C$26:$AB$31,26,FALSE)*'Unit Distribution'!$B$3,0)</f>
        <v>2</v>
      </c>
      <c r="AJ5" s="14">
        <f>ROUND(VLOOKUP($C5,RLS!$C$26:$AB$31,26,FALSE)*'Unit Distribution'!$B$3,0)</f>
        <v>2</v>
      </c>
      <c r="AK5" s="14">
        <f>ROUND(VLOOKUP($C5,RLS!$C$26:$AB$31,26,FALSE)*'Unit Distribution'!$B$3,0)</f>
        <v>2</v>
      </c>
      <c r="AL5" s="14">
        <f>ROUND(VLOOKUP($C5,RLS!$C$26:$AB$31,26,FALSE)*'Unit Distribution'!$B$3,0)</f>
        <v>2</v>
      </c>
      <c r="AM5" s="14">
        <f>ROUND(VLOOKUP($C5,RLS!$C$26:$AB$31,26,FALSE)*'Unit Distribution'!$B$3,0)</f>
        <v>2</v>
      </c>
      <c r="AN5" s="14">
        <f>ROUND(VLOOKUP($C5,RLS!$C$26:$AB$31,26,FALSE)*'Unit Distribution'!$B$3,0)</f>
        <v>2</v>
      </c>
      <c r="AO5" s="14">
        <f>ROUND(VLOOKUP($C5,RLS!$C$26:$AN$31,38,FALSE)*'Unit Distribution'!$B$3,0)</f>
        <v>1</v>
      </c>
      <c r="AP5" s="14">
        <f>ROUND(VLOOKUP($C5,RLS!$C$26:$AN$31,38,FALSE)*'Unit Distribution'!$B$3,0)</f>
        <v>1</v>
      </c>
      <c r="AQ5" s="14">
        <f>ROUND(VLOOKUP($C5,RLS!$C$26:$AN$31,38,FALSE)*'Unit Distribution'!$B$3,0)</f>
        <v>1</v>
      </c>
      <c r="AR5" s="14">
        <f>ROUND(VLOOKUP($C5,RLS!$C$26:$AN$31,38,FALSE)*'Unit Distribution'!$B$3,0)</f>
        <v>1</v>
      </c>
      <c r="AS5" s="14">
        <f>ROUND(VLOOKUP($C5,RLS!$C$26:$AN$31,38,FALSE)*'Unit Distribution'!$B$3,0)</f>
        <v>1</v>
      </c>
      <c r="AT5" s="14">
        <f>ROUND(VLOOKUP($C5,RLS!$C$26:$AN$31,38,FALSE)*'Unit Distribution'!$B$3,0)</f>
        <v>1</v>
      </c>
      <c r="AU5" s="14">
        <f>ROUND(VLOOKUP($C5,RLS!$C$26:$AN$31,38,FALSE)*'Unit Distribution'!$B$3,0)</f>
        <v>1</v>
      </c>
      <c r="AV5" s="14">
        <f>ROUND(VLOOKUP($C5,RLS!$C$26:$AN$31,38,FALSE)*'Unit Distribution'!$B$3,0)</f>
        <v>1</v>
      </c>
      <c r="AW5" s="14">
        <f>ROUND(VLOOKUP($C5,RLS!$C$26:$AN$31,38,FALSE)*'Unit Distribution'!$B$3,0)</f>
        <v>1</v>
      </c>
      <c r="AX5" s="14">
        <f>ROUND(VLOOKUP($C5,RLS!$C$26:$AN$31,38,FALSE)*'Unit Distribution'!$B$3,0)</f>
        <v>1</v>
      </c>
      <c r="AY5" s="14">
        <f>ROUND(VLOOKUP($C5,RLS!$C$26:$AN$31,38,FALSE)*'Unit Distribution'!$B$3,0)</f>
        <v>1</v>
      </c>
      <c r="AZ5" s="14">
        <f>ROUND(VLOOKUP($C5,RLS!$C$26:$AN$31,38,FALSE)*'Unit Distribution'!$B$3,0)</f>
        <v>1</v>
      </c>
      <c r="BA5" s="14">
        <f>ROUND(VLOOKUP($C5,RLS!$C$26:$AZ$31,50,FALSE)*'Unit Distribution'!$B$3,0)</f>
        <v>1</v>
      </c>
      <c r="BB5" s="14">
        <f>ROUND(VLOOKUP($C5,RLS!$C$26:$AZ$31,50,FALSE)*'Unit Distribution'!$B$3,0)</f>
        <v>1</v>
      </c>
      <c r="BC5" s="14">
        <f>ROUND(VLOOKUP($C5,RLS!$C$26:$AZ$31,50,FALSE)*'Unit Distribution'!$B$3,0)</f>
        <v>1</v>
      </c>
      <c r="BD5" s="14">
        <f>ROUND(VLOOKUP($C5,RLS!$C$26:$AZ$31,50,FALSE)*'Unit Distribution'!$B$3,0)</f>
        <v>1</v>
      </c>
      <c r="BE5" s="14">
        <f>ROUND(VLOOKUP($C5,RLS!$C$26:$AZ$31,50,FALSE)*'Unit Distribution'!$B$3,0)</f>
        <v>1</v>
      </c>
      <c r="BF5" s="14">
        <f>ROUND(VLOOKUP($C5,RLS!$C$26:$AZ$31,50,FALSE)*'Unit Distribution'!$B$3,0)</f>
        <v>1</v>
      </c>
      <c r="BG5" s="14">
        <f>ROUND(VLOOKUP($C5,RLS!$C$26:$AZ$31,50,FALSE)*'Unit Distribution'!$B$3,0)</f>
        <v>1</v>
      </c>
      <c r="BH5" s="14">
        <f>ROUND(VLOOKUP($C5,RLS!$C$26:$AZ$31,50,FALSE)*'Unit Distribution'!$B$3,0)</f>
        <v>1</v>
      </c>
      <c r="BI5" s="14">
        <f>ROUND(VLOOKUP($C5,RLS!$C$26:$AZ$31,50,FALSE)*'Unit Distribution'!$B$3,0)</f>
        <v>1</v>
      </c>
      <c r="BJ5" s="14">
        <f>ROUND(VLOOKUP($C5,RLS!$C$26:$AZ$31,50,FALSE)*'Unit Distribution'!$B$3,0)</f>
        <v>1</v>
      </c>
      <c r="BK5" s="14">
        <f>ROUND(VLOOKUP($C5,RLS!$C$26:$AZ$31,50,FALSE)*'Unit Distribution'!$B$3,0)</f>
        <v>1</v>
      </c>
      <c r="BL5" s="14">
        <f>ROUND(VLOOKUP($C5,RLS!$C$26:$AZ$31,50,FALSE)*'Unit Distribution'!$B$3,0)</f>
        <v>1</v>
      </c>
    </row>
    <row r="6" spans="1:64" x14ac:dyDescent="0.35">
      <c r="A6" t="s">
        <v>9</v>
      </c>
      <c r="B6" t="s">
        <v>19</v>
      </c>
      <c r="C6" t="str">
        <f t="shared" si="0"/>
        <v>DevIndia</v>
      </c>
      <c r="D6" t="s">
        <v>90</v>
      </c>
      <c r="E6" s="14">
        <f>ROUND(VLOOKUP($C6,RLS!$C$26:$O$31,3,FALSE)-E5,2)</f>
        <v>6</v>
      </c>
      <c r="F6" s="14">
        <f>ROUND(VLOOKUP($C6,RLS!$C$26:$O$31,3,FALSE)-F5,2)</f>
        <v>6</v>
      </c>
      <c r="G6" s="14">
        <f>ROUND(VLOOKUP($C6,RLS!$C$26:$O$31,3,FALSE)-G5,2)</f>
        <v>6</v>
      </c>
      <c r="H6" s="14">
        <f>ROUND(VLOOKUP($C6,RLS!$C$26:$O$31,3,FALSE)-H5,2)</f>
        <v>6</v>
      </c>
      <c r="I6" s="14">
        <f>ROUND(VLOOKUP($C6,RLS!$C$26:$O$31,3,FALSE)-I5,2)</f>
        <v>6</v>
      </c>
      <c r="J6" s="14">
        <f>ROUND(VLOOKUP($C6,RLS!$C$26:$O$31,3,FALSE)-J5,2)</f>
        <v>6</v>
      </c>
      <c r="K6" s="14">
        <f>ROUND(VLOOKUP($C6,RLS!$C$26:$O$31,3,FALSE)-K5,2)</f>
        <v>6</v>
      </c>
      <c r="L6" s="14">
        <f>ROUND(VLOOKUP($C6,RLS!$C$26:$O$31,3,FALSE)-L5,2)</f>
        <v>6</v>
      </c>
      <c r="M6" s="14">
        <f>ROUND(VLOOKUP($C6,RLS!$C$26:$O$31,3,FALSE)-M5,2)</f>
        <v>6</v>
      </c>
      <c r="N6" s="14">
        <f>ROUND(VLOOKUP($C6,RLS!$C$26:$O$31,3,FALSE)-N5,2)</f>
        <v>6</v>
      </c>
      <c r="O6" s="14">
        <f>ROUND(VLOOKUP($C6,RLS!$C$26:$O$31,3,FALSE)-O5,2)</f>
        <v>6</v>
      </c>
      <c r="P6" s="14">
        <f>ROUND(VLOOKUP($C6,RLS!$C$26:$O$31,3,FALSE)-P5,2)</f>
        <v>6</v>
      </c>
      <c r="Q6" s="14">
        <f>ROUND(VLOOKUP($C6,RLS!$C$26:$P$31,14,FALSE)-Q5,0)</f>
        <v>5</v>
      </c>
      <c r="R6" s="14">
        <f>ROUND(VLOOKUP($C6,RLS!$C$26:$P$31,14,FALSE)-R5,0)</f>
        <v>5</v>
      </c>
      <c r="S6" s="14">
        <f>ROUND(VLOOKUP($C6,RLS!$C$26:$P$31,14,FALSE)-S5,0)</f>
        <v>5</v>
      </c>
      <c r="T6" s="14">
        <f>ROUND(VLOOKUP($C6,RLS!$C$26:$P$31,14,FALSE)-T5,0)</f>
        <v>5</v>
      </c>
      <c r="U6" s="14">
        <f>ROUND(VLOOKUP($C6,RLS!$C$26:$P$31,14,FALSE)-U5,0)</f>
        <v>5</v>
      </c>
      <c r="V6" s="14">
        <f>ROUND(VLOOKUP($C6,RLS!$C$26:$P$31,14,FALSE)-V5,0)</f>
        <v>5</v>
      </c>
      <c r="W6" s="14">
        <f>ROUND(VLOOKUP($C6,RLS!$C$26:$P$31,14,FALSE)-W5,0)</f>
        <v>5</v>
      </c>
      <c r="X6" s="14">
        <f>ROUND(VLOOKUP($C6,RLS!$C$26:$P$31,14,FALSE)-X5,0)</f>
        <v>5</v>
      </c>
      <c r="Y6" s="14">
        <f>ROUND(VLOOKUP($C6,RLS!$C$26:$P$31,14,FALSE)-Y5,0)</f>
        <v>5</v>
      </c>
      <c r="Z6" s="14">
        <f>ROUND(VLOOKUP($C6,RLS!$C$26:$P$31,14,FALSE)-Z5,0)</f>
        <v>5</v>
      </c>
      <c r="AA6" s="14">
        <f>ROUND(VLOOKUP($C6,RLS!$C$26:$P$31,14,FALSE)-AA5,0)</f>
        <v>5</v>
      </c>
      <c r="AB6" s="14">
        <f>ROUND(VLOOKUP($C6,RLS!$C$26:$P$31,14,FALSE)-AB5,0)</f>
        <v>5</v>
      </c>
      <c r="AC6" s="14">
        <f>ROUND(VLOOKUP($C6,RLS!$C$26:$AB$31,26,FALSE)-AC5,0)</f>
        <v>5</v>
      </c>
      <c r="AD6" s="14">
        <f>ROUND(VLOOKUP($C6,RLS!$C$26:$AB$31,26,FALSE)-AD5,0)</f>
        <v>5</v>
      </c>
      <c r="AE6" s="14">
        <f>ROUND(VLOOKUP($C6,RLS!$C$26:$AB$31,26,FALSE)-AE5,0)</f>
        <v>5</v>
      </c>
      <c r="AF6" s="14">
        <f>ROUND(VLOOKUP($C6,RLS!$C$26:$AB$31,26,FALSE)-AF5,0)</f>
        <v>5</v>
      </c>
      <c r="AG6" s="14">
        <f>ROUND(VLOOKUP($C6,RLS!$C$26:$AB$31,26,FALSE)-AG5,0)</f>
        <v>5</v>
      </c>
      <c r="AH6" s="14">
        <f>ROUND(VLOOKUP($C6,RLS!$C$26:$AB$31,26,FALSE)-AH5,0)</f>
        <v>5</v>
      </c>
      <c r="AI6" s="14">
        <f>ROUND(VLOOKUP($C6,RLS!$C$26:$AB$31,26,FALSE)-AI5,0)</f>
        <v>5</v>
      </c>
      <c r="AJ6" s="14">
        <f>ROUND(VLOOKUP($C6,RLS!$C$26:$AB$31,26,FALSE)-AJ5,0)</f>
        <v>5</v>
      </c>
      <c r="AK6" s="14">
        <f>ROUND(VLOOKUP($C6,RLS!$C$26:$AB$31,26,FALSE)-AK5,0)</f>
        <v>5</v>
      </c>
      <c r="AL6" s="14">
        <f>ROUND(VLOOKUP($C6,RLS!$C$26:$AB$31,26,FALSE)-AL5,0)</f>
        <v>5</v>
      </c>
      <c r="AM6" s="14">
        <f>ROUND(VLOOKUP($C6,RLS!$C$26:$AB$31,26,FALSE)-AM5,0)</f>
        <v>5</v>
      </c>
      <c r="AN6" s="14">
        <f>ROUND(VLOOKUP($C6,RLS!$C$26:$AB$31,26,FALSE)-AN5,0)</f>
        <v>5</v>
      </c>
      <c r="AO6" s="14">
        <f>ROUND(VLOOKUP($C6,RLS!$C$26:$AN$31,38,FALSE)-AO5,0)</f>
        <v>3</v>
      </c>
      <c r="AP6" s="14">
        <f>ROUND(VLOOKUP($C6,RLS!$C$26:$AN$31,38,FALSE)-AP5,0)</f>
        <v>3</v>
      </c>
      <c r="AQ6" s="14">
        <f>ROUND(VLOOKUP($C6,RLS!$C$26:$AN$31,38,FALSE)-AQ5,0)</f>
        <v>3</v>
      </c>
      <c r="AR6" s="14">
        <f>ROUND(VLOOKUP($C6,RLS!$C$26:$AN$31,38,FALSE)-AR5,0)</f>
        <v>3</v>
      </c>
      <c r="AS6" s="14">
        <f>ROUND(VLOOKUP($C6,RLS!$C$26:$AN$31,38,FALSE)-AS5,0)</f>
        <v>3</v>
      </c>
      <c r="AT6" s="14">
        <f>ROUND(VLOOKUP($C6,RLS!$C$26:$AN$31,38,FALSE)-AT5,0)</f>
        <v>3</v>
      </c>
      <c r="AU6" s="14">
        <f>ROUND(VLOOKUP($C6,RLS!$C$26:$AN$31,38,FALSE)-AU5,0)</f>
        <v>3</v>
      </c>
      <c r="AV6" s="14">
        <f>ROUND(VLOOKUP($C6,RLS!$C$26:$AN$31,38,FALSE)-AV5,0)</f>
        <v>3</v>
      </c>
      <c r="AW6" s="14">
        <f>ROUND(VLOOKUP($C6,RLS!$C$26:$AN$31,38,FALSE)-AW5,0)</f>
        <v>3</v>
      </c>
      <c r="AX6" s="14">
        <f>ROUND(VLOOKUP($C6,RLS!$C$26:$AN$31,38,FALSE)-AX5,0)</f>
        <v>3</v>
      </c>
      <c r="AY6" s="14">
        <f>ROUND(VLOOKUP($C6,RLS!$C$26:$AN$31,38,FALSE)-AY5,0)</f>
        <v>3</v>
      </c>
      <c r="AZ6" s="14">
        <f>ROUND(VLOOKUP($C6,RLS!$C$26:$AN$31,38,FALSE)-AZ5,0)</f>
        <v>3</v>
      </c>
      <c r="BA6" s="14">
        <f>ROUND(VLOOKUP($C6,RLS!$C$26:$AZ$31,50,FALSE)-BA5,0)</f>
        <v>3</v>
      </c>
      <c r="BB6" s="14">
        <f>ROUND(VLOOKUP($C6,RLS!$C$26:$AZ$31,50,FALSE)-BB5,0)</f>
        <v>3</v>
      </c>
      <c r="BC6" s="14">
        <f>ROUND(VLOOKUP($C6,RLS!$C$26:$AZ$31,50,FALSE)-BC5,0)</f>
        <v>3</v>
      </c>
      <c r="BD6" s="14">
        <f>ROUND(VLOOKUP($C6,RLS!$C$26:$AZ$31,50,FALSE)-BD5,0)</f>
        <v>3</v>
      </c>
      <c r="BE6" s="14">
        <f>ROUND(VLOOKUP($C6,RLS!$C$26:$AZ$31,50,FALSE)-BE5,0)</f>
        <v>3</v>
      </c>
      <c r="BF6" s="14">
        <f>ROUND(VLOOKUP($C6,RLS!$C$26:$AZ$31,50,FALSE)-BF5,0)</f>
        <v>3</v>
      </c>
      <c r="BG6" s="14">
        <f>ROUND(VLOOKUP($C6,RLS!$C$26:$AZ$31,50,FALSE)-BG5,0)</f>
        <v>3</v>
      </c>
      <c r="BH6" s="14">
        <f>ROUND(VLOOKUP($C6,RLS!$C$26:$AZ$31,50,FALSE)-BH5,0)</f>
        <v>3</v>
      </c>
      <c r="BI6" s="14">
        <f>ROUND(VLOOKUP($C6,RLS!$C$26:$AZ$31,50,FALSE)-BI5,0)</f>
        <v>3</v>
      </c>
      <c r="BJ6" s="14">
        <f>ROUND(VLOOKUP($C6,RLS!$C$26:$AZ$31,50,FALSE)-BJ5,0)</f>
        <v>3</v>
      </c>
      <c r="BK6" s="14">
        <f>ROUND(VLOOKUP($C6,RLS!$C$26:$AZ$31,50,FALSE)-BK5,0)</f>
        <v>3</v>
      </c>
      <c r="BL6" s="14">
        <f>ROUND(VLOOKUP($C6,RLS!$C$26:$AZ$31,50,FALSE)-BL5,0)</f>
        <v>3</v>
      </c>
    </row>
    <row r="7" spans="1:64" x14ac:dyDescent="0.35">
      <c r="A7" t="s">
        <v>10</v>
      </c>
      <c r="B7" t="s">
        <v>19</v>
      </c>
      <c r="C7" t="str">
        <f t="shared" si="0"/>
        <v>TesterIndia</v>
      </c>
      <c r="D7" t="s">
        <v>89</v>
      </c>
      <c r="E7" s="14">
        <f>ROUND(VLOOKUP($C7,RLS!$C$26:$O$31,3, FALSE)*'Unit Distribution'!$B3,0)</f>
        <v>1</v>
      </c>
      <c r="F7" s="14">
        <f>ROUND(VLOOKUP($C7,RLS!$C$26:$O$31,3, FALSE)*'Unit Distribution'!$B3,0)</f>
        <v>1</v>
      </c>
      <c r="G7" s="14">
        <f>ROUND(VLOOKUP($C7,RLS!$C$26:$O$31,3, FALSE)*'Unit Distribution'!$B3,0)</f>
        <v>1</v>
      </c>
      <c r="H7" s="14">
        <f>ROUND(VLOOKUP($C7,RLS!$C$26:$O$31,3, FALSE)*'Unit Distribution'!$B3,0)</f>
        <v>1</v>
      </c>
      <c r="I7" s="14">
        <f>ROUND(VLOOKUP($C7,RLS!$C$26:$O$31,3, FALSE)*'Unit Distribution'!$B3,0)</f>
        <v>1</v>
      </c>
      <c r="J7" s="14">
        <f>ROUND(VLOOKUP($C7,RLS!$C$26:$O$31,3, FALSE)*'Unit Distribution'!$B3,0)</f>
        <v>1</v>
      </c>
      <c r="K7" s="14">
        <f>ROUND(VLOOKUP($C7,RLS!$C$26:$O$31,3, FALSE)*'Unit Distribution'!$B3,0)</f>
        <v>1</v>
      </c>
      <c r="L7" s="14">
        <f>ROUND(VLOOKUP($C7,RLS!$C$26:$O$31,3, FALSE)*'Unit Distribution'!$B3,0)</f>
        <v>1</v>
      </c>
      <c r="M7" s="14">
        <f>ROUND(VLOOKUP($C7,RLS!$C$26:$O$31,3, FALSE)*'Unit Distribution'!$B3,0)</f>
        <v>1</v>
      </c>
      <c r="N7" s="14">
        <f>ROUND(VLOOKUP($C7,RLS!$C$26:$O$31,3, FALSE)*'Unit Distribution'!$B3,0)</f>
        <v>1</v>
      </c>
      <c r="O7" s="14">
        <f>ROUND(VLOOKUP($C7,RLS!$C$26:$O$31,3, FALSE)*'Unit Distribution'!$B3,0)</f>
        <v>1</v>
      </c>
      <c r="P7" s="14">
        <f>ROUND(VLOOKUP($C7,RLS!$C$26:$O$31,3, FALSE)*'Unit Distribution'!$B3,0)</f>
        <v>1</v>
      </c>
      <c r="Q7" s="14">
        <f>ROUND(VLOOKUP($C7,RLS!$C$26:$P$31,14,FALSE)*'Unit Distribution'!$B$3,0)</f>
        <v>1</v>
      </c>
      <c r="R7" s="14">
        <f>ROUND(VLOOKUP($C7,RLS!$C$26:$P$31,14,FALSE)*'Unit Distribution'!$B$3,0)</f>
        <v>1</v>
      </c>
      <c r="S7" s="14">
        <f>ROUND(VLOOKUP($C7,RLS!$C$26:$P$31,14,FALSE)*'Unit Distribution'!$B$3,0)</f>
        <v>1</v>
      </c>
      <c r="T7" s="14">
        <f>ROUND(VLOOKUP($C7,RLS!$C$26:$P$31,14,FALSE)*'Unit Distribution'!$B$3,0)</f>
        <v>1</v>
      </c>
      <c r="U7" s="14">
        <f>ROUND(VLOOKUP($C7,RLS!$C$26:$P$31,14,FALSE)*'Unit Distribution'!$B$3,0)</f>
        <v>1</v>
      </c>
      <c r="V7" s="14">
        <f>ROUND(VLOOKUP($C7,RLS!$C$26:$P$31,14,FALSE)*'Unit Distribution'!$B$3,0)</f>
        <v>1</v>
      </c>
      <c r="W7" s="14">
        <f>ROUND(VLOOKUP($C7,RLS!$C$26:$P$31,14,FALSE)*'Unit Distribution'!$B$3,0)</f>
        <v>1</v>
      </c>
      <c r="X7" s="14">
        <f>ROUND(VLOOKUP($C7,RLS!$C$26:$P$31,14,FALSE)*'Unit Distribution'!$B$3,0)</f>
        <v>1</v>
      </c>
      <c r="Y7" s="14">
        <f>ROUND(VLOOKUP($C7,RLS!$C$26:$P$31,14,FALSE)*'Unit Distribution'!$B$3,0)</f>
        <v>1</v>
      </c>
      <c r="Z7" s="14">
        <f>ROUND(VLOOKUP($C7,RLS!$C$26:$P$31,14,FALSE)*'Unit Distribution'!$B$3,0)</f>
        <v>1</v>
      </c>
      <c r="AA7" s="14">
        <f>ROUND(VLOOKUP($C7,RLS!$C$26:$P$31,14,FALSE)*'Unit Distribution'!$B$3,0)</f>
        <v>1</v>
      </c>
      <c r="AB7" s="14">
        <f>ROUND(VLOOKUP($C7,RLS!$C$26:$P$31,14,FALSE)*'Unit Distribution'!$B$3,0)</f>
        <v>1</v>
      </c>
      <c r="AC7" s="14">
        <f>ROUND(VLOOKUP($C7,RLS!$C$26:$AB$31,26,FALSE)*'Unit Distribution'!$B$3,0)</f>
        <v>1</v>
      </c>
      <c r="AD7" s="14">
        <f>ROUND(VLOOKUP($C7,RLS!$C$26:$AB$31,26,FALSE)*'Unit Distribution'!$B$3,0)</f>
        <v>1</v>
      </c>
      <c r="AE7" s="14">
        <f>ROUND(VLOOKUP($C7,RLS!$C$26:$AB$31,26,FALSE)*'Unit Distribution'!$B$3,0)</f>
        <v>1</v>
      </c>
      <c r="AF7" s="14">
        <f>ROUND(VLOOKUP($C7,RLS!$C$26:$AB$31,26,FALSE)*'Unit Distribution'!$B$3,0)</f>
        <v>1</v>
      </c>
      <c r="AG7" s="14">
        <f>ROUND(VLOOKUP($C7,RLS!$C$26:$AB$31,26,FALSE)*'Unit Distribution'!$B$3,0)</f>
        <v>1</v>
      </c>
      <c r="AH7" s="14">
        <f>ROUND(VLOOKUP($C7,RLS!$C$26:$AB$31,26,FALSE)*'Unit Distribution'!$B$3,0)</f>
        <v>1</v>
      </c>
      <c r="AI7" s="14">
        <f>ROUND(VLOOKUP($C7,RLS!$C$26:$AB$31,26,FALSE)*'Unit Distribution'!$B$3,0)</f>
        <v>1</v>
      </c>
      <c r="AJ7" s="14">
        <f>ROUND(VLOOKUP($C7,RLS!$C$26:$AB$31,26,FALSE)*'Unit Distribution'!$B$3,0)</f>
        <v>1</v>
      </c>
      <c r="AK7" s="14">
        <f>ROUND(VLOOKUP($C7,RLS!$C$26:$AB$31,26,FALSE)*'Unit Distribution'!$B$3,0)</f>
        <v>1</v>
      </c>
      <c r="AL7" s="14">
        <f>ROUND(VLOOKUP($C7,RLS!$C$26:$AB$31,26,FALSE)*'Unit Distribution'!$B$3,0)</f>
        <v>1</v>
      </c>
      <c r="AM7" s="14">
        <f>ROUND(VLOOKUP($C7,RLS!$C$26:$AB$31,26,FALSE)*'Unit Distribution'!$B$3,0)</f>
        <v>1</v>
      </c>
      <c r="AN7" s="14">
        <f>ROUND(VLOOKUP($C7,RLS!$C$26:$AB$31,26,FALSE)*'Unit Distribution'!$B$3,0)</f>
        <v>1</v>
      </c>
      <c r="AO7" s="14">
        <f>ROUND(VLOOKUP($C7,RLS!$C$26:$AN$31,38,FALSE)*'Unit Distribution'!$B$3,0)</f>
        <v>1</v>
      </c>
      <c r="AP7" s="14">
        <f>ROUND(VLOOKUP($C7,RLS!$C$26:$AN$31,38,FALSE)*'Unit Distribution'!$B$3,0)</f>
        <v>1</v>
      </c>
      <c r="AQ7" s="14">
        <f>ROUND(VLOOKUP($C7,RLS!$C$26:$AN$31,38,FALSE)*'Unit Distribution'!$B$3,0)</f>
        <v>1</v>
      </c>
      <c r="AR7" s="14">
        <f>ROUND(VLOOKUP($C7,RLS!$C$26:$AN$31,38,FALSE)*'Unit Distribution'!$B$3,0)</f>
        <v>1</v>
      </c>
      <c r="AS7" s="14">
        <f>ROUND(VLOOKUP($C7,RLS!$C$26:$AN$31,38,FALSE)*'Unit Distribution'!$B$3,0)</f>
        <v>1</v>
      </c>
      <c r="AT7" s="14">
        <f>ROUND(VLOOKUP($C7,RLS!$C$26:$AN$31,38,FALSE)*'Unit Distribution'!$B$3,0)</f>
        <v>1</v>
      </c>
      <c r="AU7" s="14">
        <f>ROUND(VLOOKUP($C7,RLS!$C$26:$AN$31,38,FALSE)*'Unit Distribution'!$B$3,0)</f>
        <v>1</v>
      </c>
      <c r="AV7" s="14">
        <f>ROUND(VLOOKUP($C7,RLS!$C$26:$AN$31,38,FALSE)*'Unit Distribution'!$B$3,0)</f>
        <v>1</v>
      </c>
      <c r="AW7" s="14">
        <f>ROUND(VLOOKUP($C7,RLS!$C$26:$AN$31,38,FALSE)*'Unit Distribution'!$B$3,0)</f>
        <v>1</v>
      </c>
      <c r="AX7" s="14">
        <f>ROUND(VLOOKUP($C7,RLS!$C$26:$AN$31,38,FALSE)*'Unit Distribution'!$B$3,0)</f>
        <v>1</v>
      </c>
      <c r="AY7" s="14">
        <f>ROUND(VLOOKUP($C7,RLS!$C$26:$AN$31,38,FALSE)*'Unit Distribution'!$B$3,0)</f>
        <v>1</v>
      </c>
      <c r="AZ7" s="14">
        <f>ROUND(VLOOKUP($C7,RLS!$C$26:$AN$31,38,FALSE)*'Unit Distribution'!$B$3,0)</f>
        <v>1</v>
      </c>
      <c r="BA7" s="14">
        <f>ROUND(VLOOKUP($C7,RLS!$C$26:$AZ$31,50,FALSE)*'Unit Distribution'!$B$3,0)</f>
        <v>1</v>
      </c>
      <c r="BB7" s="14">
        <f>ROUND(VLOOKUP($C7,RLS!$C$26:$AZ$31,50,FALSE)*'Unit Distribution'!$B$3,0)</f>
        <v>1</v>
      </c>
      <c r="BC7" s="14">
        <f>ROUND(VLOOKUP($C7,RLS!$C$26:$AZ$31,50,FALSE)*'Unit Distribution'!$B$3,0)</f>
        <v>1</v>
      </c>
      <c r="BD7" s="14">
        <f>ROUND(VLOOKUP($C7,RLS!$C$26:$AZ$31,50,FALSE)*'Unit Distribution'!$B$3,0)</f>
        <v>1</v>
      </c>
      <c r="BE7" s="14">
        <f>ROUND(VLOOKUP($C7,RLS!$C$26:$AZ$31,50,FALSE)*'Unit Distribution'!$B$3,0)</f>
        <v>1</v>
      </c>
      <c r="BF7" s="14">
        <f>ROUND(VLOOKUP($C7,RLS!$C$26:$AZ$31,50,FALSE)*'Unit Distribution'!$B$3,0)</f>
        <v>1</v>
      </c>
      <c r="BG7" s="14">
        <f>ROUND(VLOOKUP($C7,RLS!$C$26:$AZ$31,50,FALSE)*'Unit Distribution'!$B$3,0)</f>
        <v>1</v>
      </c>
      <c r="BH7" s="14">
        <f>ROUND(VLOOKUP($C7,RLS!$C$26:$AZ$31,50,FALSE)*'Unit Distribution'!$B$3,0)</f>
        <v>1</v>
      </c>
      <c r="BI7" s="14">
        <f>ROUND(VLOOKUP($C7,RLS!$C$26:$AZ$31,50,FALSE)*'Unit Distribution'!$B$3,0)</f>
        <v>1</v>
      </c>
      <c r="BJ7" s="14">
        <f>ROUND(VLOOKUP($C7,RLS!$C$26:$AZ$31,50,FALSE)*'Unit Distribution'!$B$3,0)</f>
        <v>1</v>
      </c>
      <c r="BK7" s="14">
        <f>ROUND(VLOOKUP($C7,RLS!$C$26:$AZ$31,50,FALSE)*'Unit Distribution'!$B$3,0)</f>
        <v>1</v>
      </c>
      <c r="BL7" s="14">
        <f>ROUND(VLOOKUP($C7,RLS!$C$26:$AZ$31,50,FALSE)*'Unit Distribution'!$B$3,0)</f>
        <v>1</v>
      </c>
    </row>
    <row r="8" spans="1:64" x14ac:dyDescent="0.35">
      <c r="A8" t="s">
        <v>10</v>
      </c>
      <c r="B8" t="s">
        <v>19</v>
      </c>
      <c r="C8" t="str">
        <f t="shared" si="0"/>
        <v>TesterIndia</v>
      </c>
      <c r="D8" t="s">
        <v>90</v>
      </c>
      <c r="E8" s="14">
        <f>ROUND(VLOOKUP($C8,RLS!$C$26:$O$31,3,FALSE)-E7,0)</f>
        <v>3</v>
      </c>
      <c r="F8" s="14">
        <f>ROUND(VLOOKUP($C8,RLS!$C$26:$O$31,3,FALSE)-F7,0)</f>
        <v>3</v>
      </c>
      <c r="G8" s="14">
        <f>ROUND(VLOOKUP($C8,RLS!$C$26:$O$31,3,FALSE)-G7,0)</f>
        <v>3</v>
      </c>
      <c r="H8" s="14">
        <f>ROUND(VLOOKUP($C8,RLS!$C$26:$O$31,3,FALSE)-H7,0)</f>
        <v>3</v>
      </c>
      <c r="I8" s="14">
        <f>ROUND(VLOOKUP($C8,RLS!$C$26:$O$31,3,FALSE)-I7,0)</f>
        <v>3</v>
      </c>
      <c r="J8" s="14">
        <f>ROUND(VLOOKUP($C8,RLS!$C$26:$O$31,3,FALSE)-J7,0)</f>
        <v>3</v>
      </c>
      <c r="K8" s="14">
        <f>ROUND(VLOOKUP($C8,RLS!$C$26:$O$31,3,FALSE)-K7,0)</f>
        <v>3</v>
      </c>
      <c r="L8" s="14">
        <f>ROUND(VLOOKUP($C8,RLS!$C$26:$O$31,3,FALSE)-L7,0)</f>
        <v>3</v>
      </c>
      <c r="M8" s="14">
        <f>ROUND(VLOOKUP($C8,RLS!$C$26:$O$31,3,FALSE)-M7,0)</f>
        <v>3</v>
      </c>
      <c r="N8" s="14">
        <f>ROUND(VLOOKUP($C8,RLS!$C$26:$O$31,3,FALSE)-N7,0)</f>
        <v>3</v>
      </c>
      <c r="O8" s="14">
        <f>ROUND(VLOOKUP($C8,RLS!$C$26:$O$31,3,FALSE)-O7,0)</f>
        <v>3</v>
      </c>
      <c r="P8" s="14">
        <f>ROUND(VLOOKUP($C8,RLS!$C$26:$O$31,3,FALSE)-P7,0)</f>
        <v>3</v>
      </c>
      <c r="Q8" s="14">
        <f>ROUND(VLOOKUP($C8,RLS!$C$26:$P$31,14,FALSE)-Q7,0)</f>
        <v>3</v>
      </c>
      <c r="R8" s="14">
        <f>ROUND(VLOOKUP($C8,RLS!$C$26:$P$31,14,FALSE)-R7,0)</f>
        <v>3</v>
      </c>
      <c r="S8" s="14">
        <f>ROUND(VLOOKUP($C8,RLS!$C$26:$P$31,14,FALSE)-S7,0)</f>
        <v>3</v>
      </c>
      <c r="T8" s="14">
        <f>ROUND(VLOOKUP($C8,RLS!$C$26:$P$31,14,FALSE)-T7,0)</f>
        <v>3</v>
      </c>
      <c r="U8" s="14">
        <f>ROUND(VLOOKUP($C8,RLS!$C$26:$P$31,14,FALSE)-U7,0)</f>
        <v>3</v>
      </c>
      <c r="V8" s="14">
        <f>ROUND(VLOOKUP($C8,RLS!$C$26:$P$31,14,FALSE)-V7,0)</f>
        <v>3</v>
      </c>
      <c r="W8" s="14">
        <f>ROUND(VLOOKUP($C8,RLS!$C$26:$P$31,14,FALSE)-W7,0)</f>
        <v>3</v>
      </c>
      <c r="X8" s="14">
        <f>ROUND(VLOOKUP($C8,RLS!$C$26:$P$31,14,FALSE)-X7,0)</f>
        <v>3</v>
      </c>
      <c r="Y8" s="14">
        <f>ROUND(VLOOKUP($C8,RLS!$C$26:$P$31,14,FALSE)-Y7,0)</f>
        <v>3</v>
      </c>
      <c r="Z8" s="14">
        <f>ROUND(VLOOKUP($C8,RLS!$C$26:$P$31,14,FALSE)-Z7,0)</f>
        <v>3</v>
      </c>
      <c r="AA8" s="14">
        <f>ROUND(VLOOKUP($C8,RLS!$C$26:$P$31,14,FALSE)-AA7,0)</f>
        <v>3</v>
      </c>
      <c r="AB8" s="14">
        <f>ROUND(VLOOKUP($C8,RLS!$C$26:$P$31,14,FALSE)-AB7,0)</f>
        <v>3</v>
      </c>
      <c r="AC8" s="14">
        <f>ROUND(VLOOKUP($C8,RLS!$C$26:$AB$31,26,FALSE)-AC7,0)</f>
        <v>3</v>
      </c>
      <c r="AD8" s="14">
        <f>ROUND(VLOOKUP($C8,RLS!$C$26:$AB$31,26,FALSE)-AD7,0)</f>
        <v>3</v>
      </c>
      <c r="AE8" s="14">
        <f>ROUND(VLOOKUP($C8,RLS!$C$26:$AB$31,26,FALSE)-AE7,0)</f>
        <v>3</v>
      </c>
      <c r="AF8" s="14">
        <f>ROUND(VLOOKUP($C8,RLS!$C$26:$AB$31,26,FALSE)-AF7,0)</f>
        <v>3</v>
      </c>
      <c r="AG8" s="14">
        <f>ROUND(VLOOKUP($C8,RLS!$C$26:$AB$31,26,FALSE)-AG7,0)</f>
        <v>3</v>
      </c>
      <c r="AH8" s="14">
        <f>ROUND(VLOOKUP($C8,RLS!$C$26:$AB$31,26,FALSE)-AH7,0)</f>
        <v>3</v>
      </c>
      <c r="AI8" s="14">
        <f>ROUND(VLOOKUP($C8,RLS!$C$26:$AB$31,26,FALSE)-AI7,0)</f>
        <v>3</v>
      </c>
      <c r="AJ8" s="14">
        <f>ROUND(VLOOKUP($C8,RLS!$C$26:$AB$31,26,FALSE)-AJ7,0)</f>
        <v>3</v>
      </c>
      <c r="AK8" s="14">
        <f>ROUND(VLOOKUP($C8,RLS!$C$26:$AB$31,26,FALSE)-AK7,0)</f>
        <v>3</v>
      </c>
      <c r="AL8" s="14">
        <f>ROUND(VLOOKUP($C8,RLS!$C$26:$AB$31,26,FALSE)-AL7,0)</f>
        <v>3</v>
      </c>
      <c r="AM8" s="14">
        <f>ROUND(VLOOKUP($C8,RLS!$C$26:$AB$31,26,FALSE)-AM7,0)</f>
        <v>3</v>
      </c>
      <c r="AN8" s="14">
        <f>ROUND(VLOOKUP($C8,RLS!$C$26:$AB$31,26,FALSE)-AN7,0)</f>
        <v>3</v>
      </c>
      <c r="AO8" s="14">
        <f>ROUND(VLOOKUP($C8,RLS!$C$26:$AN$31,38,FALSE)-AO7,0)</f>
        <v>1</v>
      </c>
      <c r="AP8" s="14">
        <f>ROUND(VLOOKUP($C8,RLS!$C$26:$AN$31,38,FALSE)-AP7,0)</f>
        <v>1</v>
      </c>
      <c r="AQ8" s="14">
        <f>ROUND(VLOOKUP($C8,RLS!$C$26:$AN$31,38,FALSE)-AQ7,0)</f>
        <v>1</v>
      </c>
      <c r="AR8" s="14">
        <f>ROUND(VLOOKUP($C8,RLS!$C$26:$AN$31,38,FALSE)-AR7,0)</f>
        <v>1</v>
      </c>
      <c r="AS8" s="14">
        <f>ROUND(VLOOKUP($C8,RLS!$C$26:$AN$31,38,FALSE)-AS7,0)</f>
        <v>1</v>
      </c>
      <c r="AT8" s="14">
        <f>ROUND(VLOOKUP($C8,RLS!$C$26:$AN$31,38,FALSE)-AT7,0)</f>
        <v>1</v>
      </c>
      <c r="AU8" s="14">
        <f>ROUND(VLOOKUP($C8,RLS!$C$26:$AN$31,38,FALSE)-AU7,0)</f>
        <v>1</v>
      </c>
      <c r="AV8" s="14">
        <f>ROUND(VLOOKUP($C8,RLS!$C$26:$AN$31,38,FALSE)-AV7,0)</f>
        <v>1</v>
      </c>
      <c r="AW8" s="14">
        <f>ROUND(VLOOKUP($C8,RLS!$C$26:$AN$31,38,FALSE)-AW7,0)</f>
        <v>1</v>
      </c>
      <c r="AX8" s="14">
        <f>ROUND(VLOOKUP($C8,RLS!$C$26:$AN$31,38,FALSE)-AX7,0)</f>
        <v>1</v>
      </c>
      <c r="AY8" s="14">
        <f>ROUND(VLOOKUP($C8,RLS!$C$26:$AN$31,38,FALSE)-AY7,0)</f>
        <v>1</v>
      </c>
      <c r="AZ8" s="14">
        <f>ROUND(VLOOKUP($C8,RLS!$C$26:$AN$31,38,FALSE)-AZ7,0)</f>
        <v>1</v>
      </c>
      <c r="BA8" s="14">
        <f>ROUND(VLOOKUP($C8,RLS!$C$26:$AZ$31,50,FALSE)-BA7,0)</f>
        <v>1</v>
      </c>
      <c r="BB8" s="14">
        <f>ROUND(VLOOKUP($C8,RLS!$C$26:$AZ$31,50,FALSE)-BB7,0)</f>
        <v>1</v>
      </c>
      <c r="BC8" s="14">
        <f>ROUND(VLOOKUP($C8,RLS!$C$26:$AZ$31,50,FALSE)-BC7,0)</f>
        <v>1</v>
      </c>
      <c r="BD8" s="14">
        <f>ROUND(VLOOKUP($C8,RLS!$C$26:$AZ$31,50,FALSE)-BD7,0)</f>
        <v>1</v>
      </c>
      <c r="BE8" s="14">
        <f>ROUND(VLOOKUP($C8,RLS!$C$26:$AZ$31,50,FALSE)-BE7,0)</f>
        <v>1</v>
      </c>
      <c r="BF8" s="14">
        <f>ROUND(VLOOKUP($C8,RLS!$C$26:$AZ$31,50,FALSE)-BF7,0)</f>
        <v>1</v>
      </c>
      <c r="BG8" s="14">
        <f>ROUND(VLOOKUP($C8,RLS!$C$26:$AZ$31,50,FALSE)-BG7,0)</f>
        <v>1</v>
      </c>
      <c r="BH8" s="14">
        <f>ROUND(VLOOKUP($C8,RLS!$C$26:$AZ$31,50,FALSE)-BH7,0)</f>
        <v>1</v>
      </c>
      <c r="BI8" s="14">
        <f>ROUND(VLOOKUP($C8,RLS!$C$26:$AZ$31,50,FALSE)-BI7,0)</f>
        <v>1</v>
      </c>
      <c r="BJ8" s="14">
        <f>ROUND(VLOOKUP($C8,RLS!$C$26:$AZ$31,50,FALSE)-BJ7,0)</f>
        <v>1</v>
      </c>
      <c r="BK8" s="14">
        <f>ROUND(VLOOKUP($C8,RLS!$C$26:$AZ$31,50,FALSE)-BK7,0)</f>
        <v>1</v>
      </c>
      <c r="BL8" s="14">
        <f>ROUND(VLOOKUP($C8,RLS!$C$26:$AZ$31,50,FALSE)-BL7,0)</f>
        <v>1</v>
      </c>
    </row>
    <row r="9" spans="1:64" x14ac:dyDescent="0.35">
      <c r="A9" t="s">
        <v>21</v>
      </c>
      <c r="B9" t="s">
        <v>19</v>
      </c>
      <c r="C9" t="str">
        <f t="shared" si="0"/>
        <v>MaintenanceIndia</v>
      </c>
      <c r="D9" t="s">
        <v>91</v>
      </c>
      <c r="E9" s="14">
        <f>ROUND(VLOOKUP($C9,RLS!$C$26:$O$31,3, FALSE),0)</f>
        <v>5</v>
      </c>
      <c r="F9" s="14">
        <f>ROUND(VLOOKUP($C9,RLS!$C$26:$O$31,3, FALSE),0)</f>
        <v>5</v>
      </c>
      <c r="G9" s="14">
        <f>ROUND(VLOOKUP($C9,RLS!$C$26:$O$31,3, FALSE),0)</f>
        <v>5</v>
      </c>
      <c r="H9" s="14">
        <f>ROUND(VLOOKUP($C9,RLS!$C$26:$O$31,3, FALSE),0)</f>
        <v>5</v>
      </c>
      <c r="I9" s="14">
        <f>ROUND(VLOOKUP($C9,RLS!$C$26:$O$31,3, FALSE),0)</f>
        <v>5</v>
      </c>
      <c r="J9" s="14">
        <f>ROUND(VLOOKUP($C9,RLS!$C$26:$O$31,3, FALSE),0)</f>
        <v>5</v>
      </c>
      <c r="K9" s="14">
        <f>ROUND(VLOOKUP($C9,RLS!$C$26:$O$31,3, FALSE),0)</f>
        <v>5</v>
      </c>
      <c r="L9" s="14">
        <f>ROUND(VLOOKUP($C9,RLS!$C$26:$O$31,3, FALSE),0)</f>
        <v>5</v>
      </c>
      <c r="M9" s="14">
        <f>ROUND(VLOOKUP($C9,RLS!$C$26:$O$31,3, FALSE),0)</f>
        <v>5</v>
      </c>
      <c r="N9" s="14">
        <f>ROUND(VLOOKUP($C9,RLS!$C$26:$O$31,3, FALSE),0)</f>
        <v>5</v>
      </c>
      <c r="O9" s="14">
        <f>ROUND(VLOOKUP($C9,RLS!$C$26:$O$31,3, FALSE),0)</f>
        <v>5</v>
      </c>
      <c r="P9" s="14">
        <f>ROUND(VLOOKUP($C9,RLS!$C$26:$O$31,4, FALSE),0)</f>
        <v>5</v>
      </c>
      <c r="Q9" s="14">
        <f>ROUND(VLOOKUP($C9,RLS!$C$26:$P$31,14,FALSE),0)</f>
        <v>5</v>
      </c>
      <c r="R9" s="14">
        <f>ROUND(VLOOKUP($C9,RLS!$C$26:$P$31,14,FALSE),0)</f>
        <v>5</v>
      </c>
      <c r="S9" s="14">
        <f>ROUND(VLOOKUP($C9,RLS!$C$26:$P$31,14,FALSE),0)</f>
        <v>5</v>
      </c>
      <c r="T9" s="14">
        <f>ROUND(VLOOKUP($C9,RLS!$C$26:$P$31,14,FALSE),0)</f>
        <v>5</v>
      </c>
      <c r="U9" s="14">
        <f>ROUND(VLOOKUP($C9,RLS!$C$26:$P$31,14,FALSE),0)</f>
        <v>5</v>
      </c>
      <c r="V9" s="14">
        <f>ROUND(VLOOKUP($C9,RLS!$C$26:$P$31,14,FALSE),0)</f>
        <v>5</v>
      </c>
      <c r="W9" s="14">
        <f>ROUND(VLOOKUP($C9,RLS!$C$26:$P$31,14,FALSE),0)</f>
        <v>5</v>
      </c>
      <c r="X9" s="14">
        <f>ROUND(VLOOKUP($C9,RLS!$C$26:$P$31,14,FALSE),0)</f>
        <v>5</v>
      </c>
      <c r="Y9" s="14">
        <f>ROUND(VLOOKUP($C9,RLS!$C$26:$P$31,14,FALSE),0)</f>
        <v>5</v>
      </c>
      <c r="Z9" s="14">
        <f>ROUND(VLOOKUP($C9,RLS!$C$26:$P$31,14,FALSE),0)</f>
        <v>5</v>
      </c>
      <c r="AA9" s="14">
        <f>ROUND(VLOOKUP($C9,RLS!$C$26:$P$31,14,FALSE),0)</f>
        <v>5</v>
      </c>
      <c r="AB9" s="14">
        <f>ROUND(VLOOKUP($C9,RLS!$C$26:$P$31,14,FALSE),0)</f>
        <v>5</v>
      </c>
      <c r="AC9" s="14">
        <f>ROUND(VLOOKUP($C9,RLS!$C$26:$AB$31,26,FALSE),0)</f>
        <v>4</v>
      </c>
      <c r="AD9" s="14">
        <f>ROUND(VLOOKUP($C9,RLS!$C$26:$AB$31,26,FALSE),0)-1</f>
        <v>3</v>
      </c>
      <c r="AE9" s="14">
        <f>ROUND(VLOOKUP($C9,RLS!$C$26:$AB$31,26,FALSE),0)-1</f>
        <v>3</v>
      </c>
      <c r="AF9" s="14">
        <f>ROUND(VLOOKUP($C9,RLS!$C$26:$AB$31,26,FALSE),0)-1</f>
        <v>3</v>
      </c>
      <c r="AG9" s="14">
        <f>ROUND(VLOOKUP($C9,RLS!$C$26:$AB$31,26,FALSE),0)-1</f>
        <v>3</v>
      </c>
      <c r="AH9" s="14">
        <f>ROUND(VLOOKUP($C9,RLS!$C$26:$AB$31,26,FALSE),0)-1</f>
        <v>3</v>
      </c>
      <c r="AI9" s="14">
        <f>ROUND(VLOOKUP($C9,RLS!$C$26:$AB$31,26,FALSE),0)-1</f>
        <v>3</v>
      </c>
      <c r="AJ9" s="14">
        <f>ROUND(VLOOKUP($C9,RLS!$C$26:$AB$31,26,FALSE),0)-1</f>
        <v>3</v>
      </c>
      <c r="AK9" s="14">
        <f>ROUND(VLOOKUP($C9,RLS!$C$26:$AB$31,26,FALSE),0)-1</f>
        <v>3</v>
      </c>
      <c r="AL9" s="14">
        <f>ROUND(VLOOKUP($C9,RLS!$C$26:$AB$31,26,FALSE),0)-1</f>
        <v>3</v>
      </c>
      <c r="AM9" s="14">
        <f>ROUND(VLOOKUP($C9,RLS!$C$26:$AB$31,26,FALSE),0)-1</f>
        <v>3</v>
      </c>
      <c r="AN9" s="14">
        <f>ROUND(VLOOKUP($C9,RLS!$C$26:$AB$31,26,FALSE),0)-1</f>
        <v>3</v>
      </c>
      <c r="AO9" s="14">
        <f>ROUND(VLOOKUP($C9,RLS!$C$26:$AN$31,38,FALSE),0)</f>
        <v>3</v>
      </c>
      <c r="AP9" s="14">
        <f>ROUND(VLOOKUP($C9,RLS!$C$26:$AN$31,38,FALSE),0)</f>
        <v>3</v>
      </c>
      <c r="AQ9" s="14">
        <f>ROUND(VLOOKUP($C9,RLS!$C$26:$AN$31,38,FALSE),0)</f>
        <v>3</v>
      </c>
      <c r="AR9" s="14">
        <f>ROUND(VLOOKUP($C9,RLS!$C$26:$AN$31,38,FALSE),0)</f>
        <v>3</v>
      </c>
      <c r="AS9" s="14">
        <f>ROUND(VLOOKUP($C9,RLS!$C$26:$AN$31,38,FALSE),0)</f>
        <v>3</v>
      </c>
      <c r="AT9" s="14">
        <f>ROUND(VLOOKUP($C9,RLS!$C$26:$AN$31,38,FALSE),0)</f>
        <v>3</v>
      </c>
      <c r="AU9" s="14">
        <f>ROUND(VLOOKUP($C9,RLS!$C$26:$AN$31,38,FALSE),0)</f>
        <v>3</v>
      </c>
      <c r="AV9" s="14">
        <f>ROUND(VLOOKUP($C9,RLS!$C$26:$AN$31,38,FALSE),0)</f>
        <v>3</v>
      </c>
      <c r="AW9" s="14">
        <f>ROUND(VLOOKUP($C9,RLS!$C$26:$AN$31,38,FALSE),0)</f>
        <v>3</v>
      </c>
      <c r="AX9" s="14">
        <f>ROUND(VLOOKUP($C9,RLS!$C$26:$AN$31,38,FALSE),0)</f>
        <v>3</v>
      </c>
      <c r="AY9" s="14">
        <f>ROUND(VLOOKUP($C9,RLS!$C$26:$AN$31,38,FALSE),0)</f>
        <v>3</v>
      </c>
      <c r="AZ9" s="14">
        <f>ROUND(VLOOKUP($C9,RLS!$C$26:$AN$31,38,FALSE),0)</f>
        <v>3</v>
      </c>
      <c r="BA9" s="14">
        <f>ROUND(VLOOKUP($C9,RLS!$C$26:$AZ$31,50,FALSE),0)</f>
        <v>4</v>
      </c>
      <c r="BB9" s="14">
        <f>ROUND(VLOOKUP($C9,RLS!$C$26:$AZ$31,50,FALSE),0)</f>
        <v>4</v>
      </c>
      <c r="BC9" s="14">
        <f>ROUND(VLOOKUP($C9,RLS!$C$26:$AZ$31,50,FALSE),0)</f>
        <v>4</v>
      </c>
      <c r="BD9" s="14">
        <f>ROUND(VLOOKUP($C9,RLS!$C$26:$AZ$31,50,FALSE),0)</f>
        <v>4</v>
      </c>
      <c r="BE9" s="14">
        <f>ROUND(VLOOKUP($C9,RLS!$C$26:$AZ$31,50,FALSE),0)</f>
        <v>4</v>
      </c>
      <c r="BF9" s="14">
        <f>ROUND(VLOOKUP($C9,RLS!$C$26:$AZ$31,50,FALSE),0)</f>
        <v>4</v>
      </c>
      <c r="BG9" s="14">
        <f>ROUND(VLOOKUP($C9,RLS!$C$26:$AZ$31,50,FALSE),0)</f>
        <v>4</v>
      </c>
      <c r="BH9" s="14">
        <f>ROUND(VLOOKUP($C9,RLS!$C$26:$AZ$31,50,FALSE),0)</f>
        <v>4</v>
      </c>
      <c r="BI9" s="14">
        <f>ROUND(VLOOKUP($C9,RLS!$C$26:$AZ$31,50,FALSE),0)</f>
        <v>4</v>
      </c>
      <c r="BJ9" s="14">
        <f>ROUND(VLOOKUP($C9,RLS!$C$26:$AZ$31,50,FALSE),0)</f>
        <v>4</v>
      </c>
      <c r="BK9" s="14">
        <f>ROUND(VLOOKUP($C9,RLS!$C$26:$AZ$31,50,FALSE),0)</f>
        <v>4</v>
      </c>
      <c r="BL9" s="14">
        <f>ROUND(VLOOKUP($C9,RLS!$C$26:$AZ$31,50,FALSE),0)</f>
        <v>4</v>
      </c>
    </row>
    <row r="10" spans="1:64" x14ac:dyDescent="0.35">
      <c r="A10" t="s">
        <v>6</v>
      </c>
      <c r="B10" t="s">
        <v>19</v>
      </c>
      <c r="C10" t="str">
        <f t="shared" si="0"/>
        <v>PMIndia</v>
      </c>
      <c r="D10" t="s">
        <v>92</v>
      </c>
      <c r="E10" s="14">
        <f>ROUND(VLOOKUP($C10,RLS!$C$26:$O$31,3, FALSE),0)</f>
        <v>2</v>
      </c>
      <c r="F10" s="14">
        <f>ROUND(VLOOKUP($C10,RLS!$C$26:$O$31,3, FALSE),0)</f>
        <v>2</v>
      </c>
      <c r="G10" s="14">
        <f>ROUND(VLOOKUP($C10,RLS!$C$26:$O$31,3, FALSE),0)</f>
        <v>2</v>
      </c>
      <c r="H10" s="14">
        <f>ROUND(VLOOKUP($C10,RLS!$C$26:$O$31,3, FALSE),0)</f>
        <v>2</v>
      </c>
      <c r="I10" s="14">
        <f>ROUND(VLOOKUP($C10,RLS!$C$26:$O$31,3, FALSE),0)</f>
        <v>2</v>
      </c>
      <c r="J10" s="14">
        <f>ROUND(VLOOKUP($C10,RLS!$C$26:$O$31,3, FALSE),0)</f>
        <v>2</v>
      </c>
      <c r="K10" s="14">
        <f>ROUND(VLOOKUP($C10,RLS!$C$26:$O$31,3, FALSE),0)</f>
        <v>2</v>
      </c>
      <c r="L10" s="14">
        <f>ROUND(VLOOKUP($C10,RLS!$C$26:$O$31,3, FALSE),0)</f>
        <v>2</v>
      </c>
      <c r="M10" s="14">
        <f>ROUND(VLOOKUP($C10,RLS!$C$26:$O$31,3, FALSE),0)</f>
        <v>2</v>
      </c>
      <c r="N10" s="14">
        <f>ROUND(VLOOKUP($C10,RLS!$C$26:$O$31,3, FALSE),0)</f>
        <v>2</v>
      </c>
      <c r="O10" s="14">
        <f>ROUND(VLOOKUP($C10,RLS!$C$26:$O$31,3, FALSE),0)</f>
        <v>2</v>
      </c>
      <c r="P10" s="14">
        <f>ROUND(VLOOKUP($C10,RLS!$C$26:$O$31,3, FALSE),0)</f>
        <v>2</v>
      </c>
      <c r="Q10" s="14">
        <f>ROUND(VLOOKUP($C10,RLS!$C$26:$P$31,14,FALSE),0)</f>
        <v>2</v>
      </c>
      <c r="R10" s="14">
        <f>ROUND(VLOOKUP($C10,RLS!$C$26:$P$31,14,FALSE),0)</f>
        <v>2</v>
      </c>
      <c r="S10" s="14">
        <f>ROUND(VLOOKUP($C10,RLS!$C$26:$P$31,14,FALSE),0)</f>
        <v>2</v>
      </c>
      <c r="T10" s="14">
        <f>ROUND(VLOOKUP($C10,RLS!$C$26:$P$31,14,FALSE),0)</f>
        <v>2</v>
      </c>
      <c r="U10" s="14">
        <f>ROUND(VLOOKUP($C10,RLS!$C$26:$P$31,14,FALSE),0)</f>
        <v>2</v>
      </c>
      <c r="V10" s="14">
        <f>ROUND(VLOOKUP($C10,RLS!$C$26:$P$31,14,FALSE),0)</f>
        <v>2</v>
      </c>
      <c r="W10" s="14">
        <f>ROUND(VLOOKUP($C10,RLS!$C$26:$P$31,14,FALSE),0)</f>
        <v>2</v>
      </c>
      <c r="X10" s="14">
        <f>ROUND(VLOOKUP($C10,RLS!$C$26:$P$31,14,FALSE),0)</f>
        <v>2</v>
      </c>
      <c r="Y10" s="14">
        <f>ROUND(VLOOKUP($C10,RLS!$C$26:$P$31,14,FALSE),0)</f>
        <v>2</v>
      </c>
      <c r="Z10" s="14">
        <f>ROUND(VLOOKUP($C10,RLS!$C$26:$P$31,14,FALSE),0)</f>
        <v>2</v>
      </c>
      <c r="AA10" s="14">
        <f>ROUND(VLOOKUP($C10,RLS!$C$26:$P$31,14,FALSE),0)</f>
        <v>2</v>
      </c>
      <c r="AB10" s="14">
        <f>ROUND(VLOOKUP($C10,RLS!$C$26:$P$31,14,FALSE),0)</f>
        <v>2</v>
      </c>
      <c r="AC10" s="14">
        <f>ROUND(VLOOKUP($C10,RLS!$C$26:$AB$31,26,FALSE),0)</f>
        <v>2</v>
      </c>
      <c r="AD10" s="14">
        <f>ROUND(VLOOKUP($C10,RLS!$C$26:$AB$31,26,FALSE),0)</f>
        <v>2</v>
      </c>
      <c r="AE10" s="14">
        <f>ROUND(VLOOKUP($C10,RLS!$C$26:$AB$31,26,FALSE),0)</f>
        <v>2</v>
      </c>
      <c r="AF10" s="14">
        <f>ROUND(VLOOKUP($C10,RLS!$C$26:$AB$31,26,FALSE),0)</f>
        <v>2</v>
      </c>
      <c r="AG10" s="14">
        <f>ROUND(VLOOKUP($C10,RLS!$C$26:$AB$31,26,FALSE),0)</f>
        <v>2</v>
      </c>
      <c r="AH10" s="14">
        <f>ROUND(VLOOKUP($C10,RLS!$C$26:$AB$31,26,FALSE),0)</f>
        <v>2</v>
      </c>
      <c r="AI10" s="14">
        <f>ROUND(VLOOKUP($C10,RLS!$C$26:$AB$31,26,FALSE),0)</f>
        <v>2</v>
      </c>
      <c r="AJ10" s="14">
        <f>ROUND(VLOOKUP($C10,RLS!$C$26:$AB$31,26,FALSE),0)</f>
        <v>2</v>
      </c>
      <c r="AK10" s="14">
        <f>ROUND(VLOOKUP($C10,RLS!$C$26:$AB$31,26,FALSE),0)</f>
        <v>2</v>
      </c>
      <c r="AL10" s="14">
        <f>ROUND(VLOOKUP($C10,RLS!$C$26:$AB$31,26,FALSE),0)</f>
        <v>2</v>
      </c>
      <c r="AM10" s="14">
        <f>ROUND(VLOOKUP($C10,RLS!$C$26:$AB$31,26,FALSE),0)</f>
        <v>2</v>
      </c>
      <c r="AN10" s="14">
        <f>ROUND(VLOOKUP($C10,RLS!$C$26:$AB$31,26,FALSE),0)</f>
        <v>2</v>
      </c>
      <c r="AO10" s="14">
        <f>ROUND(VLOOKUP($C10,RLS!$C$26:$AN$31,38,FALSE),0)</f>
        <v>1</v>
      </c>
      <c r="AP10" s="14">
        <f>ROUND(VLOOKUP($C10,RLS!$C$26:$AN$31,38,FALSE),0)</f>
        <v>1</v>
      </c>
      <c r="AQ10" s="14">
        <f>ROUND(VLOOKUP($C10,RLS!$C$26:$AN$31,38,FALSE),0)</f>
        <v>1</v>
      </c>
      <c r="AR10" s="14">
        <f>ROUND(VLOOKUP($C10,RLS!$C$26:$AN$31,38,FALSE),0)</f>
        <v>1</v>
      </c>
      <c r="AS10" s="14">
        <f>ROUND(VLOOKUP($C10,RLS!$C$26:$AN$31,38,FALSE),0)</f>
        <v>1</v>
      </c>
      <c r="AT10" s="14">
        <f>ROUND(VLOOKUP($C10,RLS!$C$26:$AN$31,38,FALSE),0)</f>
        <v>1</v>
      </c>
      <c r="AU10" s="14">
        <f>ROUND(VLOOKUP($C10,RLS!$C$26:$AN$31,38,FALSE),0)</f>
        <v>1</v>
      </c>
      <c r="AV10" s="14">
        <f>ROUND(VLOOKUP($C10,RLS!$C$26:$AN$31,38,FALSE),0)</f>
        <v>1</v>
      </c>
      <c r="AW10" s="14">
        <f>ROUND(VLOOKUP($C10,RLS!$C$26:$AN$31,38,FALSE),0)</f>
        <v>1</v>
      </c>
      <c r="AX10" s="14">
        <f>ROUND(VLOOKUP($C10,RLS!$C$26:$AN$31,38,FALSE),0)</f>
        <v>1</v>
      </c>
      <c r="AY10" s="14">
        <f>ROUND(VLOOKUP($C10,RLS!$C$26:$AN$31,38,FALSE),0)</f>
        <v>1</v>
      </c>
      <c r="AZ10" s="14">
        <f>ROUND(VLOOKUP($C10,RLS!$C$26:$AN$31,38,FALSE),0)</f>
        <v>1</v>
      </c>
      <c r="BA10" s="14">
        <f>ROUND(VLOOKUP($C10,RLS!$C$26:$AZ$31,50,FALSE),0)</f>
        <v>1</v>
      </c>
      <c r="BB10" s="14">
        <f>ROUND(VLOOKUP($C10,RLS!$C$26:$AZ$31,50,FALSE),0)</f>
        <v>1</v>
      </c>
      <c r="BC10" s="14">
        <f>ROUND(VLOOKUP($C10,RLS!$C$26:$AZ$31,50,FALSE),0)</f>
        <v>1</v>
      </c>
      <c r="BD10" s="14">
        <f>ROUND(VLOOKUP($C10,RLS!$C$26:$AZ$31,50,FALSE),0)</f>
        <v>1</v>
      </c>
      <c r="BE10" s="14">
        <f>ROUND(VLOOKUP($C10,RLS!$C$26:$AZ$31,50,FALSE),0)</f>
        <v>1</v>
      </c>
      <c r="BF10" s="14">
        <f>ROUND(VLOOKUP($C10,RLS!$C$26:$AZ$31,50,FALSE),0)</f>
        <v>1</v>
      </c>
      <c r="BG10" s="14">
        <f>ROUND(VLOOKUP($C10,RLS!$C$26:$AZ$31,50,FALSE),0)</f>
        <v>1</v>
      </c>
      <c r="BH10" s="14">
        <f>ROUND(VLOOKUP($C10,RLS!$C$26:$AZ$31,50,FALSE),0)</f>
        <v>1</v>
      </c>
      <c r="BI10" s="14">
        <f>ROUND(VLOOKUP($C10,RLS!$C$26:$AZ$31,50,FALSE),0)</f>
        <v>1</v>
      </c>
      <c r="BJ10" s="14">
        <f>ROUND(VLOOKUP($C10,RLS!$C$26:$AZ$31,50,FALSE),0)</f>
        <v>1</v>
      </c>
      <c r="BK10" s="14">
        <f>ROUND(VLOOKUP($C10,RLS!$C$26:$AZ$31,50,FALSE),0)</f>
        <v>1</v>
      </c>
      <c r="BL10" s="14">
        <f>ROUND(VLOOKUP($C10,RLS!$C$26:$AZ$31,50,FALSE),0)</f>
        <v>1</v>
      </c>
    </row>
    <row r="11" spans="1:64" x14ac:dyDescent="0.35">
      <c r="A11" t="s">
        <v>7</v>
      </c>
      <c r="B11" t="s">
        <v>19</v>
      </c>
      <c r="C11" t="str">
        <f t="shared" si="0"/>
        <v>LeadIndia</v>
      </c>
      <c r="D11" t="s">
        <v>89</v>
      </c>
      <c r="E11" s="14">
        <f>ROUND(VLOOKUP($C11,RLS!$C$26:$O$31,3, FALSE)*'Unit Distribution'!$B3,0)</f>
        <v>1</v>
      </c>
      <c r="F11" s="14">
        <f>ROUND(VLOOKUP($C11,RLS!$C$26:$O$31,3, FALSE)*'Unit Distribution'!$B3,0)</f>
        <v>1</v>
      </c>
      <c r="G11" s="14">
        <f>ROUND(VLOOKUP($C11,RLS!$C$26:$O$31,3, FALSE)*'Unit Distribution'!$B3,0)</f>
        <v>1</v>
      </c>
      <c r="H11" s="14">
        <f>ROUND(VLOOKUP($C11,RLS!$C$26:$O$31,3, FALSE)*'Unit Distribution'!$B3,0)</f>
        <v>1</v>
      </c>
      <c r="I11" s="14">
        <f>ROUND(VLOOKUP($C11,RLS!$C$26:$O$31,3, FALSE)*'Unit Distribution'!$B3,0)</f>
        <v>1</v>
      </c>
      <c r="J11" s="14">
        <f>ROUND(VLOOKUP($C11,RLS!$C$26:$O$31,3, FALSE)*'Unit Distribution'!$B3,0)</f>
        <v>1</v>
      </c>
      <c r="K11" s="14">
        <f>ROUND(VLOOKUP($C11,RLS!$C$26:$O$31,3, FALSE)*'Unit Distribution'!$B3,0)</f>
        <v>1</v>
      </c>
      <c r="L11" s="14">
        <f>ROUND(VLOOKUP($C11,RLS!$C$26:$O$31,3, FALSE)*'Unit Distribution'!$B3,0)</f>
        <v>1</v>
      </c>
      <c r="M11" s="14">
        <f>ROUND(VLOOKUP($C11,RLS!$C$26:$O$31,3, FALSE)*'Unit Distribution'!$B3,0)</f>
        <v>1</v>
      </c>
      <c r="N11" s="14">
        <f>ROUND(VLOOKUP($C11,RLS!$C$26:$O$31,3, FALSE)*'Unit Distribution'!$B3,0)</f>
        <v>1</v>
      </c>
      <c r="O11" s="14">
        <f>ROUND(VLOOKUP($C11,RLS!$C$26:$O$31,3, FALSE)*'Unit Distribution'!$B3,0)</f>
        <v>1</v>
      </c>
      <c r="P11" s="14">
        <f>ROUND(VLOOKUP($C11,RLS!$C$26:$O$31,3, FALSE)*'Unit Distribution'!$B3,0)</f>
        <v>1</v>
      </c>
      <c r="Q11" s="14">
        <f>ROUND(VLOOKUP($C11,RLS!$C$26:$P$31,14,FALSE)*'Unit Distribution'!$B$3,0)</f>
        <v>1</v>
      </c>
      <c r="R11" s="14">
        <f>ROUND(VLOOKUP($C11,RLS!$C$26:$P$31,14,FALSE)*'Unit Distribution'!$B$3,0)</f>
        <v>1</v>
      </c>
      <c r="S11" s="14">
        <f>ROUND(VLOOKUP($C11,RLS!$C$26:$P$31,14,FALSE)*'Unit Distribution'!$B$3,0)</f>
        <v>1</v>
      </c>
      <c r="T11" s="14">
        <f>ROUND(VLOOKUP($C11,RLS!$C$26:$P$31,14,FALSE)*'Unit Distribution'!$B$3,0)</f>
        <v>1</v>
      </c>
      <c r="U11" s="14">
        <f>ROUND(VLOOKUP($C11,RLS!$C$26:$P$31,14,FALSE)*'Unit Distribution'!$B$3,0)</f>
        <v>1</v>
      </c>
      <c r="V11" s="14">
        <f>ROUND(VLOOKUP($C11,RLS!$C$26:$P$31,14,FALSE)*'Unit Distribution'!$B$3,0)</f>
        <v>1</v>
      </c>
      <c r="W11" s="14">
        <f>ROUND(VLOOKUP($C11,RLS!$C$26:$P$31,14,FALSE)*'Unit Distribution'!$B$3,0)</f>
        <v>1</v>
      </c>
      <c r="X11" s="14">
        <f>ROUND(VLOOKUP($C11,RLS!$C$26:$P$31,14,FALSE)*'Unit Distribution'!$B$3,0)</f>
        <v>1</v>
      </c>
      <c r="Y11" s="14">
        <f>ROUND(VLOOKUP($C11,RLS!$C$26:$P$31,14,FALSE)*'Unit Distribution'!$B$3,0)</f>
        <v>1</v>
      </c>
      <c r="Z11" s="14">
        <f>ROUND(VLOOKUP($C11,RLS!$C$26:$P$31,14,FALSE)*'Unit Distribution'!$B$3,0)</f>
        <v>1</v>
      </c>
      <c r="AA11" s="14">
        <f>ROUND(VLOOKUP($C11,RLS!$C$26:$P$31,14,FALSE)*'Unit Distribution'!$B$3,0)</f>
        <v>1</v>
      </c>
      <c r="AB11" s="14">
        <f>ROUND(VLOOKUP($C11,RLS!$C$26:$P$31,14,FALSE)*'Unit Distribution'!$B$3,0)</f>
        <v>1</v>
      </c>
      <c r="AC11" s="14">
        <f>ROUND(VLOOKUP($C11,RLS!$C$26:$AB$31,26,FALSE)*'Unit Distribution'!$B$3,0)</f>
        <v>0</v>
      </c>
      <c r="AD11" s="14">
        <f>ROUND(VLOOKUP($C11,RLS!$C$26:$AB$31,26,FALSE)*'Unit Distribution'!$B$3,0)</f>
        <v>0</v>
      </c>
      <c r="AE11" s="14">
        <f>ROUND(VLOOKUP($C11,RLS!$C$26:$AB$31,26,FALSE)*'Unit Distribution'!$B$3,0)</f>
        <v>0</v>
      </c>
      <c r="AF11" s="14">
        <f>ROUND(VLOOKUP($C11,RLS!$C$26:$AB$31,26,FALSE)*'Unit Distribution'!$B$3,0)</f>
        <v>0</v>
      </c>
      <c r="AG11" s="14">
        <f>ROUND(VLOOKUP($C11,RLS!$C$26:$AB$31,26,FALSE)*'Unit Distribution'!$B$3,0)</f>
        <v>0</v>
      </c>
      <c r="AH11" s="14">
        <f>ROUND(VLOOKUP($C11,RLS!$C$26:$AB$31,26,FALSE)*'Unit Distribution'!$B$3,0)</f>
        <v>0</v>
      </c>
      <c r="AI11" s="14">
        <f>ROUND(VLOOKUP($C11,RLS!$C$26:$AB$31,26,FALSE)*'Unit Distribution'!$B$3,0)</f>
        <v>0</v>
      </c>
      <c r="AJ11" s="14">
        <f>ROUND(VLOOKUP($C11,RLS!$C$26:$AB$31,26,FALSE)*'Unit Distribution'!$B$3,0)</f>
        <v>0</v>
      </c>
      <c r="AK11" s="14">
        <f>ROUND(VLOOKUP($C11,RLS!$C$26:$AB$31,26,FALSE)*'Unit Distribution'!$B$3,0)</f>
        <v>0</v>
      </c>
      <c r="AL11" s="14">
        <f>ROUND(VLOOKUP($C11,RLS!$C$26:$AB$31,26,FALSE)*'Unit Distribution'!$B$3,0)</f>
        <v>0</v>
      </c>
      <c r="AM11" s="14">
        <f>ROUND(VLOOKUP($C11,RLS!$C$26:$AB$31,26,FALSE)*'Unit Distribution'!$B$3,0)</f>
        <v>0</v>
      </c>
      <c r="AN11" s="14">
        <f>ROUND(VLOOKUP($C11,RLS!$C$26:$AB$31,26,FALSE)*'Unit Distribution'!$B$3,0)</f>
        <v>0</v>
      </c>
      <c r="AO11" s="14">
        <f>ROUND(VLOOKUP($C11,RLS!$C$26:$AN$31,38,FALSE)*'Unit Distribution'!$B$3,0)</f>
        <v>0</v>
      </c>
      <c r="AP11" s="14">
        <f>ROUND(VLOOKUP($C11,RLS!$C$26:$AN$31,38,FALSE)*'Unit Distribution'!$B$3,0)</f>
        <v>0</v>
      </c>
      <c r="AQ11" s="14">
        <f>ROUND(VLOOKUP($C11,RLS!$C$26:$AN$31,38,FALSE)*'Unit Distribution'!$B$3,0)</f>
        <v>0</v>
      </c>
      <c r="AR11" s="14">
        <f>ROUND(VLOOKUP($C11,RLS!$C$26:$AN$31,38,FALSE)*'Unit Distribution'!$B$3,0)</f>
        <v>0</v>
      </c>
      <c r="AS11" s="14">
        <f>ROUND(VLOOKUP($C11,RLS!$C$26:$AN$31,38,FALSE)*'Unit Distribution'!$B$3,0)</f>
        <v>0</v>
      </c>
      <c r="AT11" s="14">
        <f>ROUND(VLOOKUP($C11,RLS!$C$26:$AN$31,38,FALSE)*'Unit Distribution'!$B$3,0)</f>
        <v>0</v>
      </c>
      <c r="AU11" s="14">
        <f>ROUND(VLOOKUP($C11,RLS!$C$26:$AN$31,38,FALSE)*'Unit Distribution'!$B$3,0)</f>
        <v>0</v>
      </c>
      <c r="AV11" s="14">
        <f>ROUND(VLOOKUP($C11,RLS!$C$26:$AN$31,38,FALSE)*'Unit Distribution'!$B$3,0)</f>
        <v>0</v>
      </c>
      <c r="AW11" s="14">
        <f>ROUND(VLOOKUP($C11,RLS!$C$26:$AN$31,38,FALSE)*'Unit Distribution'!$B$3,0)</f>
        <v>0</v>
      </c>
      <c r="AX11" s="14">
        <f>ROUND(VLOOKUP($C11,RLS!$C$26:$AN$31,38,FALSE)*'Unit Distribution'!$B$3,0)</f>
        <v>0</v>
      </c>
      <c r="AY11" s="14">
        <f>ROUND(VLOOKUP($C11,RLS!$C$26:$AN$31,38,FALSE)*'Unit Distribution'!$B$3,0)</f>
        <v>0</v>
      </c>
      <c r="AZ11" s="14">
        <f>ROUND(VLOOKUP($C11,RLS!$C$26:$AN$31,38,FALSE)*'Unit Distribution'!$B$3,0)</f>
        <v>0</v>
      </c>
      <c r="BA11" s="14">
        <f>ROUND(VLOOKUP($C11,RLS!$C$26:$AZ$31,50,FALSE)*'Unit Distribution'!$B$3,0)</f>
        <v>0</v>
      </c>
      <c r="BB11" s="14">
        <f>ROUND(VLOOKUP($C11,RLS!$C$26:$AZ$31,50,FALSE)*'Unit Distribution'!$B$3,0)</f>
        <v>0</v>
      </c>
      <c r="BC11" s="14">
        <f>ROUND(VLOOKUP($C11,RLS!$C$26:$AZ$31,50,FALSE)*'Unit Distribution'!$B$3,0)</f>
        <v>0</v>
      </c>
      <c r="BD11" s="14">
        <f>ROUND(VLOOKUP($C11,RLS!$C$26:$AZ$31,50,FALSE)*'Unit Distribution'!$B$3,0)</f>
        <v>0</v>
      </c>
      <c r="BE11" s="14">
        <f>ROUND(VLOOKUP($C11,RLS!$C$26:$AZ$31,50,FALSE)*'Unit Distribution'!$B$3,0)</f>
        <v>0</v>
      </c>
      <c r="BF11" s="14">
        <f>ROUND(VLOOKUP($C11,RLS!$C$26:$AZ$31,50,FALSE)*'Unit Distribution'!$B$3,0)</f>
        <v>0</v>
      </c>
      <c r="BG11" s="14">
        <f>ROUND(VLOOKUP($C11,RLS!$C$26:$AZ$31,50,FALSE)*'Unit Distribution'!$B$3,0)</f>
        <v>0</v>
      </c>
      <c r="BH11" s="14">
        <f>ROUND(VLOOKUP($C11,RLS!$C$26:$AZ$31,50,FALSE)*'Unit Distribution'!$B$3,0)</f>
        <v>0</v>
      </c>
      <c r="BI11" s="14">
        <f>ROUND(VLOOKUP($C11,RLS!$C$26:$AZ$31,50,FALSE)*'Unit Distribution'!$B$3,0)</f>
        <v>0</v>
      </c>
      <c r="BJ11" s="14">
        <f>ROUND(VLOOKUP($C11,RLS!$C$26:$AZ$31,50,FALSE)*'Unit Distribution'!$B$3,0)</f>
        <v>0</v>
      </c>
      <c r="BK11" s="14">
        <f>ROUND(VLOOKUP($C11,RLS!$C$26:$AZ$31,50,FALSE)*'Unit Distribution'!$B$3,0)</f>
        <v>0</v>
      </c>
      <c r="BL11" s="14">
        <f>ROUND(VLOOKUP($C11,RLS!$C$26:$AZ$31,50,FALSE)*'Unit Distribution'!$B$3,0)</f>
        <v>0</v>
      </c>
    </row>
    <row r="12" spans="1:64" x14ac:dyDescent="0.35">
      <c r="A12" t="s">
        <v>7</v>
      </c>
      <c r="B12" t="s">
        <v>19</v>
      </c>
      <c r="C12" t="str">
        <f t="shared" si="0"/>
        <v>LeadIndia</v>
      </c>
      <c r="D12" t="s">
        <v>90</v>
      </c>
      <c r="E12" s="14">
        <f>ROUND(VLOOKUP($C12,RLS!$C$26:$O$31,3, FALSE)*'Unit Distribution'!$B4,0)</f>
        <v>1</v>
      </c>
      <c r="F12" s="14">
        <f>ROUND(VLOOKUP($C12,RLS!$C$26:$O$31,3, FALSE)*'Unit Distribution'!$B4,0)</f>
        <v>1</v>
      </c>
      <c r="G12" s="14">
        <f>ROUND(VLOOKUP($C12,RLS!$C$26:$O$31,3, FALSE)*'Unit Distribution'!$B4,0)</f>
        <v>1</v>
      </c>
      <c r="H12" s="14">
        <f>ROUND(VLOOKUP($C12,RLS!$C$26:$O$31,3, FALSE)*'Unit Distribution'!$B4,0)</f>
        <v>1</v>
      </c>
      <c r="I12" s="14">
        <f>ROUND(VLOOKUP($C12,RLS!$C$26:$O$31,3, FALSE)*'Unit Distribution'!$B4,0)</f>
        <v>1</v>
      </c>
      <c r="J12" s="14">
        <f>ROUND(VLOOKUP($C12,RLS!$C$26:$O$31,3, FALSE)*'Unit Distribution'!$B4,0)</f>
        <v>1</v>
      </c>
      <c r="K12" s="14">
        <f>ROUND(VLOOKUP($C12,RLS!$C$26:$O$31,3, FALSE)*'Unit Distribution'!$B4,0)</f>
        <v>1</v>
      </c>
      <c r="L12" s="14">
        <f>ROUND(VLOOKUP($C12,RLS!$C$26:$O$31,3, FALSE)*'Unit Distribution'!$B4,0)</f>
        <v>1</v>
      </c>
      <c r="M12" s="14">
        <f>ROUND(VLOOKUP($C12,RLS!$C$26:$O$31,3, FALSE)*'Unit Distribution'!$B4,0)</f>
        <v>1</v>
      </c>
      <c r="N12" s="14">
        <f>ROUND(VLOOKUP($C12,RLS!$C$26:$O$31,3, FALSE)*'Unit Distribution'!$B4,0)</f>
        <v>1</v>
      </c>
      <c r="O12" s="14">
        <f>ROUND(VLOOKUP($C12,RLS!$C$26:$O$31,3, FALSE)*'Unit Distribution'!$B4,0)</f>
        <v>1</v>
      </c>
      <c r="P12" s="14">
        <f>ROUND(VLOOKUP($C12,RLS!$C$26:$O$31,3, FALSE)*'Unit Distribution'!$B4,0)</f>
        <v>1</v>
      </c>
      <c r="Q12" s="14">
        <f>ROUND(VLOOKUP($C12,RLS!$C$26:$P$31,14,FALSE)-Q11,0)</f>
        <v>1</v>
      </c>
      <c r="R12" s="14">
        <f>ROUND(VLOOKUP($C12,RLS!$C$26:$P$31,14,FALSE)-R11,0)</f>
        <v>1</v>
      </c>
      <c r="S12" s="14">
        <f>ROUND(VLOOKUP($C12,RLS!$C$26:$P$31,14,FALSE)-S11,0)</f>
        <v>1</v>
      </c>
      <c r="T12" s="14">
        <f>ROUND(VLOOKUP($C12,RLS!$C$26:$P$31,14,FALSE)-T11,0)</f>
        <v>1</v>
      </c>
      <c r="U12" s="14">
        <f>ROUND(VLOOKUP($C12,RLS!$C$26:$P$31,14,FALSE)-U11,0)</f>
        <v>1</v>
      </c>
      <c r="V12" s="14">
        <f>ROUND(VLOOKUP($C12,RLS!$C$26:$P$31,14,FALSE)-V11,0)</f>
        <v>1</v>
      </c>
      <c r="W12" s="14">
        <f>ROUND(VLOOKUP($C12,RLS!$C$26:$P$31,14,FALSE)-W11,0)</f>
        <v>1</v>
      </c>
      <c r="X12" s="14">
        <f>ROUND(VLOOKUP($C12,RLS!$C$26:$P$31,14,FALSE)-X11,0)</f>
        <v>1</v>
      </c>
      <c r="Y12" s="14">
        <f>ROUND(VLOOKUP($C12,RLS!$C$26:$P$31,14,FALSE)-Y11,0)</f>
        <v>1</v>
      </c>
      <c r="Z12" s="14">
        <f>ROUND(VLOOKUP($C12,RLS!$C$26:$P$31,14,FALSE)-Z11,0)</f>
        <v>1</v>
      </c>
      <c r="AA12" s="14">
        <f>ROUND(VLOOKUP($C12,RLS!$C$26:$P$31,14,FALSE)-AA11,0)</f>
        <v>1</v>
      </c>
      <c r="AB12" s="14">
        <f>ROUND(VLOOKUP($C12,RLS!$C$26:$P$31,14,FALSE)-AB11,0)</f>
        <v>1</v>
      </c>
      <c r="AC12" s="14">
        <f>ROUND(VLOOKUP($C12,RLS!$C$26:$AB$31,26,FALSE)-AC11,0)</f>
        <v>1</v>
      </c>
      <c r="AD12" s="14">
        <f>ROUND(VLOOKUP($C12,RLS!$C$26:$AB$31,26,FALSE)-AD11,0)</f>
        <v>1</v>
      </c>
      <c r="AE12" s="14">
        <f>ROUND(VLOOKUP($C12,RLS!$C$26:$AB$31,26,FALSE)-AE11,0)</f>
        <v>1</v>
      </c>
      <c r="AF12" s="14">
        <f>ROUND(VLOOKUP($C12,RLS!$C$26:$AB$31,26,FALSE)-AF11,0)</f>
        <v>1</v>
      </c>
      <c r="AG12" s="14">
        <f>ROUND(VLOOKUP($C12,RLS!$C$26:$AB$31,26,FALSE)-AG11,0)</f>
        <v>1</v>
      </c>
      <c r="AH12" s="14">
        <f>ROUND(VLOOKUP($C12,RLS!$C$26:$AB$31,26,FALSE)-AH11,0)</f>
        <v>1</v>
      </c>
      <c r="AI12" s="14">
        <f>ROUND(VLOOKUP($C12,RLS!$C$26:$AB$31,26,FALSE)-AI11,0)</f>
        <v>1</v>
      </c>
      <c r="AJ12" s="14">
        <f>ROUND(VLOOKUP($C12,RLS!$C$26:$AB$31,26,FALSE)-AJ11,0)</f>
        <v>1</v>
      </c>
      <c r="AK12" s="14">
        <f>ROUND(VLOOKUP($C12,RLS!$C$26:$AB$31,26,FALSE)-AK11,0)</f>
        <v>1</v>
      </c>
      <c r="AL12" s="14">
        <f>ROUND(VLOOKUP($C12,RLS!$C$26:$AB$31,26,FALSE)-AL11,0)</f>
        <v>1</v>
      </c>
      <c r="AM12" s="14">
        <f>ROUND(VLOOKUP($C12,RLS!$C$26:$AB$31,26,FALSE)-AM11,0)</f>
        <v>1</v>
      </c>
      <c r="AN12" s="14">
        <f>ROUND(VLOOKUP($C12,RLS!$C$26:$AB$31,26,FALSE)-AN11,0)</f>
        <v>1</v>
      </c>
      <c r="AO12" s="14">
        <f>ROUND(VLOOKUP($C12,RLS!$C$26:$AN$31,38,FALSE)-AO11,0)</f>
        <v>1</v>
      </c>
      <c r="AP12" s="14">
        <f>ROUND(VLOOKUP($C12,RLS!$C$26:$AN$31,38,FALSE)-AP11,0)</f>
        <v>1</v>
      </c>
      <c r="AQ12" s="14">
        <f>ROUND(VLOOKUP($C12,RLS!$C$26:$AN$31,38,FALSE)-AQ11,0)</f>
        <v>1</v>
      </c>
      <c r="AR12" s="14">
        <f>ROUND(VLOOKUP($C12,RLS!$C$26:$AN$31,38,FALSE)-AR11,0)</f>
        <v>1</v>
      </c>
      <c r="AS12" s="14">
        <f>ROUND(VLOOKUP($C12,RLS!$C$26:$AN$31,38,FALSE)-AS11,0)</f>
        <v>1</v>
      </c>
      <c r="AT12" s="14">
        <f>ROUND(VLOOKUP($C12,RLS!$C$26:$AN$31,38,FALSE)-AT11,0)</f>
        <v>1</v>
      </c>
      <c r="AU12" s="14">
        <f>ROUND(VLOOKUP($C12,RLS!$C$26:$AN$31,38,FALSE)-AU11,0)</f>
        <v>1</v>
      </c>
      <c r="AV12" s="14">
        <f>ROUND(VLOOKUP($C12,RLS!$C$26:$AN$31,38,FALSE)-AV11,0)</f>
        <v>1</v>
      </c>
      <c r="AW12" s="14">
        <f>ROUND(VLOOKUP($C12,RLS!$C$26:$AN$31,38,FALSE)-AW11,0)</f>
        <v>1</v>
      </c>
      <c r="AX12" s="14">
        <f>ROUND(VLOOKUP($C12,RLS!$C$26:$AN$31,38,FALSE)-AX11,0)</f>
        <v>1</v>
      </c>
      <c r="AY12" s="14">
        <f>ROUND(VLOOKUP($C12,RLS!$C$26:$AN$31,38,FALSE)-AY11,0)</f>
        <v>1</v>
      </c>
      <c r="AZ12" s="14">
        <f>ROUND(VLOOKUP($C12,RLS!$C$26:$AN$31,38,FALSE)-AZ11,0)</f>
        <v>1</v>
      </c>
      <c r="BA12" s="14">
        <f>ROUND(VLOOKUP($C12,RLS!$C$26:$AZ$31,50,FALSE)-BA11,0)</f>
        <v>1</v>
      </c>
      <c r="BB12" s="14">
        <f>ROUND(VLOOKUP($C12,RLS!$C$26:$AZ$31,50,FALSE)-BB11,0)</f>
        <v>1</v>
      </c>
      <c r="BC12" s="14">
        <f>ROUND(VLOOKUP($C12,RLS!$C$26:$AZ$31,50,FALSE)-BC11,0)</f>
        <v>1</v>
      </c>
      <c r="BD12" s="14">
        <f>ROUND(VLOOKUP($C12,RLS!$C$26:$AZ$31,50,FALSE)-BD11,0)</f>
        <v>1</v>
      </c>
      <c r="BE12" s="14">
        <f>ROUND(VLOOKUP($C12,RLS!$C$26:$AZ$31,50,FALSE)-BE11,0)</f>
        <v>1</v>
      </c>
      <c r="BF12" s="14">
        <f>ROUND(VLOOKUP($C12,RLS!$C$26:$AZ$31,50,FALSE)-BF11,0)</f>
        <v>1</v>
      </c>
      <c r="BG12" s="14">
        <f>ROUND(VLOOKUP($C12,RLS!$C$26:$AZ$31,50,FALSE)-BG11,0)</f>
        <v>1</v>
      </c>
      <c r="BH12" s="14">
        <f>ROUND(VLOOKUP($C12,RLS!$C$26:$AZ$31,50,FALSE)-BH11,0)</f>
        <v>1</v>
      </c>
      <c r="BI12" s="14">
        <f>ROUND(VLOOKUP($C12,RLS!$C$26:$AZ$31,50,FALSE)-BI11,0)</f>
        <v>1</v>
      </c>
      <c r="BJ12" s="14">
        <f>ROUND(VLOOKUP($C12,RLS!$C$26:$AZ$31,50,FALSE)-BJ11,0)</f>
        <v>1</v>
      </c>
      <c r="BK12" s="14">
        <f>ROUND(VLOOKUP($C12,RLS!$C$26:$AZ$31,50,FALSE)-BK11,0)</f>
        <v>1</v>
      </c>
      <c r="BL12" s="14">
        <f>ROUND(VLOOKUP($C12,RLS!$C$26:$AZ$31,50,FALSE)-BL11,0)</f>
        <v>1</v>
      </c>
    </row>
    <row r="13" spans="1:64" x14ac:dyDescent="0.35">
      <c r="A13" t="s">
        <v>8</v>
      </c>
      <c r="B13" t="s">
        <v>5</v>
      </c>
      <c r="C13" t="str">
        <f t="shared" si="0"/>
        <v>BSAOnsite</v>
      </c>
      <c r="D13" t="s">
        <v>89</v>
      </c>
      <c r="E13" s="14">
        <f>ROUND(VLOOKUP($C13,RLS!$C$32:$O$36,3, FALSE)*'Unit Distribution'!$B$3,0)</f>
        <v>1</v>
      </c>
      <c r="F13" s="14">
        <f>ROUND(VLOOKUP($C13,RLS!$C$32:$O$36,3, FALSE)*'Unit Distribution'!$B$3,0)</f>
        <v>1</v>
      </c>
      <c r="G13" s="14">
        <f>ROUND(VLOOKUP($C13,RLS!$C$32:$O$36,3, FALSE)*'Unit Distribution'!$B$3,0)</f>
        <v>1</v>
      </c>
      <c r="H13" s="14">
        <f>ROUND(VLOOKUP($C13,RLS!$C$32:$O$36,3, FALSE)*'Unit Distribution'!$B$3,0)</f>
        <v>1</v>
      </c>
      <c r="I13" s="14">
        <f>ROUND(VLOOKUP($C13,RLS!$C$32:$O$36,3, FALSE)*'Unit Distribution'!$B$3,0)</f>
        <v>1</v>
      </c>
      <c r="J13" s="14">
        <f>ROUND(VLOOKUP($C13,RLS!$C$32:$O$36,3, FALSE)*'Unit Distribution'!$B$3,0)</f>
        <v>1</v>
      </c>
      <c r="K13" s="14">
        <f>ROUND(VLOOKUP($C13,RLS!$C$32:$O$36,3, FALSE)*'Unit Distribution'!$B$3,0)</f>
        <v>1</v>
      </c>
      <c r="L13" s="14">
        <f>ROUND(VLOOKUP($C13,RLS!$C$32:$O$36,3, FALSE)*'Unit Distribution'!$B$3,0)</f>
        <v>1</v>
      </c>
      <c r="M13" s="14">
        <f>ROUND(VLOOKUP($C13,RLS!$C$32:$O$36,3, FALSE)*'Unit Distribution'!$B$3,0)</f>
        <v>1</v>
      </c>
      <c r="N13" s="14">
        <f>ROUND(VLOOKUP($C13,RLS!$C$32:$O$36,3, FALSE)*'Unit Distribution'!$B$3,0)</f>
        <v>1</v>
      </c>
      <c r="O13" s="14">
        <f>ROUND(VLOOKUP($C13,RLS!$C$32:$O$36,3, FALSE)*'Unit Distribution'!$B$3,0)</f>
        <v>1</v>
      </c>
      <c r="P13" s="14">
        <f>ROUND(VLOOKUP($C13,RLS!$C$32:$O$36,3, FALSE)*'Unit Distribution'!$B$3,0)</f>
        <v>1</v>
      </c>
      <c r="Q13" s="14">
        <f>ROUND(VLOOKUP($C13,RLS!$C$32:$P$36,14,FALSE)*'Unit Distribution'!$B$3,0)</f>
        <v>1</v>
      </c>
      <c r="R13" s="14">
        <f>ROUND(VLOOKUP($C13,RLS!$C$32:$P$36,14,FALSE)*'Unit Distribution'!$B$3,0)</f>
        <v>1</v>
      </c>
      <c r="S13" s="14">
        <f>ROUND(VLOOKUP($C13,RLS!$C$32:$P$36,14,FALSE)*'Unit Distribution'!$B$3,0)</f>
        <v>1</v>
      </c>
      <c r="T13" s="14">
        <f>ROUND(VLOOKUP($C13,RLS!$C$32:$P$36,14,FALSE)*'Unit Distribution'!$B$3,0)</f>
        <v>1</v>
      </c>
      <c r="U13" s="14">
        <f>ROUND(VLOOKUP($C13,RLS!$C$32:$P$36,14,FALSE)*'Unit Distribution'!$B$3,0)</f>
        <v>1</v>
      </c>
      <c r="V13" s="14">
        <f>ROUND(VLOOKUP($C13,RLS!$C$32:$P$36,14,FALSE)*'Unit Distribution'!$B$3,0)</f>
        <v>1</v>
      </c>
      <c r="W13" s="14">
        <f>ROUND(VLOOKUP($C13,RLS!$C$32:$P$36,14,FALSE)*'Unit Distribution'!$B$3,0)</f>
        <v>1</v>
      </c>
      <c r="X13" s="14">
        <f>ROUND(VLOOKUP($C13,RLS!$C$32:$P$36,14,FALSE)*'Unit Distribution'!$B$3,0)</f>
        <v>1</v>
      </c>
      <c r="Y13" s="14">
        <f>ROUND(VLOOKUP($C13,RLS!$C$32:$P$36,14,FALSE)*'Unit Distribution'!$B$3,0)</f>
        <v>1</v>
      </c>
      <c r="Z13" s="14">
        <f>ROUND(VLOOKUP($C13,RLS!$C$32:$P$36,14,FALSE)*'Unit Distribution'!$B$3,0)</f>
        <v>1</v>
      </c>
      <c r="AA13" s="14">
        <f>ROUND(VLOOKUP($C13,RLS!$C$32:$P$36,14,FALSE)*'Unit Distribution'!$B$3,0)</f>
        <v>1</v>
      </c>
      <c r="AB13" s="14">
        <f>ROUND(VLOOKUP($C13,RLS!$C$32:$P$36,14,FALSE)*'Unit Distribution'!$B$3,0)</f>
        <v>1</v>
      </c>
      <c r="AC13" s="14">
        <f>ROUND(VLOOKUP($C13,RLS!$C$32:$AB$36,26,FALSE)*'Unit Distribution'!$B$3,0)</f>
        <v>0</v>
      </c>
      <c r="AD13" s="14">
        <f>ROUND(VLOOKUP($C13,RLS!$C$32:$AB$36,26,FALSE)*'Unit Distribution'!$B$3,0)</f>
        <v>0</v>
      </c>
      <c r="AE13" s="14">
        <f>ROUND(VLOOKUP($C13,RLS!$C$32:$AB$36,26,FALSE)*'Unit Distribution'!$B$3,0)</f>
        <v>0</v>
      </c>
      <c r="AF13" s="14">
        <f>ROUND(VLOOKUP($C13,RLS!$C$32:$AB$36,26,FALSE)*'Unit Distribution'!$B$3,0)</f>
        <v>0</v>
      </c>
      <c r="AG13" s="14">
        <f>ROUND(VLOOKUP($C13,RLS!$C$32:$AB$36,26,FALSE)*'Unit Distribution'!$B$3,0)</f>
        <v>0</v>
      </c>
      <c r="AH13" s="14">
        <f>ROUND(VLOOKUP($C13,RLS!$C$32:$AB$36,26,FALSE)*'Unit Distribution'!$B$3,0)</f>
        <v>0</v>
      </c>
      <c r="AI13" s="14">
        <f>ROUND(VLOOKUP($C13,RLS!$C$32:$AB$36,26,FALSE)*'Unit Distribution'!$B$3,0)</f>
        <v>0</v>
      </c>
      <c r="AJ13" s="14">
        <f>ROUND(VLOOKUP($C13,RLS!$C$32:$AB$36,26,FALSE)*'Unit Distribution'!$B$3,0)</f>
        <v>0</v>
      </c>
      <c r="AK13" s="14">
        <f>ROUND(VLOOKUP($C13,RLS!$C$32:$AB$36,26,FALSE)*'Unit Distribution'!$B$3,0)</f>
        <v>0</v>
      </c>
      <c r="AL13" s="14">
        <f>ROUND(VLOOKUP($C13,RLS!$C$32:$AB$36,26,FALSE)*'Unit Distribution'!$B$3,0)</f>
        <v>0</v>
      </c>
      <c r="AM13" s="14">
        <f>ROUND(VLOOKUP($C13,RLS!$C$32:$AB$36,26,FALSE)*'Unit Distribution'!$B$3,0)</f>
        <v>0</v>
      </c>
      <c r="AN13" s="14">
        <f>ROUND(VLOOKUP($C13,RLS!$C$32:$AB$36,26,FALSE)*'Unit Distribution'!$B$3,0)</f>
        <v>0</v>
      </c>
      <c r="AO13" s="14">
        <f>ROUND(VLOOKUP($C13,RLS!$C$32:$AN$36,38,FALSE)*'Unit Distribution'!$B$3,0)</f>
        <v>0</v>
      </c>
      <c r="AP13" s="14">
        <f>ROUND(VLOOKUP($C13,RLS!$C$32:$AN$36,38,FALSE)*'Unit Distribution'!$B$3,0)</f>
        <v>0</v>
      </c>
      <c r="AQ13" s="14">
        <f>ROUND(VLOOKUP($C13,RLS!$C$32:$AN$36,38,FALSE)*'Unit Distribution'!$B$3,0)</f>
        <v>0</v>
      </c>
      <c r="AR13" s="14">
        <f>ROUND(VLOOKUP($C13,RLS!$C$32:$AN$36,38,FALSE)*'Unit Distribution'!$B$3,0)</f>
        <v>0</v>
      </c>
      <c r="AS13" s="14">
        <f>ROUND(VLOOKUP($C13,RLS!$C$32:$AN$36,38,FALSE)*'Unit Distribution'!$B$3,0)</f>
        <v>0</v>
      </c>
      <c r="AT13" s="14">
        <f>ROUND(VLOOKUP($C13,RLS!$C$32:$AN$36,38,FALSE)*'Unit Distribution'!$B$3,0)</f>
        <v>0</v>
      </c>
      <c r="AU13" s="14">
        <f>ROUND(VLOOKUP($C13,RLS!$C$32:$AN$36,38,FALSE)*'Unit Distribution'!$B$3,0)</f>
        <v>0</v>
      </c>
      <c r="AV13" s="14">
        <f>ROUND(VLOOKUP($C13,RLS!$C$32:$AN$36,38,FALSE)*'Unit Distribution'!$B$3,0)</f>
        <v>0</v>
      </c>
      <c r="AW13" s="14">
        <f>ROUND(VLOOKUP($C13,RLS!$C$32:$AN$36,38,FALSE)*'Unit Distribution'!$B$3,0)</f>
        <v>0</v>
      </c>
      <c r="AX13" s="14">
        <f>ROUND(VLOOKUP($C13,RLS!$C$32:$AN$36,38,FALSE)*'Unit Distribution'!$B$3,0)</f>
        <v>0</v>
      </c>
      <c r="AY13" s="14">
        <f>ROUND(VLOOKUP($C13,RLS!$C$32:$AN$36,38,FALSE)*'Unit Distribution'!$B$3,0)</f>
        <v>0</v>
      </c>
      <c r="AZ13" s="14">
        <f>ROUND(VLOOKUP($C13,RLS!$C$32:$AN$36,38,FALSE)*'Unit Distribution'!$B$3,0)</f>
        <v>0</v>
      </c>
      <c r="BA13" s="14">
        <f>ROUND(VLOOKUP($C13,RLS!$C$32:$AZ$36,50,FALSE)*'Unit Distribution'!$B$3,0)</f>
        <v>0</v>
      </c>
      <c r="BB13" s="14">
        <f>ROUND(VLOOKUP($C13,RLS!$C$32:$AZ$36,50,FALSE)*'Unit Distribution'!$B$3,0)</f>
        <v>0</v>
      </c>
      <c r="BC13" s="14">
        <f>ROUND(VLOOKUP($C13,RLS!$C$32:$AZ$36,50,FALSE)*'Unit Distribution'!$B$3,0)</f>
        <v>0</v>
      </c>
      <c r="BD13" s="14">
        <f>ROUND(VLOOKUP($C13,RLS!$C$32:$AZ$36,50,FALSE)*'Unit Distribution'!$B$3,0)</f>
        <v>0</v>
      </c>
      <c r="BE13" s="14">
        <f>ROUND(VLOOKUP($C13,RLS!$C$32:$AZ$36,50,FALSE)*'Unit Distribution'!$B$3,0)</f>
        <v>0</v>
      </c>
      <c r="BF13" s="14">
        <f>ROUND(VLOOKUP($C13,RLS!$C$32:$AZ$36,50,FALSE)*'Unit Distribution'!$B$3,0)</f>
        <v>0</v>
      </c>
      <c r="BG13" s="14">
        <f>ROUND(VLOOKUP($C13,RLS!$C$32:$AZ$36,50,FALSE)*'Unit Distribution'!$B$3,0)</f>
        <v>0</v>
      </c>
      <c r="BH13" s="14">
        <f>ROUND(VLOOKUP($C13,RLS!$C$32:$AZ$36,50,FALSE)*'Unit Distribution'!$B$3,0)</f>
        <v>0</v>
      </c>
      <c r="BI13" s="14">
        <f>ROUND(VLOOKUP($C13,RLS!$C$32:$AZ$36,50,FALSE)*'Unit Distribution'!$B$3,0)</f>
        <v>0</v>
      </c>
      <c r="BJ13" s="14">
        <f>ROUND(VLOOKUP($C13,RLS!$C$32:$AZ$36,50,FALSE)*'Unit Distribution'!$B$3,0)</f>
        <v>0</v>
      </c>
      <c r="BK13" s="14">
        <f>ROUND(VLOOKUP($C13,RLS!$C$32:$AZ$36,50,FALSE)*'Unit Distribution'!$B$3,0)</f>
        <v>0</v>
      </c>
      <c r="BL13" s="14">
        <f>ROUND(VLOOKUP($C13,RLS!$C$32:$AZ$36,50,FALSE)*'Unit Distribution'!$B$3,0)</f>
        <v>0</v>
      </c>
    </row>
    <row r="14" spans="1:64" x14ac:dyDescent="0.35">
      <c r="A14" t="s">
        <v>8</v>
      </c>
      <c r="B14" t="s">
        <v>5</v>
      </c>
      <c r="C14" t="str">
        <f t="shared" si="0"/>
        <v>BSAOnsite</v>
      </c>
      <c r="D14" t="s">
        <v>90</v>
      </c>
      <c r="E14" s="14">
        <f>ROUND(VLOOKUP($C14,RLS!$C$32:$O$36,3,FALSE)-E13,0)</f>
        <v>1</v>
      </c>
      <c r="F14" s="14">
        <f>ROUND(VLOOKUP($C14,RLS!$C$32:$O$36,3,FALSE)-F13,0)</f>
        <v>1</v>
      </c>
      <c r="G14" s="14">
        <f>ROUND(VLOOKUP($C14,RLS!$C$32:$O$36,3,FALSE)-G13,0)</f>
        <v>1</v>
      </c>
      <c r="H14" s="14">
        <f>ROUND(VLOOKUP($C14,RLS!$C$32:$O$36,3,FALSE)-H13,0)</f>
        <v>1</v>
      </c>
      <c r="I14" s="14">
        <f>ROUND(VLOOKUP($C14,RLS!$C$32:$O$36,3,FALSE)-I13,0)</f>
        <v>1</v>
      </c>
      <c r="J14" s="14">
        <f>ROUND(VLOOKUP($C14,RLS!$C$32:$O$36,3,FALSE)-J13,0)</f>
        <v>1</v>
      </c>
      <c r="K14" s="14">
        <f>ROUND(VLOOKUP($C14,RLS!$C$32:$O$36,3,FALSE)-K13,0)</f>
        <v>1</v>
      </c>
      <c r="L14" s="14">
        <f>ROUND(VLOOKUP($C14,RLS!$C$32:$O$36,3,FALSE)-L13,0)</f>
        <v>1</v>
      </c>
      <c r="M14" s="14">
        <f>ROUND(VLOOKUP($C14,RLS!$C$32:$O$36,3,FALSE)-M13,0)</f>
        <v>1</v>
      </c>
      <c r="N14" s="14">
        <f>ROUND(VLOOKUP($C14,RLS!$C$32:$O$36,3,FALSE)-N13,0)</f>
        <v>1</v>
      </c>
      <c r="O14" s="14">
        <f>ROUND(VLOOKUP($C14,RLS!$C$32:$O$36,3,FALSE)-O13,0)</f>
        <v>1</v>
      </c>
      <c r="P14" s="14">
        <f>ROUND(VLOOKUP($C14,RLS!$C$32:$O$36,3,FALSE)-P13,0)</f>
        <v>1</v>
      </c>
      <c r="Q14" s="14">
        <f>ROUND(VLOOKUP($C14,RLS!$C$32:$P$36,14,FALSE)-Q13,0)</f>
        <v>1</v>
      </c>
      <c r="R14" s="14">
        <f>ROUND(VLOOKUP($C14,RLS!$C$32:$P$36,14,FALSE)-R13,0)</f>
        <v>1</v>
      </c>
      <c r="S14" s="14">
        <f>ROUND(VLOOKUP($C14,RLS!$C$32:$P$36,14,FALSE)-S13,0)</f>
        <v>1</v>
      </c>
      <c r="T14" s="14">
        <f>ROUND(VLOOKUP($C14,RLS!$C$32:$P$36,14,FALSE)-T13,0)</f>
        <v>1</v>
      </c>
      <c r="U14" s="14">
        <f>ROUND(VLOOKUP($C14,RLS!$C$32:$P$36,14,FALSE)-U13,0)</f>
        <v>1</v>
      </c>
      <c r="V14" s="14">
        <f>ROUND(VLOOKUP($C14,RLS!$C$32:$P$36,14,FALSE)-V13,0)</f>
        <v>1</v>
      </c>
      <c r="W14" s="14">
        <f>ROUND(VLOOKUP($C14,RLS!$C$32:$P$36,14,FALSE)-W13,0)</f>
        <v>1</v>
      </c>
      <c r="X14" s="14">
        <f>ROUND(VLOOKUP($C14,RLS!$C$32:$P$36,14,FALSE)-X13,0)</f>
        <v>1</v>
      </c>
      <c r="Y14" s="14">
        <f>ROUND(VLOOKUP($C14,RLS!$C$32:$P$36,14,FALSE)-Y13,0)</f>
        <v>1</v>
      </c>
      <c r="Z14" s="14">
        <f>ROUND(VLOOKUP($C14,RLS!$C$32:$P$36,14,FALSE)-Z13,0)</f>
        <v>1</v>
      </c>
      <c r="AA14" s="14">
        <f>ROUND(VLOOKUP($C14,RLS!$C$32:$P$36,14,FALSE)-AA13,0)</f>
        <v>1</v>
      </c>
      <c r="AB14" s="14">
        <f>ROUND(VLOOKUP($C14,RLS!$C$32:$P$36,14,FALSE)-AB13,0)</f>
        <v>1</v>
      </c>
      <c r="AC14" s="14">
        <f>ROUND(VLOOKUP($C14,RLS!$C$32:$AB$36,26,FALSE)-AC13,0)</f>
        <v>1</v>
      </c>
      <c r="AD14" s="14">
        <f>ROUND(VLOOKUP($C14,RLS!$C$32:$AB$36,26,FALSE)-AD13,0)</f>
        <v>1</v>
      </c>
      <c r="AE14" s="14">
        <f>ROUND(VLOOKUP($C14,RLS!$C$32:$AB$36,26,FALSE)-AE13,0)</f>
        <v>1</v>
      </c>
      <c r="AF14" s="14">
        <f>ROUND(VLOOKUP($C14,RLS!$C$32:$AB$36,26,FALSE)-AF13,0)</f>
        <v>1</v>
      </c>
      <c r="AG14" s="14">
        <f>ROUND(VLOOKUP($C14,RLS!$C$32:$AB$36,26,FALSE)-AG13,0)</f>
        <v>1</v>
      </c>
      <c r="AH14" s="14">
        <f>ROUND(VLOOKUP($C14,RLS!$C$32:$AB$36,26,FALSE)-AH13,0)</f>
        <v>1</v>
      </c>
      <c r="AI14" s="14">
        <f>ROUND(VLOOKUP($C14,RLS!$C$32:$AB$36,26,FALSE)-AI13,0)</f>
        <v>1</v>
      </c>
      <c r="AJ14" s="14">
        <f>ROUND(VLOOKUP($C14,RLS!$C$32:$AB$36,26,FALSE)-AJ13,0)</f>
        <v>1</v>
      </c>
      <c r="AK14" s="14">
        <f>ROUND(VLOOKUP($C14,RLS!$C$32:$AB$36,26,FALSE)-AK13,0)</f>
        <v>1</v>
      </c>
      <c r="AL14" s="14">
        <f>ROUND(VLOOKUP($C14,RLS!$C$32:$AB$36,26,FALSE)-AL13,0)</f>
        <v>1</v>
      </c>
      <c r="AM14" s="14">
        <f>ROUND(VLOOKUP($C14,RLS!$C$32:$AB$36,26,FALSE)-AM13,0)</f>
        <v>1</v>
      </c>
      <c r="AN14" s="14">
        <f>ROUND(VLOOKUP($C14,RLS!$C$32:$AB$36,26,FALSE)-AN13,0)</f>
        <v>1</v>
      </c>
      <c r="AO14" s="14">
        <f>ROUND(VLOOKUP($C14,RLS!$C$32:$AN$36,38,FALSE)-AO13,0)</f>
        <v>1</v>
      </c>
      <c r="AP14" s="14">
        <f>ROUND(VLOOKUP($C14,RLS!$C$32:$AN$36,38,FALSE)-AP13,0)</f>
        <v>1</v>
      </c>
      <c r="AQ14" s="14">
        <f>ROUND(VLOOKUP($C14,RLS!$C$32:$AN$36,38,FALSE)-AQ13,0)</f>
        <v>1</v>
      </c>
      <c r="AR14" s="14">
        <f>ROUND(VLOOKUP($C14,RLS!$C$32:$AN$36,38,FALSE)-AR13,0)</f>
        <v>1</v>
      </c>
      <c r="AS14" s="14">
        <f>ROUND(VLOOKUP($C14,RLS!$C$32:$AN$36,38,FALSE)-AS13,0)</f>
        <v>1</v>
      </c>
      <c r="AT14" s="14">
        <f>ROUND(VLOOKUP($C14,RLS!$C$32:$AN$36,38,FALSE)-AT13,0)</f>
        <v>1</v>
      </c>
      <c r="AU14" s="14">
        <f>ROUND(VLOOKUP($C14,RLS!$C$32:$AN$36,38,FALSE)-AU13,0)</f>
        <v>1</v>
      </c>
      <c r="AV14" s="14">
        <f>ROUND(VLOOKUP($C14,RLS!$C$32:$AN$36,38,FALSE)-AV13,0)</f>
        <v>1</v>
      </c>
      <c r="AW14" s="14">
        <f>ROUND(VLOOKUP($C14,RLS!$C$32:$AN$36,38,FALSE)-AW13,0)</f>
        <v>1</v>
      </c>
      <c r="AX14" s="14">
        <f>ROUND(VLOOKUP($C14,RLS!$C$32:$AN$36,38,FALSE)-AX13,0)</f>
        <v>1</v>
      </c>
      <c r="AY14" s="14">
        <f>ROUND(VLOOKUP($C14,RLS!$C$32:$AN$36,38,FALSE)-AY13,0)</f>
        <v>1</v>
      </c>
      <c r="AZ14" s="14">
        <f>ROUND(VLOOKUP($C14,RLS!$C$32:$AN$36,38,FALSE)-AZ13,0)</f>
        <v>1</v>
      </c>
      <c r="BA14" s="14">
        <f>ROUND(VLOOKUP($C14,RLS!$C$32:$AZ$36,50,FALSE)-BA13,0)</f>
        <v>0</v>
      </c>
      <c r="BB14" s="14">
        <f>ROUND(VLOOKUP($C14,RLS!$C$32:$AZ$36,50,FALSE)-BB13,0)</f>
        <v>0</v>
      </c>
      <c r="BC14" s="14">
        <f>ROUND(VLOOKUP($C14,RLS!$C$32:$AZ$36,50,FALSE)-BC13,0)</f>
        <v>0</v>
      </c>
      <c r="BD14" s="14">
        <f>ROUND(VLOOKUP($C14,RLS!$C$32:$AZ$36,50,FALSE)-BD13,0)</f>
        <v>0</v>
      </c>
      <c r="BE14" s="14">
        <f>ROUND(VLOOKUP($C14,RLS!$C$32:$AZ$36,50,FALSE)-BE13,0)</f>
        <v>0</v>
      </c>
      <c r="BF14" s="14">
        <f>ROUND(VLOOKUP($C14,RLS!$C$32:$AZ$36,50,FALSE)-BF13,0)</f>
        <v>0</v>
      </c>
      <c r="BG14" s="14">
        <f>ROUND(VLOOKUP($C14,RLS!$C$32:$AZ$36,50,FALSE)-BG13,0)</f>
        <v>0</v>
      </c>
      <c r="BH14" s="14">
        <f>ROUND(VLOOKUP($C14,RLS!$C$32:$AZ$36,50,FALSE)-BH13,0)</f>
        <v>0</v>
      </c>
      <c r="BI14" s="14">
        <f>ROUND(VLOOKUP($C14,RLS!$C$32:$AZ$36,50,FALSE)-BI13,0)</f>
        <v>0</v>
      </c>
      <c r="BJ14" s="14">
        <f>ROUND(VLOOKUP($C14,RLS!$C$32:$AZ$36,50,FALSE)-BJ13,0)</f>
        <v>0</v>
      </c>
      <c r="BK14" s="14">
        <f>ROUND(VLOOKUP($C14,RLS!$C$32:$AZ$36,50,FALSE)-BK13,0)</f>
        <v>0</v>
      </c>
      <c r="BL14" s="14">
        <f>ROUND(VLOOKUP($C14,RLS!$C$32:$AZ$36,50,FALSE)-BL13,0)</f>
        <v>0</v>
      </c>
    </row>
    <row r="15" spans="1:64" x14ac:dyDescent="0.35">
      <c r="A15" t="s">
        <v>9</v>
      </c>
      <c r="B15" t="s">
        <v>5</v>
      </c>
      <c r="C15" t="str">
        <f t="shared" si="0"/>
        <v>DevOnsite</v>
      </c>
      <c r="D15" t="s">
        <v>89</v>
      </c>
      <c r="E15" s="14">
        <f>ROUND(VLOOKUP($C15,RLS!$C$32:$O$36,3, FALSE)*'Unit Distribution'!$B$3,0)</f>
        <v>1</v>
      </c>
      <c r="F15" s="14">
        <f>ROUND(VLOOKUP($C15,RLS!$C$32:$O$36,3, FALSE)*'Unit Distribution'!$B$3,0)</f>
        <v>1</v>
      </c>
      <c r="G15" s="14">
        <f>ROUND(VLOOKUP($C15,RLS!$C$32:$O$36,3, FALSE)*'Unit Distribution'!$B$3,0)</f>
        <v>1</v>
      </c>
      <c r="H15" s="14">
        <f>ROUND(VLOOKUP($C15,RLS!$C$32:$O$36,3, FALSE)*'Unit Distribution'!$B$3,0)</f>
        <v>1</v>
      </c>
      <c r="I15" s="14">
        <f>ROUND(VLOOKUP($C15,RLS!$C$32:$O$36,3, FALSE)*'Unit Distribution'!$B$3,0)</f>
        <v>1</v>
      </c>
      <c r="J15" s="14">
        <f>ROUND(VLOOKUP($C15,RLS!$C$32:$O$36,3, FALSE)*'Unit Distribution'!$B$3,0)</f>
        <v>1</v>
      </c>
      <c r="K15" s="14">
        <f>ROUND(VLOOKUP($C15,RLS!$C$32:$O$36,3, FALSE)*'Unit Distribution'!$B$3,0)</f>
        <v>1</v>
      </c>
      <c r="L15" s="14">
        <f>ROUND(VLOOKUP($C15,RLS!$C$32:$O$36,3, FALSE)*'Unit Distribution'!$B$3,0)</f>
        <v>1</v>
      </c>
      <c r="M15" s="14">
        <f>ROUND(VLOOKUP($C15,RLS!$C$32:$O$36,3, FALSE)*'Unit Distribution'!$B$3,0)</f>
        <v>1</v>
      </c>
      <c r="N15" s="14">
        <f>ROUND(VLOOKUP($C15,RLS!$C$32:$O$36,3, FALSE)*'Unit Distribution'!$B$3,0)</f>
        <v>1</v>
      </c>
      <c r="O15" s="14">
        <f>ROUND(VLOOKUP($C15,RLS!$C$32:$O$36,3, FALSE)*'Unit Distribution'!$B$3,0)</f>
        <v>1</v>
      </c>
      <c r="P15" s="14">
        <f>ROUND(VLOOKUP($C15,RLS!$C$32:$O$36,3, FALSE)*'Unit Distribution'!$B$3,0)</f>
        <v>1</v>
      </c>
      <c r="Q15" s="14">
        <f>ROUND(VLOOKUP($C15,RLS!$C$32:$P$36,14,FALSE)*'Unit Distribution'!$B$3,0)</f>
        <v>1</v>
      </c>
      <c r="R15" s="14">
        <f>ROUND(VLOOKUP($C15,RLS!$C$32:$P$36,14,FALSE)*'Unit Distribution'!$B$3,0)</f>
        <v>1</v>
      </c>
      <c r="S15" s="14">
        <f>ROUND(VLOOKUP($C15,RLS!$C$32:$P$36,14,FALSE)*'Unit Distribution'!$B$3,0)</f>
        <v>1</v>
      </c>
      <c r="T15" s="14">
        <f>ROUND(VLOOKUP($C15,RLS!$C$32:$P$36,14,FALSE)*'Unit Distribution'!$B$3,0)</f>
        <v>1</v>
      </c>
      <c r="U15" s="14">
        <f>ROUND(VLOOKUP($C15,RLS!$C$32:$P$36,14,FALSE)*'Unit Distribution'!$B$3,0)</f>
        <v>1</v>
      </c>
      <c r="V15" s="14">
        <f>ROUND(VLOOKUP($C15,RLS!$C$32:$P$36,14,FALSE)*'Unit Distribution'!$B$3,0)</f>
        <v>1</v>
      </c>
      <c r="W15" s="14">
        <f>ROUND(VLOOKUP($C15,RLS!$C$32:$P$36,14,FALSE)*'Unit Distribution'!$B$3,0)</f>
        <v>1</v>
      </c>
      <c r="X15" s="14">
        <f>ROUND(VLOOKUP($C15,RLS!$C$32:$P$36,14,FALSE)*'Unit Distribution'!$B$3,0)</f>
        <v>1</v>
      </c>
      <c r="Y15" s="14">
        <f>ROUND(VLOOKUP($C15,RLS!$C$32:$P$36,14,FALSE)*'Unit Distribution'!$B$3,0)</f>
        <v>1</v>
      </c>
      <c r="Z15" s="14">
        <f>ROUND(VLOOKUP($C15,RLS!$C$32:$P$36,14,FALSE)*'Unit Distribution'!$B$3,0)</f>
        <v>1</v>
      </c>
      <c r="AA15" s="14">
        <f>ROUND(VLOOKUP($C15,RLS!$C$32:$P$36,14,FALSE)*'Unit Distribution'!$B$3,0)</f>
        <v>1</v>
      </c>
      <c r="AB15" s="14">
        <f>ROUND(VLOOKUP($C15,RLS!$C$32:$P$36,14,FALSE)*'Unit Distribution'!$B$3,0)</f>
        <v>1</v>
      </c>
      <c r="AC15" s="14">
        <f>ROUND(VLOOKUP($C15,RLS!$C$32:$AB$36,26,FALSE)*'Unit Distribution'!$B$3,0)</f>
        <v>1</v>
      </c>
      <c r="AD15" s="14">
        <f>ROUND(VLOOKUP($C15,RLS!$C$32:$AB$36,26,FALSE)*'Unit Distribution'!$B$3,0)</f>
        <v>1</v>
      </c>
      <c r="AE15" s="14">
        <f>ROUND(VLOOKUP($C15,RLS!$C$32:$AB$36,26,FALSE)*'Unit Distribution'!$B$3,0)</f>
        <v>1</v>
      </c>
      <c r="AF15" s="14">
        <f>ROUND(VLOOKUP($C15,RLS!$C$32:$AB$36,26,FALSE)*'Unit Distribution'!$B$3,0)</f>
        <v>1</v>
      </c>
      <c r="AG15" s="14">
        <f>ROUND(VLOOKUP($C15,RLS!$C$32:$AB$36,26,FALSE)*'Unit Distribution'!$B$3,0)</f>
        <v>1</v>
      </c>
      <c r="AH15" s="14">
        <f>ROUND(VLOOKUP($C15,RLS!$C$32:$AB$36,26,FALSE)*'Unit Distribution'!$B$3,0)</f>
        <v>1</v>
      </c>
      <c r="AI15" s="14">
        <f>ROUND(VLOOKUP($C15,RLS!$C$32:$AB$36,26,FALSE)*'Unit Distribution'!$B$3,0)</f>
        <v>1</v>
      </c>
      <c r="AJ15" s="14">
        <f>ROUND(VLOOKUP($C15,RLS!$C$32:$AB$36,26,FALSE)*'Unit Distribution'!$B$3,0)</f>
        <v>1</v>
      </c>
      <c r="AK15" s="14">
        <f>ROUND(VLOOKUP($C15,RLS!$C$32:$AB$36,26,FALSE)*'Unit Distribution'!$B$3,0)</f>
        <v>1</v>
      </c>
      <c r="AL15" s="14">
        <f>ROUND(VLOOKUP($C15,RLS!$C$32:$AB$36,26,FALSE)*'Unit Distribution'!$B$3,0)</f>
        <v>1</v>
      </c>
      <c r="AM15" s="14">
        <f>ROUND(VLOOKUP($C15,RLS!$C$32:$AB$36,26,FALSE)*'Unit Distribution'!$B$3,0)</f>
        <v>1</v>
      </c>
      <c r="AN15" s="14">
        <f>ROUND(VLOOKUP($C15,RLS!$C$32:$AB$36,26,FALSE)*'Unit Distribution'!$B$3,0)</f>
        <v>1</v>
      </c>
      <c r="AO15" s="14">
        <f>ROUND(VLOOKUP($C15,RLS!$C$32:$AN$36,38,FALSE)*'Unit Distribution'!$B$3,0)</f>
        <v>1</v>
      </c>
      <c r="AP15" s="14">
        <f>ROUND(VLOOKUP($C15,RLS!$C$32:$AN$36,38,FALSE)*'Unit Distribution'!$B$3,0)</f>
        <v>1</v>
      </c>
      <c r="AQ15" s="14">
        <f>ROUND(VLOOKUP($C15,RLS!$C$32:$AN$36,38,FALSE)*'Unit Distribution'!$B$3,0)</f>
        <v>1</v>
      </c>
      <c r="AR15" s="14">
        <f>ROUND(VLOOKUP($C15,RLS!$C$32:$AN$36,38,FALSE)*'Unit Distribution'!$B$3,0)</f>
        <v>1</v>
      </c>
      <c r="AS15" s="14">
        <f>ROUND(VLOOKUP($C15,RLS!$C$32:$AN$36,38,FALSE)*'Unit Distribution'!$B$3,0)</f>
        <v>1</v>
      </c>
      <c r="AT15" s="14">
        <f>ROUND(VLOOKUP($C15,RLS!$C$32:$AN$36,38,FALSE)*'Unit Distribution'!$B$3,0)</f>
        <v>1</v>
      </c>
      <c r="AU15" s="14">
        <f>ROUND(VLOOKUP($C15,RLS!$C$32:$AN$36,38,FALSE)*'Unit Distribution'!$B$3,0)</f>
        <v>1</v>
      </c>
      <c r="AV15" s="14">
        <f>ROUND(VLOOKUP($C15,RLS!$C$32:$AN$36,38,FALSE)*'Unit Distribution'!$B$3,0)</f>
        <v>1</v>
      </c>
      <c r="AW15" s="14">
        <f>ROUND(VLOOKUP($C15,RLS!$C$32:$AN$36,38,FALSE)*'Unit Distribution'!$B$3,0)</f>
        <v>1</v>
      </c>
      <c r="AX15" s="14">
        <f>ROUND(VLOOKUP($C15,RLS!$C$32:$AN$36,38,FALSE)*'Unit Distribution'!$B$3,0)</f>
        <v>1</v>
      </c>
      <c r="AY15" s="14">
        <f>ROUND(VLOOKUP($C15,RLS!$C$32:$AN$36,38,FALSE)*'Unit Distribution'!$B$3,0)</f>
        <v>1</v>
      </c>
      <c r="AZ15" s="14">
        <f>ROUND(VLOOKUP($C15,RLS!$C$32:$AN$36,38,FALSE)*'Unit Distribution'!$B$3,0)</f>
        <v>1</v>
      </c>
      <c r="BA15" s="14">
        <f>ROUND(VLOOKUP($C15,RLS!$C$32:$AZ$36,50,FALSE)*'Unit Distribution'!$B$3,0)</f>
        <v>0</v>
      </c>
      <c r="BB15" s="14">
        <f>ROUND(VLOOKUP($C15,RLS!$C$32:$AZ$36,50,FALSE)*'Unit Distribution'!$B$3,0)</f>
        <v>0</v>
      </c>
      <c r="BC15" s="14">
        <f>ROUND(VLOOKUP($C15,RLS!$C$32:$AZ$36,50,FALSE)*'Unit Distribution'!$B$3,0)</f>
        <v>0</v>
      </c>
      <c r="BD15" s="14">
        <f>ROUND(VLOOKUP($C15,RLS!$C$32:$AZ$36,50,FALSE)*'Unit Distribution'!$B$3,0)</f>
        <v>0</v>
      </c>
      <c r="BE15" s="14">
        <f>ROUND(VLOOKUP($C15,RLS!$C$32:$AZ$36,50,FALSE)*'Unit Distribution'!$B$3,0)</f>
        <v>0</v>
      </c>
      <c r="BF15" s="14">
        <f>ROUND(VLOOKUP($C15,RLS!$C$32:$AZ$36,50,FALSE)*'Unit Distribution'!$B$3,0)</f>
        <v>0</v>
      </c>
      <c r="BG15" s="14">
        <f>ROUND(VLOOKUP($C15,RLS!$C$32:$AZ$36,50,FALSE)*'Unit Distribution'!$B$3,0)</f>
        <v>0</v>
      </c>
      <c r="BH15" s="14">
        <f>ROUND(VLOOKUP($C15,RLS!$C$32:$AZ$36,50,FALSE)*'Unit Distribution'!$B$3,0)</f>
        <v>0</v>
      </c>
      <c r="BI15" s="14">
        <f>ROUND(VLOOKUP($C15,RLS!$C$32:$AZ$36,50,FALSE)*'Unit Distribution'!$B$3,0)</f>
        <v>0</v>
      </c>
      <c r="BJ15" s="14">
        <f>ROUND(VLOOKUP($C15,RLS!$C$32:$AZ$36,50,FALSE)*'Unit Distribution'!$B$3,0)</f>
        <v>0</v>
      </c>
      <c r="BK15" s="14">
        <f>ROUND(VLOOKUP($C15,RLS!$C$32:$AZ$36,50,FALSE)*'Unit Distribution'!$B$3,0)</f>
        <v>0</v>
      </c>
      <c r="BL15" s="14">
        <f>ROUND(VLOOKUP($C15,RLS!$C$32:$AZ$36,50,FALSE)*'Unit Distribution'!$B$3,0)</f>
        <v>0</v>
      </c>
    </row>
    <row r="16" spans="1:64" x14ac:dyDescent="0.35">
      <c r="A16" t="s">
        <v>9</v>
      </c>
      <c r="B16" t="s">
        <v>5</v>
      </c>
      <c r="C16" t="str">
        <f t="shared" si="0"/>
        <v>DevOnsite</v>
      </c>
      <c r="D16" t="s">
        <v>90</v>
      </c>
      <c r="E16" s="14">
        <f>ROUND(VLOOKUP($C16,RLS!$C$32:$O$36,3,FALSE)-E15,0)</f>
        <v>1</v>
      </c>
      <c r="F16" s="14">
        <f>ROUND(VLOOKUP($C16,RLS!$C$32:$O$36,3,FALSE)-F15,0)</f>
        <v>1</v>
      </c>
      <c r="G16" s="14">
        <f>ROUND(VLOOKUP($C16,RLS!$C$32:$O$36,3,FALSE)-G15,0)</f>
        <v>1</v>
      </c>
      <c r="H16" s="14">
        <f>ROUND(VLOOKUP($C16,RLS!$C$32:$O$36,3,FALSE)-H15,0)</f>
        <v>1</v>
      </c>
      <c r="I16" s="14">
        <f>ROUND(VLOOKUP($C16,RLS!$C$32:$O$36,3,FALSE)-I15,0)</f>
        <v>1</v>
      </c>
      <c r="J16" s="14">
        <f>ROUND(VLOOKUP($C16,RLS!$C$32:$O$36,3,FALSE)-J15,0)</f>
        <v>1</v>
      </c>
      <c r="K16" s="14">
        <f>ROUND(VLOOKUP($C16,RLS!$C$32:$O$36,3,FALSE)-K15,0)</f>
        <v>1</v>
      </c>
      <c r="L16" s="14">
        <f>ROUND(VLOOKUP($C16,RLS!$C$32:$O$36,3,FALSE)-L15,0)</f>
        <v>1</v>
      </c>
      <c r="M16" s="14">
        <f>ROUND(VLOOKUP($C16,RLS!$C$32:$O$36,3,FALSE)-M15,0)</f>
        <v>1</v>
      </c>
      <c r="N16" s="14">
        <f>ROUND(VLOOKUP($C16,RLS!$C$32:$O$36,3,FALSE)-N15,0)</f>
        <v>1</v>
      </c>
      <c r="O16" s="14">
        <f>ROUND(VLOOKUP($C16,RLS!$C$32:$O$36,3,FALSE)-O15,0)</f>
        <v>1</v>
      </c>
      <c r="P16" s="14">
        <f>ROUND(VLOOKUP($C16,RLS!$C$32:$O$36,3,FALSE)-P15,0)</f>
        <v>1</v>
      </c>
      <c r="Q16" s="14">
        <f>ROUND(VLOOKUP($C16,RLS!$C$32:$P$36,14,FALSE)-Q15,0)</f>
        <v>1</v>
      </c>
      <c r="R16" s="14">
        <f>ROUND(VLOOKUP($C16,RLS!$C$32:$P$36,14,FALSE)-R15,0)</f>
        <v>1</v>
      </c>
      <c r="S16" s="14">
        <f>ROUND(VLOOKUP($C16,RLS!$C$32:$P$36,14,FALSE)-S15,0)</f>
        <v>1</v>
      </c>
      <c r="T16" s="14">
        <f>ROUND(VLOOKUP($C16,RLS!$C$32:$P$36,14,FALSE)-T15,0)</f>
        <v>1</v>
      </c>
      <c r="U16" s="14">
        <f>ROUND(VLOOKUP($C16,RLS!$C$32:$P$36,14,FALSE)-U15,0)</f>
        <v>1</v>
      </c>
      <c r="V16" s="14">
        <f>ROUND(VLOOKUP($C16,RLS!$C$32:$P$36,14,FALSE)-V15,0)</f>
        <v>1</v>
      </c>
      <c r="W16" s="14">
        <f>ROUND(VLOOKUP($C16,RLS!$C$32:$P$36,14,FALSE)-W15,0)</f>
        <v>1</v>
      </c>
      <c r="X16" s="14">
        <f>ROUND(VLOOKUP($C16,RLS!$C$32:$P$36,14,FALSE)-X15,0)</f>
        <v>1</v>
      </c>
      <c r="Y16" s="14">
        <f>ROUND(VLOOKUP($C16,RLS!$C$32:$P$36,14,FALSE)-Y15,0)</f>
        <v>1</v>
      </c>
      <c r="Z16" s="14">
        <f>ROUND(VLOOKUP($C16,RLS!$C$32:$P$36,14,FALSE)-Z15,0)</f>
        <v>1</v>
      </c>
      <c r="AA16" s="14">
        <f>ROUND(VLOOKUP($C16,RLS!$C$32:$P$36,14,FALSE)-AA15,0)</f>
        <v>1</v>
      </c>
      <c r="AB16" s="14">
        <f>ROUND(VLOOKUP($C16,RLS!$C$32:$P$36,14,FALSE)-AB15,0)</f>
        <v>1</v>
      </c>
      <c r="AC16" s="14">
        <f>ROUND(VLOOKUP($C16,RLS!$C$32:$AB$36,26,FALSE)-AC15,0)</f>
        <v>1</v>
      </c>
      <c r="AD16" s="14">
        <f>ROUND(VLOOKUP($C16,RLS!$C$32:$AB$36,26,FALSE)-AD15,0)</f>
        <v>1</v>
      </c>
      <c r="AE16" s="14">
        <f>ROUND(VLOOKUP($C16,RLS!$C$32:$AB$36,26,FALSE)-AE15,0)</f>
        <v>1</v>
      </c>
      <c r="AF16" s="14">
        <f>ROUND(VLOOKUP($C16,RLS!$C$32:$AB$36,26,FALSE)-AF15,0)</f>
        <v>1</v>
      </c>
      <c r="AG16" s="14">
        <f>ROUND(VLOOKUP($C16,RLS!$C$32:$AB$36,26,FALSE)-AG15,0)</f>
        <v>1</v>
      </c>
      <c r="AH16" s="14">
        <f>ROUND(VLOOKUP($C16,RLS!$C$32:$AB$36,26,FALSE)-AH15,0)</f>
        <v>1</v>
      </c>
      <c r="AI16" s="14">
        <f>ROUND(VLOOKUP($C16,RLS!$C$32:$AB$36,26,FALSE)-AI15,0)</f>
        <v>1</v>
      </c>
      <c r="AJ16" s="14">
        <f>ROUND(VLOOKUP($C16,RLS!$C$32:$AB$36,26,FALSE)-AJ15,0)</f>
        <v>1</v>
      </c>
      <c r="AK16" s="14">
        <f>ROUND(VLOOKUP($C16,RLS!$C$32:$AB$36,26,FALSE)-AK15,0)</f>
        <v>1</v>
      </c>
      <c r="AL16" s="14">
        <f>ROUND(VLOOKUP($C16,RLS!$C$32:$AB$36,26,FALSE)-AL15,0)</f>
        <v>1</v>
      </c>
      <c r="AM16" s="14">
        <f>ROUND(VLOOKUP($C16,RLS!$C$32:$AB$36,26,FALSE)-AM15,0)</f>
        <v>1</v>
      </c>
      <c r="AN16" s="14">
        <f>ROUND(VLOOKUP($C16,RLS!$C$32:$AB$36,26,FALSE)-AN15,0)</f>
        <v>1</v>
      </c>
      <c r="AO16" s="14">
        <f>ROUND(VLOOKUP($C16,RLS!$C$32:$AN$36,38,FALSE)-AO15,0)</f>
        <v>2</v>
      </c>
      <c r="AP16" s="14">
        <f>ROUND(VLOOKUP($C16,RLS!$C$32:$AN$36,38,FALSE)-AP15,0)</f>
        <v>2</v>
      </c>
      <c r="AQ16" s="14">
        <f>ROUND(VLOOKUP($C16,RLS!$C$32:$AN$36,38,FALSE)-AQ15,0)</f>
        <v>2</v>
      </c>
      <c r="AR16" s="14">
        <f>ROUND(VLOOKUP($C16,RLS!$C$32:$AN$36,38,FALSE)-AR15,0)</f>
        <v>2</v>
      </c>
      <c r="AS16" s="14">
        <f>ROUND(VLOOKUP($C16,RLS!$C$32:$AN$36,38,FALSE)-AS15,0)</f>
        <v>2</v>
      </c>
      <c r="AT16" s="14">
        <f>ROUND(VLOOKUP($C16,RLS!$C$32:$AN$36,38,FALSE)-AT15,0)</f>
        <v>2</v>
      </c>
      <c r="AU16" s="14">
        <f>ROUND(VLOOKUP($C16,RLS!$C$32:$AN$36,38,FALSE)-AU15,0)</f>
        <v>2</v>
      </c>
      <c r="AV16" s="14">
        <f>ROUND(VLOOKUP($C16,RLS!$C$32:$AN$36,38,FALSE)-AV15,0)</f>
        <v>2</v>
      </c>
      <c r="AW16" s="14">
        <f>ROUND(VLOOKUP($C16,RLS!$C$32:$AN$36,38,FALSE)-AW15,0)</f>
        <v>2</v>
      </c>
      <c r="AX16" s="14">
        <f>ROUND(VLOOKUP($C16,RLS!$C$32:$AN$36,38,FALSE)-AX15,0)</f>
        <v>2</v>
      </c>
      <c r="AY16" s="14">
        <f>ROUND(VLOOKUP($C16,RLS!$C$32:$AN$36,38,FALSE)-AY15,0)</f>
        <v>2</v>
      </c>
      <c r="AZ16" s="14">
        <f>ROUND(VLOOKUP($C16,RLS!$C$32:$AN$36,38,FALSE)-AZ15,0)</f>
        <v>2</v>
      </c>
      <c r="BA16" s="14">
        <f>ROUND(VLOOKUP($C16,RLS!$C$32:$AZ$36,50,FALSE)-BA15,0)</f>
        <v>1</v>
      </c>
      <c r="BB16" s="14">
        <f>ROUND(VLOOKUP($C16,RLS!$C$32:$AZ$36,50,FALSE)-BB15,0)</f>
        <v>1</v>
      </c>
      <c r="BC16" s="14">
        <f>ROUND(VLOOKUP($C16,RLS!$C$32:$AZ$36,50,FALSE)-BC15,0)</f>
        <v>1</v>
      </c>
      <c r="BD16" s="14">
        <f>ROUND(VLOOKUP($C16,RLS!$C$32:$AZ$36,50,FALSE)-BD15,0)</f>
        <v>1</v>
      </c>
      <c r="BE16" s="14">
        <f>ROUND(VLOOKUP($C16,RLS!$C$32:$AZ$36,50,FALSE)-BE15,0)</f>
        <v>1</v>
      </c>
      <c r="BF16" s="14">
        <f>ROUND(VLOOKUP($C16,RLS!$C$32:$AZ$36,50,FALSE)-BF15,0)</f>
        <v>1</v>
      </c>
      <c r="BG16" s="14">
        <f>ROUND(VLOOKUP($C16,RLS!$C$32:$AZ$36,50,FALSE)-BG15,0)</f>
        <v>1</v>
      </c>
      <c r="BH16" s="14">
        <f>ROUND(VLOOKUP($C16,RLS!$C$32:$AZ$36,50,FALSE)-BH15,0)</f>
        <v>1</v>
      </c>
      <c r="BI16" s="14">
        <f>ROUND(VLOOKUP($C16,RLS!$C$32:$AZ$36,50,FALSE)-BI15,0)</f>
        <v>1</v>
      </c>
      <c r="BJ16" s="14">
        <f>ROUND(VLOOKUP($C16,RLS!$C$32:$AZ$36,50,FALSE)-BJ15,0)</f>
        <v>1</v>
      </c>
      <c r="BK16" s="14">
        <f>ROUND(VLOOKUP($C16,RLS!$C$32:$AZ$36,50,FALSE)-BK15,0)</f>
        <v>1</v>
      </c>
      <c r="BL16" s="14">
        <f>ROUND(VLOOKUP($C16,RLS!$C$32:$AZ$36,50,FALSE)-BL15,0)</f>
        <v>1</v>
      </c>
    </row>
    <row r="17" spans="1:64" x14ac:dyDescent="0.35">
      <c r="A17" t="s">
        <v>10</v>
      </c>
      <c r="B17" t="s">
        <v>5</v>
      </c>
      <c r="C17" t="str">
        <f t="shared" si="0"/>
        <v>TesterOnsite</v>
      </c>
      <c r="D17" t="s">
        <v>89</v>
      </c>
      <c r="E17" s="14">
        <f>ROUND(VLOOKUP($C17,RLS!$C$32:$O$36,3, FALSE)*'Unit Distribution'!$B$3,0)</f>
        <v>0</v>
      </c>
      <c r="F17" s="14">
        <f>ROUND(VLOOKUP($C17,RLS!$C$32:$O$36,3, FALSE)*'Unit Distribution'!$B$3,0)</f>
        <v>0</v>
      </c>
      <c r="G17" s="14">
        <f>ROUND(VLOOKUP($C17,RLS!$C$32:$O$36,3, FALSE)*'Unit Distribution'!$B$3,0)</f>
        <v>0</v>
      </c>
      <c r="H17" s="14">
        <f>ROUND(VLOOKUP($C17,RLS!$C$32:$O$36,3, FALSE)*'Unit Distribution'!$B$3,0)</f>
        <v>0</v>
      </c>
      <c r="I17" s="14">
        <f>ROUND(VLOOKUP($C17,RLS!$C$32:$O$36,3, FALSE)*'Unit Distribution'!$B$3,0)</f>
        <v>0</v>
      </c>
      <c r="J17" s="14">
        <f>ROUND(VLOOKUP($C17,RLS!$C$32:$O$36,3, FALSE)*'Unit Distribution'!$B$3,0)</f>
        <v>0</v>
      </c>
      <c r="K17" s="14">
        <f>ROUND(VLOOKUP($C17,RLS!$C$32:$O$36,3, FALSE)*'Unit Distribution'!$B$3,0)</f>
        <v>0</v>
      </c>
      <c r="L17" s="14">
        <f>ROUND(VLOOKUP($C17,RLS!$C$32:$O$36,3, FALSE)*'Unit Distribution'!$B$3,0)</f>
        <v>0</v>
      </c>
      <c r="M17" s="14">
        <f>ROUND(VLOOKUP($C17,RLS!$C$32:$O$36,3, FALSE)*'Unit Distribution'!$B$3,0)</f>
        <v>0</v>
      </c>
      <c r="N17" s="14">
        <f>ROUND(VLOOKUP($C17,RLS!$C$32:$O$36,3, FALSE)*'Unit Distribution'!$B$3,0)</f>
        <v>0</v>
      </c>
      <c r="O17" s="14">
        <f>ROUND(VLOOKUP($C17,RLS!$C$32:$O$36,3, FALSE)*'Unit Distribution'!$B$3,0)</f>
        <v>0</v>
      </c>
      <c r="P17" s="14">
        <f>ROUND(VLOOKUP($C17,RLS!$C$32:$O$36,3, FALSE)*'Unit Distribution'!$B$3,0)</f>
        <v>0</v>
      </c>
      <c r="Q17" s="14">
        <f>ROUND(VLOOKUP($C17,RLS!$C$32:$P$36,14,FALSE)*'Unit Distribution'!$B$3,0)</f>
        <v>0</v>
      </c>
      <c r="R17" s="14">
        <f>ROUND(VLOOKUP($C17,RLS!$C$32:$P$36,14,FALSE)*'Unit Distribution'!$B$3,0)</f>
        <v>0</v>
      </c>
      <c r="S17" s="14">
        <f>ROUND(VLOOKUP($C17,RLS!$C$32:$P$36,14,FALSE)*'Unit Distribution'!$B$3,0)</f>
        <v>0</v>
      </c>
      <c r="T17" s="14">
        <f>ROUND(VLOOKUP($C17,RLS!$C$32:$P$36,14,FALSE)*'Unit Distribution'!$B$3,0)</f>
        <v>0</v>
      </c>
      <c r="U17" s="14">
        <f>ROUND(VLOOKUP($C17,RLS!$C$32:$P$36,14,FALSE)*'Unit Distribution'!$B$3,0)</f>
        <v>0</v>
      </c>
      <c r="V17" s="14">
        <f>ROUND(VLOOKUP($C17,RLS!$C$32:$P$36,14,FALSE)*'Unit Distribution'!$B$3,0)</f>
        <v>0</v>
      </c>
      <c r="W17" s="14">
        <f>ROUND(VLOOKUP($C17,RLS!$C$32:$P$36,14,FALSE)*'Unit Distribution'!$B$3,0)</f>
        <v>0</v>
      </c>
      <c r="X17" s="14">
        <f>ROUND(VLOOKUP($C17,RLS!$C$32:$P$36,14,FALSE)*'Unit Distribution'!$B$3,0)</f>
        <v>0</v>
      </c>
      <c r="Y17" s="14">
        <f>ROUND(VLOOKUP($C17,RLS!$C$32:$P$36,14,FALSE)*'Unit Distribution'!$B$3,0)</f>
        <v>0</v>
      </c>
      <c r="Z17" s="14">
        <f>ROUND(VLOOKUP($C17,RLS!$C$32:$P$36,14,FALSE)*'Unit Distribution'!$B$3,0)</f>
        <v>0</v>
      </c>
      <c r="AA17" s="14">
        <f>ROUND(VLOOKUP($C17,RLS!$C$32:$P$36,14,FALSE)*'Unit Distribution'!$B$3,0)</f>
        <v>0</v>
      </c>
      <c r="AB17" s="14">
        <f>ROUND(VLOOKUP($C17,RLS!$C$32:$P$36,14,FALSE)*'Unit Distribution'!$B$3,0)</f>
        <v>0</v>
      </c>
      <c r="AC17" s="14">
        <f>ROUND(VLOOKUP($C17,RLS!$C$32:$AB$36,26,FALSE)*'Unit Distribution'!$B$3,0)</f>
        <v>0</v>
      </c>
      <c r="AD17" s="14">
        <f>ROUND(VLOOKUP($C17,RLS!$C$32:$AB$36,26,FALSE)*'Unit Distribution'!$B$3,0)</f>
        <v>0</v>
      </c>
      <c r="AE17" s="14">
        <f>ROUND(VLOOKUP($C17,RLS!$C$32:$AB$36,26,FALSE)*'Unit Distribution'!$B$3,0)</f>
        <v>0</v>
      </c>
      <c r="AF17" s="14">
        <f>ROUND(VLOOKUP($C17,RLS!$C$32:$AB$36,26,FALSE)*'Unit Distribution'!$B$3,0)</f>
        <v>0</v>
      </c>
      <c r="AG17" s="14">
        <f>ROUND(VLOOKUP($C17,RLS!$C$32:$AB$36,26,FALSE)*'Unit Distribution'!$B$3,0)</f>
        <v>0</v>
      </c>
      <c r="AH17" s="14">
        <f>ROUND(VLOOKUP($C17,RLS!$C$32:$AB$36,26,FALSE)*'Unit Distribution'!$B$3,0)</f>
        <v>0</v>
      </c>
      <c r="AI17" s="14">
        <f>ROUND(VLOOKUP($C17,RLS!$C$32:$AB$36,26,FALSE)*'Unit Distribution'!$B$3,0)</f>
        <v>0</v>
      </c>
      <c r="AJ17" s="14">
        <f>ROUND(VLOOKUP($C17,RLS!$C$32:$AB$36,26,FALSE)*'Unit Distribution'!$B$3,0)</f>
        <v>0</v>
      </c>
      <c r="AK17" s="14">
        <f>ROUND(VLOOKUP($C17,RLS!$C$32:$AB$36,26,FALSE)*'Unit Distribution'!$B$3,0)</f>
        <v>0</v>
      </c>
      <c r="AL17" s="14">
        <f>ROUND(VLOOKUP($C17,RLS!$C$32:$AB$36,26,FALSE)*'Unit Distribution'!$B$3,0)</f>
        <v>0</v>
      </c>
      <c r="AM17" s="14">
        <f>ROUND(VLOOKUP($C17,RLS!$C$32:$AB$36,26,FALSE)*'Unit Distribution'!$B$3,0)</f>
        <v>0</v>
      </c>
      <c r="AN17" s="14">
        <f>ROUND(VLOOKUP($C17,RLS!$C$32:$AB$36,26,FALSE)*'Unit Distribution'!$B$3,0)</f>
        <v>0</v>
      </c>
      <c r="AO17" s="14">
        <f>ROUND(VLOOKUP($C17,RLS!$C$32:$AN$36,38,FALSE)*'Unit Distribution'!$B$3,0)</f>
        <v>0</v>
      </c>
      <c r="AP17" s="14">
        <f>ROUND(VLOOKUP($C17,RLS!$C$32:$AN$36,38,FALSE)*'Unit Distribution'!$B$3,0)</f>
        <v>0</v>
      </c>
      <c r="AQ17" s="14">
        <f>ROUND(VLOOKUP($C17,RLS!$C$32:$AN$36,38,FALSE)*'Unit Distribution'!$B$3,0)</f>
        <v>0</v>
      </c>
      <c r="AR17" s="14">
        <f>ROUND(VLOOKUP($C17,RLS!$C$32:$AN$36,38,FALSE)*'Unit Distribution'!$B$3,0)</f>
        <v>0</v>
      </c>
      <c r="AS17" s="14">
        <f>ROUND(VLOOKUP($C17,RLS!$C$32:$AN$36,38,FALSE)*'Unit Distribution'!$B$3,0)</f>
        <v>0</v>
      </c>
      <c r="AT17" s="14">
        <f>ROUND(VLOOKUP($C17,RLS!$C$32:$AN$36,38,FALSE)*'Unit Distribution'!$B$3,0)</f>
        <v>0</v>
      </c>
      <c r="AU17" s="14">
        <f>ROUND(VLOOKUP($C17,RLS!$C$32:$AN$36,38,FALSE)*'Unit Distribution'!$B$3,0)</f>
        <v>0</v>
      </c>
      <c r="AV17" s="14">
        <f>ROUND(VLOOKUP($C17,RLS!$C$32:$AN$36,38,FALSE)*'Unit Distribution'!$B$3,0)</f>
        <v>0</v>
      </c>
      <c r="AW17" s="14">
        <f>ROUND(VLOOKUP($C17,RLS!$C$32:$AN$36,38,FALSE)*'Unit Distribution'!$B$3,0)</f>
        <v>0</v>
      </c>
      <c r="AX17" s="14">
        <f>ROUND(VLOOKUP($C17,RLS!$C$32:$AN$36,38,FALSE)*'Unit Distribution'!$B$3,0)</f>
        <v>0</v>
      </c>
      <c r="AY17" s="14">
        <f>ROUND(VLOOKUP($C17,RLS!$C$32:$AN$36,38,FALSE)*'Unit Distribution'!$B$3,0)</f>
        <v>0</v>
      </c>
      <c r="AZ17" s="14">
        <f>ROUND(VLOOKUP($C17,RLS!$C$32:$AN$36,38,FALSE)*'Unit Distribution'!$B$3,0)</f>
        <v>0</v>
      </c>
      <c r="BA17" s="14">
        <f>ROUND(VLOOKUP($C17,RLS!$C$32:$AZ$36,50,FALSE)*'Unit Distribution'!$B$3,0)</f>
        <v>0</v>
      </c>
      <c r="BB17" s="14">
        <f>ROUND(VLOOKUP($C17,RLS!$C$32:$AZ$36,50,FALSE)*'Unit Distribution'!$B$3,0)</f>
        <v>0</v>
      </c>
      <c r="BC17" s="14">
        <f>ROUND(VLOOKUP($C17,RLS!$C$32:$AZ$36,50,FALSE)*'Unit Distribution'!$B$3,0)</f>
        <v>0</v>
      </c>
      <c r="BD17" s="14">
        <f>ROUND(VLOOKUP($C17,RLS!$C$32:$AZ$36,50,FALSE)*'Unit Distribution'!$B$3,0)</f>
        <v>0</v>
      </c>
      <c r="BE17" s="14">
        <f>ROUND(VLOOKUP($C17,RLS!$C$32:$AZ$36,50,FALSE)*'Unit Distribution'!$B$3,0)</f>
        <v>0</v>
      </c>
      <c r="BF17" s="14">
        <f>ROUND(VLOOKUP($C17,RLS!$C$32:$AZ$36,50,FALSE)*'Unit Distribution'!$B$3,0)</f>
        <v>0</v>
      </c>
      <c r="BG17" s="14">
        <f>ROUND(VLOOKUP($C17,RLS!$C$32:$AZ$36,50,FALSE)*'Unit Distribution'!$B$3,0)</f>
        <v>0</v>
      </c>
      <c r="BH17" s="14">
        <f>ROUND(VLOOKUP($C17,RLS!$C$32:$AZ$36,50,FALSE)*'Unit Distribution'!$B$3,0)</f>
        <v>0</v>
      </c>
      <c r="BI17" s="14">
        <f>ROUND(VLOOKUP($C17,RLS!$C$32:$AZ$36,50,FALSE)*'Unit Distribution'!$B$3,0)</f>
        <v>0</v>
      </c>
      <c r="BJ17" s="14">
        <f>ROUND(VLOOKUP($C17,RLS!$C$32:$AZ$36,50,FALSE)*'Unit Distribution'!$B$3,0)</f>
        <v>0</v>
      </c>
      <c r="BK17" s="14">
        <f>ROUND(VLOOKUP($C17,RLS!$C$32:$AZ$36,50,FALSE)*'Unit Distribution'!$B$3,0)</f>
        <v>0</v>
      </c>
      <c r="BL17" s="14">
        <f>ROUND(VLOOKUP($C17,RLS!$C$32:$AZ$36,50,FALSE)*'Unit Distribution'!$B$3,0)</f>
        <v>0</v>
      </c>
    </row>
    <row r="18" spans="1:64" x14ac:dyDescent="0.35">
      <c r="A18" t="s">
        <v>10</v>
      </c>
      <c r="B18" t="s">
        <v>5</v>
      </c>
      <c r="C18" t="str">
        <f t="shared" si="0"/>
        <v>TesterOnsite</v>
      </c>
      <c r="D18" t="s">
        <v>90</v>
      </c>
      <c r="E18" s="14">
        <f>ROUND(VLOOKUP($C18,RLS!$C$32:$O$36,3,FALSE)-E17,0)</f>
        <v>1</v>
      </c>
      <c r="F18" s="14">
        <f>ROUND(VLOOKUP($C18,RLS!$C$32:$O$36,3,FALSE)-F17,0)</f>
        <v>1</v>
      </c>
      <c r="G18" s="14">
        <f>ROUND(VLOOKUP($C18,RLS!$C$32:$O$36,3,FALSE)-G17,0)</f>
        <v>1</v>
      </c>
      <c r="H18" s="14">
        <f>ROUND(VLOOKUP($C18,RLS!$C$32:$O$36,3,FALSE)-H17,0)</f>
        <v>1</v>
      </c>
      <c r="I18" s="14">
        <f>ROUND(VLOOKUP($C18,RLS!$C$32:$O$36,3,FALSE)-I17,0)</f>
        <v>1</v>
      </c>
      <c r="J18" s="14">
        <f>ROUND(VLOOKUP($C18,RLS!$C$32:$O$36,3,FALSE)-J17,0)</f>
        <v>1</v>
      </c>
      <c r="K18" s="14">
        <f>ROUND(VLOOKUP($C18,RLS!$C$32:$O$36,3,FALSE)-K17,0)</f>
        <v>1</v>
      </c>
      <c r="L18" s="14">
        <f>ROUND(VLOOKUP($C18,RLS!$C$32:$O$36,3,FALSE)-L17,0)</f>
        <v>1</v>
      </c>
      <c r="M18" s="14">
        <f>ROUND(VLOOKUP($C18,RLS!$C$32:$O$36,3,FALSE)-M17,0)</f>
        <v>1</v>
      </c>
      <c r="N18" s="14">
        <f>ROUND(VLOOKUP($C18,RLS!$C$32:$O$36,3,FALSE)-N17,0)</f>
        <v>1</v>
      </c>
      <c r="O18" s="14">
        <f>ROUND(VLOOKUP($C18,RLS!$C$32:$O$36,3,FALSE)-O17,0)</f>
        <v>1</v>
      </c>
      <c r="P18" s="14">
        <f>ROUND(VLOOKUP($C18,RLS!$C$32:$O$36,3,FALSE)-P17,0)</f>
        <v>1</v>
      </c>
      <c r="Q18" s="14">
        <f>ROUND(VLOOKUP($C18,RLS!$C$32:$P$36,14,FALSE)-Q17,0)</f>
        <v>1</v>
      </c>
      <c r="R18" s="14">
        <f>ROUND(VLOOKUP($C18,RLS!$C$32:$P$36,14,FALSE)-R17,0)</f>
        <v>1</v>
      </c>
      <c r="S18" s="14">
        <f>ROUND(VLOOKUP($C18,RLS!$C$32:$P$36,14,FALSE)-S17,0)</f>
        <v>1</v>
      </c>
      <c r="T18" s="14">
        <f>ROUND(VLOOKUP($C18,RLS!$C$32:$P$36,14,FALSE)-T17,0)</f>
        <v>1</v>
      </c>
      <c r="U18" s="14">
        <f>ROUND(VLOOKUP($C18,RLS!$C$32:$P$36,14,FALSE)-U17,0)</f>
        <v>1</v>
      </c>
      <c r="V18" s="14">
        <f>ROUND(VLOOKUP($C18,RLS!$C$32:$P$36,14,FALSE)-V17,0)</f>
        <v>1</v>
      </c>
      <c r="W18" s="14">
        <f>ROUND(VLOOKUP($C18,RLS!$C$32:$P$36,14,FALSE)-W17,0)</f>
        <v>1</v>
      </c>
      <c r="X18" s="14">
        <f>ROUND(VLOOKUP($C18,RLS!$C$32:$P$36,14,FALSE)-X17,0)</f>
        <v>1</v>
      </c>
      <c r="Y18" s="14">
        <f>ROUND(VLOOKUP($C18,RLS!$C$32:$P$36,14,FALSE)-Y17,0)</f>
        <v>1</v>
      </c>
      <c r="Z18" s="14">
        <f>ROUND(VLOOKUP($C18,RLS!$C$32:$P$36,14,FALSE)-Z17,0)</f>
        <v>1</v>
      </c>
      <c r="AA18" s="14">
        <f>ROUND(VLOOKUP($C18,RLS!$C$32:$P$36,14,FALSE)-AA17,0)</f>
        <v>1</v>
      </c>
      <c r="AB18" s="14">
        <f>ROUND(VLOOKUP($C18,RLS!$C$32:$P$36,14,FALSE)-AB17,0)</f>
        <v>1</v>
      </c>
      <c r="AC18" s="14">
        <f>ROUND(VLOOKUP($C18,RLS!$C$32:$AB$36,26,FALSE)-AC17,0)</f>
        <v>0</v>
      </c>
      <c r="AD18" s="14">
        <f>ROUND(VLOOKUP($C18,RLS!$C$32:$AB$36,26,FALSE)-AD17,0)</f>
        <v>0</v>
      </c>
      <c r="AE18" s="14">
        <f>ROUND(VLOOKUP($C18,RLS!$C$32:$AB$36,26,FALSE)-AE17,0)</f>
        <v>0</v>
      </c>
      <c r="AF18" s="14">
        <f>ROUND(VLOOKUP($C18,RLS!$C$32:$AB$36,26,FALSE)-AF17,0)</f>
        <v>0</v>
      </c>
      <c r="AG18" s="14">
        <f>ROUND(VLOOKUP($C18,RLS!$C$32:$AB$36,26,FALSE)-AG17,0)</f>
        <v>0</v>
      </c>
      <c r="AH18" s="14">
        <f>ROUND(VLOOKUP($C18,RLS!$C$32:$AB$36,26,FALSE)-AH17,0)</f>
        <v>0</v>
      </c>
      <c r="AI18" s="14">
        <f>ROUND(VLOOKUP($C18,RLS!$C$32:$AB$36,26,FALSE)-AI17,0)</f>
        <v>0</v>
      </c>
      <c r="AJ18" s="14">
        <f>ROUND(VLOOKUP($C18,RLS!$C$32:$AB$36,26,FALSE)-AJ17,0)</f>
        <v>0</v>
      </c>
      <c r="AK18" s="14">
        <f>ROUND(VLOOKUP($C18,RLS!$C$32:$AB$36,26,FALSE)-AK17,0)</f>
        <v>0</v>
      </c>
      <c r="AL18" s="14">
        <f>ROUND(VLOOKUP($C18,RLS!$C$32:$AB$36,26,FALSE)-AL17,0)</f>
        <v>0</v>
      </c>
      <c r="AM18" s="14">
        <f>ROUND(VLOOKUP($C18,RLS!$C$32:$AB$36,26,FALSE)-AM17,0)</f>
        <v>0</v>
      </c>
      <c r="AN18" s="14">
        <f>ROUND(VLOOKUP($C18,RLS!$C$32:$AB$36,26,FALSE)-AN17,0)</f>
        <v>0</v>
      </c>
      <c r="AO18" s="14">
        <f>ROUND(VLOOKUP($C18,RLS!$C$32:$AN$36,38,FALSE)-AO17,0)</f>
        <v>0</v>
      </c>
      <c r="AP18" s="14">
        <f>ROUND(VLOOKUP($C18,RLS!$C$32:$AN$36,38,FALSE)-AP17,0)</f>
        <v>0</v>
      </c>
      <c r="AQ18" s="14">
        <f>ROUND(VLOOKUP($C18,RLS!$C$32:$AN$36,38,FALSE)-AQ17,0)</f>
        <v>0</v>
      </c>
      <c r="AR18" s="14">
        <f>ROUND(VLOOKUP($C18,RLS!$C$32:$AN$36,38,FALSE)-AR17,0)</f>
        <v>0</v>
      </c>
      <c r="AS18" s="14">
        <f>ROUND(VLOOKUP($C18,RLS!$C$32:$AN$36,38,FALSE)-AS17,0)</f>
        <v>0</v>
      </c>
      <c r="AT18" s="14">
        <f>ROUND(VLOOKUP($C18,RLS!$C$32:$AN$36,38,FALSE)-AT17,0)</f>
        <v>0</v>
      </c>
      <c r="AU18" s="14">
        <f>ROUND(VLOOKUP($C18,RLS!$C$32:$AN$36,38,FALSE)-AU17,0)</f>
        <v>0</v>
      </c>
      <c r="AV18" s="14">
        <f>ROUND(VLOOKUP($C18,RLS!$C$32:$AN$36,38,FALSE)-AV17,0)</f>
        <v>0</v>
      </c>
      <c r="AW18" s="14">
        <f>ROUND(VLOOKUP($C18,RLS!$C$32:$AN$36,38,FALSE)-AW17,0)</f>
        <v>0</v>
      </c>
      <c r="AX18" s="14">
        <f>ROUND(VLOOKUP($C18,RLS!$C$32:$AN$36,38,FALSE)-AX17,0)</f>
        <v>0</v>
      </c>
      <c r="AY18" s="14">
        <f>ROUND(VLOOKUP($C18,RLS!$C$32:$AN$36,38,FALSE)-AY17,0)</f>
        <v>0</v>
      </c>
      <c r="AZ18" s="14">
        <f>ROUND(VLOOKUP($C18,RLS!$C$32:$AN$36,38,FALSE)-AZ17,0)</f>
        <v>0</v>
      </c>
      <c r="BA18" s="14">
        <f>ROUND(VLOOKUP($C18,RLS!$C$32:$AZ$36,50,FALSE)-BA17,0)</f>
        <v>0</v>
      </c>
      <c r="BB18" s="14">
        <f>ROUND(VLOOKUP($C18,RLS!$C$32:$AZ$36,50,FALSE)-BB17,0)</f>
        <v>0</v>
      </c>
      <c r="BC18" s="14">
        <f>ROUND(VLOOKUP($C18,RLS!$C$32:$AZ$36,50,FALSE)-BC17,0)</f>
        <v>0</v>
      </c>
      <c r="BD18" s="14">
        <f>ROUND(VLOOKUP($C18,RLS!$C$32:$AZ$36,50,FALSE)-BD17,0)</f>
        <v>0</v>
      </c>
      <c r="BE18" s="14">
        <f>ROUND(VLOOKUP($C18,RLS!$C$32:$AZ$36,50,FALSE)-BE17,0)</f>
        <v>0</v>
      </c>
      <c r="BF18" s="14">
        <f>ROUND(VLOOKUP($C18,RLS!$C$32:$AZ$36,50,FALSE)-BF17,0)</f>
        <v>0</v>
      </c>
      <c r="BG18" s="14">
        <f>ROUND(VLOOKUP($C18,RLS!$C$32:$AZ$36,50,FALSE)-BG17,0)</f>
        <v>0</v>
      </c>
      <c r="BH18" s="14">
        <f>ROUND(VLOOKUP($C18,RLS!$C$32:$AZ$36,50,FALSE)-BH17,0)</f>
        <v>0</v>
      </c>
      <c r="BI18" s="14">
        <f>ROUND(VLOOKUP($C18,RLS!$C$32:$AZ$36,50,FALSE)-BI17,0)</f>
        <v>0</v>
      </c>
      <c r="BJ18" s="14">
        <f>ROUND(VLOOKUP($C18,RLS!$C$32:$AZ$36,50,FALSE)-BJ17,0)</f>
        <v>0</v>
      </c>
      <c r="BK18" s="14">
        <f>ROUND(VLOOKUP($C18,RLS!$C$32:$AZ$36,50,FALSE)-BK17,0)</f>
        <v>0</v>
      </c>
      <c r="BL18" s="14">
        <f>ROUND(VLOOKUP($C18,RLS!$C$32:$AZ$36,50,FALSE)-BL17,0)</f>
        <v>0</v>
      </c>
    </row>
    <row r="19" spans="1:64" x14ac:dyDescent="0.35">
      <c r="A19" t="s">
        <v>6</v>
      </c>
      <c r="B19" t="s">
        <v>5</v>
      </c>
      <c r="C19" t="str">
        <f t="shared" si="0"/>
        <v>PMOnsite</v>
      </c>
      <c r="D19" t="s">
        <v>92</v>
      </c>
      <c r="E19" s="14">
        <f>ROUND(VLOOKUP($C19,RLS!$C$32:$O$36,3, FALSE),0)</f>
        <v>0</v>
      </c>
      <c r="F19" s="14">
        <f>ROUND(VLOOKUP($C19,RLS!$C$32:$O$36,3, FALSE),2)</f>
        <v>0</v>
      </c>
      <c r="G19" s="14">
        <f>ROUND(VLOOKUP($C19,RLS!$C$32:$O$36,3, FALSE),2)</f>
        <v>0</v>
      </c>
      <c r="H19" s="14">
        <f>ROUND(VLOOKUP($C19,RLS!$C$32:$O$36,3, FALSE),2)</f>
        <v>0</v>
      </c>
      <c r="I19" s="14">
        <f>ROUND(VLOOKUP($C19,RLS!$C$32:$O$36,3, FALSE),2)</f>
        <v>0</v>
      </c>
      <c r="J19" s="14">
        <f>ROUND(VLOOKUP($C19,RLS!$C$32:$O$36,3, FALSE),2)</f>
        <v>0</v>
      </c>
      <c r="K19" s="14">
        <f>ROUND(VLOOKUP($C19,RLS!$C$32:$O$36,3, FALSE),2)</f>
        <v>0</v>
      </c>
      <c r="L19" s="14">
        <f>ROUND(VLOOKUP($C19,RLS!$C$32:$O$36,3, FALSE),2)</f>
        <v>0</v>
      </c>
      <c r="M19" s="14">
        <f>ROUND(VLOOKUP($C19,RLS!$C$32:$O$36,3, FALSE),2)</f>
        <v>0</v>
      </c>
      <c r="N19" s="14">
        <f>ROUND(VLOOKUP($C19,RLS!$C$32:$O$36,3, FALSE),2)</f>
        <v>0</v>
      </c>
      <c r="O19" s="14">
        <f>ROUND(VLOOKUP($C19,RLS!$C$32:$O$36,3, FALSE),2)</f>
        <v>0</v>
      </c>
      <c r="P19" s="14">
        <f>ROUND(VLOOKUP($C19,RLS!$C$32:$O$36,3, FALSE),2)</f>
        <v>0</v>
      </c>
      <c r="Q19" s="14">
        <f>ROUND(VLOOKUP($C19,RLS!$C$32:$P$36,14,FALSE),0)</f>
        <v>0</v>
      </c>
      <c r="R19" s="14">
        <f>ROUND(VLOOKUP($C19,RLS!$C$32:$P$36,14,FALSE),0)</f>
        <v>0</v>
      </c>
      <c r="S19" s="14">
        <f>ROUND(VLOOKUP($C19,RLS!$C$32:$P$36,14,FALSE),0)</f>
        <v>0</v>
      </c>
      <c r="T19" s="14">
        <f>ROUND(VLOOKUP($C19,RLS!$C$32:$P$36,14,FALSE),0)</f>
        <v>0</v>
      </c>
      <c r="U19" s="14">
        <f>ROUND(VLOOKUP($C19,RLS!$C$32:$P$36,14,FALSE),0)</f>
        <v>0</v>
      </c>
      <c r="V19" s="14">
        <f>ROUND(VLOOKUP($C19,RLS!$C$32:$P$36,14,FALSE),0)</f>
        <v>0</v>
      </c>
      <c r="W19" s="14">
        <f>ROUND(VLOOKUP($C19,RLS!$C$32:$P$36,14,FALSE),0)</f>
        <v>0</v>
      </c>
      <c r="X19" s="14">
        <f>ROUND(VLOOKUP($C19,RLS!$C$32:$P$36,14,FALSE),0)</f>
        <v>0</v>
      </c>
      <c r="Y19" s="14">
        <f>ROUND(VLOOKUP($C19,RLS!$C$32:$P$36,14,FALSE),0)</f>
        <v>0</v>
      </c>
      <c r="Z19" s="14">
        <f>ROUND(VLOOKUP($C19,RLS!$C$32:$P$36,14,FALSE),0)</f>
        <v>0</v>
      </c>
      <c r="AA19" s="14">
        <f>ROUND(VLOOKUP($C19,RLS!$C$32:$P$36,14,FALSE),0)</f>
        <v>0</v>
      </c>
      <c r="AB19" s="14">
        <f>ROUND(VLOOKUP($C19,RLS!$C$32:$P$36,14,FALSE),0)</f>
        <v>0</v>
      </c>
      <c r="AC19" s="14">
        <f>ROUND(VLOOKUP($C19,RLS!$C$32:$AB$36,26,FALSE),0)</f>
        <v>0</v>
      </c>
      <c r="AD19" s="14">
        <f>ROUND(VLOOKUP($C19,RLS!$C$32:$AB$36,26,FALSE),0)</f>
        <v>0</v>
      </c>
      <c r="AE19" s="14">
        <f>ROUND(VLOOKUP($C19,RLS!$C$32:$AB$36,26,FALSE),0)</f>
        <v>0</v>
      </c>
      <c r="AF19" s="14">
        <f>ROUND(VLOOKUP($C19,RLS!$C$32:$AB$36,26,FALSE),0)</f>
        <v>0</v>
      </c>
      <c r="AG19" s="14">
        <f>ROUND(VLOOKUP($C19,RLS!$C$32:$AB$36,26,FALSE),0)</f>
        <v>0</v>
      </c>
      <c r="AH19" s="14">
        <f>ROUND(VLOOKUP($C19,RLS!$C$32:$AB$36,26,FALSE),0)</f>
        <v>0</v>
      </c>
      <c r="AI19" s="14">
        <f>ROUND(VLOOKUP($C19,RLS!$C$32:$AB$36,26,FALSE),0)</f>
        <v>0</v>
      </c>
      <c r="AJ19" s="14">
        <f>ROUND(VLOOKUP($C19,RLS!$C$32:$AB$36,26,FALSE),0)</f>
        <v>0</v>
      </c>
      <c r="AK19" s="14">
        <f>ROUND(VLOOKUP($C19,RLS!$C$32:$AB$36,26,FALSE),0)</f>
        <v>0</v>
      </c>
      <c r="AL19" s="14">
        <f>ROUND(VLOOKUP($C19,RLS!$C$32:$AB$36,26,FALSE),0)</f>
        <v>0</v>
      </c>
      <c r="AM19" s="14">
        <f>ROUND(VLOOKUP($C19,RLS!$C$32:$AB$36,26,FALSE),0)</f>
        <v>0</v>
      </c>
      <c r="AN19" s="14">
        <f>ROUND(VLOOKUP($C19,RLS!$C$32:$AB$36,26,FALSE),0)</f>
        <v>0</v>
      </c>
      <c r="AO19" s="14">
        <f>ROUND(VLOOKUP($C19,RLS!$C$32:$AN$36,38,FALSE),0)</f>
        <v>0</v>
      </c>
      <c r="AP19" s="14">
        <f>ROUND(VLOOKUP($C19,RLS!$C$32:$AN$36,38,FALSE),0)</f>
        <v>0</v>
      </c>
      <c r="AQ19" s="14">
        <f>ROUND(VLOOKUP($C19,RLS!$C$32:$AN$36,38,FALSE),0)</f>
        <v>0</v>
      </c>
      <c r="AR19" s="14">
        <f>ROUND(VLOOKUP($C19,RLS!$C$32:$AN$36,38,FALSE),0)</f>
        <v>0</v>
      </c>
      <c r="AS19" s="14">
        <f>ROUND(VLOOKUP($C19,RLS!$C$32:$AN$36,38,FALSE),0)</f>
        <v>0</v>
      </c>
      <c r="AT19" s="14">
        <f>ROUND(VLOOKUP($C19,RLS!$C$32:$AN$36,38,FALSE),0)</f>
        <v>0</v>
      </c>
      <c r="AU19" s="14">
        <f>ROUND(VLOOKUP($C19,RLS!$C$32:$AN$36,38,FALSE),0)</f>
        <v>0</v>
      </c>
      <c r="AV19" s="14">
        <f>ROUND(VLOOKUP($C19,RLS!$C$32:$AN$36,38,FALSE),0)</f>
        <v>0</v>
      </c>
      <c r="AW19" s="14">
        <f>ROUND(VLOOKUP($C19,RLS!$C$32:$AN$36,38,FALSE),0)</f>
        <v>0</v>
      </c>
      <c r="AX19" s="14">
        <f>ROUND(VLOOKUP($C19,RLS!$C$32:$AN$36,38,FALSE),0)</f>
        <v>0</v>
      </c>
      <c r="AY19" s="14">
        <f>ROUND(VLOOKUP($C19,RLS!$C$32:$AN$36,38,FALSE),0)</f>
        <v>0</v>
      </c>
      <c r="AZ19" s="14">
        <f>ROUND(VLOOKUP($C19,RLS!$C$32:$AN$36,38,FALSE),0)</f>
        <v>0</v>
      </c>
      <c r="BA19" s="14">
        <f>ROUND(VLOOKUP($C19,RLS!$C$32:$AZ$36,50,FALSE),0)</f>
        <v>0</v>
      </c>
      <c r="BB19" s="14">
        <f>ROUND(VLOOKUP($C19,RLS!$C$32:$AZ$36,50,FALSE),0)</f>
        <v>0</v>
      </c>
      <c r="BC19" s="14">
        <f>ROUND(VLOOKUP($C19,RLS!$C$32:$AZ$36,50,FALSE),0)</f>
        <v>0</v>
      </c>
      <c r="BD19" s="14">
        <f>ROUND(VLOOKUP($C19,RLS!$C$32:$AZ$36,50,FALSE),0)</f>
        <v>0</v>
      </c>
      <c r="BE19" s="14">
        <f>ROUND(VLOOKUP($C19,RLS!$C$32:$AZ$36,50,FALSE),0)</f>
        <v>0</v>
      </c>
      <c r="BF19" s="14">
        <f>ROUND(VLOOKUP($C19,RLS!$C$32:$AZ$36,50,FALSE),0)</f>
        <v>0</v>
      </c>
      <c r="BG19" s="14">
        <f>ROUND(VLOOKUP($C19,RLS!$C$32:$AZ$36,50,FALSE),0)</f>
        <v>0</v>
      </c>
      <c r="BH19" s="14">
        <f>ROUND(VLOOKUP($C19,RLS!$C$32:$AZ$36,50,FALSE),0)</f>
        <v>0</v>
      </c>
      <c r="BI19" s="14">
        <f>ROUND(VLOOKUP($C19,RLS!$C$32:$AZ$36,50,FALSE),0)</f>
        <v>0</v>
      </c>
      <c r="BJ19" s="14">
        <f>ROUND(VLOOKUP($C19,RLS!$C$32:$AZ$36,50,FALSE),0)</f>
        <v>0</v>
      </c>
      <c r="BK19" s="14">
        <f>ROUND(VLOOKUP($C19,RLS!$C$32:$AZ$36,50,FALSE),0)</f>
        <v>0</v>
      </c>
      <c r="BL19" s="14">
        <f>ROUND(VLOOKUP($C19,RLS!$C$32:$AZ$36,50,FALSE),0)</f>
        <v>0</v>
      </c>
    </row>
    <row r="20" spans="1:64" x14ac:dyDescent="0.35">
      <c r="A20" t="s">
        <v>7</v>
      </c>
      <c r="B20" t="s">
        <v>5</v>
      </c>
      <c r="C20" t="str">
        <f t="shared" si="0"/>
        <v>LeadOnsite</v>
      </c>
      <c r="E20" s="14">
        <f>ROUND(VLOOKUP($C20,RLS!$C$32:$O$36,3, FALSE),2)</f>
        <v>1</v>
      </c>
      <c r="F20" s="14">
        <f>ROUND(VLOOKUP($C20,RLS!$C$32:$O$36,3, FALSE),2)</f>
        <v>1</v>
      </c>
      <c r="G20" s="14">
        <f>ROUND(VLOOKUP($C20,RLS!$C$32:$O$36,3, FALSE),2)</f>
        <v>1</v>
      </c>
      <c r="H20" s="14">
        <f>ROUND(VLOOKUP($C20,RLS!$C$32:$O$36,3, FALSE),2)</f>
        <v>1</v>
      </c>
      <c r="I20" s="14">
        <f>ROUND(VLOOKUP($C20,RLS!$C$32:$O$36,3, FALSE),2)</f>
        <v>1</v>
      </c>
      <c r="J20" s="14">
        <f>ROUND(VLOOKUP($C20,RLS!$C$32:$O$36,3, FALSE),2)</f>
        <v>1</v>
      </c>
      <c r="K20" s="14">
        <f>ROUND(VLOOKUP($C20,RLS!$C$32:$O$36,3, FALSE),2)</f>
        <v>1</v>
      </c>
      <c r="L20" s="14">
        <f>ROUND(VLOOKUP($C20,RLS!$C$32:$O$36,3, FALSE),2)</f>
        <v>1</v>
      </c>
      <c r="M20" s="14">
        <f>ROUND(VLOOKUP($C20,RLS!$C$32:$O$36,3, FALSE),2)</f>
        <v>1</v>
      </c>
      <c r="N20" s="14">
        <f>ROUND(VLOOKUP($C20,RLS!$C$32:$O$36,3, FALSE),2)</f>
        <v>1</v>
      </c>
      <c r="O20" s="14">
        <f>ROUND(VLOOKUP($C20,RLS!$C$32:$O$36,3, FALSE),2)</f>
        <v>1</v>
      </c>
      <c r="P20" s="14">
        <f>ROUND(VLOOKUP($C20,RLS!$C$32:$O$36,3, FALSE),2)</f>
        <v>1</v>
      </c>
      <c r="Q20" s="14">
        <f>ROUND(VLOOKUP($C20,RLS!$C$32:$P$36,14,FALSE),0)</f>
        <v>1</v>
      </c>
      <c r="R20" s="14">
        <f>ROUND(VLOOKUP($C20,RLS!$C$32:$P$36,14,FALSE),0)</f>
        <v>1</v>
      </c>
      <c r="S20" s="14">
        <f>ROUND(VLOOKUP($C20,RLS!$C$32:$P$36,14,FALSE),0)</f>
        <v>1</v>
      </c>
      <c r="T20" s="14">
        <f>ROUND(VLOOKUP($C20,RLS!$C$32:$P$36,14,FALSE),0)</f>
        <v>1</v>
      </c>
      <c r="U20" s="14">
        <f>ROUND(VLOOKUP($C20,RLS!$C$32:$P$36,14,FALSE),0)</f>
        <v>1</v>
      </c>
      <c r="V20" s="14">
        <f>ROUND(VLOOKUP($C20,RLS!$C$32:$P$36,14,FALSE),0)</f>
        <v>1</v>
      </c>
      <c r="W20" s="14">
        <f>ROUND(VLOOKUP($C20,RLS!$C$32:$P$36,14,FALSE),0)</f>
        <v>1</v>
      </c>
      <c r="X20" s="14">
        <f>ROUND(VLOOKUP($C20,RLS!$C$32:$P$36,14,FALSE),0)</f>
        <v>1</v>
      </c>
      <c r="Y20" s="14">
        <f>ROUND(VLOOKUP($C20,RLS!$C$32:$P$36,14,FALSE),0)</f>
        <v>1</v>
      </c>
      <c r="Z20" s="14">
        <f>ROUND(VLOOKUP($C20,RLS!$C$32:$P$36,14,FALSE),0)</f>
        <v>1</v>
      </c>
      <c r="AA20" s="14">
        <f>ROUND(VLOOKUP($C20,RLS!$C$32:$P$36,14,FALSE),0)</f>
        <v>1</v>
      </c>
      <c r="AB20" s="14">
        <f>ROUND(VLOOKUP($C20,RLS!$C$32:$P$36,14,FALSE),0)</f>
        <v>1</v>
      </c>
      <c r="AC20" s="14">
        <f>ROUND(VLOOKUP($C20,RLS!$C$32:$AB$36,26,FALSE),0)</f>
        <v>1</v>
      </c>
      <c r="AD20" s="14">
        <f>ROUND(VLOOKUP($C20,RLS!$C$32:$AB$36,26,FALSE),0)</f>
        <v>1</v>
      </c>
      <c r="AE20" s="14">
        <f>ROUND(VLOOKUP($C20,RLS!$C$32:$AB$36,26,FALSE),0)</f>
        <v>1</v>
      </c>
      <c r="AF20" s="14">
        <f>ROUND(VLOOKUP($C20,RLS!$C$32:$AB$36,26,FALSE),0)</f>
        <v>1</v>
      </c>
      <c r="AG20" s="14">
        <f>ROUND(VLOOKUP($C20,RLS!$C$32:$AB$36,26,FALSE),0)</f>
        <v>1</v>
      </c>
      <c r="AH20" s="14">
        <f>ROUND(VLOOKUP($C20,RLS!$C$32:$AB$36,26,FALSE),0)</f>
        <v>1</v>
      </c>
      <c r="AI20" s="14">
        <f>ROUND(VLOOKUP($C20,RLS!$C$32:$AB$36,26,FALSE),0)</f>
        <v>1</v>
      </c>
      <c r="AJ20" s="14">
        <f>ROUND(VLOOKUP($C20,RLS!$C$32:$AB$36,26,FALSE),0)</f>
        <v>1</v>
      </c>
      <c r="AK20" s="14">
        <f>ROUND(VLOOKUP($C20,RLS!$C$32:$AB$36,26,FALSE),0)</f>
        <v>1</v>
      </c>
      <c r="AL20" s="14">
        <f>ROUND(VLOOKUP($C20,RLS!$C$32:$AB$36,26,FALSE),0)</f>
        <v>1</v>
      </c>
      <c r="AM20" s="14">
        <f>ROUND(VLOOKUP($C20,RLS!$C$32:$AB$36,26,FALSE),0)</f>
        <v>1</v>
      </c>
      <c r="AN20" s="14">
        <f>ROUND(VLOOKUP($C20,RLS!$C$32:$AB$36,26,FALSE),0)</f>
        <v>1</v>
      </c>
      <c r="AO20" s="14">
        <f>ROUND(VLOOKUP($C20,RLS!$C$32:$AN$36,38,FALSE),0)</f>
        <v>1</v>
      </c>
      <c r="AP20" s="14">
        <f>ROUND(VLOOKUP($C20,RLS!$C$32:$AN$36,38,FALSE),0)</f>
        <v>1</v>
      </c>
      <c r="AQ20" s="14">
        <f>ROUND(VLOOKUP($C20,RLS!$C$32:$AN$36,38,FALSE),0)</f>
        <v>1</v>
      </c>
      <c r="AR20" s="14">
        <f>ROUND(VLOOKUP($C20,RLS!$C$32:$AN$36,38,FALSE),0)</f>
        <v>1</v>
      </c>
      <c r="AS20" s="14">
        <f>ROUND(VLOOKUP($C20,RLS!$C$32:$AN$36,38,FALSE),0)</f>
        <v>1</v>
      </c>
      <c r="AT20" s="14">
        <f>ROUND(VLOOKUP($C20,RLS!$C$32:$AN$36,38,FALSE),0)</f>
        <v>1</v>
      </c>
      <c r="AU20" s="14">
        <f>ROUND(VLOOKUP($C20,RLS!$C$32:$AN$36,38,FALSE),0)</f>
        <v>1</v>
      </c>
      <c r="AV20" s="14">
        <f>ROUND(VLOOKUP($C20,RLS!$C$32:$AN$36,38,FALSE),0)</f>
        <v>1</v>
      </c>
      <c r="AW20" s="14">
        <f>ROUND(VLOOKUP($C20,RLS!$C$32:$AN$36,38,FALSE),0)</f>
        <v>1</v>
      </c>
      <c r="AX20" s="14">
        <f>ROUND(VLOOKUP($C20,RLS!$C$32:$AN$36,38,FALSE),0)</f>
        <v>1</v>
      </c>
      <c r="AY20" s="14">
        <f>ROUND(VLOOKUP($C20,RLS!$C$32:$AN$36,38,FALSE),0)</f>
        <v>1</v>
      </c>
      <c r="AZ20" s="14">
        <f>ROUND(VLOOKUP($C20,RLS!$C$32:$AN$36,38,FALSE),0)</f>
        <v>1</v>
      </c>
      <c r="BA20" s="14">
        <f>ROUND(VLOOKUP($C20,RLS!$C$32:$AZ$36,50,FALSE),0)</f>
        <v>0</v>
      </c>
      <c r="BB20" s="14">
        <f>ROUND(VLOOKUP($C20,RLS!$C$32:$AZ$36,50,FALSE),0)</f>
        <v>0</v>
      </c>
      <c r="BC20" s="14">
        <f>ROUND(VLOOKUP($C20,RLS!$C$32:$AZ$36,50,FALSE),0)</f>
        <v>0</v>
      </c>
      <c r="BD20" s="14">
        <f>ROUND(VLOOKUP($C20,RLS!$C$32:$AZ$36,50,FALSE),0)</f>
        <v>0</v>
      </c>
      <c r="BE20" s="14">
        <f>ROUND(VLOOKUP($C20,RLS!$C$32:$AZ$36,50,FALSE),0)</f>
        <v>0</v>
      </c>
      <c r="BF20" s="14">
        <f>ROUND(VLOOKUP($C20,RLS!$C$32:$AZ$36,50,FALSE),0)</f>
        <v>0</v>
      </c>
      <c r="BG20" s="14">
        <f>ROUND(VLOOKUP($C20,RLS!$C$32:$AZ$36,50,FALSE),0)</f>
        <v>0</v>
      </c>
      <c r="BH20" s="14">
        <f>ROUND(VLOOKUP($C20,RLS!$C$32:$AZ$36,50,FALSE),0)</f>
        <v>0</v>
      </c>
      <c r="BI20" s="14">
        <f>ROUND(VLOOKUP($C20,RLS!$C$32:$AZ$36,50,FALSE),0)</f>
        <v>0</v>
      </c>
      <c r="BJ20" s="14">
        <f>ROUND(VLOOKUP($C20,RLS!$C$32:$AZ$36,50,FALSE),0)</f>
        <v>0</v>
      </c>
      <c r="BK20" s="14">
        <f>ROUND(VLOOKUP($C20,RLS!$C$32:$AZ$36,50,FALSE),0)</f>
        <v>0</v>
      </c>
      <c r="BL20" s="14">
        <f>ROUND(VLOOKUP($C20,RLS!$C$32:$AZ$36,50,FALSE),0)</f>
        <v>0</v>
      </c>
    </row>
    <row r="21" spans="1:64" x14ac:dyDescent="0.35">
      <c r="A21" t="s">
        <v>8</v>
      </c>
      <c r="B21" t="s">
        <v>12</v>
      </c>
      <c r="C21" t="str">
        <f t="shared" si="0"/>
        <v>BSAOnsite-Landed</v>
      </c>
      <c r="D21" t="s">
        <v>89</v>
      </c>
      <c r="E21" s="14">
        <f>ROUND(VLOOKUP($C21,RLS!$C$37:$O$41,3, FALSE)*'Unit Distribution'!$B$3,0)</f>
        <v>1</v>
      </c>
      <c r="F21" s="14">
        <f>ROUND(VLOOKUP($C21,RLS!$C$37:$O$41,3, FALSE)*'Unit Distribution'!$B$3,0)</f>
        <v>1</v>
      </c>
      <c r="G21" s="14">
        <f>ROUND(VLOOKUP($C21,RLS!$C$37:$O$41,3, FALSE)*'Unit Distribution'!$B$3,0)</f>
        <v>1</v>
      </c>
      <c r="H21" s="14">
        <f>ROUND(VLOOKUP($C21,RLS!$C$37:$O$41,3, FALSE)*'Unit Distribution'!$B$3,0)</f>
        <v>1</v>
      </c>
      <c r="I21" s="14">
        <f>ROUND(VLOOKUP($C21,RLS!$C$37:$O$41,3, FALSE)*'Unit Distribution'!$B$3,0)</f>
        <v>1</v>
      </c>
      <c r="J21" s="14">
        <f>ROUND(VLOOKUP($C21,RLS!$C$37:$O$41,3, FALSE)*'Unit Distribution'!$B$3,0)</f>
        <v>1</v>
      </c>
      <c r="K21" s="14">
        <f>ROUND(VLOOKUP($C21,RLS!$C$37:$O$41,3, FALSE)*'Unit Distribution'!$B$3,0)</f>
        <v>1</v>
      </c>
      <c r="L21" s="14">
        <f>ROUND(VLOOKUP($C21,RLS!$C$37:$O$41,3, FALSE)*'Unit Distribution'!$B$3,0)</f>
        <v>1</v>
      </c>
      <c r="M21" s="14">
        <f>ROUND(VLOOKUP($C21,RLS!$C$37:$O$41,3, FALSE)*'Unit Distribution'!$B$3,0)</f>
        <v>1</v>
      </c>
      <c r="N21" s="14">
        <f>ROUND(VLOOKUP($C21,RLS!$C$37:$O$41,3, FALSE)*'Unit Distribution'!$B$3,0)</f>
        <v>1</v>
      </c>
      <c r="O21" s="14">
        <f>ROUND(VLOOKUP($C21,RLS!$C$37:$O$41,3, FALSE)*'Unit Distribution'!$B$3,0)</f>
        <v>1</v>
      </c>
      <c r="P21" s="14">
        <f>ROUND(VLOOKUP($C21,RLS!$C$37:$O$41,3, FALSE)*'Unit Distribution'!$B$3,0)</f>
        <v>1</v>
      </c>
      <c r="Q21" s="14">
        <f>ROUND(VLOOKUP($C21,RLS!$C$37:$P$41,14,FALSE)*'Unit Distribution'!$B$3,0)</f>
        <v>0</v>
      </c>
      <c r="R21" s="14">
        <f>ROUND(VLOOKUP($C21,RLS!$C$37:$P$41,14,FALSE)*'Unit Distribution'!$B$3,0)</f>
        <v>0</v>
      </c>
      <c r="S21" s="14">
        <f>ROUND(VLOOKUP($C21,RLS!$C$37:$P$41,14,FALSE)*'Unit Distribution'!$B$3,0)</f>
        <v>0</v>
      </c>
      <c r="T21" s="14">
        <f>ROUND(VLOOKUP($C21,RLS!$C$37:$P$41,14,FALSE)*'Unit Distribution'!$B$3,0)</f>
        <v>0</v>
      </c>
      <c r="U21" s="14">
        <f>ROUND(VLOOKUP($C21,RLS!$C$37:$P$41,14,FALSE)*'Unit Distribution'!$B$3,0)</f>
        <v>0</v>
      </c>
      <c r="V21" s="14">
        <f>ROUND(VLOOKUP($C21,RLS!$C$37:$P$41,14,FALSE)*'Unit Distribution'!$B$3,0)</f>
        <v>0</v>
      </c>
      <c r="W21" s="14">
        <f>ROUND(VLOOKUP($C21,RLS!$C$37:$P$41,14,FALSE)*'Unit Distribution'!$B$3,0)</f>
        <v>0</v>
      </c>
      <c r="X21" s="14">
        <f>ROUND(VLOOKUP($C21,RLS!$C$37:$P$41,14,FALSE)*'Unit Distribution'!$B$3,0)</f>
        <v>0</v>
      </c>
      <c r="Y21" s="14">
        <f>ROUND(VLOOKUP($C21,RLS!$C$37:$P$41,14,FALSE)*'Unit Distribution'!$B$3,0)</f>
        <v>0</v>
      </c>
      <c r="Z21" s="14">
        <f>ROUND(VLOOKUP($C21,RLS!$C$37:$P$41,14,FALSE)*'Unit Distribution'!$B$3,0)</f>
        <v>0</v>
      </c>
      <c r="AA21" s="14">
        <f>ROUND(VLOOKUP($C21,RLS!$C$37:$P$41,14,FALSE)*'Unit Distribution'!$B$3,0)</f>
        <v>0</v>
      </c>
      <c r="AB21" s="14">
        <f>ROUND(VLOOKUP($C21,RLS!$C$37:$P$41,14,FALSE)*'Unit Distribution'!$B$3,0)</f>
        <v>0</v>
      </c>
      <c r="AC21" s="14">
        <f>ROUND(VLOOKUP($C21,RLS!$C$37:$AB$41,26,FALSE)*'Unit Distribution'!$B$3,0)</f>
        <v>0</v>
      </c>
      <c r="AD21" s="14">
        <f>ROUND(VLOOKUP($C21,RLS!$C$37:$AB$41,26,FALSE)*'Unit Distribution'!$B$3,0)</f>
        <v>0</v>
      </c>
      <c r="AE21" s="14">
        <f>ROUND(VLOOKUP($C21,RLS!$C$37:$AB$41,26,FALSE)*'Unit Distribution'!$B$3,0)</f>
        <v>0</v>
      </c>
      <c r="AF21" s="14">
        <f>ROUND(VLOOKUP($C21,RLS!$C$37:$AB$41,26,FALSE)*'Unit Distribution'!$B$3,0)</f>
        <v>0</v>
      </c>
      <c r="AG21" s="14">
        <f>ROUND(VLOOKUP($C21,RLS!$C$37:$AB$41,26,FALSE)*'Unit Distribution'!$B$3,0)</f>
        <v>0</v>
      </c>
      <c r="AH21" s="14">
        <f>ROUND(VLOOKUP($C21,RLS!$C$37:$AB$41,26,FALSE)*'Unit Distribution'!$B$3,0)</f>
        <v>0</v>
      </c>
      <c r="AI21" s="14">
        <f>ROUND(VLOOKUP($C21,RLS!$C$37:$AB$41,26,FALSE)*'Unit Distribution'!$B$3,0)</f>
        <v>0</v>
      </c>
      <c r="AJ21" s="14">
        <f>ROUND(VLOOKUP($C21,RLS!$C$37:$AB$41,26,FALSE)*'Unit Distribution'!$B$3,0)</f>
        <v>0</v>
      </c>
      <c r="AK21" s="14">
        <f>ROUND(VLOOKUP($C21,RLS!$C$37:$AB$41,26,FALSE)*'Unit Distribution'!$B$3,0)</f>
        <v>0</v>
      </c>
      <c r="AL21" s="14">
        <f>ROUND(VLOOKUP($C21,RLS!$C$37:$AB$41,26,FALSE)*'Unit Distribution'!$B$3,0)</f>
        <v>0</v>
      </c>
      <c r="AM21" s="14">
        <f>ROUND(VLOOKUP($C21,RLS!$C$37:$AB$41,26,FALSE)*'Unit Distribution'!$B$3,0)</f>
        <v>0</v>
      </c>
      <c r="AN21" s="14">
        <f>ROUND(VLOOKUP($C21,RLS!$C$37:$AB$41,26,FALSE)*'Unit Distribution'!$B$3,0)</f>
        <v>0</v>
      </c>
      <c r="AO21" s="14">
        <f>ROUND(VLOOKUP($C21,RLS!$C$37:$AN$41,38,FALSE)*'Unit Distribution'!$B$3,0)</f>
        <v>0</v>
      </c>
      <c r="AP21" s="14">
        <f>ROUND(VLOOKUP($C21,RLS!$C$37:$AN$41,38,FALSE)*'Unit Distribution'!$B$3,0)</f>
        <v>0</v>
      </c>
      <c r="AQ21" s="14">
        <f>ROUND(VLOOKUP($C21,RLS!$C$37:$AN$41,38,FALSE)*'Unit Distribution'!$B$3,0)</f>
        <v>0</v>
      </c>
      <c r="AR21" s="14">
        <f>ROUND(VLOOKUP($C21,RLS!$C$37:$AN$41,38,FALSE)*'Unit Distribution'!$B$3,0)</f>
        <v>0</v>
      </c>
      <c r="AS21" s="14">
        <f>ROUND(VLOOKUP($C21,RLS!$C$37:$AN$41,38,FALSE)*'Unit Distribution'!$B$3,0)</f>
        <v>0</v>
      </c>
      <c r="AT21" s="14">
        <f>ROUND(VLOOKUP($C21,RLS!$C$37:$AN$41,38,FALSE)*'Unit Distribution'!$B$3,0)</f>
        <v>0</v>
      </c>
      <c r="AU21" s="14">
        <f>ROUND(VLOOKUP($C21,RLS!$C$37:$AN$41,38,FALSE)*'Unit Distribution'!$B$3,0)</f>
        <v>0</v>
      </c>
      <c r="AV21" s="14">
        <f>ROUND(VLOOKUP($C21,RLS!$C$37:$AN$41,38,FALSE)*'Unit Distribution'!$B$3,0)</f>
        <v>0</v>
      </c>
      <c r="AW21" s="14">
        <f>ROUND(VLOOKUP($C21,RLS!$C$37:$AN$41,38,FALSE)*'Unit Distribution'!$B$3,0)</f>
        <v>0</v>
      </c>
      <c r="AX21" s="14">
        <f>ROUND(VLOOKUP($C21,RLS!$C$37:$AN$41,38,FALSE)*'Unit Distribution'!$B$3,0)</f>
        <v>0</v>
      </c>
      <c r="AY21" s="14">
        <f>ROUND(VLOOKUP($C21,RLS!$C$37:$AN$41,38,FALSE)*'Unit Distribution'!$B$3,0)</f>
        <v>0</v>
      </c>
      <c r="AZ21" s="14">
        <f>ROUND(VLOOKUP($C21,RLS!$C$37:$AN$41,38,FALSE)*'Unit Distribution'!$B$3,0)</f>
        <v>0</v>
      </c>
      <c r="BA21" s="14">
        <f>ROUND(VLOOKUP($C21,RLS!$C$37:$AZ$41,50,FALSE)*'Unit Distribution'!$B$3,0)</f>
        <v>0</v>
      </c>
      <c r="BB21" s="14">
        <f>ROUND(VLOOKUP($C21,RLS!$C$37:$AZ$41,50,FALSE)*'Unit Distribution'!$B$3,0)</f>
        <v>0</v>
      </c>
      <c r="BC21" s="14">
        <f>ROUND(VLOOKUP($C21,RLS!$C$37:$AZ$41,50,FALSE)*'Unit Distribution'!$B$3,0)</f>
        <v>0</v>
      </c>
      <c r="BD21" s="14">
        <f>ROUND(VLOOKUP($C21,RLS!$C$37:$AZ$41,50,FALSE)*'Unit Distribution'!$B$3,0)</f>
        <v>0</v>
      </c>
      <c r="BE21" s="14">
        <f>ROUND(VLOOKUP($C21,RLS!$C$37:$AZ$41,50,FALSE)*'Unit Distribution'!$B$3,0)</f>
        <v>0</v>
      </c>
      <c r="BF21" s="14">
        <f>ROUND(VLOOKUP($C21,RLS!$C$37:$AZ$41,50,FALSE)*'Unit Distribution'!$B$3,0)</f>
        <v>0</v>
      </c>
      <c r="BG21" s="14">
        <f>ROUND(VLOOKUP($C21,RLS!$C$37:$AZ$41,50,FALSE)*'Unit Distribution'!$B$3,0)</f>
        <v>0</v>
      </c>
      <c r="BH21" s="14">
        <f>ROUND(VLOOKUP($C21,RLS!$C$37:$AZ$41,50,FALSE)*'Unit Distribution'!$B$3,0)</f>
        <v>0</v>
      </c>
      <c r="BI21" s="14">
        <f>ROUND(VLOOKUP($C21,RLS!$C$37:$AZ$41,50,FALSE)*'Unit Distribution'!$B$3,0)</f>
        <v>0</v>
      </c>
      <c r="BJ21" s="14">
        <f>ROUND(VLOOKUP($C21,RLS!$C$37:$AZ$41,50,FALSE)*'Unit Distribution'!$B$3,0)</f>
        <v>0</v>
      </c>
      <c r="BK21" s="14">
        <f>ROUND(VLOOKUP($C21,RLS!$C$37:$AZ$41,50,FALSE)*'Unit Distribution'!$B$3,0)</f>
        <v>0</v>
      </c>
      <c r="BL21" s="14">
        <f>ROUND(VLOOKUP($C21,RLS!$C$37:$AZ$41,50,FALSE)*'Unit Distribution'!$B$3,0)</f>
        <v>0</v>
      </c>
    </row>
    <row r="22" spans="1:64" x14ac:dyDescent="0.35">
      <c r="A22" t="s">
        <v>8</v>
      </c>
      <c r="B22" t="s">
        <v>12</v>
      </c>
      <c r="C22" t="str">
        <f t="shared" si="0"/>
        <v>BSAOnsite-Landed</v>
      </c>
      <c r="D22" t="s">
        <v>90</v>
      </c>
      <c r="E22" s="14">
        <f>ROUND(VLOOKUP($C22,RLS!$C$37:$O$41,3,FALSE)-E21,0)</f>
        <v>1</v>
      </c>
      <c r="F22" s="14">
        <f>ROUND(VLOOKUP($C22,RLS!$C$37:$O$41,3,FALSE)-F21,0)</f>
        <v>1</v>
      </c>
      <c r="G22" s="14">
        <f>ROUND(VLOOKUP($C22,RLS!$C$37:$O$41,3,FALSE)-G21,0)</f>
        <v>1</v>
      </c>
      <c r="H22" s="14">
        <f>ROUND(VLOOKUP($C22,RLS!$C$37:$O$41,3,FALSE)-H21,0)</f>
        <v>1</v>
      </c>
      <c r="I22" s="14">
        <f>ROUND(VLOOKUP($C22,RLS!$C$37:$O$41,3,FALSE)-I21,0)</f>
        <v>1</v>
      </c>
      <c r="J22" s="14">
        <f>ROUND(VLOOKUP($C22,RLS!$C$37:$O$41,3,FALSE)-J21,0)</f>
        <v>1</v>
      </c>
      <c r="K22" s="14">
        <f>ROUND(VLOOKUP($C22,RLS!$C$37:$O$41,3,FALSE)-K21,0)</f>
        <v>1</v>
      </c>
      <c r="L22" s="14">
        <f>ROUND(VLOOKUP($C22,RLS!$C$37:$O$41,3,FALSE)-L21,0)</f>
        <v>1</v>
      </c>
      <c r="M22" s="14">
        <f>ROUND(VLOOKUP($C22,RLS!$C$37:$O$41,3,FALSE)-M21,0)</f>
        <v>1</v>
      </c>
      <c r="N22" s="14">
        <f>ROUND(VLOOKUP($C22,RLS!$C$37:$O$41,3,FALSE)-N21,0)</f>
        <v>1</v>
      </c>
      <c r="O22" s="14">
        <f>ROUND(VLOOKUP($C22,RLS!$C$37:$O$41,3,FALSE)-O21,0)</f>
        <v>1</v>
      </c>
      <c r="P22" s="14">
        <f>ROUND(VLOOKUP($C22,RLS!$C$37:$O$41,3,FALSE)-P21,0)</f>
        <v>1</v>
      </c>
      <c r="Q22" s="14">
        <f>ROUND(VLOOKUP($C22,RLS!$C$37:$P$41,14,FALSE)-Q21,0)</f>
        <v>1</v>
      </c>
      <c r="R22" s="14">
        <f>ROUND(VLOOKUP($C22,RLS!$C$37:$P$41,14,FALSE)-R21,0)</f>
        <v>1</v>
      </c>
      <c r="S22" s="14">
        <f>ROUND(VLOOKUP($C22,RLS!$C$37:$P$41,14,FALSE)-S21,0)</f>
        <v>1</v>
      </c>
      <c r="T22" s="14">
        <f>ROUND(VLOOKUP($C22,RLS!$C$37:$P$41,14,FALSE)-T21,0)</f>
        <v>1</v>
      </c>
      <c r="U22" s="14">
        <f>ROUND(VLOOKUP($C22,RLS!$C$37:$P$41,14,FALSE)-U21,0)</f>
        <v>1</v>
      </c>
      <c r="V22" s="14">
        <f>ROUND(VLOOKUP($C22,RLS!$C$37:$P$41,14,FALSE)-V21,0)</f>
        <v>1</v>
      </c>
      <c r="W22" s="14">
        <f>ROUND(VLOOKUP($C22,RLS!$C$37:$P$41,14,FALSE)-W21,0)</f>
        <v>1</v>
      </c>
      <c r="X22" s="14">
        <f>ROUND(VLOOKUP($C22,RLS!$C$37:$P$41,14,FALSE)-X21,0)</f>
        <v>1</v>
      </c>
      <c r="Y22" s="14">
        <f>ROUND(VLOOKUP($C22,RLS!$C$37:$P$41,14,FALSE)-Y21,0)</f>
        <v>1</v>
      </c>
      <c r="Z22" s="14">
        <f>ROUND(VLOOKUP($C22,RLS!$C$37:$P$41,14,FALSE)-Z21,0)</f>
        <v>1</v>
      </c>
      <c r="AA22" s="14">
        <f>ROUND(VLOOKUP($C22,RLS!$C$37:$P$41,14,FALSE)-AA21,0)</f>
        <v>1</v>
      </c>
      <c r="AB22" s="14">
        <f>ROUND(VLOOKUP($C22,RLS!$C$37:$P$41,14,FALSE)-AB21,0)</f>
        <v>1</v>
      </c>
      <c r="AC22" s="14">
        <f>ROUND(VLOOKUP($C22,RLS!$C$37:$AB$41,26,FALSE)-AC21,0)</f>
        <v>0</v>
      </c>
      <c r="AD22" s="14">
        <f>ROUND(VLOOKUP($C22,RLS!$C$37:$AB$41,26,FALSE)-AD21,0)</f>
        <v>0</v>
      </c>
      <c r="AE22" s="14">
        <f>ROUND(VLOOKUP($C22,RLS!$C$37:$AB$41,26,FALSE)-AE21,0)</f>
        <v>0</v>
      </c>
      <c r="AF22" s="14">
        <f>ROUND(VLOOKUP($C22,RLS!$C$37:$AB$41,26,FALSE)-AF21,0)</f>
        <v>0</v>
      </c>
      <c r="AG22" s="14">
        <f>ROUND(VLOOKUP($C22,RLS!$C$37:$AB$41,26,FALSE)-AG21,0)</f>
        <v>0</v>
      </c>
      <c r="AH22" s="14">
        <f>ROUND(VLOOKUP($C22,RLS!$C$37:$AB$41,26,FALSE)-AH21,0)</f>
        <v>0</v>
      </c>
      <c r="AI22" s="14">
        <f>ROUND(VLOOKUP($C22,RLS!$C$37:$AB$41,26,FALSE)-AI21,0)</f>
        <v>0</v>
      </c>
      <c r="AJ22" s="14">
        <f>ROUND(VLOOKUP($C22,RLS!$C$37:$AB$41,26,FALSE)-AJ21,0)</f>
        <v>0</v>
      </c>
      <c r="AK22" s="14">
        <f>ROUND(VLOOKUP($C22,RLS!$C$37:$AB$41,26,FALSE)-AK21,0)</f>
        <v>0</v>
      </c>
      <c r="AL22" s="14">
        <f>ROUND(VLOOKUP($C22,RLS!$C$37:$AB$41,26,FALSE)-AL21,0)</f>
        <v>0</v>
      </c>
      <c r="AM22" s="14">
        <f>ROUND(VLOOKUP($C22,RLS!$C$37:$AB$41,26,FALSE)-AM21,0)</f>
        <v>0</v>
      </c>
      <c r="AN22" s="14">
        <f>ROUND(VLOOKUP($C22,RLS!$C$37:$AB$41,26,FALSE)-AN21,0)</f>
        <v>0</v>
      </c>
      <c r="AO22" s="14">
        <f>ROUND(VLOOKUP($C22,RLS!$C$37:$AN$41,38,FALSE)-AO21,0)</f>
        <v>0</v>
      </c>
      <c r="AP22" s="14">
        <f>ROUND(VLOOKUP($C22,RLS!$C$37:$AN$41,38,FALSE)-AP21,0)</f>
        <v>0</v>
      </c>
      <c r="AQ22" s="14">
        <f>ROUND(VLOOKUP($C22,RLS!$C$37:$AN$41,38,FALSE)-AQ21,0)</f>
        <v>0</v>
      </c>
      <c r="AR22" s="14">
        <f>ROUND(VLOOKUP($C22,RLS!$C$37:$AN$41,38,FALSE)-AR21,0)</f>
        <v>0</v>
      </c>
      <c r="AS22" s="14">
        <f>ROUND(VLOOKUP($C22,RLS!$C$37:$AN$41,38,FALSE)-AS21,0)</f>
        <v>0</v>
      </c>
      <c r="AT22" s="14">
        <f>ROUND(VLOOKUP($C22,RLS!$C$37:$AN$41,38,FALSE)-AT21,0)</f>
        <v>0</v>
      </c>
      <c r="AU22" s="14">
        <f>ROUND(VLOOKUP($C22,RLS!$C$37:$AN$41,38,FALSE)-AU21,0)</f>
        <v>0</v>
      </c>
      <c r="AV22" s="14">
        <f>ROUND(VLOOKUP($C22,RLS!$C$37:$AN$41,38,FALSE)-AV21,0)</f>
        <v>0</v>
      </c>
      <c r="AW22" s="14">
        <f>ROUND(VLOOKUP($C22,RLS!$C$37:$AN$41,38,FALSE)-AW21,0)</f>
        <v>0</v>
      </c>
      <c r="AX22" s="14">
        <f>ROUND(VLOOKUP($C22,RLS!$C$37:$AN$41,38,FALSE)-AX21,0)</f>
        <v>0</v>
      </c>
      <c r="AY22" s="14">
        <f>ROUND(VLOOKUP($C22,RLS!$C$37:$AN$41,38,FALSE)-AY21,0)</f>
        <v>0</v>
      </c>
      <c r="AZ22" s="14">
        <f>ROUND(VLOOKUP($C22,RLS!$C$37:$AN$41,38,FALSE)-AZ21,0)</f>
        <v>0</v>
      </c>
      <c r="BA22" s="14">
        <f>ROUND(VLOOKUP($C22,RLS!$C$37:$AZ$41,50,FALSE)-BA21,0)</f>
        <v>0</v>
      </c>
      <c r="BB22" s="14">
        <f>ROUND(VLOOKUP($C22,RLS!$C$37:$AZ$41,50,FALSE)-BB21,0)</f>
        <v>0</v>
      </c>
      <c r="BC22" s="14">
        <f>ROUND(VLOOKUP($C22,RLS!$C$37:$AZ$41,50,FALSE)-BC21,0)</f>
        <v>0</v>
      </c>
      <c r="BD22" s="14">
        <f>ROUND(VLOOKUP($C22,RLS!$C$37:$AZ$41,50,FALSE)-BD21,0)</f>
        <v>0</v>
      </c>
      <c r="BE22" s="14">
        <f>ROUND(VLOOKUP($C22,RLS!$C$37:$AZ$41,50,FALSE)-BE21,0)</f>
        <v>0</v>
      </c>
      <c r="BF22" s="14">
        <f>ROUND(VLOOKUP($C22,RLS!$C$37:$AZ$41,50,FALSE)-BF21,0)</f>
        <v>0</v>
      </c>
      <c r="BG22" s="14">
        <f>ROUND(VLOOKUP($C22,RLS!$C$37:$AZ$41,50,FALSE)-BG21,0)</f>
        <v>0</v>
      </c>
      <c r="BH22" s="14">
        <f>ROUND(VLOOKUP($C22,RLS!$C$37:$AZ$41,50,FALSE)-BH21,0)</f>
        <v>0</v>
      </c>
      <c r="BI22" s="14">
        <f>ROUND(VLOOKUP($C22,RLS!$C$37:$AZ$41,50,FALSE)-BI21,0)</f>
        <v>0</v>
      </c>
      <c r="BJ22" s="14">
        <f>ROUND(VLOOKUP($C22,RLS!$C$37:$AZ$41,50,FALSE)-BJ21,0)</f>
        <v>0</v>
      </c>
      <c r="BK22" s="14">
        <f>ROUND(VLOOKUP($C22,RLS!$C$37:$AZ$41,50,FALSE)-BK21,0)</f>
        <v>0</v>
      </c>
      <c r="BL22" s="14">
        <f>ROUND(VLOOKUP($C22,RLS!$C$37:$AZ$41,50,FALSE)-BL21,0)</f>
        <v>0</v>
      </c>
    </row>
    <row r="23" spans="1:64" x14ac:dyDescent="0.35">
      <c r="A23" t="s">
        <v>9</v>
      </c>
      <c r="B23" t="s">
        <v>12</v>
      </c>
      <c r="C23" t="str">
        <f t="shared" si="0"/>
        <v>DevOnsite-Landed</v>
      </c>
      <c r="D23" t="s">
        <v>89</v>
      </c>
      <c r="E23" s="14">
        <f>ROUND(VLOOKUP($C23,RLS!$C$37:$O$41,3, FALSE)*'Unit Distribution'!$B$3,0)</f>
        <v>1</v>
      </c>
      <c r="F23" s="14">
        <f>ROUND(VLOOKUP($C23,RLS!$C$37:$O$41,3, FALSE)*'Unit Distribution'!$B$3,0)</f>
        <v>1</v>
      </c>
      <c r="G23" s="14">
        <f>ROUND(VLOOKUP($C23,RLS!$C$37:$O$41,3, FALSE)*'Unit Distribution'!$B$3,0)</f>
        <v>1</v>
      </c>
      <c r="H23" s="14">
        <f>ROUND(VLOOKUP($C23,RLS!$C$37:$O$41,3, FALSE)*'Unit Distribution'!$B$3,0)</f>
        <v>1</v>
      </c>
      <c r="I23" s="14">
        <f>ROUND(VLOOKUP($C23,RLS!$C$37:$O$41,3, FALSE)*'Unit Distribution'!$B$3,0)</f>
        <v>1</v>
      </c>
      <c r="J23" s="14">
        <f>ROUND(VLOOKUP($C23,RLS!$C$37:$O$41,3, FALSE)*'Unit Distribution'!$B$3,0)</f>
        <v>1</v>
      </c>
      <c r="K23" s="14">
        <f>ROUND(VLOOKUP($C23,RLS!$C$37:$O$41,3, FALSE)*'Unit Distribution'!$B$3,0)</f>
        <v>1</v>
      </c>
      <c r="L23" s="14">
        <f>ROUND(VLOOKUP($C23,RLS!$C$37:$O$41,3, FALSE)*'Unit Distribution'!$B$3,0)</f>
        <v>1</v>
      </c>
      <c r="M23" s="14">
        <f>ROUND(VLOOKUP($C23,RLS!$C$37:$O$41,3, FALSE)*'Unit Distribution'!$B$3,0)</f>
        <v>1</v>
      </c>
      <c r="N23" s="14">
        <f>ROUND(VLOOKUP($C23,RLS!$C$37:$O$41,3, FALSE)*'Unit Distribution'!$B$3,0)</f>
        <v>1</v>
      </c>
      <c r="O23" s="14">
        <f>ROUND(VLOOKUP($C23,RLS!$C$37:$O$41,3, FALSE)*'Unit Distribution'!$B$3,0)</f>
        <v>1</v>
      </c>
      <c r="P23" s="14">
        <f>ROUND(VLOOKUP($C23,RLS!$C$37:$O$41,3, FALSE)*'Unit Distribution'!$B$3,0)</f>
        <v>1</v>
      </c>
      <c r="Q23" s="14">
        <f>ROUND(VLOOKUP($C23,RLS!$C$37:$P$41,14,FALSE)*'Unit Distribution'!$B$3,0)</f>
        <v>0</v>
      </c>
      <c r="R23" s="14">
        <f>ROUND(VLOOKUP($C23,RLS!$C$37:$P$41,14,FALSE)*'Unit Distribution'!$B$3,0)</f>
        <v>0</v>
      </c>
      <c r="S23" s="14">
        <f>ROUND(VLOOKUP($C23,RLS!$C$37:$P$41,14,FALSE)*'Unit Distribution'!$B$3,0)</f>
        <v>0</v>
      </c>
      <c r="T23" s="14">
        <f>ROUND(VLOOKUP($C23,RLS!$C$37:$P$41,14,FALSE)*'Unit Distribution'!$B$3,0)</f>
        <v>0</v>
      </c>
      <c r="U23" s="14">
        <f>ROUND(VLOOKUP($C23,RLS!$C$37:$P$41,14,FALSE)*'Unit Distribution'!$B$3,0)</f>
        <v>0</v>
      </c>
      <c r="V23" s="14">
        <f>ROUND(VLOOKUP($C23,RLS!$C$37:$P$41,14,FALSE)*'Unit Distribution'!$B$3,0)</f>
        <v>0</v>
      </c>
      <c r="W23" s="14">
        <f>ROUND(VLOOKUP($C23,RLS!$C$37:$P$41,14,FALSE)*'Unit Distribution'!$B$3,0)</f>
        <v>0</v>
      </c>
      <c r="X23" s="14">
        <f>ROUND(VLOOKUP($C23,RLS!$C$37:$P$41,14,FALSE)*'Unit Distribution'!$B$3,0)</f>
        <v>0</v>
      </c>
      <c r="Y23" s="14">
        <f>ROUND(VLOOKUP($C23,RLS!$C$37:$P$41,14,FALSE)*'Unit Distribution'!$B$3,0)</f>
        <v>0</v>
      </c>
      <c r="Z23" s="14">
        <f>ROUND(VLOOKUP($C23,RLS!$C$37:$P$41,14,FALSE)*'Unit Distribution'!$B$3,0)</f>
        <v>0</v>
      </c>
      <c r="AA23" s="14">
        <f>ROUND(VLOOKUP($C23,RLS!$C$37:$P$41,14,FALSE)*'Unit Distribution'!$B$3,0)</f>
        <v>0</v>
      </c>
      <c r="AB23" s="14">
        <f>ROUND(VLOOKUP($C23,RLS!$C$37:$P$41,14,FALSE)*'Unit Distribution'!$B$3,0)</f>
        <v>0</v>
      </c>
      <c r="AC23" s="14">
        <f>ROUND(VLOOKUP($C23,RLS!$C$37:$AB$41,26,FALSE)*'Unit Distribution'!$B$3,0)</f>
        <v>0</v>
      </c>
      <c r="AD23" s="14">
        <f>ROUND(VLOOKUP($C23,RLS!$C$37:$AB$41,26,FALSE)*'Unit Distribution'!$B$3,0)</f>
        <v>0</v>
      </c>
      <c r="AE23" s="14">
        <f>ROUND(VLOOKUP($C23,RLS!$C$37:$AB$41,26,FALSE)*'Unit Distribution'!$B$3,0)</f>
        <v>0</v>
      </c>
      <c r="AF23" s="14">
        <f>ROUND(VLOOKUP($C23,RLS!$C$37:$AB$41,26,FALSE)*'Unit Distribution'!$B$3,0)</f>
        <v>0</v>
      </c>
      <c r="AG23" s="14">
        <f>ROUND(VLOOKUP($C23,RLS!$C$37:$AB$41,26,FALSE)*'Unit Distribution'!$B$3,0)</f>
        <v>0</v>
      </c>
      <c r="AH23" s="14">
        <f>ROUND(VLOOKUP($C23,RLS!$C$37:$AB$41,26,FALSE)*'Unit Distribution'!$B$3,0)</f>
        <v>0</v>
      </c>
      <c r="AI23" s="14">
        <f>ROUND(VLOOKUP($C23,RLS!$C$37:$AB$41,26,FALSE)*'Unit Distribution'!$B$3,0)</f>
        <v>0</v>
      </c>
      <c r="AJ23" s="14">
        <f>ROUND(VLOOKUP($C23,RLS!$C$37:$AB$41,26,FALSE)*'Unit Distribution'!$B$3,0)</f>
        <v>0</v>
      </c>
      <c r="AK23" s="14">
        <f>ROUND(VLOOKUP($C23,RLS!$C$37:$AB$41,26,FALSE)*'Unit Distribution'!$B$3,0)</f>
        <v>0</v>
      </c>
      <c r="AL23" s="14">
        <f>ROUND(VLOOKUP($C23,RLS!$C$37:$AB$41,26,FALSE)*'Unit Distribution'!$B$3,0)</f>
        <v>0</v>
      </c>
      <c r="AM23" s="14">
        <f>ROUND(VLOOKUP($C23,RLS!$C$37:$AB$41,26,FALSE)*'Unit Distribution'!$B$3,0)</f>
        <v>0</v>
      </c>
      <c r="AN23" s="14">
        <f>ROUND(VLOOKUP($C23,RLS!$C$37:$AB$41,26,FALSE)*'Unit Distribution'!$B$3,0)</f>
        <v>0</v>
      </c>
      <c r="AO23" s="14">
        <f>ROUND(VLOOKUP($C23,RLS!$C$37:$AN$41,38,FALSE)*'Unit Distribution'!$B$3,0)</f>
        <v>0</v>
      </c>
      <c r="AP23" s="14">
        <f>ROUND(VLOOKUP($C23,RLS!$C$37:$AN$41,38,FALSE)*'Unit Distribution'!$B$3,0)</f>
        <v>0</v>
      </c>
      <c r="AQ23" s="14">
        <f>ROUND(VLOOKUP($C23,RLS!$C$37:$AN$41,38,FALSE)*'Unit Distribution'!$B$3,0)</f>
        <v>0</v>
      </c>
      <c r="AR23" s="14">
        <f>ROUND(VLOOKUP($C23,RLS!$C$37:$AN$41,38,FALSE)*'Unit Distribution'!$B$3,0)</f>
        <v>0</v>
      </c>
      <c r="AS23" s="14">
        <f>ROUND(VLOOKUP($C23,RLS!$C$37:$AN$41,38,FALSE)*'Unit Distribution'!$B$3,0)</f>
        <v>0</v>
      </c>
      <c r="AT23" s="14">
        <f>ROUND(VLOOKUP($C23,RLS!$C$37:$AN$41,38,FALSE)*'Unit Distribution'!$B$3,0)</f>
        <v>0</v>
      </c>
      <c r="AU23" s="14">
        <f>ROUND(VLOOKUP($C23,RLS!$C$37:$AN$41,38,FALSE)*'Unit Distribution'!$B$3,0)</f>
        <v>0</v>
      </c>
      <c r="AV23" s="14">
        <f>ROUND(VLOOKUP($C23,RLS!$C$37:$AN$41,38,FALSE)*'Unit Distribution'!$B$3,0)</f>
        <v>0</v>
      </c>
      <c r="AW23" s="14">
        <f>ROUND(VLOOKUP($C23,RLS!$C$37:$AN$41,38,FALSE)*'Unit Distribution'!$B$3,0)</f>
        <v>0</v>
      </c>
      <c r="AX23" s="14">
        <f>ROUND(VLOOKUP($C23,RLS!$C$37:$AN$41,38,FALSE)*'Unit Distribution'!$B$3,0)</f>
        <v>0</v>
      </c>
      <c r="AY23" s="14">
        <f>ROUND(VLOOKUP($C23,RLS!$C$37:$AN$41,38,FALSE)*'Unit Distribution'!$B$3,0)</f>
        <v>0</v>
      </c>
      <c r="AZ23" s="14">
        <f>ROUND(VLOOKUP($C23,RLS!$C$37:$AN$41,38,FALSE)*'Unit Distribution'!$B$3,0)</f>
        <v>0</v>
      </c>
      <c r="BA23" s="14">
        <f>ROUND(VLOOKUP($C23,RLS!$C$37:$AZ$41,50,FALSE)*'Unit Distribution'!$B$3,0)</f>
        <v>0</v>
      </c>
      <c r="BB23" s="14">
        <f>ROUND(VLOOKUP($C23,RLS!$C$37:$AZ$41,50,FALSE)*'Unit Distribution'!$B$3,0)</f>
        <v>0</v>
      </c>
      <c r="BC23" s="14">
        <f>ROUND(VLOOKUP($C23,RLS!$C$37:$AZ$41,50,FALSE)*'Unit Distribution'!$B$3,0)</f>
        <v>0</v>
      </c>
      <c r="BD23" s="14">
        <f>ROUND(VLOOKUP($C23,RLS!$C$37:$AZ$41,50,FALSE)*'Unit Distribution'!$B$3,0)</f>
        <v>0</v>
      </c>
      <c r="BE23" s="14">
        <f>ROUND(VLOOKUP($C23,RLS!$C$37:$AZ$41,50,FALSE)*'Unit Distribution'!$B$3,0)</f>
        <v>0</v>
      </c>
      <c r="BF23" s="14">
        <f>ROUND(VLOOKUP($C23,RLS!$C$37:$AZ$41,50,FALSE)*'Unit Distribution'!$B$3,0)</f>
        <v>0</v>
      </c>
      <c r="BG23" s="14">
        <f>ROUND(VLOOKUP($C23,RLS!$C$37:$AZ$41,50,FALSE)*'Unit Distribution'!$B$3,0)</f>
        <v>0</v>
      </c>
      <c r="BH23" s="14">
        <f>ROUND(VLOOKUP($C23,RLS!$C$37:$AZ$41,50,FALSE)*'Unit Distribution'!$B$3,0)</f>
        <v>0</v>
      </c>
      <c r="BI23" s="14">
        <f>ROUND(VLOOKUP($C23,RLS!$C$37:$AZ$41,50,FALSE)*'Unit Distribution'!$B$3,0)</f>
        <v>0</v>
      </c>
      <c r="BJ23" s="14">
        <f>ROUND(VLOOKUP($C23,RLS!$C$37:$AZ$41,50,FALSE)*'Unit Distribution'!$B$3,0)</f>
        <v>0</v>
      </c>
      <c r="BK23" s="14">
        <f>ROUND(VLOOKUP($C23,RLS!$C$37:$AZ$41,50,FALSE)*'Unit Distribution'!$B$3,0)</f>
        <v>0</v>
      </c>
      <c r="BL23" s="14">
        <f>ROUND(VLOOKUP($C23,RLS!$C$37:$AZ$41,50,FALSE)*'Unit Distribution'!$B$3,0)</f>
        <v>0</v>
      </c>
    </row>
    <row r="24" spans="1:64" x14ac:dyDescent="0.35">
      <c r="A24" t="s">
        <v>9</v>
      </c>
      <c r="B24" t="s">
        <v>12</v>
      </c>
      <c r="C24" t="str">
        <f t="shared" si="0"/>
        <v>DevOnsite-Landed</v>
      </c>
      <c r="D24" t="s">
        <v>90</v>
      </c>
      <c r="E24" s="14">
        <f>ROUND(VLOOKUP($C24,RLS!$C$37:$O$41,3,FALSE)-E23,0)</f>
        <v>2</v>
      </c>
      <c r="F24" s="14">
        <f>ROUND(VLOOKUP($C24,RLS!$C$37:$O$41,3,FALSE)-F23,0)</f>
        <v>2</v>
      </c>
      <c r="G24" s="14">
        <f>ROUND(VLOOKUP($C24,RLS!$C$37:$O$41,3,FALSE)-G23,0)</f>
        <v>2</v>
      </c>
      <c r="H24" s="14">
        <f>ROUND(VLOOKUP($C24,RLS!$C$37:$O$41,3,FALSE)-H23,0)</f>
        <v>2</v>
      </c>
      <c r="I24" s="14">
        <f>ROUND(VLOOKUP($C24,RLS!$C$37:$O$41,3,FALSE)-I23,0)</f>
        <v>2</v>
      </c>
      <c r="J24" s="14">
        <f>ROUND(VLOOKUP($C24,RLS!$C$37:$O$41,3,FALSE)-J23,0)</f>
        <v>2</v>
      </c>
      <c r="K24" s="14">
        <f>ROUND(VLOOKUP($C24,RLS!$C$37:$O$41,3,FALSE)-K23,0)</f>
        <v>2</v>
      </c>
      <c r="L24" s="14">
        <f>ROUND(VLOOKUP($C24,RLS!$C$37:$O$41,3,FALSE)-L23,0)</f>
        <v>2</v>
      </c>
      <c r="M24" s="14">
        <f>ROUND(VLOOKUP($C24,RLS!$C$37:$O$41,3,FALSE)-M23,0)</f>
        <v>2</v>
      </c>
      <c r="N24" s="14">
        <f>ROUND(VLOOKUP($C24,RLS!$C$37:$O$41,3,FALSE)-N23,0)</f>
        <v>2</v>
      </c>
      <c r="O24" s="14">
        <f>ROUND(VLOOKUP($C24,RLS!$C$37:$O$41,3,FALSE)-O23,0)</f>
        <v>2</v>
      </c>
      <c r="P24" s="14">
        <f>ROUND(VLOOKUP($C24,RLS!$C$37:$O$41,3,FALSE)-P23,0)</f>
        <v>2</v>
      </c>
      <c r="Q24" s="14">
        <f>ROUND(VLOOKUP($C24,RLS!$C$37:$P$41,14,FALSE)-Q23,0)</f>
        <v>1</v>
      </c>
      <c r="R24" s="14">
        <f>ROUND(VLOOKUP($C24,RLS!$C$37:$P$41,14,FALSE)-R23,0)</f>
        <v>1</v>
      </c>
      <c r="S24" s="14">
        <f>ROUND(VLOOKUP($C24,RLS!$C$37:$P$41,14,FALSE)-S23,0)</f>
        <v>1</v>
      </c>
      <c r="T24" s="14">
        <f>ROUND(VLOOKUP($C24,RLS!$C$37:$P$41,14,FALSE)-T23,0)</f>
        <v>1</v>
      </c>
      <c r="U24" s="14">
        <f>ROUND(VLOOKUP($C24,RLS!$C$37:$P$41,14,FALSE)-U23,0)</f>
        <v>1</v>
      </c>
      <c r="V24" s="14">
        <f>ROUND(VLOOKUP($C24,RLS!$C$37:$P$41,14,FALSE)-V23,0)</f>
        <v>1</v>
      </c>
      <c r="W24" s="14">
        <f>ROUND(VLOOKUP($C24,RLS!$C$37:$P$41,14,FALSE)-W23,0)</f>
        <v>1</v>
      </c>
      <c r="X24" s="14">
        <f>ROUND(VLOOKUP($C24,RLS!$C$37:$P$41,14,FALSE)-X23,0)</f>
        <v>1</v>
      </c>
      <c r="Y24" s="14">
        <f>ROUND(VLOOKUP($C24,RLS!$C$37:$P$41,14,FALSE)-Y23,0)</f>
        <v>1</v>
      </c>
      <c r="Z24" s="14">
        <f>ROUND(VLOOKUP($C24,RLS!$C$37:$P$41,14,FALSE)-Z23,0)</f>
        <v>1</v>
      </c>
      <c r="AA24" s="14">
        <f>ROUND(VLOOKUP($C24,RLS!$C$37:$P$41,14,FALSE)-AA23,0)</f>
        <v>1</v>
      </c>
      <c r="AB24" s="14">
        <f>ROUND(VLOOKUP($C24,RLS!$C$37:$P$41,14,FALSE)-AB23,0)</f>
        <v>1</v>
      </c>
      <c r="AC24" s="14">
        <f>ROUND(VLOOKUP($C24,RLS!$C$37:$AB$41,26,FALSE)-AC23,0)</f>
        <v>1</v>
      </c>
      <c r="AD24" s="14">
        <f>ROUND(VLOOKUP($C24,RLS!$C$37:$AB$41,26,FALSE)-AD23,0)</f>
        <v>1</v>
      </c>
      <c r="AE24" s="14">
        <f>ROUND(VLOOKUP($C24,RLS!$C$37:$AB$41,26,FALSE)-AE23,0)</f>
        <v>1</v>
      </c>
      <c r="AF24" s="14">
        <f>ROUND(VLOOKUP($C24,RLS!$C$37:$AB$41,26,FALSE)-AF23,0)</f>
        <v>1</v>
      </c>
      <c r="AG24" s="14">
        <f>ROUND(VLOOKUP($C24,RLS!$C$37:$AB$41,26,FALSE)-AG23,0)</f>
        <v>1</v>
      </c>
      <c r="AH24" s="14">
        <f>ROUND(VLOOKUP($C24,RLS!$C$37:$AB$41,26,FALSE)-AH23,0)</f>
        <v>1</v>
      </c>
      <c r="AI24" s="14">
        <f>ROUND(VLOOKUP($C24,RLS!$C$37:$AB$41,26,FALSE)-AI23,0)</f>
        <v>1</v>
      </c>
      <c r="AJ24" s="14">
        <f>ROUND(VLOOKUP($C24,RLS!$C$37:$AB$41,26,FALSE)-AJ23,0)</f>
        <v>1</v>
      </c>
      <c r="AK24" s="14">
        <f>ROUND(VLOOKUP($C24,RLS!$C$37:$AB$41,26,FALSE)-AK23,0)</f>
        <v>1</v>
      </c>
      <c r="AL24" s="14">
        <f>ROUND(VLOOKUP($C24,RLS!$C$37:$AB$41,26,FALSE)-AL23,0)</f>
        <v>1</v>
      </c>
      <c r="AM24" s="14">
        <f>ROUND(VLOOKUP($C24,RLS!$C$37:$AB$41,26,FALSE)-AM23,0)</f>
        <v>1</v>
      </c>
      <c r="AN24" s="14">
        <f>ROUND(VLOOKUP($C24,RLS!$C$37:$AB$41,26,FALSE)-AN23,0)</f>
        <v>1</v>
      </c>
      <c r="AO24" s="14">
        <f>ROUND(VLOOKUP($C24,RLS!$C$37:$AN$41,38,FALSE)-AO23,0)</f>
        <v>1</v>
      </c>
      <c r="AP24" s="14">
        <f>ROUND(VLOOKUP($C24,RLS!$C$37:$AN$41,38,FALSE)-AP23,0)</f>
        <v>1</v>
      </c>
      <c r="AQ24" s="14">
        <f>ROUND(VLOOKUP($C24,RLS!$C$37:$AN$41,38,FALSE)-AQ23,0)</f>
        <v>1</v>
      </c>
      <c r="AR24" s="14">
        <f>ROUND(VLOOKUP($C24,RLS!$C$37:$AN$41,38,FALSE)-AR23,0)</f>
        <v>1</v>
      </c>
      <c r="AS24" s="14">
        <f>ROUND(VLOOKUP($C24,RLS!$C$37:$AN$41,38,FALSE)-AS23,0)</f>
        <v>1</v>
      </c>
      <c r="AT24" s="14">
        <f>ROUND(VLOOKUP($C24,RLS!$C$37:$AN$41,38,FALSE)-AT23,0)</f>
        <v>1</v>
      </c>
      <c r="AU24" s="14">
        <f>ROUND(VLOOKUP($C24,RLS!$C$37:$AN$41,38,FALSE)-AU23,0)</f>
        <v>1</v>
      </c>
      <c r="AV24" s="14">
        <f>ROUND(VLOOKUP($C24,RLS!$C$37:$AN$41,38,FALSE)-AV23,0)</f>
        <v>1</v>
      </c>
      <c r="AW24" s="14">
        <f>ROUND(VLOOKUP($C24,RLS!$C$37:$AN$41,38,FALSE)-AW23,0)</f>
        <v>1</v>
      </c>
      <c r="AX24" s="14">
        <f>ROUND(VLOOKUP($C24,RLS!$C$37:$AN$41,38,FALSE)-AX23,0)</f>
        <v>1</v>
      </c>
      <c r="AY24" s="14">
        <f>ROUND(VLOOKUP($C24,RLS!$C$37:$AN$41,38,FALSE)-AY23,0)</f>
        <v>1</v>
      </c>
      <c r="AZ24" s="14">
        <f>ROUND(VLOOKUP($C24,RLS!$C$37:$AN$41,38,FALSE)-AZ23,0)</f>
        <v>1</v>
      </c>
      <c r="BA24" s="14">
        <f>ROUND(VLOOKUP($C24,RLS!$C$37:$AZ$41,50,FALSE)-BA23,0)</f>
        <v>1</v>
      </c>
      <c r="BB24" s="14">
        <f>ROUND(VLOOKUP($C24,RLS!$C$37:$AZ$41,50,FALSE)-BB23,0)</f>
        <v>1</v>
      </c>
      <c r="BC24" s="14">
        <f>ROUND(VLOOKUP($C24,RLS!$C$37:$AZ$41,50,FALSE)-BC23,0)</f>
        <v>1</v>
      </c>
      <c r="BD24" s="14">
        <f>ROUND(VLOOKUP($C24,RLS!$C$37:$AZ$41,50,FALSE)-BD23,0)</f>
        <v>1</v>
      </c>
      <c r="BE24" s="14">
        <f>ROUND(VLOOKUP($C24,RLS!$C$37:$AZ$41,50,FALSE)-BE23,0)</f>
        <v>1</v>
      </c>
      <c r="BF24" s="14">
        <f>ROUND(VLOOKUP($C24,RLS!$C$37:$AZ$41,50,FALSE)-BF23,0)</f>
        <v>1</v>
      </c>
      <c r="BG24" s="14">
        <f>ROUND(VLOOKUP($C24,RLS!$C$37:$AZ$41,50,FALSE)-BG23,0)</f>
        <v>1</v>
      </c>
      <c r="BH24" s="14">
        <f>ROUND(VLOOKUP($C24,RLS!$C$37:$AZ$41,50,FALSE)-BH23,0)</f>
        <v>1</v>
      </c>
      <c r="BI24" s="14">
        <f>ROUND(VLOOKUP($C24,RLS!$C$37:$AZ$41,50,FALSE)-BI23,0)</f>
        <v>1</v>
      </c>
      <c r="BJ24" s="14">
        <f>ROUND(VLOOKUP($C24,RLS!$C$37:$AZ$41,50,FALSE)-BJ23,0)</f>
        <v>1</v>
      </c>
      <c r="BK24" s="14">
        <f>ROUND(VLOOKUP($C24,RLS!$C$37:$AZ$41,50,FALSE)-BK23,0)</f>
        <v>1</v>
      </c>
      <c r="BL24" s="14">
        <f>ROUND(VLOOKUP($C24,RLS!$C$37:$AZ$41,50,FALSE)-BL23,0)</f>
        <v>1</v>
      </c>
    </row>
    <row r="25" spans="1:64" x14ac:dyDescent="0.35">
      <c r="A25" t="s">
        <v>10</v>
      </c>
      <c r="B25" t="s">
        <v>12</v>
      </c>
      <c r="C25" t="str">
        <f t="shared" si="0"/>
        <v>TesterOnsite-Landed</v>
      </c>
      <c r="D25" t="s">
        <v>89</v>
      </c>
      <c r="E25" s="14">
        <f>ROUND(VLOOKUP($C25,RLS!$C$37:$O$41,3, FALSE)*'Unit Distribution'!$B$3,0)</f>
        <v>0</v>
      </c>
      <c r="F25" s="14">
        <f>ROUND(VLOOKUP($C25,RLS!$C$37:$O$41,3, FALSE)*'Unit Distribution'!$B$3,0)</f>
        <v>0</v>
      </c>
      <c r="G25" s="14">
        <f>ROUND(VLOOKUP($C25,RLS!$C$37:$O$41,3, FALSE)*'Unit Distribution'!$B$3,0)</f>
        <v>0</v>
      </c>
      <c r="H25" s="14">
        <f>ROUND(VLOOKUP($C25,RLS!$C$37:$O$41,3, FALSE)*'Unit Distribution'!$B$3,0)</f>
        <v>0</v>
      </c>
      <c r="I25" s="14">
        <f>ROUND(VLOOKUP($C25,RLS!$C$37:$O$41,3, FALSE)*'Unit Distribution'!$B$3,0)</f>
        <v>0</v>
      </c>
      <c r="J25" s="14">
        <f>ROUND(VLOOKUP($C25,RLS!$C$37:$O$41,3, FALSE)*'Unit Distribution'!$B$3,0)</f>
        <v>0</v>
      </c>
      <c r="K25" s="14">
        <f>ROUND(VLOOKUP($C25,RLS!$C$37:$O$41,3, FALSE)*'Unit Distribution'!$B$3,0)</f>
        <v>0</v>
      </c>
      <c r="L25" s="14">
        <f>ROUND(VLOOKUP($C25,RLS!$C$37:$O$41,3, FALSE)*'Unit Distribution'!$B$3,0)</f>
        <v>0</v>
      </c>
      <c r="M25" s="14">
        <f>ROUND(VLOOKUP($C25,RLS!$C$37:$O$41,3, FALSE)*'Unit Distribution'!$B$3,0)</f>
        <v>0</v>
      </c>
      <c r="N25" s="14">
        <f>ROUND(VLOOKUP($C25,RLS!$C$37:$O$41,3, FALSE)*'Unit Distribution'!$B$3,0)</f>
        <v>0</v>
      </c>
      <c r="O25" s="14">
        <f>ROUND(VLOOKUP($C25,RLS!$C$37:$O$41,3, FALSE)*'Unit Distribution'!$B$3,0)</f>
        <v>0</v>
      </c>
      <c r="P25" s="14">
        <f>ROUND(VLOOKUP($C25,RLS!$C$37:$O$41,3, FALSE)*'Unit Distribution'!$B$3,0)</f>
        <v>0</v>
      </c>
      <c r="Q25" s="14">
        <f>ROUND(VLOOKUP($C25,RLS!$C$37:$P$41,14,FALSE)*'Unit Distribution'!$B$3,0)</f>
        <v>0</v>
      </c>
      <c r="R25" s="14">
        <f>ROUND(VLOOKUP($C25,RLS!$C$37:$P$41,14,FALSE)*'Unit Distribution'!$B$3,0)</f>
        <v>0</v>
      </c>
      <c r="S25" s="14">
        <f>ROUND(VLOOKUP($C25,RLS!$C$37:$P$41,14,FALSE)*'Unit Distribution'!$B$3,0)</f>
        <v>0</v>
      </c>
      <c r="T25" s="14">
        <f>ROUND(VLOOKUP($C25,RLS!$C$37:$P$41,14,FALSE)*'Unit Distribution'!$B$3,0)</f>
        <v>0</v>
      </c>
      <c r="U25" s="14">
        <f>ROUND(VLOOKUP($C25,RLS!$C$37:$P$41,14,FALSE)*'Unit Distribution'!$B$3,0)</f>
        <v>0</v>
      </c>
      <c r="V25" s="14">
        <f>ROUND(VLOOKUP($C25,RLS!$C$37:$P$41,14,FALSE)*'Unit Distribution'!$B$3,0)</f>
        <v>0</v>
      </c>
      <c r="W25" s="14">
        <f>ROUND(VLOOKUP($C25,RLS!$C$37:$P$41,14,FALSE)*'Unit Distribution'!$B$3,0)</f>
        <v>0</v>
      </c>
      <c r="X25" s="14">
        <f>ROUND(VLOOKUP($C25,RLS!$C$37:$P$41,14,FALSE)*'Unit Distribution'!$B$3,0)</f>
        <v>0</v>
      </c>
      <c r="Y25" s="14">
        <f>ROUND(VLOOKUP($C25,RLS!$C$37:$P$41,14,FALSE)*'Unit Distribution'!$B$3,0)</f>
        <v>0</v>
      </c>
      <c r="Z25" s="14">
        <f>ROUND(VLOOKUP($C25,RLS!$C$37:$P$41,14,FALSE)*'Unit Distribution'!$B$3,0)</f>
        <v>0</v>
      </c>
      <c r="AA25" s="14">
        <f>ROUND(VLOOKUP($C25,RLS!$C$37:$P$41,14,FALSE)*'Unit Distribution'!$B$3,0)</f>
        <v>0</v>
      </c>
      <c r="AB25" s="14">
        <f>ROUND(VLOOKUP($C25,RLS!$C$37:$P$41,14,FALSE)*'Unit Distribution'!$B$3,0)</f>
        <v>0</v>
      </c>
      <c r="AC25" s="14">
        <f>ROUND(VLOOKUP($C25,RLS!$C$37:$AB$41,26,FALSE)*'Unit Distribution'!$B$3,0)</f>
        <v>0</v>
      </c>
      <c r="AD25" s="14">
        <f>ROUND(VLOOKUP($C25,RLS!$C$37:$AB$41,26,FALSE)*'Unit Distribution'!$B$3,0)</f>
        <v>0</v>
      </c>
      <c r="AE25" s="14">
        <f>ROUND(VLOOKUP($C25,RLS!$C$37:$AB$41,26,FALSE)*'Unit Distribution'!$B$3,0)</f>
        <v>0</v>
      </c>
      <c r="AF25" s="14">
        <f>ROUND(VLOOKUP($C25,RLS!$C$37:$AB$41,26,FALSE)*'Unit Distribution'!$B$3,0)</f>
        <v>0</v>
      </c>
      <c r="AG25" s="14">
        <f>ROUND(VLOOKUP($C25,RLS!$C$37:$AB$41,26,FALSE)*'Unit Distribution'!$B$3,0)</f>
        <v>0</v>
      </c>
      <c r="AH25" s="14">
        <f>ROUND(VLOOKUP($C25,RLS!$C$37:$AB$41,26,FALSE)*'Unit Distribution'!$B$3,0)</f>
        <v>0</v>
      </c>
      <c r="AI25" s="14">
        <f>ROUND(VLOOKUP($C25,RLS!$C$37:$AB$41,26,FALSE)*'Unit Distribution'!$B$3,0)</f>
        <v>0</v>
      </c>
      <c r="AJ25" s="14">
        <f>ROUND(VLOOKUP($C25,RLS!$C$37:$AB$41,26,FALSE)*'Unit Distribution'!$B$3,0)</f>
        <v>0</v>
      </c>
      <c r="AK25" s="14">
        <f>ROUND(VLOOKUP($C25,RLS!$C$37:$AB$41,26,FALSE)*'Unit Distribution'!$B$3,0)</f>
        <v>0</v>
      </c>
      <c r="AL25" s="14">
        <f>ROUND(VLOOKUP($C25,RLS!$C$37:$AB$41,26,FALSE)*'Unit Distribution'!$B$3,0)</f>
        <v>0</v>
      </c>
      <c r="AM25" s="14">
        <f>ROUND(VLOOKUP($C25,RLS!$C$37:$AB$41,26,FALSE)*'Unit Distribution'!$B$3,0)</f>
        <v>0</v>
      </c>
      <c r="AN25" s="14">
        <f>ROUND(VLOOKUP($C25,RLS!$C$37:$AB$41,26,FALSE)*'Unit Distribution'!$B$3,0)</f>
        <v>0</v>
      </c>
      <c r="AO25" s="14">
        <f>ROUND(VLOOKUP($C25,RLS!$C$37:$AN$41,38,FALSE)*'Unit Distribution'!$B$3,0)</f>
        <v>0</v>
      </c>
      <c r="AP25" s="14">
        <f>ROUND(VLOOKUP($C25,RLS!$C$37:$AN$41,38,FALSE)*'Unit Distribution'!$B$3,0)</f>
        <v>0</v>
      </c>
      <c r="AQ25" s="14">
        <f>ROUND(VLOOKUP($C25,RLS!$C$37:$AN$41,38,FALSE)*'Unit Distribution'!$B$3,0)</f>
        <v>0</v>
      </c>
      <c r="AR25" s="14">
        <f>ROUND(VLOOKUP($C25,RLS!$C$37:$AN$41,38,FALSE)*'Unit Distribution'!$B$3,0)</f>
        <v>0</v>
      </c>
      <c r="AS25" s="14">
        <f>ROUND(VLOOKUP($C25,RLS!$C$37:$AN$41,38,FALSE)*'Unit Distribution'!$B$3,0)</f>
        <v>0</v>
      </c>
      <c r="AT25" s="14">
        <f>ROUND(VLOOKUP($C25,RLS!$C$37:$AN$41,38,FALSE)*'Unit Distribution'!$B$3,0)</f>
        <v>0</v>
      </c>
      <c r="AU25" s="14">
        <f>ROUND(VLOOKUP($C25,RLS!$C$37:$AN$41,38,FALSE)*'Unit Distribution'!$B$3,0)</f>
        <v>0</v>
      </c>
      <c r="AV25" s="14">
        <f>ROUND(VLOOKUP($C25,RLS!$C$37:$AN$41,38,FALSE)*'Unit Distribution'!$B$3,0)</f>
        <v>0</v>
      </c>
      <c r="AW25" s="14">
        <f>ROUND(VLOOKUP($C25,RLS!$C$37:$AN$41,38,FALSE)*'Unit Distribution'!$B$3,0)</f>
        <v>0</v>
      </c>
      <c r="AX25" s="14">
        <f>ROUND(VLOOKUP($C25,RLS!$C$37:$AN$41,38,FALSE)*'Unit Distribution'!$B$3,0)</f>
        <v>0</v>
      </c>
      <c r="AY25" s="14">
        <f>ROUND(VLOOKUP($C25,RLS!$C$37:$AN$41,38,FALSE)*'Unit Distribution'!$B$3,0)</f>
        <v>0</v>
      </c>
      <c r="AZ25" s="14">
        <f>ROUND(VLOOKUP($C25,RLS!$C$37:$AN$41,38,FALSE)*'Unit Distribution'!$B$3,0)</f>
        <v>0</v>
      </c>
      <c r="BA25" s="14">
        <f>ROUND(VLOOKUP($C25,RLS!$C$37:$AZ$41,50,FALSE)*'Unit Distribution'!$B$3,0)</f>
        <v>0</v>
      </c>
      <c r="BB25" s="14">
        <f>ROUND(VLOOKUP($C25,RLS!$C$37:$AZ$41,50,FALSE)*'Unit Distribution'!$B$3,0)</f>
        <v>0</v>
      </c>
      <c r="BC25" s="14">
        <f>ROUND(VLOOKUP($C25,RLS!$C$37:$AZ$41,50,FALSE)*'Unit Distribution'!$B$3,0)</f>
        <v>0</v>
      </c>
      <c r="BD25" s="14">
        <f>ROUND(VLOOKUP($C25,RLS!$C$37:$AZ$41,50,FALSE)*'Unit Distribution'!$B$3,0)</f>
        <v>0</v>
      </c>
      <c r="BE25" s="14">
        <f>ROUND(VLOOKUP($C25,RLS!$C$37:$AZ$41,50,FALSE)*'Unit Distribution'!$B$3,0)</f>
        <v>0</v>
      </c>
      <c r="BF25" s="14">
        <f>ROUND(VLOOKUP($C25,RLS!$C$37:$AZ$41,50,FALSE)*'Unit Distribution'!$B$3,0)</f>
        <v>0</v>
      </c>
      <c r="BG25" s="14">
        <f>ROUND(VLOOKUP($C25,RLS!$C$37:$AZ$41,50,FALSE)*'Unit Distribution'!$B$3,0)</f>
        <v>0</v>
      </c>
      <c r="BH25" s="14">
        <f>ROUND(VLOOKUP($C25,RLS!$C$37:$AZ$41,50,FALSE)*'Unit Distribution'!$B$3,0)</f>
        <v>0</v>
      </c>
      <c r="BI25" s="14">
        <f>ROUND(VLOOKUP($C25,RLS!$C$37:$AZ$41,50,FALSE)*'Unit Distribution'!$B$3,0)</f>
        <v>0</v>
      </c>
      <c r="BJ25" s="14">
        <f>ROUND(VLOOKUP($C25,RLS!$C$37:$AZ$41,50,FALSE)*'Unit Distribution'!$B$3,0)</f>
        <v>0</v>
      </c>
      <c r="BK25" s="14">
        <f>ROUND(VLOOKUP($C25,RLS!$C$37:$AZ$41,50,FALSE)*'Unit Distribution'!$B$3,0)</f>
        <v>0</v>
      </c>
      <c r="BL25" s="14">
        <f>ROUND(VLOOKUP($C25,RLS!$C$37:$AZ$41,50,FALSE)*'Unit Distribution'!$B$3,0)</f>
        <v>0</v>
      </c>
    </row>
    <row r="26" spans="1:64" x14ac:dyDescent="0.35">
      <c r="A26" t="s">
        <v>10</v>
      </c>
      <c r="B26" t="s">
        <v>12</v>
      </c>
      <c r="C26" t="str">
        <f t="shared" si="0"/>
        <v>TesterOnsite-Landed</v>
      </c>
      <c r="D26" t="s">
        <v>90</v>
      </c>
      <c r="E26" s="14">
        <f>ROUND(VLOOKUP($C26,RLS!$C$37:$O$41,3,FALSE)-E25,0)</f>
        <v>1</v>
      </c>
      <c r="F26" s="14">
        <f>ROUND(VLOOKUP($C26,RLS!$C$37:$O$41,3,FALSE)-F25,0)</f>
        <v>1</v>
      </c>
      <c r="G26" s="14">
        <f>ROUND(VLOOKUP($C26,RLS!$C$37:$O$41,3,FALSE)-G25,0)</f>
        <v>1</v>
      </c>
      <c r="H26" s="14">
        <f>ROUND(VLOOKUP($C26,RLS!$C$37:$O$41,3,FALSE)-H25,0)</f>
        <v>1</v>
      </c>
      <c r="I26" s="14">
        <f>ROUND(VLOOKUP($C26,RLS!$C$37:$O$41,3,FALSE)-I25,0)</f>
        <v>1</v>
      </c>
      <c r="J26" s="14">
        <f>ROUND(VLOOKUP($C26,RLS!$C$37:$O$41,3,FALSE)-J25,0)</f>
        <v>1</v>
      </c>
      <c r="K26" s="14">
        <f>ROUND(VLOOKUP($C26,RLS!$C$37:$O$41,3,FALSE)-K25,0)</f>
        <v>1</v>
      </c>
      <c r="L26" s="14">
        <f>ROUND(VLOOKUP($C26,RLS!$C$37:$O$41,3,FALSE)-L25,0)</f>
        <v>1</v>
      </c>
      <c r="M26" s="14">
        <f>ROUND(VLOOKUP($C26,RLS!$C$37:$O$41,3,FALSE)-M25,0)</f>
        <v>1</v>
      </c>
      <c r="N26" s="14">
        <f>ROUND(VLOOKUP($C26,RLS!$C$37:$O$41,3,FALSE)-N25,0)</f>
        <v>1</v>
      </c>
      <c r="O26" s="14">
        <f>ROUND(VLOOKUP($C26,RLS!$C$37:$O$41,3,FALSE)-O25,0)</f>
        <v>1</v>
      </c>
      <c r="P26" s="14">
        <f>ROUND(VLOOKUP($C26,RLS!$C$37:$O$41,3,FALSE)-P25,0)</f>
        <v>1</v>
      </c>
      <c r="Q26" s="14">
        <f>ROUND(VLOOKUP($C26,RLS!$C$37:$P$41,14,FALSE)-Q25,0)</f>
        <v>1</v>
      </c>
      <c r="R26" s="14">
        <f>ROUND(VLOOKUP($C26,RLS!$C$37:$P$41,14,FALSE)-R25,0)</f>
        <v>1</v>
      </c>
      <c r="S26" s="14">
        <f>ROUND(VLOOKUP($C26,RLS!$C$37:$P$41,14,FALSE)-S25,0)</f>
        <v>1</v>
      </c>
      <c r="T26" s="14">
        <f>ROUND(VLOOKUP($C26,RLS!$C$37:$P$41,14,FALSE)-T25,0)</f>
        <v>1</v>
      </c>
      <c r="U26" s="14">
        <f>ROUND(VLOOKUP($C26,RLS!$C$37:$P$41,14,FALSE)-U25,0)</f>
        <v>1</v>
      </c>
      <c r="V26" s="14">
        <f>ROUND(VLOOKUP($C26,RLS!$C$37:$P$41,14,FALSE)-V25,0)</f>
        <v>1</v>
      </c>
      <c r="W26" s="14">
        <f>ROUND(VLOOKUP($C26,RLS!$C$37:$P$41,14,FALSE)-W25,0)</f>
        <v>1</v>
      </c>
      <c r="X26" s="14">
        <f>ROUND(VLOOKUP($C26,RLS!$C$37:$P$41,14,FALSE)-X25,0)</f>
        <v>1</v>
      </c>
      <c r="Y26" s="14">
        <f>ROUND(VLOOKUP($C26,RLS!$C$37:$P$41,14,FALSE)-Y25,0)</f>
        <v>1</v>
      </c>
      <c r="Z26" s="14">
        <f>ROUND(VLOOKUP($C26,RLS!$C$37:$P$41,14,FALSE)-Z25,0)</f>
        <v>1</v>
      </c>
      <c r="AA26" s="14">
        <f>ROUND(VLOOKUP($C26,RLS!$C$37:$P$41,14,FALSE)-AA25,0)</f>
        <v>1</v>
      </c>
      <c r="AB26" s="14">
        <f>ROUND(VLOOKUP($C26,RLS!$C$37:$P$41,14,FALSE)-AB25,0)</f>
        <v>1</v>
      </c>
      <c r="AC26" s="14">
        <f>ROUND(VLOOKUP($C26,RLS!$C$37:$AB$41,26,FALSE)-AC25,0)</f>
        <v>1</v>
      </c>
      <c r="AD26" s="14">
        <f>ROUND(VLOOKUP($C26,RLS!$C$37:$AB$41,26,FALSE)-AD25,0)</f>
        <v>1</v>
      </c>
      <c r="AE26" s="14">
        <f>ROUND(VLOOKUP($C26,RLS!$C$37:$AB$41,26,FALSE)-AE25,0)</f>
        <v>1</v>
      </c>
      <c r="AF26" s="14">
        <f>ROUND(VLOOKUP($C26,RLS!$C$37:$AB$41,26,FALSE)-AF25,0)</f>
        <v>1</v>
      </c>
      <c r="AG26" s="14">
        <f>ROUND(VLOOKUP($C26,RLS!$C$37:$AB$41,26,FALSE)-AG25,0)</f>
        <v>1</v>
      </c>
      <c r="AH26" s="14">
        <f>ROUND(VLOOKUP($C26,RLS!$C$37:$AB$41,26,FALSE)-AH25,0)</f>
        <v>1</v>
      </c>
      <c r="AI26" s="14">
        <f>ROUND(VLOOKUP($C26,RLS!$C$37:$AB$41,26,FALSE)-AI25,0)</f>
        <v>1</v>
      </c>
      <c r="AJ26" s="14">
        <f>ROUND(VLOOKUP($C26,RLS!$C$37:$AB$41,26,FALSE)-AJ25,0)</f>
        <v>1</v>
      </c>
      <c r="AK26" s="14">
        <f>ROUND(VLOOKUP($C26,RLS!$C$37:$AB$41,26,FALSE)-AK25,0)</f>
        <v>1</v>
      </c>
      <c r="AL26" s="14">
        <f>ROUND(VLOOKUP($C26,RLS!$C$37:$AB$41,26,FALSE)-AL25,0)</f>
        <v>1</v>
      </c>
      <c r="AM26" s="14">
        <f>ROUND(VLOOKUP($C26,RLS!$C$37:$AB$41,26,FALSE)-AM25,0)</f>
        <v>1</v>
      </c>
      <c r="AN26" s="14">
        <f>ROUND(VLOOKUP($C26,RLS!$C$37:$AB$41,26,FALSE)-AN25,0)</f>
        <v>1</v>
      </c>
      <c r="AO26" s="14">
        <f>ROUND(VLOOKUP($C26,RLS!$C$37:$AN$41,38,FALSE)-AO25,0)</f>
        <v>1</v>
      </c>
      <c r="AP26" s="14">
        <f>ROUND(VLOOKUP($C26,RLS!$C$37:$AN$41,38,FALSE)-AP25,0)</f>
        <v>1</v>
      </c>
      <c r="AQ26" s="14">
        <f>ROUND(VLOOKUP($C26,RLS!$C$37:$AN$41,38,FALSE)-AQ25,0)</f>
        <v>1</v>
      </c>
      <c r="AR26" s="14">
        <f>ROUND(VLOOKUP($C26,RLS!$C$37:$AN$41,38,FALSE)-AR25,0)</f>
        <v>1</v>
      </c>
      <c r="AS26" s="14">
        <f>ROUND(VLOOKUP($C26,RLS!$C$37:$AN$41,38,FALSE)-AS25,0)</f>
        <v>1</v>
      </c>
      <c r="AT26" s="14">
        <f>ROUND(VLOOKUP($C26,RLS!$C$37:$AN$41,38,FALSE)-AT25,0)</f>
        <v>1</v>
      </c>
      <c r="AU26" s="14">
        <f>ROUND(VLOOKUP($C26,RLS!$C$37:$AN$41,38,FALSE)-AU25,0)</f>
        <v>1</v>
      </c>
      <c r="AV26" s="14">
        <f>ROUND(VLOOKUP($C26,RLS!$C$37:$AN$41,38,FALSE)-AV25,0)</f>
        <v>1</v>
      </c>
      <c r="AW26" s="14">
        <f>ROUND(VLOOKUP($C26,RLS!$C$37:$AN$41,38,FALSE)-AW25,0)</f>
        <v>1</v>
      </c>
      <c r="AX26" s="14">
        <f>ROUND(VLOOKUP($C26,RLS!$C$37:$AN$41,38,FALSE)-AX25,0)</f>
        <v>1</v>
      </c>
      <c r="AY26" s="14">
        <f>ROUND(VLOOKUP($C26,RLS!$C$37:$AN$41,38,FALSE)-AY25,0)</f>
        <v>1</v>
      </c>
      <c r="AZ26" s="14">
        <f>ROUND(VLOOKUP($C26,RLS!$C$37:$AN$41,38,FALSE)-AZ25,0)</f>
        <v>1</v>
      </c>
      <c r="BA26" s="14">
        <f>ROUND(VLOOKUP($C26,RLS!$C$37:$AZ$41,50,FALSE)-BA25,0)</f>
        <v>1</v>
      </c>
      <c r="BB26" s="14">
        <f>ROUND(VLOOKUP($C26,RLS!$C$37:$AZ$41,50,FALSE)-BB25,0)</f>
        <v>1</v>
      </c>
      <c r="BC26" s="14">
        <f>ROUND(VLOOKUP($C26,RLS!$C$37:$AZ$41,50,FALSE)-BC25,0)</f>
        <v>1</v>
      </c>
      <c r="BD26" s="14">
        <f>ROUND(VLOOKUP($C26,RLS!$C$37:$AZ$41,50,FALSE)-BD25,0)</f>
        <v>1</v>
      </c>
      <c r="BE26" s="14">
        <f>ROUND(VLOOKUP($C26,RLS!$C$37:$AZ$41,50,FALSE)-BE25,0)</f>
        <v>1</v>
      </c>
      <c r="BF26" s="14">
        <f>ROUND(VLOOKUP($C26,RLS!$C$37:$AZ$41,50,FALSE)-BF25,0)</f>
        <v>1</v>
      </c>
      <c r="BG26" s="14">
        <f>ROUND(VLOOKUP($C26,RLS!$C$37:$AZ$41,50,FALSE)-BG25,0)</f>
        <v>1</v>
      </c>
      <c r="BH26" s="14">
        <f>ROUND(VLOOKUP($C26,RLS!$C$37:$AZ$41,50,FALSE)-BH25,0)</f>
        <v>1</v>
      </c>
      <c r="BI26" s="14">
        <f>ROUND(VLOOKUP($C26,RLS!$C$37:$AZ$41,50,FALSE)-BI25,0)</f>
        <v>1</v>
      </c>
      <c r="BJ26" s="14">
        <f>ROUND(VLOOKUP($C26,RLS!$C$37:$AZ$41,50,FALSE)-BJ25,0)</f>
        <v>1</v>
      </c>
      <c r="BK26" s="14">
        <f>ROUND(VLOOKUP($C26,RLS!$C$37:$AZ$41,50,FALSE)-BK25,0)</f>
        <v>1</v>
      </c>
      <c r="BL26" s="14">
        <f>ROUND(VLOOKUP($C26,RLS!$C$37:$AZ$41,50,FALSE)-BL25,0)</f>
        <v>1</v>
      </c>
    </row>
    <row r="27" spans="1:64" x14ac:dyDescent="0.35">
      <c r="A27" t="s">
        <v>6</v>
      </c>
      <c r="B27" t="s">
        <v>12</v>
      </c>
      <c r="C27" t="str">
        <f t="shared" si="0"/>
        <v>PMOnsite-Landed</v>
      </c>
      <c r="E27" s="14">
        <f>ROUND(VLOOKUP($C27,RLS!$C$37:$O$41,3, FALSE),0)</f>
        <v>0</v>
      </c>
      <c r="F27" s="14">
        <f>ROUND(VLOOKUP($C27,RLS!$C$37:$O$41,3, FALSE),0)</f>
        <v>0</v>
      </c>
      <c r="G27" s="14">
        <f>ROUND(VLOOKUP($C27,RLS!$C$37:$O$41,3, FALSE),0)</f>
        <v>0</v>
      </c>
      <c r="H27" s="14">
        <f>ROUND(VLOOKUP($C27,RLS!$C$37:$O$41,3, FALSE),0)</f>
        <v>0</v>
      </c>
      <c r="I27" s="14">
        <f>ROUND(VLOOKUP($C27,RLS!$C$37:$O$41,3, FALSE),0)</f>
        <v>0</v>
      </c>
      <c r="J27" s="14">
        <f>ROUND(VLOOKUP($C27,RLS!$C$37:$O$41,3, FALSE),0)</f>
        <v>0</v>
      </c>
      <c r="K27" s="14">
        <f>ROUND(VLOOKUP($C27,RLS!$C$37:$O$41,3, FALSE),0)</f>
        <v>0</v>
      </c>
      <c r="L27" s="14">
        <f>ROUND(VLOOKUP($C27,RLS!$C$37:$O$41,3, FALSE),0)</f>
        <v>0</v>
      </c>
      <c r="M27" s="14">
        <f>ROUND(VLOOKUP($C27,RLS!$C$37:$O$41,3, FALSE),0)</f>
        <v>0</v>
      </c>
      <c r="N27" s="14">
        <f>ROUND(VLOOKUP($C27,RLS!$C$37:$O$41,3, FALSE),0)</f>
        <v>0</v>
      </c>
      <c r="O27" s="14">
        <f>ROUND(VLOOKUP($C27,RLS!$C$37:$O$41,3, FALSE),0)</f>
        <v>0</v>
      </c>
      <c r="P27" s="14">
        <f>ROUND(VLOOKUP($C27,RLS!$C$37:$O$41,3, FALSE),0)</f>
        <v>0</v>
      </c>
      <c r="Q27" s="14">
        <f>ROUND(VLOOKUP($C27,RLS!$C$37:$P$41,14,FALSE),0)</f>
        <v>0</v>
      </c>
      <c r="R27" s="14">
        <f>ROUND(VLOOKUP($C27,RLS!$C$37:$P$41,14,FALSE),0)</f>
        <v>0</v>
      </c>
      <c r="S27" s="14">
        <f>ROUND(VLOOKUP($C27,RLS!$C$37:$P$41,14,FALSE),0)</f>
        <v>0</v>
      </c>
      <c r="T27" s="14">
        <f>ROUND(VLOOKUP($C27,RLS!$C$37:$P$41,14,FALSE),0)</f>
        <v>0</v>
      </c>
      <c r="U27" s="14">
        <f>ROUND(VLOOKUP($C27,RLS!$C$37:$P$41,14,FALSE),0)</f>
        <v>0</v>
      </c>
      <c r="V27" s="14">
        <f>ROUND(VLOOKUP($C27,RLS!$C$37:$P$41,14,FALSE),0)</f>
        <v>0</v>
      </c>
      <c r="W27" s="14">
        <f>ROUND(VLOOKUP($C27,RLS!$C$37:$P$41,14,FALSE),0)</f>
        <v>0</v>
      </c>
      <c r="X27" s="14">
        <f>ROUND(VLOOKUP($C27,RLS!$C$37:$P$41,14,FALSE),0)</f>
        <v>0</v>
      </c>
      <c r="Y27" s="14">
        <f>ROUND(VLOOKUP($C27,RLS!$C$37:$P$41,14,FALSE),0)</f>
        <v>0</v>
      </c>
      <c r="Z27" s="14">
        <f>ROUND(VLOOKUP($C27,RLS!$C$37:$P$41,14,FALSE),0)</f>
        <v>0</v>
      </c>
      <c r="AA27" s="14">
        <f>ROUND(VLOOKUP($C27,RLS!$C$37:$P$41,14,FALSE),0)</f>
        <v>0</v>
      </c>
      <c r="AB27" s="14">
        <f>ROUND(VLOOKUP($C27,RLS!$C$37:$P$41,14,FALSE),0)</f>
        <v>0</v>
      </c>
      <c r="AC27" s="14">
        <f>ROUND(VLOOKUP($C27,RLS!$C$37:$AB$41,26,FALSE),0)</f>
        <v>0</v>
      </c>
      <c r="AD27" s="14">
        <f>ROUND(VLOOKUP($C27,RLS!$C$37:$AB$41,26,FALSE),0)</f>
        <v>0</v>
      </c>
      <c r="AE27" s="14">
        <f>ROUND(VLOOKUP($C27,RLS!$C$37:$AB$41,26,FALSE),0)</f>
        <v>0</v>
      </c>
      <c r="AF27" s="14">
        <f>ROUND(VLOOKUP($C27,RLS!$C$37:$AB$41,26,FALSE),0)</f>
        <v>0</v>
      </c>
      <c r="AG27" s="14">
        <f>ROUND(VLOOKUP($C27,RLS!$C$37:$AB$41,26,FALSE),0)</f>
        <v>0</v>
      </c>
      <c r="AH27" s="14">
        <f>ROUND(VLOOKUP($C27,RLS!$C$37:$AB$41,26,FALSE),0)</f>
        <v>0</v>
      </c>
      <c r="AI27" s="14">
        <f>ROUND(VLOOKUP($C27,RLS!$C$37:$AB$41,26,FALSE),0)</f>
        <v>0</v>
      </c>
      <c r="AJ27" s="14">
        <f>ROUND(VLOOKUP($C27,RLS!$C$37:$AB$41,26,FALSE),0)</f>
        <v>0</v>
      </c>
      <c r="AK27" s="14">
        <f>ROUND(VLOOKUP($C27,RLS!$C$37:$AB$41,26,FALSE),0)</f>
        <v>0</v>
      </c>
      <c r="AL27" s="14">
        <f>ROUND(VLOOKUP($C27,RLS!$C$37:$AB$41,26,FALSE),0)</f>
        <v>0</v>
      </c>
      <c r="AM27" s="14">
        <f>ROUND(VLOOKUP($C27,RLS!$C$37:$AB$41,26,FALSE),0)</f>
        <v>0</v>
      </c>
      <c r="AN27" s="14">
        <f>ROUND(VLOOKUP($C27,RLS!$C$37:$AB$41,26,FALSE),0)</f>
        <v>0</v>
      </c>
      <c r="AO27" s="14">
        <f>ROUND(VLOOKUP($C27,RLS!$C$37:$AN$41,38,FALSE),0)</f>
        <v>0</v>
      </c>
      <c r="AP27" s="14">
        <f>ROUND(VLOOKUP($C27,RLS!$C$37:$AN$41,38,FALSE),0)</f>
        <v>0</v>
      </c>
      <c r="AQ27" s="14">
        <f>ROUND(VLOOKUP($C27,RLS!$C$37:$AN$41,38,FALSE),0)</f>
        <v>0</v>
      </c>
      <c r="AR27" s="14">
        <f>ROUND(VLOOKUP($C27,RLS!$C$37:$AN$41,38,FALSE),0)</f>
        <v>0</v>
      </c>
      <c r="AS27" s="14">
        <f>ROUND(VLOOKUP($C27,RLS!$C$37:$AN$41,38,FALSE),0)</f>
        <v>0</v>
      </c>
      <c r="AT27" s="14">
        <f>ROUND(VLOOKUP($C27,RLS!$C$37:$AN$41,38,FALSE),0)</f>
        <v>0</v>
      </c>
      <c r="AU27" s="14">
        <f>ROUND(VLOOKUP($C27,RLS!$C$37:$AN$41,38,FALSE),0)</f>
        <v>0</v>
      </c>
      <c r="AV27" s="14">
        <f>ROUND(VLOOKUP($C27,RLS!$C$37:$AN$41,38,FALSE),0)</f>
        <v>0</v>
      </c>
      <c r="AW27" s="14">
        <f>ROUND(VLOOKUP($C27,RLS!$C$37:$AN$41,38,FALSE),0)</f>
        <v>0</v>
      </c>
      <c r="AX27" s="14">
        <f>ROUND(VLOOKUP($C27,RLS!$C$37:$AN$41,38,FALSE),0)</f>
        <v>0</v>
      </c>
      <c r="AY27" s="14">
        <f>ROUND(VLOOKUP($C27,RLS!$C$37:$AN$41,38,FALSE),0)</f>
        <v>0</v>
      </c>
      <c r="AZ27" s="14">
        <f>ROUND(VLOOKUP($C27,RLS!$C$37:$AN$41,38,FALSE),0)</f>
        <v>0</v>
      </c>
      <c r="BA27" s="14">
        <f>ROUND(VLOOKUP($C27,RLS!$C$37:$AZ$41,50,FALSE),0)</f>
        <v>0</v>
      </c>
      <c r="BB27" s="14">
        <f>ROUND(VLOOKUP($C27,RLS!$C$37:$AZ$41,50,FALSE),0)</f>
        <v>0</v>
      </c>
      <c r="BC27" s="14">
        <f>ROUND(VLOOKUP($C27,RLS!$C$37:$AZ$41,50,FALSE),0)</f>
        <v>0</v>
      </c>
      <c r="BD27" s="14">
        <f>ROUND(VLOOKUP($C27,RLS!$C$37:$AZ$41,50,FALSE),0)</f>
        <v>0</v>
      </c>
      <c r="BE27" s="14">
        <f>ROUND(VLOOKUP($C27,RLS!$C$37:$AZ$41,50,FALSE),0)</f>
        <v>0</v>
      </c>
      <c r="BF27" s="14">
        <f>ROUND(VLOOKUP($C27,RLS!$C$37:$AZ$41,50,FALSE),0)</f>
        <v>0</v>
      </c>
      <c r="BG27" s="14">
        <f>ROUND(VLOOKUP($C27,RLS!$C$37:$AZ$41,50,FALSE),0)</f>
        <v>0</v>
      </c>
      <c r="BH27" s="14">
        <f>ROUND(VLOOKUP($C27,RLS!$C$37:$AZ$41,50,FALSE),0)</f>
        <v>0</v>
      </c>
      <c r="BI27" s="14">
        <f>ROUND(VLOOKUP($C27,RLS!$C$37:$AZ$41,50,FALSE),0)</f>
        <v>0</v>
      </c>
      <c r="BJ27" s="14">
        <f>ROUND(VLOOKUP($C27,RLS!$C$37:$AZ$41,50,FALSE),0)</f>
        <v>0</v>
      </c>
      <c r="BK27" s="14">
        <f>ROUND(VLOOKUP($C27,RLS!$C$37:$AZ$41,50,FALSE),0)</f>
        <v>0</v>
      </c>
      <c r="BL27" s="14">
        <f>ROUND(VLOOKUP($C27,RLS!$C$37:$AZ$41,50,FALSE),0)</f>
        <v>0</v>
      </c>
    </row>
    <row r="28" spans="1:64" x14ac:dyDescent="0.35">
      <c r="A28" t="s">
        <v>7</v>
      </c>
      <c r="B28" t="s">
        <v>12</v>
      </c>
      <c r="C28" t="str">
        <f t="shared" si="0"/>
        <v>LeadOnsite-Landed</v>
      </c>
      <c r="D28" t="s">
        <v>89</v>
      </c>
      <c r="E28" s="14">
        <f>ROUND(VLOOKUP($C28,RLS!$C$37:$O$41,3, FALSE),0)</f>
        <v>1</v>
      </c>
      <c r="F28" s="14">
        <f>ROUND(VLOOKUP($C28,RLS!$C$37:$O$41,3, FALSE),0)</f>
        <v>1</v>
      </c>
      <c r="G28" s="14">
        <f>ROUND(VLOOKUP($C28,RLS!$C$37:$O$41,3, FALSE),0)</f>
        <v>1</v>
      </c>
      <c r="H28" s="14">
        <f>ROUND(VLOOKUP($C28,RLS!$C$37:$O$41,3, FALSE),0)</f>
        <v>1</v>
      </c>
      <c r="I28" s="14">
        <f>ROUND(VLOOKUP($C28,RLS!$C$37:$O$41,3, FALSE),0)</f>
        <v>1</v>
      </c>
      <c r="J28" s="14">
        <f>ROUND(VLOOKUP($C28,RLS!$C$37:$O$41,3, FALSE),0)</f>
        <v>1</v>
      </c>
      <c r="K28" s="14">
        <f>ROUND(VLOOKUP($C28,RLS!$C$37:$O$41,3, FALSE),0)</f>
        <v>1</v>
      </c>
      <c r="L28" s="14">
        <f>ROUND(VLOOKUP($C28,RLS!$C$37:$O$41,3, FALSE),0)</f>
        <v>1</v>
      </c>
      <c r="M28" s="14">
        <f>ROUND(VLOOKUP($C28,RLS!$C$37:$O$41,3, FALSE),0)</f>
        <v>1</v>
      </c>
      <c r="N28" s="14">
        <f>ROUND(VLOOKUP($C28,RLS!$C$37:$O$41,3, FALSE),0)</f>
        <v>1</v>
      </c>
      <c r="O28" s="14">
        <f>ROUND(VLOOKUP($C28,RLS!$C$37:$O$41,3, FALSE),0)</f>
        <v>1</v>
      </c>
      <c r="P28" s="14">
        <f>ROUND(VLOOKUP($C28,RLS!$C$37:$O$41,3, FALSE),0)</f>
        <v>1</v>
      </c>
      <c r="Q28" s="14">
        <f>ROUND(VLOOKUP($C28,RLS!$C$37:$P$41,14,FALSE),0)</f>
        <v>0</v>
      </c>
      <c r="R28" s="14">
        <f>ROUND(VLOOKUP($C28,RLS!$C$37:$P$41,14,FALSE),0)</f>
        <v>0</v>
      </c>
      <c r="S28" s="14">
        <f>ROUND(VLOOKUP($C28,RLS!$C$37:$P$41,14,FALSE),0)</f>
        <v>0</v>
      </c>
      <c r="T28" s="14">
        <f>ROUND(VLOOKUP($C28,RLS!$C$37:$P$41,14,FALSE),0)</f>
        <v>0</v>
      </c>
      <c r="U28" s="14">
        <f>ROUND(VLOOKUP($C28,RLS!$C$37:$P$41,14,FALSE),0)</f>
        <v>0</v>
      </c>
      <c r="V28" s="14">
        <f>ROUND(VLOOKUP($C28,RLS!$C$37:$P$41,14,FALSE),0)</f>
        <v>0</v>
      </c>
      <c r="W28" s="14">
        <f>ROUND(VLOOKUP($C28,RLS!$C$37:$P$41,14,FALSE),0)</f>
        <v>0</v>
      </c>
      <c r="X28" s="14">
        <f>ROUND(VLOOKUP($C28,RLS!$C$37:$P$41,14,FALSE),0)</f>
        <v>0</v>
      </c>
      <c r="Y28" s="14">
        <f>ROUND(VLOOKUP($C28,RLS!$C$37:$P$41,14,FALSE),0)</f>
        <v>0</v>
      </c>
      <c r="Z28" s="14">
        <f>ROUND(VLOOKUP($C28,RLS!$C$37:$P$41,14,FALSE),0)</f>
        <v>0</v>
      </c>
      <c r="AA28" s="14">
        <f>ROUND(VLOOKUP($C28,RLS!$C$37:$P$41,14,FALSE),0)</f>
        <v>0</v>
      </c>
      <c r="AB28" s="14">
        <f>ROUND(VLOOKUP($C28,RLS!$C$37:$P$41,14,FALSE),0)</f>
        <v>0</v>
      </c>
      <c r="AC28" s="14">
        <f>ROUND(VLOOKUP($C28,RLS!$C$37:$AB$41,26,FALSE),0)</f>
        <v>0</v>
      </c>
      <c r="AD28" s="14">
        <f>ROUND(VLOOKUP($C28,RLS!$C$37:$AB$41,26,FALSE),0)</f>
        <v>0</v>
      </c>
      <c r="AE28" s="14">
        <f>ROUND(VLOOKUP($C28,RLS!$C$37:$AB$41,26,FALSE),0)</f>
        <v>0</v>
      </c>
      <c r="AF28" s="14">
        <f>ROUND(VLOOKUP($C28,RLS!$C$37:$AB$41,26,FALSE),0)</f>
        <v>0</v>
      </c>
      <c r="AG28" s="14">
        <f>ROUND(VLOOKUP($C28,RLS!$C$37:$AB$41,26,FALSE),0)</f>
        <v>0</v>
      </c>
      <c r="AH28" s="14">
        <f>ROUND(VLOOKUP($C28,RLS!$C$37:$AB$41,26,FALSE),0)</f>
        <v>0</v>
      </c>
      <c r="AI28" s="14">
        <f>ROUND(VLOOKUP($C28,RLS!$C$37:$AB$41,26,FALSE),0)</f>
        <v>0</v>
      </c>
      <c r="AJ28" s="14">
        <f>ROUND(VLOOKUP($C28,RLS!$C$37:$AB$41,26,FALSE),0)</f>
        <v>0</v>
      </c>
      <c r="AK28" s="14">
        <f>ROUND(VLOOKUP($C28,RLS!$C$37:$AB$41,26,FALSE),0)</f>
        <v>0</v>
      </c>
      <c r="AL28" s="14">
        <f>ROUND(VLOOKUP($C28,RLS!$C$37:$AB$41,26,FALSE),0)</f>
        <v>0</v>
      </c>
      <c r="AM28" s="14">
        <f>ROUND(VLOOKUP($C28,RLS!$C$37:$AB$41,26,FALSE),0)</f>
        <v>0</v>
      </c>
      <c r="AN28" s="14">
        <f>ROUND(VLOOKUP($C28,RLS!$C$37:$AB$41,26,FALSE),0)</f>
        <v>0</v>
      </c>
      <c r="AO28" s="14">
        <f>ROUND(VLOOKUP($C28,RLS!$C$37:$AN$41,38,FALSE),0)</f>
        <v>0</v>
      </c>
      <c r="AP28" s="14">
        <f>ROUND(VLOOKUP($C28,RLS!$C$37:$AN$41,38,FALSE),0)</f>
        <v>0</v>
      </c>
      <c r="AQ28" s="14">
        <f>ROUND(VLOOKUP($C28,RLS!$C$37:$AN$41,38,FALSE),0)</f>
        <v>0</v>
      </c>
      <c r="AR28" s="14">
        <f>ROUND(VLOOKUP($C28,RLS!$C$37:$AN$41,38,FALSE),0)</f>
        <v>0</v>
      </c>
      <c r="AS28" s="14">
        <f>ROUND(VLOOKUP($C28,RLS!$C$37:$AN$41,38,FALSE),0)</f>
        <v>0</v>
      </c>
      <c r="AT28" s="14">
        <f>ROUND(VLOOKUP($C28,RLS!$C$37:$AN$41,38,FALSE),0)</f>
        <v>0</v>
      </c>
      <c r="AU28" s="14">
        <f>ROUND(VLOOKUP($C28,RLS!$C$37:$AN$41,38,FALSE),0)</f>
        <v>0</v>
      </c>
      <c r="AV28" s="14">
        <f>ROUND(VLOOKUP($C28,RLS!$C$37:$AN$41,38,FALSE),0)</f>
        <v>0</v>
      </c>
      <c r="AW28" s="14">
        <f>ROUND(VLOOKUP($C28,RLS!$C$37:$AN$41,38,FALSE),0)</f>
        <v>0</v>
      </c>
      <c r="AX28" s="14">
        <f>ROUND(VLOOKUP($C28,RLS!$C$37:$AN$41,38,FALSE),0)</f>
        <v>0</v>
      </c>
      <c r="AY28" s="14">
        <f>ROUND(VLOOKUP($C28,RLS!$C$37:$AN$41,38,FALSE),0)</f>
        <v>0</v>
      </c>
      <c r="AZ28" s="14">
        <f>ROUND(VLOOKUP($C28,RLS!$C$37:$AN$41,38,FALSE),0)</f>
        <v>0</v>
      </c>
      <c r="BA28" s="14">
        <f>ROUND(VLOOKUP($C28,RLS!$C$37:$AZ$41,50,FALSE),0)</f>
        <v>0</v>
      </c>
      <c r="BB28" s="14">
        <f>ROUND(VLOOKUP($C28,RLS!$C$37:$AZ$41,50,FALSE),0)</f>
        <v>0</v>
      </c>
      <c r="BC28" s="14">
        <f>ROUND(VLOOKUP($C28,RLS!$C$37:$AZ$41,50,FALSE),0)</f>
        <v>0</v>
      </c>
      <c r="BD28" s="14">
        <f>ROUND(VLOOKUP($C28,RLS!$C$37:$AZ$41,50,FALSE),0)</f>
        <v>0</v>
      </c>
      <c r="BE28" s="14">
        <f>ROUND(VLOOKUP($C28,RLS!$C$37:$AZ$41,50,FALSE),0)</f>
        <v>0</v>
      </c>
      <c r="BF28" s="14">
        <f>ROUND(VLOOKUP($C28,RLS!$C$37:$AZ$41,50,FALSE),0)</f>
        <v>0</v>
      </c>
      <c r="BG28" s="14">
        <f>ROUND(VLOOKUP($C28,RLS!$C$37:$AZ$41,50,FALSE),0)</f>
        <v>0</v>
      </c>
      <c r="BH28" s="14">
        <f>ROUND(VLOOKUP($C28,RLS!$C$37:$AZ$41,50,FALSE),0)</f>
        <v>0</v>
      </c>
      <c r="BI28" s="14">
        <f>ROUND(VLOOKUP($C28,RLS!$C$37:$AZ$41,50,FALSE),0)</f>
        <v>0</v>
      </c>
      <c r="BJ28" s="14">
        <f>ROUND(VLOOKUP($C28,RLS!$C$37:$AZ$41,50,FALSE),0)</f>
        <v>0</v>
      </c>
      <c r="BK28" s="14">
        <f>ROUND(VLOOKUP($C28,RLS!$C$37:$AZ$41,50,FALSE),0)</f>
        <v>0</v>
      </c>
      <c r="BL28" s="14">
        <f>ROUND(VLOOKUP($C28,RLS!$C$37:$AZ$41,50,FALSE),0)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4"/>
  <sheetViews>
    <sheetView workbookViewId="0">
      <selection activeCell="C8" sqref="C8"/>
    </sheetView>
  </sheetViews>
  <sheetFormatPr defaultRowHeight="14.5" x14ac:dyDescent="0.35"/>
  <sheetData>
    <row r="2" spans="1:2" x14ac:dyDescent="0.35">
      <c r="A2" t="s">
        <v>93</v>
      </c>
      <c r="B2" t="s">
        <v>94</v>
      </c>
    </row>
    <row r="3" spans="1:2" x14ac:dyDescent="0.35">
      <c r="A3" t="s">
        <v>89</v>
      </c>
      <c r="B3" s="2">
        <v>0.29499999999999998</v>
      </c>
    </row>
    <row r="4" spans="1:2" x14ac:dyDescent="0.35">
      <c r="A4" t="s">
        <v>90</v>
      </c>
      <c r="B4" s="2">
        <v>0.70499999999999996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FTE</vt:lpstr>
      <vt:lpstr>India Role Distribution</vt:lpstr>
      <vt:lpstr>Onsite Role Distribution</vt:lpstr>
      <vt:lpstr>Productivity</vt:lpstr>
      <vt:lpstr>Transfer</vt:lpstr>
      <vt:lpstr>RLS</vt:lpstr>
      <vt:lpstr>RLS Detail</vt:lpstr>
      <vt:lpstr>Unit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Prasad, Mukesh Kumar</dc:creator>
  <cp:lastModifiedBy>Mukesh Kumar Prasad</cp:lastModifiedBy>
  <dcterms:created xsi:type="dcterms:W3CDTF">2026-09-26T16:21:00Z</dcterms:created>
  <dcterms:modified xsi:type="dcterms:W3CDTF">2026-09-27T08:20:01Z</dcterms:modified>
</cp:coreProperties>
</file>