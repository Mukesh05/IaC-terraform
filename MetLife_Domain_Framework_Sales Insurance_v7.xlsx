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apgemini-my.sharepoint.com/personal/mukesh_a_prasad_capgemini_com/Documents/Desktop/metlife/updated_New data/"/>
    </mc:Choice>
  </mc:AlternateContent>
  <xr:revisionPtr revIDLastSave="67" documentId="11_0649F54FACE56AC1E4EF291D1223F487D5DADD37" xr6:coauthVersionLast="47" xr6:coauthVersionMax="47" xr10:uidLastSave="{401B60B0-F773-442A-B103-EEC4171F22BC}"/>
  <bookViews>
    <workbookView xWindow="28680" yWindow="-120" windowWidth="38640" windowHeight="21840" firstSheet="1" activeTab="2" xr2:uid="{00000000-000D-0000-FFFF-FFFF00000000}"/>
  </bookViews>
  <sheets>
    <sheet name="README" sheetId="1" r:id="rId1"/>
    <sheet name="Change Log v5 → v6" sheetId="2" r:id="rId2"/>
    <sheet name="Change Control" sheetId="3" r:id="rId3"/>
    <sheet name="Logic Tree" sheetId="4" r:id="rId4"/>
    <sheet name="Sourcing &amp; Productivity" sheetId="5" r:id="rId5"/>
    <sheet name="Delivery Mode" sheetId="6" r:id="rId6"/>
    <sheet name="AMS &amp; Ticket Load" sheetId="7" r:id="rId7"/>
    <sheet name="Inventory" sheetId="8" r:id="rId8"/>
    <sheet name="Value Streams" sheetId="9" r:id="rId9"/>
    <sheet name="Pod Library" sheetId="10" r:id="rId10"/>
    <sheet name="Pod Plan" sheetId="11" r:id="rId11"/>
    <sheet name="Horizontal Teams" sheetId="12" r:id="rId12"/>
    <sheet name="Team Build-Up" sheetId="13" r:id="rId13"/>
    <sheet name="Inherited Workforce" sheetId="14" r:id="rId14"/>
    <sheet name="Glidepath &amp; 50-50" sheetId="15" r:id="rId15"/>
    <sheet name="Cost &amp; Commercial" sheetId="16" r:id="rId16"/>
    <sheet name="Seat Ledger" sheetId="17" r:id="rId17"/>
    <sheet name="SIT Loading" sheetId="18" r:id="rId18"/>
    <sheet name="Unit Cost Sensitivity"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238" i="18" l="1"/>
  <c r="K238" i="18"/>
  <c r="I238" i="18"/>
  <c r="H238" i="18"/>
  <c r="K468" i="17"/>
  <c r="M468" i="17" s="1"/>
  <c r="N468" i="17" s="1"/>
  <c r="J468" i="17"/>
  <c r="I468" i="17"/>
  <c r="H468" i="17"/>
  <c r="G468" i="17"/>
  <c r="F468" i="17"/>
  <c r="D468" i="17"/>
  <c r="K467" i="17"/>
  <c r="M467" i="17" s="1"/>
  <c r="N467" i="17" s="1"/>
  <c r="J467" i="17"/>
  <c r="I467" i="17"/>
  <c r="H467" i="17"/>
  <c r="G467" i="17"/>
  <c r="F467" i="17"/>
  <c r="D467" i="17"/>
  <c r="M466" i="17"/>
  <c r="N466" i="17" s="1"/>
  <c r="K466" i="17"/>
  <c r="J466" i="17"/>
  <c r="I466" i="17"/>
  <c r="H466" i="17"/>
  <c r="G466" i="17"/>
  <c r="F466" i="17"/>
  <c r="D466" i="17"/>
  <c r="N465" i="17"/>
  <c r="K465" i="17"/>
  <c r="M465" i="17" s="1"/>
  <c r="J465" i="17"/>
  <c r="I465" i="17"/>
  <c r="H465" i="17"/>
  <c r="G465" i="17"/>
  <c r="F465" i="17"/>
  <c r="D465" i="17"/>
  <c r="K464" i="17"/>
  <c r="M464" i="17" s="1"/>
  <c r="N464" i="17" s="1"/>
  <c r="J464" i="17"/>
  <c r="I464" i="17"/>
  <c r="H464" i="17"/>
  <c r="G464" i="17"/>
  <c r="F464" i="17"/>
  <c r="D464" i="17"/>
  <c r="M463" i="17"/>
  <c r="N463" i="17" s="1"/>
  <c r="K463" i="17"/>
  <c r="J463" i="17"/>
  <c r="I463" i="17"/>
  <c r="H463" i="17"/>
  <c r="G463" i="17"/>
  <c r="F463" i="17"/>
  <c r="D463" i="17"/>
  <c r="K462" i="17"/>
  <c r="M462" i="17" s="1"/>
  <c r="N462" i="17" s="1"/>
  <c r="J462" i="17"/>
  <c r="I462" i="17"/>
  <c r="H462" i="17"/>
  <c r="G462" i="17"/>
  <c r="F462" i="17"/>
  <c r="D462" i="17"/>
  <c r="K461" i="17"/>
  <c r="M461" i="17" s="1"/>
  <c r="N461" i="17" s="1"/>
  <c r="J461" i="17"/>
  <c r="I461" i="17"/>
  <c r="H461" i="17"/>
  <c r="G461" i="17"/>
  <c r="F461" i="17"/>
  <c r="D461" i="17"/>
  <c r="M460" i="17"/>
  <c r="N460" i="17" s="1"/>
  <c r="K460" i="17"/>
  <c r="J460" i="17"/>
  <c r="I460" i="17"/>
  <c r="H460" i="17"/>
  <c r="G460" i="17"/>
  <c r="F460" i="17"/>
  <c r="D460" i="17"/>
  <c r="N459" i="17"/>
  <c r="K459" i="17"/>
  <c r="M459" i="17" s="1"/>
  <c r="J459" i="17"/>
  <c r="I459" i="17"/>
  <c r="H459" i="17"/>
  <c r="G459" i="17"/>
  <c r="F459" i="17"/>
  <c r="D459" i="17"/>
  <c r="K458" i="17"/>
  <c r="M458" i="17" s="1"/>
  <c r="N458" i="17" s="1"/>
  <c r="J458" i="17"/>
  <c r="I458" i="17"/>
  <c r="H458" i="17"/>
  <c r="G458" i="17"/>
  <c r="F458" i="17"/>
  <c r="D458" i="17"/>
  <c r="K457" i="17"/>
  <c r="M457" i="17" s="1"/>
  <c r="N457" i="17" s="1"/>
  <c r="J457" i="17"/>
  <c r="I457" i="17"/>
  <c r="H457" i="17"/>
  <c r="G457" i="17"/>
  <c r="F457" i="17"/>
  <c r="D457" i="17"/>
  <c r="M456" i="17"/>
  <c r="N456" i="17" s="1"/>
  <c r="K456" i="17"/>
  <c r="J456" i="17"/>
  <c r="I456" i="17"/>
  <c r="H456" i="17"/>
  <c r="G456" i="17"/>
  <c r="F456" i="17"/>
  <c r="D456" i="17"/>
  <c r="N455" i="17"/>
  <c r="M455" i="17"/>
  <c r="K455" i="17"/>
  <c r="J455" i="17"/>
  <c r="I455" i="17"/>
  <c r="H455" i="17"/>
  <c r="G455" i="17"/>
  <c r="F455" i="17"/>
  <c r="D455" i="17"/>
  <c r="K454" i="17"/>
  <c r="M454" i="17" s="1"/>
  <c r="N454" i="17" s="1"/>
  <c r="J454" i="17"/>
  <c r="I454" i="17"/>
  <c r="H454" i="17"/>
  <c r="G454" i="17"/>
  <c r="F454" i="17"/>
  <c r="D454" i="17"/>
  <c r="K453" i="17"/>
  <c r="M453" i="17" s="1"/>
  <c r="J453" i="17"/>
  <c r="I453" i="17"/>
  <c r="H453" i="17"/>
  <c r="G453" i="17"/>
  <c r="F453" i="17"/>
  <c r="D453" i="17"/>
  <c r="K452" i="17"/>
  <c r="M452" i="17" s="1"/>
  <c r="J452" i="17"/>
  <c r="I452" i="17"/>
  <c r="H452" i="17"/>
  <c r="G452" i="17"/>
  <c r="F452" i="17"/>
  <c r="D452" i="17"/>
  <c r="K451" i="17"/>
  <c r="M451" i="17" s="1"/>
  <c r="J451" i="17"/>
  <c r="I451" i="17"/>
  <c r="H451" i="17"/>
  <c r="G451" i="17"/>
  <c r="F451" i="17"/>
  <c r="D451" i="17"/>
  <c r="K450" i="17"/>
  <c r="M450" i="17" s="1"/>
  <c r="J450" i="17"/>
  <c r="I450" i="17"/>
  <c r="H450" i="17"/>
  <c r="G450" i="17"/>
  <c r="F450" i="17"/>
  <c r="D450" i="17"/>
  <c r="K449" i="17"/>
  <c r="M449" i="17" s="1"/>
  <c r="N449" i="17" s="1"/>
  <c r="J449" i="17"/>
  <c r="I449" i="17"/>
  <c r="H449" i="17"/>
  <c r="G449" i="17"/>
  <c r="F449" i="17"/>
  <c r="D449" i="17"/>
  <c r="K448" i="17"/>
  <c r="M448" i="17" s="1"/>
  <c r="N448" i="17" s="1"/>
  <c r="J448" i="17"/>
  <c r="I448" i="17"/>
  <c r="H448" i="17"/>
  <c r="G448" i="17"/>
  <c r="F448" i="17"/>
  <c r="D448" i="17"/>
  <c r="M447" i="17"/>
  <c r="N447" i="17" s="1"/>
  <c r="K447" i="17"/>
  <c r="J447" i="17"/>
  <c r="I447" i="17"/>
  <c r="H447" i="17"/>
  <c r="G447" i="17"/>
  <c r="F447" i="17"/>
  <c r="D447" i="17"/>
  <c r="K446" i="17"/>
  <c r="M446" i="17" s="1"/>
  <c r="N446" i="17" s="1"/>
  <c r="J446" i="17"/>
  <c r="I446" i="17"/>
  <c r="H446" i="17"/>
  <c r="G446" i="17"/>
  <c r="F446" i="17"/>
  <c r="D446" i="17"/>
  <c r="K445" i="17"/>
  <c r="M445" i="17" s="1"/>
  <c r="N445" i="17" s="1"/>
  <c r="J445" i="17"/>
  <c r="I445" i="17"/>
  <c r="H445" i="17"/>
  <c r="G445" i="17"/>
  <c r="F445" i="17"/>
  <c r="D445" i="17"/>
  <c r="M444" i="17"/>
  <c r="N444" i="17" s="1"/>
  <c r="K444" i="17"/>
  <c r="J444" i="17"/>
  <c r="I444" i="17"/>
  <c r="H444" i="17"/>
  <c r="G444" i="17"/>
  <c r="F444" i="17"/>
  <c r="D444" i="17"/>
  <c r="K443" i="17"/>
  <c r="M443" i="17" s="1"/>
  <c r="N443" i="17" s="1"/>
  <c r="J443" i="17"/>
  <c r="I443" i="17"/>
  <c r="H443" i="17"/>
  <c r="G443" i="17"/>
  <c r="F443" i="17"/>
  <c r="D443" i="17"/>
  <c r="K442" i="17"/>
  <c r="M442" i="17" s="1"/>
  <c r="N442" i="17" s="1"/>
  <c r="J442" i="17"/>
  <c r="I442" i="17"/>
  <c r="H442" i="17"/>
  <c r="G442" i="17"/>
  <c r="F442" i="17"/>
  <c r="D442" i="17"/>
  <c r="K441" i="17"/>
  <c r="M441" i="17" s="1"/>
  <c r="N441" i="17" s="1"/>
  <c r="J441" i="17"/>
  <c r="I441" i="17"/>
  <c r="H441" i="17"/>
  <c r="G441" i="17"/>
  <c r="F441" i="17"/>
  <c r="D441" i="17"/>
  <c r="K440" i="17"/>
  <c r="M440" i="17" s="1"/>
  <c r="N440" i="17" s="1"/>
  <c r="J440" i="17"/>
  <c r="I440" i="17"/>
  <c r="H440" i="17"/>
  <c r="G440" i="17"/>
  <c r="F440" i="17"/>
  <c r="D440" i="17"/>
  <c r="M439" i="17"/>
  <c r="K439" i="17"/>
  <c r="J439" i="17"/>
  <c r="I439" i="17"/>
  <c r="H439" i="17"/>
  <c r="G439" i="17"/>
  <c r="F439" i="17"/>
  <c r="D439" i="17"/>
  <c r="N438" i="17"/>
  <c r="L438" i="17"/>
  <c r="K438" i="17"/>
  <c r="M438" i="17" s="1"/>
  <c r="J438" i="17"/>
  <c r="I438" i="17"/>
  <c r="H438" i="17"/>
  <c r="G438" i="17"/>
  <c r="F438" i="17"/>
  <c r="L437" i="17"/>
  <c r="K437" i="17"/>
  <c r="M437" i="17" s="1"/>
  <c r="N437" i="17" s="1"/>
  <c r="J437" i="17"/>
  <c r="I437" i="17"/>
  <c r="H437" i="17"/>
  <c r="G437" i="17"/>
  <c r="F437" i="17"/>
  <c r="L436" i="17"/>
  <c r="K436" i="17"/>
  <c r="M436" i="17" s="1"/>
  <c r="J436" i="17"/>
  <c r="I436" i="17"/>
  <c r="H436" i="17"/>
  <c r="G436" i="17"/>
  <c r="F436" i="17"/>
  <c r="L435" i="17"/>
  <c r="M435" i="17" s="1"/>
  <c r="N435" i="17" s="1"/>
  <c r="K435" i="17"/>
  <c r="J435" i="17"/>
  <c r="I435" i="17"/>
  <c r="H435" i="17"/>
  <c r="G435" i="17"/>
  <c r="F435" i="17"/>
  <c r="L434" i="17"/>
  <c r="K434" i="17"/>
  <c r="M434" i="17" s="1"/>
  <c r="N434" i="17" s="1"/>
  <c r="J434" i="17"/>
  <c r="I434" i="17"/>
  <c r="H434" i="17"/>
  <c r="G434" i="17"/>
  <c r="F434" i="17"/>
  <c r="L433" i="17"/>
  <c r="K433" i="17"/>
  <c r="M433" i="17" s="1"/>
  <c r="J433" i="17"/>
  <c r="I433" i="17"/>
  <c r="H433" i="17"/>
  <c r="G433" i="17"/>
  <c r="F433" i="17"/>
  <c r="L432" i="17"/>
  <c r="M432" i="17" s="1"/>
  <c r="K432" i="17"/>
  <c r="J432" i="17"/>
  <c r="I432" i="17"/>
  <c r="H432" i="17"/>
  <c r="G432" i="17"/>
  <c r="F432" i="17"/>
  <c r="L431" i="17"/>
  <c r="K431" i="17"/>
  <c r="M431" i="17" s="1"/>
  <c r="J431" i="17"/>
  <c r="I431" i="17"/>
  <c r="H431" i="17"/>
  <c r="G431" i="17"/>
  <c r="F431" i="17"/>
  <c r="L430" i="17"/>
  <c r="K430" i="17"/>
  <c r="M430" i="17" s="1"/>
  <c r="J430" i="17"/>
  <c r="I430" i="17"/>
  <c r="H430" i="17"/>
  <c r="G430" i="17"/>
  <c r="F430" i="17"/>
  <c r="L429" i="17"/>
  <c r="K429" i="17"/>
  <c r="M429" i="17" s="1"/>
  <c r="J429" i="17"/>
  <c r="I429" i="17"/>
  <c r="H429" i="17"/>
  <c r="G429" i="17"/>
  <c r="F429" i="17"/>
  <c r="L428" i="17"/>
  <c r="K428" i="17"/>
  <c r="J428" i="17"/>
  <c r="I428" i="17"/>
  <c r="H428" i="17"/>
  <c r="G428" i="17"/>
  <c r="F428" i="17"/>
  <c r="L427" i="17"/>
  <c r="M427" i="17" s="1"/>
  <c r="N427" i="17" s="1"/>
  <c r="K427" i="17"/>
  <c r="J427" i="17"/>
  <c r="I427" i="17"/>
  <c r="H427" i="17"/>
  <c r="G427" i="17"/>
  <c r="F427" i="17"/>
  <c r="M426" i="17"/>
  <c r="N426" i="17" s="1"/>
  <c r="L426" i="17"/>
  <c r="K426" i="17"/>
  <c r="J426" i="17"/>
  <c r="I426" i="17"/>
  <c r="H426" i="17"/>
  <c r="G426" i="17"/>
  <c r="F426" i="17"/>
  <c r="L425" i="17"/>
  <c r="K425" i="17"/>
  <c r="J425" i="17"/>
  <c r="I425" i="17"/>
  <c r="H425" i="17"/>
  <c r="G425" i="17"/>
  <c r="F425" i="17"/>
  <c r="L424" i="17"/>
  <c r="K424" i="17"/>
  <c r="M424" i="17" s="1"/>
  <c r="N424" i="17" s="1"/>
  <c r="J424" i="17"/>
  <c r="I424" i="17"/>
  <c r="H424" i="17"/>
  <c r="G424" i="17"/>
  <c r="F424" i="17"/>
  <c r="L423" i="17"/>
  <c r="K423" i="17"/>
  <c r="M423" i="17" s="1"/>
  <c r="J423" i="17"/>
  <c r="I423" i="17"/>
  <c r="H423" i="17"/>
  <c r="G423" i="17"/>
  <c r="F423" i="17"/>
  <c r="L422" i="17"/>
  <c r="K422" i="17"/>
  <c r="M422" i="17" s="1"/>
  <c r="N422" i="17" s="1"/>
  <c r="J422" i="17"/>
  <c r="I422" i="17"/>
  <c r="H422" i="17"/>
  <c r="G422" i="17"/>
  <c r="F422" i="17"/>
  <c r="L421" i="17"/>
  <c r="K421" i="17"/>
  <c r="M421" i="17" s="1"/>
  <c r="N421" i="17" s="1"/>
  <c r="J421" i="17"/>
  <c r="I421" i="17"/>
  <c r="H421" i="17"/>
  <c r="G421" i="17"/>
  <c r="F421" i="17"/>
  <c r="L420" i="17"/>
  <c r="K420" i="17"/>
  <c r="J420" i="17"/>
  <c r="I420" i="17"/>
  <c r="H420" i="17"/>
  <c r="G420" i="17"/>
  <c r="F420" i="17"/>
  <c r="L419" i="17"/>
  <c r="M419" i="17" s="1"/>
  <c r="N419" i="17" s="1"/>
  <c r="K419" i="17"/>
  <c r="J419" i="17"/>
  <c r="I419" i="17"/>
  <c r="H419" i="17"/>
  <c r="G419" i="17"/>
  <c r="F419" i="17"/>
  <c r="L418" i="17"/>
  <c r="K418" i="17"/>
  <c r="M418" i="17" s="1"/>
  <c r="N418" i="17" s="1"/>
  <c r="J418" i="17"/>
  <c r="I418" i="17"/>
  <c r="H418" i="17"/>
  <c r="G418" i="17"/>
  <c r="F418" i="17"/>
  <c r="L417" i="17"/>
  <c r="K417" i="17"/>
  <c r="M417" i="17" s="1"/>
  <c r="N417" i="17" s="1"/>
  <c r="J417" i="17"/>
  <c r="I417" i="17"/>
  <c r="H417" i="17"/>
  <c r="G417" i="17"/>
  <c r="F417" i="17"/>
  <c r="L416" i="17"/>
  <c r="M416" i="17" s="1"/>
  <c r="K416" i="17"/>
  <c r="J416" i="17"/>
  <c r="I416" i="17"/>
  <c r="H416" i="17"/>
  <c r="G416" i="17"/>
  <c r="F416" i="17"/>
  <c r="M415" i="17"/>
  <c r="L415" i="17"/>
  <c r="K415" i="17"/>
  <c r="J415" i="17"/>
  <c r="I415" i="17"/>
  <c r="H415" i="17"/>
  <c r="G415" i="17"/>
  <c r="F415" i="17"/>
  <c r="L414" i="17"/>
  <c r="K414" i="17"/>
  <c r="J414" i="17"/>
  <c r="I414" i="17"/>
  <c r="H414" i="17"/>
  <c r="G414" i="17"/>
  <c r="F414" i="17"/>
  <c r="M413" i="17"/>
  <c r="L413" i="17"/>
  <c r="K413" i="17"/>
  <c r="J413" i="17"/>
  <c r="I413" i="17"/>
  <c r="H413" i="17"/>
  <c r="G413" i="17"/>
  <c r="F413" i="17"/>
  <c r="M412" i="17"/>
  <c r="L412" i="17"/>
  <c r="K412" i="17"/>
  <c r="J412" i="17"/>
  <c r="I412" i="17"/>
  <c r="N412" i="17" s="1"/>
  <c r="H412" i="17"/>
  <c r="G412" i="17"/>
  <c r="F412" i="17"/>
  <c r="L411" i="17"/>
  <c r="K411" i="17"/>
  <c r="M411" i="17" s="1"/>
  <c r="J411" i="17"/>
  <c r="I411" i="17"/>
  <c r="G38" i="13" s="1"/>
  <c r="H411" i="17"/>
  <c r="G411" i="17"/>
  <c r="F411" i="17"/>
  <c r="L410" i="17"/>
  <c r="K410" i="17"/>
  <c r="M410" i="17" s="1"/>
  <c r="J410" i="17"/>
  <c r="I410" i="17"/>
  <c r="H410" i="17"/>
  <c r="G410" i="17"/>
  <c r="F410" i="17"/>
  <c r="M409" i="17"/>
  <c r="L409" i="17"/>
  <c r="K409" i="17"/>
  <c r="J409" i="17"/>
  <c r="I409" i="17"/>
  <c r="H409" i="17"/>
  <c r="G409" i="17"/>
  <c r="F409" i="17"/>
  <c r="L408" i="17"/>
  <c r="M408" i="17" s="1"/>
  <c r="K408" i="17"/>
  <c r="J408" i="17"/>
  <c r="I408" i="17"/>
  <c r="H408" i="17"/>
  <c r="G408" i="17"/>
  <c r="F408" i="17"/>
  <c r="L407" i="17"/>
  <c r="K407" i="17"/>
  <c r="M407" i="17" s="1"/>
  <c r="N407" i="17" s="1"/>
  <c r="J407" i="17"/>
  <c r="I407" i="17"/>
  <c r="H407" i="17"/>
  <c r="G407" i="17"/>
  <c r="F407" i="17"/>
  <c r="L406" i="17"/>
  <c r="K406" i="17"/>
  <c r="M406" i="17" s="1"/>
  <c r="N406" i="17" s="1"/>
  <c r="J406" i="17"/>
  <c r="I406" i="17"/>
  <c r="H406" i="17"/>
  <c r="G406" i="17"/>
  <c r="F406" i="17"/>
  <c r="L405" i="17"/>
  <c r="K405" i="17"/>
  <c r="M405" i="17" s="1"/>
  <c r="N405" i="17" s="1"/>
  <c r="J405" i="17"/>
  <c r="I405" i="17"/>
  <c r="H405" i="17"/>
  <c r="G405" i="17"/>
  <c r="F405" i="17"/>
  <c r="L404" i="17"/>
  <c r="K404" i="17"/>
  <c r="M404" i="17" s="1"/>
  <c r="N404" i="17" s="1"/>
  <c r="J404" i="17"/>
  <c r="I404" i="17"/>
  <c r="H404" i="17"/>
  <c r="G404" i="17"/>
  <c r="F404" i="17"/>
  <c r="L403" i="17"/>
  <c r="K403" i="17"/>
  <c r="J403" i="17"/>
  <c r="I403" i="17"/>
  <c r="H403" i="17"/>
  <c r="G403" i="17"/>
  <c r="F403" i="17"/>
  <c r="M402" i="17"/>
  <c r="N402" i="17" s="1"/>
  <c r="L402" i="17"/>
  <c r="K402" i="17"/>
  <c r="J402" i="17"/>
  <c r="I402" i="17"/>
  <c r="H402" i="17"/>
  <c r="G402" i="17"/>
  <c r="F402" i="17"/>
  <c r="N401" i="17"/>
  <c r="L401" i="17"/>
  <c r="K401" i="17"/>
  <c r="M401" i="17" s="1"/>
  <c r="J401" i="17"/>
  <c r="I401" i="17"/>
  <c r="H401" i="17"/>
  <c r="G401" i="17"/>
  <c r="F401" i="17"/>
  <c r="L400" i="17"/>
  <c r="M400" i="17" s="1"/>
  <c r="N400" i="17" s="1"/>
  <c r="K400" i="17"/>
  <c r="J400" i="17"/>
  <c r="I400" i="17"/>
  <c r="H400" i="17"/>
  <c r="G400" i="17"/>
  <c r="F400" i="17"/>
  <c r="L399" i="17"/>
  <c r="K399" i="17"/>
  <c r="M399" i="17" s="1"/>
  <c r="N399" i="17" s="1"/>
  <c r="J399" i="17"/>
  <c r="I399" i="17"/>
  <c r="H399" i="17"/>
  <c r="G399" i="17"/>
  <c r="F399" i="17"/>
  <c r="L398" i="17"/>
  <c r="K398" i="17"/>
  <c r="M398" i="17" s="1"/>
  <c r="N398" i="17" s="1"/>
  <c r="J398" i="17"/>
  <c r="I398" i="17"/>
  <c r="H398" i="17"/>
  <c r="G398" i="17"/>
  <c r="F398" i="17"/>
  <c r="L397" i="17"/>
  <c r="K397" i="17"/>
  <c r="J397" i="17"/>
  <c r="I397" i="17"/>
  <c r="H397" i="17"/>
  <c r="G397" i="17"/>
  <c r="F397" i="17"/>
  <c r="L396" i="17"/>
  <c r="M396" i="17" s="1"/>
  <c r="N396" i="17" s="1"/>
  <c r="K396" i="17"/>
  <c r="J396" i="17"/>
  <c r="I396" i="17"/>
  <c r="H396" i="17"/>
  <c r="G396" i="17"/>
  <c r="F396" i="17"/>
  <c r="L395" i="17"/>
  <c r="K395" i="17"/>
  <c r="M395" i="17" s="1"/>
  <c r="N395" i="17" s="1"/>
  <c r="J395" i="17"/>
  <c r="I395" i="17"/>
  <c r="H395" i="17"/>
  <c r="G395" i="17"/>
  <c r="F395" i="17"/>
  <c r="L394" i="17"/>
  <c r="K394" i="17"/>
  <c r="J394" i="17"/>
  <c r="I394" i="17"/>
  <c r="H394" i="17"/>
  <c r="G394" i="17"/>
  <c r="F394" i="17"/>
  <c r="M393" i="17"/>
  <c r="N393" i="17" s="1"/>
  <c r="L393" i="17"/>
  <c r="K393" i="17"/>
  <c r="J393" i="17"/>
  <c r="I393" i="17"/>
  <c r="H393" i="17"/>
  <c r="G393" i="17"/>
  <c r="F393" i="17"/>
  <c r="L392" i="17"/>
  <c r="K392" i="17"/>
  <c r="M392" i="17" s="1"/>
  <c r="J392" i="17"/>
  <c r="I392" i="17"/>
  <c r="H392" i="17"/>
  <c r="G392" i="17"/>
  <c r="F392" i="17"/>
  <c r="L391" i="17"/>
  <c r="K391" i="17"/>
  <c r="M391" i="17" s="1"/>
  <c r="N391" i="17" s="1"/>
  <c r="J391" i="17"/>
  <c r="I391" i="17"/>
  <c r="H391" i="17"/>
  <c r="G391" i="17"/>
  <c r="F391" i="17"/>
  <c r="L390" i="17"/>
  <c r="K390" i="17"/>
  <c r="M390" i="17" s="1"/>
  <c r="J390" i="17"/>
  <c r="I390" i="17"/>
  <c r="H390" i="17"/>
  <c r="G390" i="17"/>
  <c r="F390" i="17"/>
  <c r="L389" i="17"/>
  <c r="K389" i="17"/>
  <c r="M389" i="17" s="1"/>
  <c r="J389" i="17"/>
  <c r="I389" i="17"/>
  <c r="H389" i="17"/>
  <c r="G389" i="17"/>
  <c r="F389" i="17"/>
  <c r="L388" i="17"/>
  <c r="K388" i="17"/>
  <c r="J388" i="17"/>
  <c r="I388" i="17"/>
  <c r="H388" i="17"/>
  <c r="G388" i="17"/>
  <c r="F388" i="17"/>
  <c r="L387" i="17"/>
  <c r="M387" i="17" s="1"/>
  <c r="K387" i="17"/>
  <c r="J387" i="17"/>
  <c r="I387" i="17"/>
  <c r="H387" i="17"/>
  <c r="G387" i="17"/>
  <c r="F387" i="17"/>
  <c r="M386" i="17"/>
  <c r="N386" i="17" s="1"/>
  <c r="K386" i="17"/>
  <c r="J386" i="17"/>
  <c r="I386" i="17"/>
  <c r="H386" i="17"/>
  <c r="G386" i="17"/>
  <c r="F386" i="17"/>
  <c r="D386" i="17"/>
  <c r="N385" i="17"/>
  <c r="M385" i="17"/>
  <c r="K385" i="17"/>
  <c r="J385" i="17"/>
  <c r="I385" i="17"/>
  <c r="H385" i="17"/>
  <c r="G385" i="17"/>
  <c r="F385" i="17"/>
  <c r="D385" i="17"/>
  <c r="K384" i="17"/>
  <c r="M384" i="17" s="1"/>
  <c r="N384" i="17" s="1"/>
  <c r="J384" i="17"/>
  <c r="I384" i="17"/>
  <c r="H384" i="17"/>
  <c r="G384" i="17"/>
  <c r="F384" i="17"/>
  <c r="D384" i="17"/>
  <c r="M383" i="17"/>
  <c r="K383" i="17"/>
  <c r="J383" i="17"/>
  <c r="I383" i="17"/>
  <c r="H383" i="17"/>
  <c r="G383" i="17"/>
  <c r="F383" i="17"/>
  <c r="D383" i="17"/>
  <c r="K382" i="17"/>
  <c r="M382" i="17" s="1"/>
  <c r="J382" i="17"/>
  <c r="I382" i="17"/>
  <c r="H382" i="17"/>
  <c r="G382" i="17"/>
  <c r="F382" i="17"/>
  <c r="D382" i="17"/>
  <c r="K381" i="17"/>
  <c r="M381" i="17" s="1"/>
  <c r="J381" i="17"/>
  <c r="I381" i="17"/>
  <c r="H381" i="17"/>
  <c r="G381" i="17"/>
  <c r="F381" i="17"/>
  <c r="D381" i="17"/>
  <c r="M380" i="17"/>
  <c r="K380" i="17"/>
  <c r="J380" i="17"/>
  <c r="I380" i="17"/>
  <c r="H380" i="17"/>
  <c r="G380" i="17"/>
  <c r="F380" i="17"/>
  <c r="D380" i="17"/>
  <c r="K379" i="17"/>
  <c r="M379" i="17" s="1"/>
  <c r="N379" i="17" s="1"/>
  <c r="J379" i="17"/>
  <c r="I379" i="17"/>
  <c r="H379" i="17"/>
  <c r="G379" i="17"/>
  <c r="F379" i="17"/>
  <c r="D379" i="17"/>
  <c r="K378" i="17"/>
  <c r="M378" i="17" s="1"/>
  <c r="J378" i="17"/>
  <c r="I378" i="17"/>
  <c r="H378" i="17"/>
  <c r="G378" i="17"/>
  <c r="F378" i="17"/>
  <c r="D378" i="17"/>
  <c r="K377" i="17"/>
  <c r="M377" i="17" s="1"/>
  <c r="N377" i="17" s="1"/>
  <c r="J377" i="17"/>
  <c r="I377" i="17"/>
  <c r="H377" i="17"/>
  <c r="G377" i="17"/>
  <c r="F377" i="17"/>
  <c r="D377" i="17"/>
  <c r="K376" i="17"/>
  <c r="M376" i="17" s="1"/>
  <c r="J376" i="17"/>
  <c r="I376" i="17"/>
  <c r="H376" i="17"/>
  <c r="G376" i="17"/>
  <c r="F376" i="17"/>
  <c r="D376" i="17"/>
  <c r="M375" i="17"/>
  <c r="N375" i="17" s="1"/>
  <c r="K375" i="17"/>
  <c r="J375" i="17"/>
  <c r="I375" i="17"/>
  <c r="H375" i="17"/>
  <c r="G375" i="17"/>
  <c r="F375" i="17"/>
  <c r="D375" i="17"/>
  <c r="K374" i="17"/>
  <c r="M374" i="17" s="1"/>
  <c r="N374" i="17" s="1"/>
  <c r="J374" i="17"/>
  <c r="I374" i="17"/>
  <c r="H374" i="17"/>
  <c r="G374" i="17"/>
  <c r="F374" i="17"/>
  <c r="D374" i="17"/>
  <c r="K373" i="17"/>
  <c r="M373" i="17" s="1"/>
  <c r="N373" i="17" s="1"/>
  <c r="J373" i="17"/>
  <c r="I373" i="17"/>
  <c r="H373" i="17"/>
  <c r="G373" i="17"/>
  <c r="F373" i="17"/>
  <c r="D373" i="17"/>
  <c r="K372" i="17"/>
  <c r="M372" i="17" s="1"/>
  <c r="N372" i="17" s="1"/>
  <c r="J372" i="17"/>
  <c r="I372" i="17"/>
  <c r="H372" i="17"/>
  <c r="G372" i="17"/>
  <c r="F372" i="17"/>
  <c r="D372" i="17"/>
  <c r="M371" i="17"/>
  <c r="N371" i="17" s="1"/>
  <c r="K371" i="17"/>
  <c r="J371" i="17"/>
  <c r="I371" i="17"/>
  <c r="H371" i="17"/>
  <c r="G371" i="17"/>
  <c r="F371" i="17"/>
  <c r="D371" i="17"/>
  <c r="N370" i="17"/>
  <c r="M370" i="17"/>
  <c r="K370" i="17"/>
  <c r="J370" i="17"/>
  <c r="I370" i="17"/>
  <c r="H370" i="17"/>
  <c r="G370" i="17"/>
  <c r="F370" i="17"/>
  <c r="D370" i="17"/>
  <c r="K369" i="17"/>
  <c r="M369" i="17" s="1"/>
  <c r="J369" i="17"/>
  <c r="I369" i="17"/>
  <c r="H369" i="17"/>
  <c r="G369" i="17"/>
  <c r="F369" i="17"/>
  <c r="D369" i="17"/>
  <c r="K368" i="17"/>
  <c r="M368" i="17" s="1"/>
  <c r="N368" i="17" s="1"/>
  <c r="J368" i="17"/>
  <c r="I368" i="17"/>
  <c r="H368" i="17"/>
  <c r="G368" i="17"/>
  <c r="F368" i="17"/>
  <c r="D368" i="17"/>
  <c r="M367" i="17"/>
  <c r="N367" i="17" s="1"/>
  <c r="K367" i="17"/>
  <c r="J367" i="17"/>
  <c r="I367" i="17"/>
  <c r="H367" i="17"/>
  <c r="G367" i="17"/>
  <c r="F367" i="17"/>
  <c r="D367" i="17"/>
  <c r="N366" i="17"/>
  <c r="K366" i="17"/>
  <c r="M366" i="17" s="1"/>
  <c r="J366" i="17"/>
  <c r="I366" i="17"/>
  <c r="H366" i="17"/>
  <c r="G366" i="17"/>
  <c r="F366" i="17"/>
  <c r="D366" i="17"/>
  <c r="M365" i="17"/>
  <c r="N365" i="17" s="1"/>
  <c r="K365" i="17"/>
  <c r="J365" i="17"/>
  <c r="I365" i="17"/>
  <c r="H365" i="17"/>
  <c r="G365" i="17"/>
  <c r="F365" i="17"/>
  <c r="D365" i="17"/>
  <c r="K364" i="17"/>
  <c r="M364" i="17" s="1"/>
  <c r="N364" i="17" s="1"/>
  <c r="J364" i="17"/>
  <c r="I364" i="17"/>
  <c r="H364" i="17"/>
  <c r="G364" i="17"/>
  <c r="F364" i="17"/>
  <c r="D364" i="17"/>
  <c r="M363" i="17"/>
  <c r="N363" i="17" s="1"/>
  <c r="K363" i="17"/>
  <c r="J363" i="17"/>
  <c r="I363" i="17"/>
  <c r="H363" i="17"/>
  <c r="G363" i="17"/>
  <c r="F363" i="17"/>
  <c r="D363" i="17"/>
  <c r="N362" i="17"/>
  <c r="K362" i="17"/>
  <c r="M362" i="17" s="1"/>
  <c r="J362" i="17"/>
  <c r="I362" i="17"/>
  <c r="H362" i="17"/>
  <c r="G362" i="17"/>
  <c r="F362" i="17"/>
  <c r="D362" i="17"/>
  <c r="K361" i="17"/>
  <c r="M361" i="17" s="1"/>
  <c r="J361" i="17"/>
  <c r="I361" i="17"/>
  <c r="H361" i="17"/>
  <c r="G361" i="17"/>
  <c r="F361" i="17"/>
  <c r="D361" i="17"/>
  <c r="M360" i="17"/>
  <c r="K360" i="17"/>
  <c r="J360" i="17"/>
  <c r="I360" i="17"/>
  <c r="H360" i="17"/>
  <c r="G360" i="17"/>
  <c r="F360" i="17"/>
  <c r="D360" i="17"/>
  <c r="M359" i="17"/>
  <c r="K359" i="17"/>
  <c r="J359" i="17"/>
  <c r="I359" i="17"/>
  <c r="H359" i="17"/>
  <c r="G359" i="17"/>
  <c r="F359" i="17"/>
  <c r="D359" i="17"/>
  <c r="K358" i="17"/>
  <c r="M358" i="17" s="1"/>
  <c r="J358" i="17"/>
  <c r="I358" i="17"/>
  <c r="H358" i="17"/>
  <c r="G358" i="17"/>
  <c r="F358" i="17"/>
  <c r="D358" i="17"/>
  <c r="K357" i="17"/>
  <c r="M357" i="17" s="1"/>
  <c r="J357" i="17"/>
  <c r="I357" i="17"/>
  <c r="H357" i="17"/>
  <c r="G357" i="17"/>
  <c r="F357" i="17"/>
  <c r="D357" i="17"/>
  <c r="L356" i="17"/>
  <c r="K356" i="17"/>
  <c r="M356" i="17" s="1"/>
  <c r="N356" i="17" s="1"/>
  <c r="J356" i="17"/>
  <c r="I356" i="17"/>
  <c r="H356" i="17"/>
  <c r="G356" i="17"/>
  <c r="F356" i="17"/>
  <c r="L355" i="17"/>
  <c r="K355" i="17"/>
  <c r="M355" i="17" s="1"/>
  <c r="N355" i="17" s="1"/>
  <c r="J355" i="17"/>
  <c r="I355" i="17"/>
  <c r="H355" i="17"/>
  <c r="G355" i="17"/>
  <c r="F355" i="17"/>
  <c r="L354" i="17"/>
  <c r="K354" i="17"/>
  <c r="M354" i="17" s="1"/>
  <c r="J354" i="17"/>
  <c r="I354" i="17"/>
  <c r="H354" i="17"/>
  <c r="G354" i="17"/>
  <c r="F354" i="17"/>
  <c r="L353" i="17"/>
  <c r="K353" i="17"/>
  <c r="M353" i="17" s="1"/>
  <c r="N353" i="17" s="1"/>
  <c r="J353" i="17"/>
  <c r="I353" i="17"/>
  <c r="H353" i="17"/>
  <c r="G353" i="17"/>
  <c r="F353" i="17"/>
  <c r="L352" i="17"/>
  <c r="M352" i="17" s="1"/>
  <c r="K352" i="17"/>
  <c r="J352" i="17"/>
  <c r="I352" i="17"/>
  <c r="H352" i="17"/>
  <c r="G352" i="17"/>
  <c r="F352" i="17"/>
  <c r="L351" i="17"/>
  <c r="K351" i="17"/>
  <c r="M351" i="17" s="1"/>
  <c r="N351" i="17" s="1"/>
  <c r="J351" i="17"/>
  <c r="I351" i="17"/>
  <c r="H351" i="17"/>
  <c r="G351" i="17"/>
  <c r="F351" i="17"/>
  <c r="L350" i="17"/>
  <c r="K350" i="17"/>
  <c r="J350" i="17"/>
  <c r="I350" i="17"/>
  <c r="H350" i="17"/>
  <c r="G350" i="17"/>
  <c r="F350" i="17"/>
  <c r="L349" i="17"/>
  <c r="K349" i="17"/>
  <c r="J349" i="17"/>
  <c r="I349" i="17"/>
  <c r="H349" i="17"/>
  <c r="G349" i="17"/>
  <c r="F349" i="17"/>
  <c r="M348" i="17"/>
  <c r="N348" i="17" s="1"/>
  <c r="L348" i="17"/>
  <c r="K348" i="17"/>
  <c r="J348" i="17"/>
  <c r="I348" i="17"/>
  <c r="H348" i="17"/>
  <c r="G348" i="17"/>
  <c r="F348" i="17"/>
  <c r="N347" i="17"/>
  <c r="L347" i="17"/>
  <c r="K347" i="17"/>
  <c r="M347" i="17" s="1"/>
  <c r="J347" i="17"/>
  <c r="I347" i="17"/>
  <c r="H347" i="17"/>
  <c r="G347" i="17"/>
  <c r="F347" i="17"/>
  <c r="L346" i="17"/>
  <c r="K346" i="17"/>
  <c r="J346" i="17"/>
  <c r="I346" i="17"/>
  <c r="H346" i="17"/>
  <c r="G346" i="17"/>
  <c r="F346" i="17"/>
  <c r="L345" i="17"/>
  <c r="M345" i="17" s="1"/>
  <c r="N345" i="17" s="1"/>
  <c r="K345" i="17"/>
  <c r="J345" i="17"/>
  <c r="I345" i="17"/>
  <c r="H345" i="17"/>
  <c r="G345" i="17"/>
  <c r="F345" i="17"/>
  <c r="M344" i="17"/>
  <c r="N344" i="17" s="1"/>
  <c r="L344" i="17"/>
  <c r="K344" i="17"/>
  <c r="J344" i="17"/>
  <c r="I344" i="17"/>
  <c r="H344" i="17"/>
  <c r="G344" i="17"/>
  <c r="F344" i="17"/>
  <c r="L343" i="17"/>
  <c r="K343" i="17"/>
  <c r="M343" i="17" s="1"/>
  <c r="N343" i="17" s="1"/>
  <c r="J343" i="17"/>
  <c r="I343" i="17"/>
  <c r="H343" i="17"/>
  <c r="G343" i="17"/>
  <c r="F343" i="17"/>
  <c r="L342" i="17"/>
  <c r="K342" i="17"/>
  <c r="J342" i="17"/>
  <c r="I342" i="17"/>
  <c r="H342" i="17"/>
  <c r="G342" i="17"/>
  <c r="F342" i="17"/>
  <c r="L341" i="17"/>
  <c r="K341" i="17"/>
  <c r="J341" i="17"/>
  <c r="I341" i="17"/>
  <c r="H341" i="17"/>
  <c r="G341" i="17"/>
  <c r="F341" i="17"/>
  <c r="M340" i="17"/>
  <c r="L340" i="17"/>
  <c r="K340" i="17"/>
  <c r="J340" i="17"/>
  <c r="I340" i="17"/>
  <c r="H340" i="17"/>
  <c r="G340" i="17"/>
  <c r="F340" i="17"/>
  <c r="L339" i="17"/>
  <c r="M339" i="17" s="1"/>
  <c r="K339" i="17"/>
  <c r="J339" i="17"/>
  <c r="I339" i="17"/>
  <c r="N339" i="17" s="1"/>
  <c r="H339" i="17"/>
  <c r="G339" i="17"/>
  <c r="F339" i="17"/>
  <c r="L338" i="17"/>
  <c r="K338" i="17"/>
  <c r="M338" i="17" s="1"/>
  <c r="J338" i="17"/>
  <c r="I338" i="17"/>
  <c r="H338" i="17"/>
  <c r="G338" i="17"/>
  <c r="F338" i="17"/>
  <c r="L337" i="17"/>
  <c r="K337" i="17"/>
  <c r="M337" i="17" s="1"/>
  <c r="J337" i="17"/>
  <c r="I337" i="17"/>
  <c r="H337" i="17"/>
  <c r="G337" i="17"/>
  <c r="F337" i="17"/>
  <c r="L336" i="17"/>
  <c r="K336" i="17"/>
  <c r="J336" i="17"/>
  <c r="I336" i="17"/>
  <c r="H336" i="17"/>
  <c r="G336" i="17"/>
  <c r="F336" i="17"/>
  <c r="L335" i="17"/>
  <c r="K335" i="17"/>
  <c r="M335" i="17" s="1"/>
  <c r="N335" i="17" s="1"/>
  <c r="J335" i="17"/>
  <c r="I335" i="17"/>
  <c r="H335" i="17"/>
  <c r="G335" i="17"/>
  <c r="F335" i="17"/>
  <c r="L334" i="17"/>
  <c r="K334" i="17"/>
  <c r="M334" i="17" s="1"/>
  <c r="N334" i="17" s="1"/>
  <c r="J334" i="17"/>
  <c r="I334" i="17"/>
  <c r="H334" i="17"/>
  <c r="G334" i="17"/>
  <c r="F334" i="17"/>
  <c r="L333" i="17"/>
  <c r="K333" i="17"/>
  <c r="M333" i="17" s="1"/>
  <c r="N333" i="17" s="1"/>
  <c r="J333" i="17"/>
  <c r="I333" i="17"/>
  <c r="H333" i="17"/>
  <c r="G333" i="17"/>
  <c r="F333" i="17"/>
  <c r="L332" i="17"/>
  <c r="K332" i="17"/>
  <c r="M332" i="17" s="1"/>
  <c r="J332" i="17"/>
  <c r="I332" i="17"/>
  <c r="F38" i="13" s="1"/>
  <c r="H332" i="17"/>
  <c r="G332" i="17"/>
  <c r="F332" i="17"/>
  <c r="L331" i="17"/>
  <c r="K331" i="17"/>
  <c r="M331" i="17" s="1"/>
  <c r="N331" i="17" s="1"/>
  <c r="J331" i="17"/>
  <c r="I331" i="17"/>
  <c r="H331" i="17"/>
  <c r="G331" i="17"/>
  <c r="F331" i="17"/>
  <c r="L330" i="17"/>
  <c r="K330" i="17"/>
  <c r="M330" i="17" s="1"/>
  <c r="N330" i="17" s="1"/>
  <c r="J330" i="17"/>
  <c r="I330" i="17"/>
  <c r="H330" i="17"/>
  <c r="G330" i="17"/>
  <c r="F330" i="17"/>
  <c r="L329" i="17"/>
  <c r="K329" i="17"/>
  <c r="J329" i="17"/>
  <c r="I329" i="17"/>
  <c r="H329" i="17"/>
  <c r="G329" i="17"/>
  <c r="F329" i="17"/>
  <c r="L328" i="17"/>
  <c r="K328" i="17"/>
  <c r="M328" i="17" s="1"/>
  <c r="N328" i="17" s="1"/>
  <c r="J328" i="17"/>
  <c r="I328" i="17"/>
  <c r="H328" i="17"/>
  <c r="G328" i="17"/>
  <c r="F328" i="17"/>
  <c r="L327" i="17"/>
  <c r="K327" i="17"/>
  <c r="M327" i="17" s="1"/>
  <c r="N327" i="17" s="1"/>
  <c r="J327" i="17"/>
  <c r="I327" i="17"/>
  <c r="H327" i="17"/>
  <c r="G327" i="17"/>
  <c r="F327" i="17"/>
  <c r="L326" i="17"/>
  <c r="K326" i="17"/>
  <c r="M326" i="17" s="1"/>
  <c r="N326" i="17" s="1"/>
  <c r="J326" i="17"/>
  <c r="I326" i="17"/>
  <c r="H326" i="17"/>
  <c r="G326" i="17"/>
  <c r="F326" i="17"/>
  <c r="L325" i="17"/>
  <c r="K325" i="17"/>
  <c r="M325" i="17" s="1"/>
  <c r="J325" i="17"/>
  <c r="I325" i="17"/>
  <c r="H325" i="17"/>
  <c r="G325" i="17"/>
  <c r="F325" i="17"/>
  <c r="L324" i="17"/>
  <c r="K324" i="17"/>
  <c r="M324" i="17" s="1"/>
  <c r="J324" i="17"/>
  <c r="I324" i="17"/>
  <c r="H324" i="17"/>
  <c r="G324" i="17"/>
  <c r="F324" i="17"/>
  <c r="L323" i="17"/>
  <c r="K323" i="17"/>
  <c r="M323" i="17" s="1"/>
  <c r="J323" i="17"/>
  <c r="I323" i="17"/>
  <c r="H323" i="17"/>
  <c r="G323" i="17"/>
  <c r="F323" i="17"/>
  <c r="L322" i="17"/>
  <c r="K322" i="17"/>
  <c r="M322" i="17" s="1"/>
  <c r="N322" i="17" s="1"/>
  <c r="J322" i="17"/>
  <c r="I322" i="17"/>
  <c r="H322" i="17"/>
  <c r="G322" i="17"/>
  <c r="F322" i="17"/>
  <c r="L321" i="17"/>
  <c r="K321" i="17"/>
  <c r="M321" i="17" s="1"/>
  <c r="N321" i="17" s="1"/>
  <c r="J321" i="17"/>
  <c r="I321" i="17"/>
  <c r="H321" i="17"/>
  <c r="G321" i="17"/>
  <c r="F321" i="17"/>
  <c r="L320" i="17"/>
  <c r="M320" i="17" s="1"/>
  <c r="N320" i="17" s="1"/>
  <c r="K320" i="17"/>
  <c r="J320" i="17"/>
  <c r="I320" i="17"/>
  <c r="H320" i="17"/>
  <c r="G320" i="17"/>
  <c r="F320" i="17"/>
  <c r="M319" i="17"/>
  <c r="N319" i="17" s="1"/>
  <c r="L319" i="17"/>
  <c r="K319" i="17"/>
  <c r="J319" i="17"/>
  <c r="I319" i="17"/>
  <c r="H319" i="17"/>
  <c r="G319" i="17"/>
  <c r="F319" i="17"/>
  <c r="L318" i="17"/>
  <c r="K318" i="17"/>
  <c r="J318" i="17"/>
  <c r="I318" i="17"/>
  <c r="H318" i="17"/>
  <c r="G318" i="17"/>
  <c r="F318" i="17"/>
  <c r="L317" i="17"/>
  <c r="M317" i="17" s="1"/>
  <c r="N317" i="17" s="1"/>
  <c r="K317" i="17"/>
  <c r="J317" i="17"/>
  <c r="I317" i="17"/>
  <c r="H317" i="17"/>
  <c r="G317" i="17"/>
  <c r="F317" i="17"/>
  <c r="L316" i="17"/>
  <c r="K316" i="17"/>
  <c r="M316" i="17" s="1"/>
  <c r="N316" i="17" s="1"/>
  <c r="J316" i="17"/>
  <c r="I316" i="17"/>
  <c r="H316" i="17"/>
  <c r="G316" i="17"/>
  <c r="F316" i="17"/>
  <c r="L315" i="17"/>
  <c r="K315" i="17"/>
  <c r="M315" i="17" s="1"/>
  <c r="N315" i="17" s="1"/>
  <c r="J315" i="17"/>
  <c r="I315" i="17"/>
  <c r="H315" i="17"/>
  <c r="G315" i="17"/>
  <c r="F315" i="17"/>
  <c r="L314" i="17"/>
  <c r="K314" i="17"/>
  <c r="J314" i="17"/>
  <c r="I314" i="17"/>
  <c r="H314" i="17"/>
  <c r="G314" i="17"/>
  <c r="F314" i="17"/>
  <c r="L313" i="17"/>
  <c r="M313" i="17" s="1"/>
  <c r="N313" i="17" s="1"/>
  <c r="K313" i="17"/>
  <c r="J313" i="17"/>
  <c r="I313" i="17"/>
  <c r="H313" i="17"/>
  <c r="G313" i="17"/>
  <c r="F313" i="17"/>
  <c r="L312" i="17"/>
  <c r="K312" i="17"/>
  <c r="M312" i="17" s="1"/>
  <c r="N312" i="17" s="1"/>
  <c r="J312" i="17"/>
  <c r="I312" i="17"/>
  <c r="H312" i="17"/>
  <c r="G312" i="17"/>
  <c r="F312" i="17"/>
  <c r="L311" i="17"/>
  <c r="K311" i="17"/>
  <c r="M311" i="17" s="1"/>
  <c r="N311" i="17" s="1"/>
  <c r="J311" i="17"/>
  <c r="I311" i="17"/>
  <c r="H311" i="17"/>
  <c r="G311" i="17"/>
  <c r="F311" i="17"/>
  <c r="L310" i="17"/>
  <c r="K310" i="17"/>
  <c r="M310" i="17" s="1"/>
  <c r="N310" i="17" s="1"/>
  <c r="J310" i="17"/>
  <c r="I310" i="17"/>
  <c r="H310" i="17"/>
  <c r="G310" i="17"/>
  <c r="F310" i="17"/>
  <c r="L309" i="17"/>
  <c r="K309" i="17"/>
  <c r="M309" i="17" s="1"/>
  <c r="N309" i="17" s="1"/>
  <c r="J309" i="17"/>
  <c r="I309" i="17"/>
  <c r="H309" i="17"/>
  <c r="G309" i="17"/>
  <c r="F309" i="17"/>
  <c r="L308" i="17"/>
  <c r="K308" i="17"/>
  <c r="M308" i="17" s="1"/>
  <c r="N308" i="17" s="1"/>
  <c r="J308" i="17"/>
  <c r="I308" i="17"/>
  <c r="H308" i="17"/>
  <c r="G308" i="17"/>
  <c r="F308" i="17"/>
  <c r="L307" i="17"/>
  <c r="M307" i="17" s="1"/>
  <c r="K307" i="17"/>
  <c r="J307" i="17"/>
  <c r="I307" i="17"/>
  <c r="H307" i="17"/>
  <c r="G307" i="17"/>
  <c r="F307" i="17"/>
  <c r="M306" i="17"/>
  <c r="N306" i="17" s="1"/>
  <c r="L306" i="17"/>
  <c r="K306" i="17"/>
  <c r="J306" i="17"/>
  <c r="I306" i="17"/>
  <c r="H306" i="17"/>
  <c r="G306" i="17"/>
  <c r="F306" i="17"/>
  <c r="L305" i="17"/>
  <c r="K305" i="17"/>
  <c r="M305" i="17" s="1"/>
  <c r="J305" i="17"/>
  <c r="I305" i="17"/>
  <c r="H305" i="17"/>
  <c r="G305" i="17"/>
  <c r="F305" i="17"/>
  <c r="K304" i="17"/>
  <c r="M304" i="17" s="1"/>
  <c r="J304" i="17"/>
  <c r="I304" i="17"/>
  <c r="H304" i="17"/>
  <c r="G304" i="17"/>
  <c r="F304" i="17"/>
  <c r="D304" i="17"/>
  <c r="M303" i="17"/>
  <c r="K303" i="17"/>
  <c r="J303" i="17"/>
  <c r="I303" i="17"/>
  <c r="H303" i="17"/>
  <c r="G303" i="17"/>
  <c r="F303" i="17"/>
  <c r="D303" i="17"/>
  <c r="K302" i="17"/>
  <c r="M302" i="17" s="1"/>
  <c r="N302" i="17" s="1"/>
  <c r="J302" i="17"/>
  <c r="I302" i="17"/>
  <c r="H302" i="17"/>
  <c r="G302" i="17"/>
  <c r="F302" i="17"/>
  <c r="D302" i="17"/>
  <c r="K301" i="17"/>
  <c r="M301" i="17" s="1"/>
  <c r="N301" i="17" s="1"/>
  <c r="J301" i="17"/>
  <c r="I301" i="17"/>
  <c r="H301" i="17"/>
  <c r="G301" i="17"/>
  <c r="F301" i="17"/>
  <c r="D301" i="17"/>
  <c r="K300" i="17"/>
  <c r="M300" i="17" s="1"/>
  <c r="J300" i="17"/>
  <c r="I300" i="17"/>
  <c r="H300" i="17"/>
  <c r="G300" i="17"/>
  <c r="F300" i="17"/>
  <c r="D300" i="17"/>
  <c r="K299" i="17"/>
  <c r="M299" i="17" s="1"/>
  <c r="N299" i="17" s="1"/>
  <c r="J299" i="17"/>
  <c r="I299" i="17"/>
  <c r="H299" i="17"/>
  <c r="G299" i="17"/>
  <c r="F299" i="17"/>
  <c r="D299" i="17"/>
  <c r="K298" i="17"/>
  <c r="M298" i="17" s="1"/>
  <c r="N298" i="17" s="1"/>
  <c r="J298" i="17"/>
  <c r="I298" i="17"/>
  <c r="H298" i="17"/>
  <c r="G298" i="17"/>
  <c r="F298" i="17"/>
  <c r="D298" i="17"/>
  <c r="M297" i="17"/>
  <c r="N297" i="17" s="1"/>
  <c r="K297" i="17"/>
  <c r="J297" i="17"/>
  <c r="I297" i="17"/>
  <c r="H297" i="17"/>
  <c r="G297" i="17"/>
  <c r="F297" i="17"/>
  <c r="D297" i="17"/>
  <c r="N296" i="17"/>
  <c r="M296" i="17"/>
  <c r="K296" i="17"/>
  <c r="J296" i="17"/>
  <c r="I296" i="17"/>
  <c r="H296" i="17"/>
  <c r="G296" i="17"/>
  <c r="F296" i="17"/>
  <c r="D296" i="17"/>
  <c r="M295" i="17"/>
  <c r="K295" i="17"/>
  <c r="J295" i="17"/>
  <c r="I295" i="17"/>
  <c r="H295" i="17"/>
  <c r="G295" i="17"/>
  <c r="F295" i="17"/>
  <c r="D295" i="17"/>
  <c r="K294" i="17"/>
  <c r="M294" i="17" s="1"/>
  <c r="J294" i="17"/>
  <c r="I294" i="17"/>
  <c r="H294" i="17"/>
  <c r="G294" i="17"/>
  <c r="F294" i="17"/>
  <c r="D294" i="17"/>
  <c r="K293" i="17"/>
  <c r="M293" i="17" s="1"/>
  <c r="J293" i="17"/>
  <c r="I293" i="17"/>
  <c r="H293" i="17"/>
  <c r="G293" i="17"/>
  <c r="F293" i="17"/>
  <c r="D293" i="17"/>
  <c r="K292" i="17"/>
  <c r="M292" i="17" s="1"/>
  <c r="N292" i="17" s="1"/>
  <c r="J292" i="17"/>
  <c r="I292" i="17"/>
  <c r="H292" i="17"/>
  <c r="G292" i="17"/>
  <c r="F292" i="17"/>
  <c r="D292" i="17"/>
  <c r="K291" i="17"/>
  <c r="M291" i="17" s="1"/>
  <c r="N291" i="17" s="1"/>
  <c r="J291" i="17"/>
  <c r="I291" i="17"/>
  <c r="H291" i="17"/>
  <c r="G291" i="17"/>
  <c r="F291" i="17"/>
  <c r="D291" i="17"/>
  <c r="M290" i="17"/>
  <c r="N290" i="17" s="1"/>
  <c r="K290" i="17"/>
  <c r="J290" i="17"/>
  <c r="I290" i="17"/>
  <c r="H290" i="17"/>
  <c r="G290" i="17"/>
  <c r="F290" i="17"/>
  <c r="D290" i="17"/>
  <c r="N289" i="17"/>
  <c r="M289" i="17"/>
  <c r="K289" i="17"/>
  <c r="J289" i="17"/>
  <c r="I289" i="17"/>
  <c r="H289" i="17"/>
  <c r="G289" i="17"/>
  <c r="F289" i="17"/>
  <c r="D289" i="17"/>
  <c r="K288" i="17"/>
  <c r="M288" i="17" s="1"/>
  <c r="N288" i="17" s="1"/>
  <c r="J288" i="17"/>
  <c r="I288" i="17"/>
  <c r="H288" i="17"/>
  <c r="G288" i="17"/>
  <c r="F288" i="17"/>
  <c r="D288" i="17"/>
  <c r="M287" i="17"/>
  <c r="K287" i="17"/>
  <c r="J287" i="17"/>
  <c r="I287" i="17"/>
  <c r="H287" i="17"/>
  <c r="G287" i="17"/>
  <c r="F287" i="17"/>
  <c r="D287" i="17"/>
  <c r="K286" i="17"/>
  <c r="M286" i="17" s="1"/>
  <c r="J286" i="17"/>
  <c r="I286" i="17"/>
  <c r="H286" i="17"/>
  <c r="G286" i="17"/>
  <c r="F286" i="17"/>
  <c r="D286" i="17"/>
  <c r="K285" i="17"/>
  <c r="M285" i="17" s="1"/>
  <c r="J285" i="17"/>
  <c r="I285" i="17"/>
  <c r="H285" i="17"/>
  <c r="G285" i="17"/>
  <c r="F285" i="17"/>
  <c r="D285" i="17"/>
  <c r="M284" i="17"/>
  <c r="K284" i="17"/>
  <c r="J284" i="17"/>
  <c r="I284" i="17"/>
  <c r="H284" i="17"/>
  <c r="G284" i="17"/>
  <c r="F284" i="17"/>
  <c r="D284" i="17"/>
  <c r="K283" i="17"/>
  <c r="M283" i="17" s="1"/>
  <c r="N283" i="17" s="1"/>
  <c r="J283" i="17"/>
  <c r="I283" i="17"/>
  <c r="H283" i="17"/>
  <c r="G283" i="17"/>
  <c r="F283" i="17"/>
  <c r="D283" i="17"/>
  <c r="K282" i="17"/>
  <c r="M282" i="17" s="1"/>
  <c r="N282" i="17" s="1"/>
  <c r="J282" i="17"/>
  <c r="I282" i="17"/>
  <c r="H282" i="17"/>
  <c r="G282" i="17"/>
  <c r="F282" i="17"/>
  <c r="D282" i="17"/>
  <c r="K281" i="17"/>
  <c r="M281" i="17" s="1"/>
  <c r="N281" i="17" s="1"/>
  <c r="J281" i="17"/>
  <c r="I281" i="17"/>
  <c r="H281" i="17"/>
  <c r="G281" i="17"/>
  <c r="F281" i="17"/>
  <c r="D281" i="17"/>
  <c r="K280" i="17"/>
  <c r="M280" i="17" s="1"/>
  <c r="N280" i="17" s="1"/>
  <c r="J280" i="17"/>
  <c r="I280" i="17"/>
  <c r="H280" i="17"/>
  <c r="G280" i="17"/>
  <c r="F280" i="17"/>
  <c r="D280" i="17"/>
  <c r="M279" i="17"/>
  <c r="N279" i="17" s="1"/>
  <c r="K279" i="17"/>
  <c r="J279" i="17"/>
  <c r="I279" i="17"/>
  <c r="H279" i="17"/>
  <c r="G279" i="17"/>
  <c r="F279" i="17"/>
  <c r="D279" i="17"/>
  <c r="K278" i="17"/>
  <c r="M278" i="17" s="1"/>
  <c r="N278" i="17" s="1"/>
  <c r="J278" i="17"/>
  <c r="I278" i="17"/>
  <c r="H278" i="17"/>
  <c r="G278" i="17"/>
  <c r="F278" i="17"/>
  <c r="D278" i="17"/>
  <c r="K277" i="17"/>
  <c r="M277" i="17" s="1"/>
  <c r="N277" i="17" s="1"/>
  <c r="J277" i="17"/>
  <c r="I277" i="17"/>
  <c r="H277" i="17"/>
  <c r="G277" i="17"/>
  <c r="F277" i="17"/>
  <c r="D277" i="17"/>
  <c r="K276" i="17"/>
  <c r="M276" i="17" s="1"/>
  <c r="N276" i="17" s="1"/>
  <c r="J276" i="17"/>
  <c r="I276" i="17"/>
  <c r="H276" i="17"/>
  <c r="G276" i="17"/>
  <c r="F276" i="17"/>
  <c r="D276" i="17"/>
  <c r="M275" i="17"/>
  <c r="N275" i="17" s="1"/>
  <c r="K275" i="17"/>
  <c r="J275" i="17"/>
  <c r="I275" i="17"/>
  <c r="H275" i="17"/>
  <c r="G275" i="17"/>
  <c r="F275" i="17"/>
  <c r="D275" i="17"/>
  <c r="M274" i="17"/>
  <c r="N274" i="17" s="1"/>
  <c r="L274" i="17"/>
  <c r="K274" i="17"/>
  <c r="J274" i="17"/>
  <c r="I274" i="17"/>
  <c r="H274" i="17"/>
  <c r="G274" i="17"/>
  <c r="F274" i="17"/>
  <c r="L273" i="17"/>
  <c r="K273" i="17"/>
  <c r="M273" i="17" s="1"/>
  <c r="J273" i="17"/>
  <c r="I273" i="17"/>
  <c r="N273" i="17" s="1"/>
  <c r="H273" i="17"/>
  <c r="G273" i="17"/>
  <c r="F273" i="17"/>
  <c r="L272" i="17"/>
  <c r="K272" i="17"/>
  <c r="J272" i="17"/>
  <c r="I272" i="17"/>
  <c r="H272" i="17"/>
  <c r="G272" i="17"/>
  <c r="F272" i="17"/>
  <c r="L271" i="17"/>
  <c r="K271" i="17"/>
  <c r="M271" i="17" s="1"/>
  <c r="J271" i="17"/>
  <c r="I271" i="17"/>
  <c r="H271" i="17"/>
  <c r="G271" i="17"/>
  <c r="F271" i="17"/>
  <c r="L270" i="17"/>
  <c r="K270" i="17"/>
  <c r="M270" i="17" s="1"/>
  <c r="J270" i="17"/>
  <c r="I270" i="17"/>
  <c r="H270" i="17"/>
  <c r="G270" i="17"/>
  <c r="F270" i="17"/>
  <c r="L269" i="17"/>
  <c r="K269" i="17"/>
  <c r="M269" i="17" s="1"/>
  <c r="J269" i="17"/>
  <c r="I269" i="17"/>
  <c r="H269" i="17"/>
  <c r="G269" i="17"/>
  <c r="F269" i="17"/>
  <c r="L268" i="17"/>
  <c r="M268" i="17" s="1"/>
  <c r="N268" i="17" s="1"/>
  <c r="K268" i="17"/>
  <c r="J268" i="17"/>
  <c r="I268" i="17"/>
  <c r="H268" i="17"/>
  <c r="G268" i="17"/>
  <c r="F268" i="17"/>
  <c r="L267" i="17"/>
  <c r="K267" i="17"/>
  <c r="M267" i="17" s="1"/>
  <c r="N267" i="17" s="1"/>
  <c r="J267" i="17"/>
  <c r="I267" i="17"/>
  <c r="H267" i="17"/>
  <c r="G267" i="17"/>
  <c r="F267" i="17"/>
  <c r="L266" i="17"/>
  <c r="K266" i="17"/>
  <c r="M266" i="17" s="1"/>
  <c r="J266" i="17"/>
  <c r="I266" i="17"/>
  <c r="H266" i="17"/>
  <c r="G266" i="17"/>
  <c r="F266" i="17"/>
  <c r="L265" i="17"/>
  <c r="M265" i="17" s="1"/>
  <c r="K265" i="17"/>
  <c r="J265" i="17"/>
  <c r="I265" i="17"/>
  <c r="H265" i="17"/>
  <c r="G265" i="17"/>
  <c r="F265" i="17"/>
  <c r="L264" i="17"/>
  <c r="K264" i="17"/>
  <c r="M264" i="17" s="1"/>
  <c r="J264" i="17"/>
  <c r="I264" i="17"/>
  <c r="H264" i="17"/>
  <c r="G264" i="17"/>
  <c r="F264" i="17"/>
  <c r="L263" i="17"/>
  <c r="K263" i="17"/>
  <c r="M263" i="17" s="1"/>
  <c r="J263" i="17"/>
  <c r="I263" i="17"/>
  <c r="H263" i="17"/>
  <c r="G263" i="17"/>
  <c r="F263" i="17"/>
  <c r="L262" i="17"/>
  <c r="K262" i="17"/>
  <c r="M262" i="17" s="1"/>
  <c r="J262" i="17"/>
  <c r="I262" i="17"/>
  <c r="H262" i="17"/>
  <c r="G262" i="17"/>
  <c r="F262" i="17"/>
  <c r="L261" i="17"/>
  <c r="K261" i="17"/>
  <c r="M261" i="17" s="1"/>
  <c r="J261" i="17"/>
  <c r="I261" i="17"/>
  <c r="H261" i="17"/>
  <c r="G261" i="17"/>
  <c r="F261" i="17"/>
  <c r="L260" i="17"/>
  <c r="K260" i="17"/>
  <c r="M260" i="17" s="1"/>
  <c r="J260" i="17"/>
  <c r="I260" i="17"/>
  <c r="H260" i="17"/>
  <c r="G260" i="17"/>
  <c r="F260" i="17"/>
  <c r="M259" i="17"/>
  <c r="N259" i="17" s="1"/>
  <c r="L259" i="17"/>
  <c r="K259" i="17"/>
  <c r="J259" i="17"/>
  <c r="I259" i="17"/>
  <c r="H259" i="17"/>
  <c r="G259" i="17"/>
  <c r="F259" i="17"/>
  <c r="L258" i="17"/>
  <c r="K258" i="17"/>
  <c r="M258" i="17" s="1"/>
  <c r="J258" i="17"/>
  <c r="I258" i="17"/>
  <c r="H258" i="17"/>
  <c r="G258" i="17"/>
  <c r="F258" i="17"/>
  <c r="L257" i="17"/>
  <c r="K257" i="17"/>
  <c r="J257" i="17"/>
  <c r="I257" i="17"/>
  <c r="H257" i="17"/>
  <c r="G257" i="17"/>
  <c r="F257" i="17"/>
  <c r="L256" i="17"/>
  <c r="K256" i="17"/>
  <c r="J256" i="17"/>
  <c r="I256" i="17"/>
  <c r="H256" i="17"/>
  <c r="G256" i="17"/>
  <c r="F256" i="17"/>
  <c r="L255" i="17"/>
  <c r="K255" i="17"/>
  <c r="M255" i="17" s="1"/>
  <c r="N255" i="17" s="1"/>
  <c r="J255" i="17"/>
  <c r="I255" i="17"/>
  <c r="H255" i="17"/>
  <c r="G255" i="17"/>
  <c r="F255" i="17"/>
  <c r="L254" i="17"/>
  <c r="K254" i="17"/>
  <c r="J254" i="17"/>
  <c r="I254" i="17"/>
  <c r="H254" i="17"/>
  <c r="G254" i="17"/>
  <c r="F254" i="17"/>
  <c r="L253" i="17"/>
  <c r="K253" i="17"/>
  <c r="J253" i="17"/>
  <c r="I253" i="17"/>
  <c r="H253" i="17"/>
  <c r="G253" i="17"/>
  <c r="F253" i="17"/>
  <c r="M252" i="17"/>
  <c r="N252" i="17" s="1"/>
  <c r="L252" i="17"/>
  <c r="K252" i="17"/>
  <c r="J252" i="17"/>
  <c r="I252" i="17"/>
  <c r="H252" i="17"/>
  <c r="G252" i="17"/>
  <c r="F252" i="17"/>
  <c r="N251" i="17"/>
  <c r="L251" i="17"/>
  <c r="K251" i="17"/>
  <c r="M251" i="17" s="1"/>
  <c r="J251" i="17"/>
  <c r="I251" i="17"/>
  <c r="H251" i="17"/>
  <c r="G251" i="17"/>
  <c r="F251" i="17"/>
  <c r="L250" i="17"/>
  <c r="K250" i="17"/>
  <c r="M250" i="17" s="1"/>
  <c r="N250" i="17" s="1"/>
  <c r="J250" i="17"/>
  <c r="I250" i="17"/>
  <c r="H250" i="17"/>
  <c r="G250" i="17"/>
  <c r="F250" i="17"/>
  <c r="L249" i="17"/>
  <c r="K249" i="17"/>
  <c r="M249" i="17" s="1"/>
  <c r="N249" i="17" s="1"/>
  <c r="J249" i="17"/>
  <c r="I249" i="17"/>
  <c r="H249" i="17"/>
  <c r="G249" i="17"/>
  <c r="F249" i="17"/>
  <c r="L248" i="17"/>
  <c r="M248" i="17" s="1"/>
  <c r="N248" i="17" s="1"/>
  <c r="K248" i="17"/>
  <c r="J248" i="17"/>
  <c r="I248" i="17"/>
  <c r="H248" i="17"/>
  <c r="G248" i="17"/>
  <c r="F248" i="17"/>
  <c r="M247" i="17"/>
  <c r="N247" i="17" s="1"/>
  <c r="L247" i="17"/>
  <c r="K247" i="17"/>
  <c r="J247" i="17"/>
  <c r="I247" i="17"/>
  <c r="H247" i="17"/>
  <c r="G247" i="17"/>
  <c r="F247" i="17"/>
  <c r="N246" i="17"/>
  <c r="L246" i="17"/>
  <c r="K246" i="17"/>
  <c r="M246" i="17" s="1"/>
  <c r="J246" i="17"/>
  <c r="I246" i="17"/>
  <c r="H246" i="17"/>
  <c r="G246" i="17"/>
  <c r="F246" i="17"/>
  <c r="L245" i="17"/>
  <c r="K245" i="17"/>
  <c r="M245" i="17" s="1"/>
  <c r="N245" i="17" s="1"/>
  <c r="J245" i="17"/>
  <c r="I245" i="17"/>
  <c r="H245" i="17"/>
  <c r="G245" i="17"/>
  <c r="F245" i="17"/>
  <c r="L244" i="17"/>
  <c r="K244" i="17"/>
  <c r="J244" i="17"/>
  <c r="I244" i="17"/>
  <c r="H244" i="17"/>
  <c r="G244" i="17"/>
  <c r="F244" i="17"/>
  <c r="L243" i="17"/>
  <c r="K243" i="17"/>
  <c r="M243" i="17" s="1"/>
  <c r="N243" i="17" s="1"/>
  <c r="J243" i="17"/>
  <c r="I243" i="17"/>
  <c r="H243" i="17"/>
  <c r="G243" i="17"/>
  <c r="F243" i="17"/>
  <c r="L242" i="17"/>
  <c r="K242" i="17"/>
  <c r="M242" i="17" s="1"/>
  <c r="J242" i="17"/>
  <c r="I242" i="17"/>
  <c r="H242" i="17"/>
  <c r="G242" i="17"/>
  <c r="F242" i="17"/>
  <c r="L241" i="17"/>
  <c r="K241" i="17"/>
  <c r="M241" i="17" s="1"/>
  <c r="N241" i="17" s="1"/>
  <c r="J241" i="17"/>
  <c r="I241" i="17"/>
  <c r="H241" i="17"/>
  <c r="G241" i="17"/>
  <c r="F241" i="17"/>
  <c r="L240" i="17"/>
  <c r="K240" i="17"/>
  <c r="J240" i="17"/>
  <c r="I240" i="17"/>
  <c r="H240" i="17"/>
  <c r="G240" i="17"/>
  <c r="F240" i="17"/>
  <c r="L239" i="17"/>
  <c r="K239" i="17"/>
  <c r="M239" i="17" s="1"/>
  <c r="J239" i="17"/>
  <c r="I239" i="17"/>
  <c r="H239" i="17"/>
  <c r="G239" i="17"/>
  <c r="F239" i="17"/>
  <c r="L238" i="17"/>
  <c r="K238" i="17"/>
  <c r="M238" i="17" s="1"/>
  <c r="J238" i="17"/>
  <c r="I238" i="17"/>
  <c r="N238" i="17" s="1"/>
  <c r="H238" i="17"/>
  <c r="G238" i="17"/>
  <c r="F238" i="17"/>
  <c r="M237" i="17"/>
  <c r="L237" i="17"/>
  <c r="K237" i="17"/>
  <c r="J237" i="17"/>
  <c r="I237" i="17"/>
  <c r="H237" i="17"/>
  <c r="G237" i="17"/>
  <c r="F237" i="17"/>
  <c r="L236" i="17"/>
  <c r="K236" i="17"/>
  <c r="M236" i="17" s="1"/>
  <c r="J236" i="17"/>
  <c r="I236" i="17"/>
  <c r="E22" i="16" s="1"/>
  <c r="H236" i="17"/>
  <c r="G236" i="17"/>
  <c r="F236" i="17"/>
  <c r="L235" i="17"/>
  <c r="K235" i="17"/>
  <c r="M235" i="17" s="1"/>
  <c r="N235" i="17" s="1"/>
  <c r="J235" i="17"/>
  <c r="I235" i="17"/>
  <c r="H235" i="17"/>
  <c r="G235" i="17"/>
  <c r="F235" i="17"/>
  <c r="M234" i="17"/>
  <c r="L234" i="17"/>
  <c r="K234" i="17"/>
  <c r="J234" i="17"/>
  <c r="I234" i="17"/>
  <c r="H234" i="17"/>
  <c r="G234" i="17"/>
  <c r="F234" i="17"/>
  <c r="L233" i="17"/>
  <c r="M233" i="17" s="1"/>
  <c r="K233" i="17"/>
  <c r="J233" i="17"/>
  <c r="I233" i="17"/>
  <c r="H233" i="17"/>
  <c r="G233" i="17"/>
  <c r="F233" i="17"/>
  <c r="M232" i="17"/>
  <c r="N232" i="17" s="1"/>
  <c r="L232" i="17"/>
  <c r="K232" i="17"/>
  <c r="J232" i="17"/>
  <c r="I232" i="17"/>
  <c r="H232" i="17"/>
  <c r="G232" i="17"/>
  <c r="F232" i="17"/>
  <c r="L231" i="17"/>
  <c r="K231" i="17"/>
  <c r="M231" i="17" s="1"/>
  <c r="N231" i="17" s="1"/>
  <c r="J231" i="17"/>
  <c r="I231" i="17"/>
  <c r="H231" i="17"/>
  <c r="G231" i="17"/>
  <c r="F231" i="17"/>
  <c r="L230" i="17"/>
  <c r="K230" i="17"/>
  <c r="M230" i="17" s="1"/>
  <c r="J230" i="17"/>
  <c r="I230" i="17"/>
  <c r="H230" i="17"/>
  <c r="G230" i="17"/>
  <c r="F230" i="17"/>
  <c r="L229" i="17"/>
  <c r="K229" i="17"/>
  <c r="M229" i="17" s="1"/>
  <c r="J229" i="17"/>
  <c r="I229" i="17"/>
  <c r="H229" i="17"/>
  <c r="G229" i="17"/>
  <c r="F229" i="17"/>
  <c r="L228" i="17"/>
  <c r="K228" i="17"/>
  <c r="J228" i="17"/>
  <c r="I228" i="17"/>
  <c r="H228" i="17"/>
  <c r="G228" i="17"/>
  <c r="F228" i="17"/>
  <c r="L227" i="17"/>
  <c r="K227" i="17"/>
  <c r="M227" i="17" s="1"/>
  <c r="N227" i="17" s="1"/>
  <c r="J227" i="17"/>
  <c r="I227" i="17"/>
  <c r="H227" i="17"/>
  <c r="G227" i="17"/>
  <c r="F227" i="17"/>
  <c r="L226" i="17"/>
  <c r="K226" i="17"/>
  <c r="M226" i="17" s="1"/>
  <c r="J226" i="17"/>
  <c r="I226" i="17"/>
  <c r="H226" i="17"/>
  <c r="G226" i="17"/>
  <c r="F226" i="17"/>
  <c r="L225" i="17"/>
  <c r="K225" i="17"/>
  <c r="J225" i="17"/>
  <c r="I225" i="17"/>
  <c r="H225" i="17"/>
  <c r="G225" i="17"/>
  <c r="F225" i="17"/>
  <c r="M224" i="17"/>
  <c r="N224" i="17" s="1"/>
  <c r="L224" i="17"/>
  <c r="K224" i="17"/>
  <c r="J224" i="17"/>
  <c r="I224" i="17"/>
  <c r="H224" i="17"/>
  <c r="G224" i="17"/>
  <c r="F224" i="17"/>
  <c r="N223" i="17"/>
  <c r="M223" i="17"/>
  <c r="L223" i="17"/>
  <c r="K223" i="17"/>
  <c r="J223" i="17"/>
  <c r="I223" i="17"/>
  <c r="H223" i="17"/>
  <c r="G223" i="17"/>
  <c r="F223" i="17"/>
  <c r="L222" i="17"/>
  <c r="K222" i="17"/>
  <c r="J222" i="17"/>
  <c r="I222" i="17"/>
  <c r="H222" i="17"/>
  <c r="G222" i="17"/>
  <c r="F222" i="17"/>
  <c r="L221" i="17"/>
  <c r="M221" i="17" s="1"/>
  <c r="K221" i="17"/>
  <c r="J221" i="17"/>
  <c r="I221" i="17"/>
  <c r="H221" i="17"/>
  <c r="G221" i="17"/>
  <c r="F221" i="17"/>
  <c r="M220" i="17"/>
  <c r="L220" i="17"/>
  <c r="K220" i="17"/>
  <c r="J220" i="17"/>
  <c r="I220" i="17"/>
  <c r="H220" i="17"/>
  <c r="G220" i="17"/>
  <c r="F220" i="17"/>
  <c r="L219" i="17"/>
  <c r="K219" i="17"/>
  <c r="M219" i="17" s="1"/>
  <c r="J219" i="17"/>
  <c r="I219" i="17"/>
  <c r="H219" i="17"/>
  <c r="G219" i="17"/>
  <c r="F219" i="17"/>
  <c r="K218" i="17"/>
  <c r="M218" i="17" s="1"/>
  <c r="N218" i="17" s="1"/>
  <c r="J218" i="17"/>
  <c r="I218" i="17"/>
  <c r="H218" i="17"/>
  <c r="G218" i="17"/>
  <c r="F218" i="17"/>
  <c r="D218" i="17"/>
  <c r="K217" i="17"/>
  <c r="M217" i="17" s="1"/>
  <c r="N217" i="17" s="1"/>
  <c r="J217" i="17"/>
  <c r="I217" i="17"/>
  <c r="H217" i="17"/>
  <c r="G217" i="17"/>
  <c r="F217" i="17"/>
  <c r="D217" i="17"/>
  <c r="K216" i="17"/>
  <c r="M216" i="17" s="1"/>
  <c r="J216" i="17"/>
  <c r="I216" i="17"/>
  <c r="H216" i="17"/>
  <c r="G216" i="17"/>
  <c r="F216" i="17"/>
  <c r="D216" i="17"/>
  <c r="M215" i="17"/>
  <c r="K215" i="17"/>
  <c r="J215" i="17"/>
  <c r="I215" i="17"/>
  <c r="H215" i="17"/>
  <c r="G215" i="17"/>
  <c r="F215" i="17"/>
  <c r="D215" i="17"/>
  <c r="K214" i="17"/>
  <c r="M214" i="17" s="1"/>
  <c r="J214" i="17"/>
  <c r="I214" i="17"/>
  <c r="N214" i="17" s="1"/>
  <c r="H214" i="17"/>
  <c r="G214" i="17"/>
  <c r="F214" i="17"/>
  <c r="D214" i="17"/>
  <c r="M213" i="17"/>
  <c r="K213" i="17"/>
  <c r="J213" i="17"/>
  <c r="I213" i="17"/>
  <c r="H213" i="17"/>
  <c r="G213" i="17"/>
  <c r="F213" i="17"/>
  <c r="D213" i="17"/>
  <c r="K212" i="17"/>
  <c r="M212" i="17" s="1"/>
  <c r="N212" i="17" s="1"/>
  <c r="J212" i="17"/>
  <c r="I212" i="17"/>
  <c r="H212" i="17"/>
  <c r="G212" i="17"/>
  <c r="F212" i="17"/>
  <c r="D212" i="17"/>
  <c r="K211" i="17"/>
  <c r="M211" i="17" s="1"/>
  <c r="J211" i="17"/>
  <c r="I211" i="17"/>
  <c r="H211" i="17"/>
  <c r="G211" i="17"/>
  <c r="F211" i="17"/>
  <c r="D211" i="17"/>
  <c r="M210" i="17"/>
  <c r="K210" i="17"/>
  <c r="J210" i="17"/>
  <c r="I210" i="17"/>
  <c r="H210" i="17"/>
  <c r="G210" i="17"/>
  <c r="F210" i="17"/>
  <c r="D210" i="17"/>
  <c r="K209" i="17"/>
  <c r="M209" i="17" s="1"/>
  <c r="J209" i="17"/>
  <c r="I209" i="17"/>
  <c r="H209" i="17"/>
  <c r="G209" i="17"/>
  <c r="F209" i="17"/>
  <c r="D209" i="17"/>
  <c r="K208" i="17"/>
  <c r="M208" i="17" s="1"/>
  <c r="J208" i="17"/>
  <c r="I208" i="17"/>
  <c r="H208" i="17"/>
  <c r="G208" i="17"/>
  <c r="F208" i="17"/>
  <c r="D208" i="17"/>
  <c r="M207" i="17"/>
  <c r="K207" i="17"/>
  <c r="J207" i="17"/>
  <c r="I207" i="17"/>
  <c r="H207" i="17"/>
  <c r="G207" i="17"/>
  <c r="F207" i="17"/>
  <c r="D207" i="17"/>
  <c r="K206" i="17"/>
  <c r="M206" i="17" s="1"/>
  <c r="J206" i="17"/>
  <c r="I206" i="17"/>
  <c r="H206" i="17"/>
  <c r="G206" i="17"/>
  <c r="F206" i="17"/>
  <c r="D206" i="17"/>
  <c r="K205" i="17"/>
  <c r="M205" i="17" s="1"/>
  <c r="N205" i="17" s="1"/>
  <c r="J205" i="17"/>
  <c r="I205" i="17"/>
  <c r="H205" i="17"/>
  <c r="G205" i="17"/>
  <c r="F205" i="17"/>
  <c r="D205" i="17"/>
  <c r="K204" i="17"/>
  <c r="M204" i="17" s="1"/>
  <c r="J204" i="17"/>
  <c r="I204" i="17"/>
  <c r="H204" i="17"/>
  <c r="G204" i="17"/>
  <c r="F204" i="17"/>
  <c r="D204" i="17"/>
  <c r="M203" i="17"/>
  <c r="N203" i="17" s="1"/>
  <c r="K203" i="17"/>
  <c r="J203" i="17"/>
  <c r="I203" i="17"/>
  <c r="H203" i="17"/>
  <c r="G203" i="17"/>
  <c r="F203" i="17"/>
  <c r="D203" i="17"/>
  <c r="K202" i="17"/>
  <c r="M202" i="17" s="1"/>
  <c r="N202" i="17" s="1"/>
  <c r="J202" i="17"/>
  <c r="I202" i="17"/>
  <c r="H202" i="17"/>
  <c r="G202" i="17"/>
  <c r="F202" i="17"/>
  <c r="D202" i="17"/>
  <c r="K201" i="17"/>
  <c r="M201" i="17" s="1"/>
  <c r="N201" i="17" s="1"/>
  <c r="J201" i="17"/>
  <c r="I201" i="17"/>
  <c r="H201" i="17"/>
  <c r="G201" i="17"/>
  <c r="F201" i="17"/>
  <c r="D201" i="17"/>
  <c r="M200" i="17"/>
  <c r="N200" i="17" s="1"/>
  <c r="K200" i="17"/>
  <c r="J200" i="17"/>
  <c r="I200" i="17"/>
  <c r="H200" i="17"/>
  <c r="G200" i="17"/>
  <c r="F200" i="17"/>
  <c r="D200" i="17"/>
  <c r="N199" i="17"/>
  <c r="M199" i="17"/>
  <c r="K199" i="17"/>
  <c r="J199" i="17"/>
  <c r="I199" i="17"/>
  <c r="H199" i="17"/>
  <c r="G199" i="17"/>
  <c r="F199" i="17"/>
  <c r="D199" i="17"/>
  <c r="K198" i="17"/>
  <c r="M198" i="17" s="1"/>
  <c r="N198" i="17" s="1"/>
  <c r="J198" i="17"/>
  <c r="I198" i="17"/>
  <c r="H198" i="17"/>
  <c r="G198" i="17"/>
  <c r="F198" i="17"/>
  <c r="D198" i="17"/>
  <c r="K197" i="17"/>
  <c r="M197" i="17" s="1"/>
  <c r="N197" i="17" s="1"/>
  <c r="J197" i="17"/>
  <c r="I197" i="17"/>
  <c r="H197" i="17"/>
  <c r="G197" i="17"/>
  <c r="F197" i="17"/>
  <c r="D197" i="17"/>
  <c r="K196" i="17"/>
  <c r="M196" i="17" s="1"/>
  <c r="J196" i="17"/>
  <c r="I196" i="17"/>
  <c r="H196" i="17"/>
  <c r="G196" i="17"/>
  <c r="F196" i="17"/>
  <c r="D196" i="17"/>
  <c r="K195" i="17"/>
  <c r="M195" i="17" s="1"/>
  <c r="J195" i="17"/>
  <c r="I195" i="17"/>
  <c r="H195" i="17"/>
  <c r="G195" i="17"/>
  <c r="F195" i="17"/>
  <c r="D195" i="17"/>
  <c r="K194" i="17"/>
  <c r="M194" i="17" s="1"/>
  <c r="N194" i="17" s="1"/>
  <c r="J194" i="17"/>
  <c r="I194" i="17"/>
  <c r="H194" i="17"/>
  <c r="G194" i="17"/>
  <c r="F194" i="17"/>
  <c r="D194" i="17"/>
  <c r="K193" i="17"/>
  <c r="M193" i="17" s="1"/>
  <c r="N193" i="17" s="1"/>
  <c r="J193" i="17"/>
  <c r="I193" i="17"/>
  <c r="H193" i="17"/>
  <c r="G193" i="17"/>
  <c r="F193" i="17"/>
  <c r="D193" i="17"/>
  <c r="M192" i="17"/>
  <c r="N192" i="17" s="1"/>
  <c r="K192" i="17"/>
  <c r="J192" i="17"/>
  <c r="I192" i="17"/>
  <c r="H192" i="17"/>
  <c r="G192" i="17"/>
  <c r="F192" i="17"/>
  <c r="D192" i="17"/>
  <c r="N191" i="17"/>
  <c r="M191" i="17"/>
  <c r="K191" i="17"/>
  <c r="J191" i="17"/>
  <c r="I191" i="17"/>
  <c r="H191" i="17"/>
  <c r="G191" i="17"/>
  <c r="F191" i="17"/>
  <c r="D191" i="17"/>
  <c r="K190" i="17"/>
  <c r="M190" i="17" s="1"/>
  <c r="J190" i="17"/>
  <c r="I190" i="17"/>
  <c r="H190" i="17"/>
  <c r="G190" i="17"/>
  <c r="F190" i="17"/>
  <c r="D190" i="17"/>
  <c r="K189" i="17"/>
  <c r="M189" i="17" s="1"/>
  <c r="J189" i="17"/>
  <c r="I189" i="17"/>
  <c r="H189" i="17"/>
  <c r="G189" i="17"/>
  <c r="F189" i="17"/>
  <c r="D189" i="17"/>
  <c r="L188" i="17"/>
  <c r="K188" i="17"/>
  <c r="M188" i="17" s="1"/>
  <c r="J188" i="17"/>
  <c r="I188" i="17"/>
  <c r="H188" i="17"/>
  <c r="G188" i="17"/>
  <c r="F188" i="17"/>
  <c r="L187" i="17"/>
  <c r="K187" i="17"/>
  <c r="M187" i="17" s="1"/>
  <c r="J187" i="17"/>
  <c r="I187" i="17"/>
  <c r="H187" i="17"/>
  <c r="G187" i="17"/>
  <c r="F187" i="17"/>
  <c r="L186" i="17"/>
  <c r="K186" i="17"/>
  <c r="M186" i="17" s="1"/>
  <c r="J186" i="17"/>
  <c r="I186" i="17"/>
  <c r="H186" i="17"/>
  <c r="G186" i="17"/>
  <c r="F186" i="17"/>
  <c r="L185" i="17"/>
  <c r="K185" i="17"/>
  <c r="M185" i="17" s="1"/>
  <c r="J185" i="17"/>
  <c r="I185" i="17"/>
  <c r="H185" i="17"/>
  <c r="G185" i="17"/>
  <c r="F185" i="17"/>
  <c r="L184" i="17"/>
  <c r="K184" i="17"/>
  <c r="J184" i="17"/>
  <c r="I184" i="17"/>
  <c r="H184" i="17"/>
  <c r="G184" i="17"/>
  <c r="F184" i="17"/>
  <c r="L183" i="17"/>
  <c r="K183" i="17"/>
  <c r="M183" i="17" s="1"/>
  <c r="N183" i="17" s="1"/>
  <c r="J183" i="17"/>
  <c r="I183" i="17"/>
  <c r="H183" i="17"/>
  <c r="G183" i="17"/>
  <c r="F183" i="17"/>
  <c r="L182" i="17"/>
  <c r="K182" i="17"/>
  <c r="J182" i="17"/>
  <c r="I182" i="17"/>
  <c r="H182" i="17"/>
  <c r="G182" i="17"/>
  <c r="F182" i="17"/>
  <c r="L181" i="17"/>
  <c r="K181" i="17"/>
  <c r="J181" i="17"/>
  <c r="I181" i="17"/>
  <c r="H181" i="17"/>
  <c r="G181" i="17"/>
  <c r="F181" i="17"/>
  <c r="L180" i="17"/>
  <c r="K180" i="17"/>
  <c r="M180" i="17" s="1"/>
  <c r="N180" i="17" s="1"/>
  <c r="J180" i="17"/>
  <c r="I180" i="17"/>
  <c r="H180" i="17"/>
  <c r="G180" i="17"/>
  <c r="F180" i="17"/>
  <c r="L179" i="17"/>
  <c r="M179" i="17" s="1"/>
  <c r="N179" i="17" s="1"/>
  <c r="K179" i="17"/>
  <c r="J179" i="17"/>
  <c r="I179" i="17"/>
  <c r="H179" i="17"/>
  <c r="G179" i="17"/>
  <c r="F179" i="17"/>
  <c r="M178" i="17"/>
  <c r="N178" i="17" s="1"/>
  <c r="L178" i="17"/>
  <c r="K178" i="17"/>
  <c r="J178" i="17"/>
  <c r="I178" i="17"/>
  <c r="H178" i="17"/>
  <c r="G178" i="17"/>
  <c r="F178" i="17"/>
  <c r="L177" i="17"/>
  <c r="K177" i="17"/>
  <c r="M177" i="17" s="1"/>
  <c r="N177" i="17" s="1"/>
  <c r="J177" i="17"/>
  <c r="I177" i="17"/>
  <c r="H177" i="17"/>
  <c r="G177" i="17"/>
  <c r="F177" i="17"/>
  <c r="L176" i="17"/>
  <c r="M176" i="17" s="1"/>
  <c r="N176" i="17" s="1"/>
  <c r="K176" i="17"/>
  <c r="J176" i="17"/>
  <c r="I176" i="17"/>
  <c r="H176" i="17"/>
  <c r="G176" i="17"/>
  <c r="F176" i="17"/>
  <c r="L175" i="17"/>
  <c r="K175" i="17"/>
  <c r="M175" i="17" s="1"/>
  <c r="N175" i="17" s="1"/>
  <c r="J175" i="17"/>
  <c r="I175" i="17"/>
  <c r="H175" i="17"/>
  <c r="G175" i="17"/>
  <c r="F175" i="17"/>
  <c r="L174" i="17"/>
  <c r="K174" i="17"/>
  <c r="M174" i="17" s="1"/>
  <c r="J174" i="17"/>
  <c r="I174" i="17"/>
  <c r="H174" i="17"/>
  <c r="G174" i="17"/>
  <c r="F174" i="17"/>
  <c r="L173" i="17"/>
  <c r="K173" i="17"/>
  <c r="M173" i="17" s="1"/>
  <c r="N173" i="17" s="1"/>
  <c r="J173" i="17"/>
  <c r="I173" i="17"/>
  <c r="H173" i="17"/>
  <c r="G173" i="17"/>
  <c r="F173" i="17"/>
  <c r="L172" i="17"/>
  <c r="K172" i="17"/>
  <c r="M172" i="17" s="1"/>
  <c r="N172" i="17" s="1"/>
  <c r="J172" i="17"/>
  <c r="I172" i="17"/>
  <c r="H172" i="17"/>
  <c r="G172" i="17"/>
  <c r="F172" i="17"/>
  <c r="L171" i="17"/>
  <c r="K171" i="17"/>
  <c r="M171" i="17" s="1"/>
  <c r="N171" i="17" s="1"/>
  <c r="J171" i="17"/>
  <c r="I171" i="17"/>
  <c r="H171" i="17"/>
  <c r="G171" i="17"/>
  <c r="F171" i="17"/>
  <c r="L170" i="17"/>
  <c r="K170" i="17"/>
  <c r="M170" i="17" s="1"/>
  <c r="N170" i="17" s="1"/>
  <c r="J170" i="17"/>
  <c r="I170" i="17"/>
  <c r="H170" i="17"/>
  <c r="G170" i="17"/>
  <c r="F170" i="17"/>
  <c r="L169" i="17"/>
  <c r="K169" i="17"/>
  <c r="J169" i="17"/>
  <c r="I169" i="17"/>
  <c r="H169" i="17"/>
  <c r="G169" i="17"/>
  <c r="F169" i="17"/>
  <c r="L168" i="17"/>
  <c r="K168" i="17"/>
  <c r="M168" i="17" s="1"/>
  <c r="J168" i="17"/>
  <c r="I168" i="17"/>
  <c r="H168" i="17"/>
  <c r="G168" i="17"/>
  <c r="F168" i="17"/>
  <c r="L167" i="17"/>
  <c r="K167" i="17"/>
  <c r="M167" i="17" s="1"/>
  <c r="J167" i="17"/>
  <c r="I167" i="17"/>
  <c r="H167" i="17"/>
  <c r="G167" i="17"/>
  <c r="F167" i="17"/>
  <c r="L166" i="17"/>
  <c r="K166" i="17"/>
  <c r="M166" i="17" s="1"/>
  <c r="J166" i="17"/>
  <c r="I166" i="17"/>
  <c r="H166" i="17"/>
  <c r="G166" i="17"/>
  <c r="F166" i="17"/>
  <c r="L165" i="17"/>
  <c r="K165" i="17"/>
  <c r="M165" i="17" s="1"/>
  <c r="J165" i="17"/>
  <c r="I165" i="17"/>
  <c r="H165" i="17"/>
  <c r="G165" i="17"/>
  <c r="F165" i="17"/>
  <c r="M164" i="17"/>
  <c r="L164" i="17"/>
  <c r="K164" i="17"/>
  <c r="J164" i="17"/>
  <c r="I164" i="17"/>
  <c r="H164" i="17"/>
  <c r="G164" i="17"/>
  <c r="F164" i="17"/>
  <c r="L163" i="17"/>
  <c r="K163" i="17"/>
  <c r="M163" i="17" s="1"/>
  <c r="N163" i="17" s="1"/>
  <c r="J163" i="17"/>
  <c r="I163" i="17"/>
  <c r="H163" i="17"/>
  <c r="G163" i="17"/>
  <c r="F163" i="17"/>
  <c r="L162" i="17"/>
  <c r="K162" i="17"/>
  <c r="M162" i="17" s="1"/>
  <c r="N162" i="17" s="1"/>
  <c r="J162" i="17"/>
  <c r="I162" i="17"/>
  <c r="H162" i="17"/>
  <c r="G162" i="17"/>
  <c r="F162" i="17"/>
  <c r="M161" i="17"/>
  <c r="N161" i="17" s="1"/>
  <c r="L161" i="17"/>
  <c r="K161" i="17"/>
  <c r="J161" i="17"/>
  <c r="I161" i="17"/>
  <c r="H161" i="17"/>
  <c r="G161" i="17"/>
  <c r="F161" i="17"/>
  <c r="L160" i="17"/>
  <c r="M160" i="17" s="1"/>
  <c r="N160" i="17" s="1"/>
  <c r="K160" i="17"/>
  <c r="J160" i="17"/>
  <c r="I160" i="17"/>
  <c r="H160" i="17"/>
  <c r="G160" i="17"/>
  <c r="F160" i="17"/>
  <c r="M159" i="17"/>
  <c r="N159" i="17" s="1"/>
  <c r="L159" i="17"/>
  <c r="K159" i="17"/>
  <c r="J159" i="17"/>
  <c r="I159" i="17"/>
  <c r="H159" i="17"/>
  <c r="G159" i="17"/>
  <c r="F159" i="17"/>
  <c r="L158" i="17"/>
  <c r="K158" i="17"/>
  <c r="M158" i="17" s="1"/>
  <c r="N158" i="17" s="1"/>
  <c r="J158" i="17"/>
  <c r="I158" i="17"/>
  <c r="H158" i="17"/>
  <c r="G158" i="17"/>
  <c r="F158" i="17"/>
  <c r="L157" i="17"/>
  <c r="K157" i="17"/>
  <c r="M157" i="17" s="1"/>
  <c r="J157" i="17"/>
  <c r="I157" i="17"/>
  <c r="H157" i="17"/>
  <c r="G157" i="17"/>
  <c r="F157" i="17"/>
  <c r="L156" i="17"/>
  <c r="K156" i="17"/>
  <c r="M156" i="17" s="1"/>
  <c r="J156" i="17"/>
  <c r="I156" i="17"/>
  <c r="H156" i="17"/>
  <c r="G156" i="17"/>
  <c r="F156" i="17"/>
  <c r="L155" i="17"/>
  <c r="K155" i="17"/>
  <c r="M155" i="17" s="1"/>
  <c r="N155" i="17" s="1"/>
  <c r="J155" i="17"/>
  <c r="I155" i="17"/>
  <c r="H155" i="17"/>
  <c r="G155" i="17"/>
  <c r="F155" i="17"/>
  <c r="M154" i="17"/>
  <c r="L154" i="17"/>
  <c r="K154" i="17"/>
  <c r="J154" i="17"/>
  <c r="I154" i="17"/>
  <c r="H154" i="17"/>
  <c r="G154" i="17"/>
  <c r="F154" i="17"/>
  <c r="L153" i="17"/>
  <c r="M153" i="17" s="1"/>
  <c r="N153" i="17" s="1"/>
  <c r="K153" i="17"/>
  <c r="J153" i="17"/>
  <c r="I153" i="17"/>
  <c r="H153" i="17"/>
  <c r="G153" i="17"/>
  <c r="F153" i="17"/>
  <c r="L152" i="17"/>
  <c r="K152" i="17"/>
  <c r="M152" i="17" s="1"/>
  <c r="N152" i="17" s="1"/>
  <c r="J152" i="17"/>
  <c r="I152" i="17"/>
  <c r="H152" i="17"/>
  <c r="G152" i="17"/>
  <c r="F152" i="17"/>
  <c r="L151" i="17"/>
  <c r="K151" i="17"/>
  <c r="M151" i="17" s="1"/>
  <c r="J151" i="17"/>
  <c r="I151" i="17"/>
  <c r="H151" i="17"/>
  <c r="G151" i="17"/>
  <c r="F151" i="17"/>
  <c r="L150" i="17"/>
  <c r="K150" i="17"/>
  <c r="M150" i="17" s="1"/>
  <c r="N150" i="17" s="1"/>
  <c r="J150" i="17"/>
  <c r="I150" i="17"/>
  <c r="H150" i="17"/>
  <c r="G150" i="17"/>
  <c r="F150" i="17"/>
  <c r="L149" i="17"/>
  <c r="K149" i="17"/>
  <c r="J149" i="17"/>
  <c r="I149" i="17"/>
  <c r="H149" i="17"/>
  <c r="G149" i="17"/>
  <c r="F149" i="17"/>
  <c r="L148" i="17"/>
  <c r="K148" i="17"/>
  <c r="M148" i="17" s="1"/>
  <c r="J148" i="17"/>
  <c r="I148" i="17"/>
  <c r="H148" i="17"/>
  <c r="G148" i="17"/>
  <c r="F148" i="17"/>
  <c r="L147" i="17"/>
  <c r="K147" i="17"/>
  <c r="M147" i="17" s="1"/>
  <c r="J147" i="17"/>
  <c r="I147" i="17"/>
  <c r="H147" i="17"/>
  <c r="G147" i="17"/>
  <c r="F147" i="17"/>
  <c r="L146" i="17"/>
  <c r="K146" i="17"/>
  <c r="M146" i="17" s="1"/>
  <c r="N146" i="17" s="1"/>
  <c r="J146" i="17"/>
  <c r="I146" i="17"/>
  <c r="H146" i="17"/>
  <c r="G146" i="17"/>
  <c r="F146" i="17"/>
  <c r="L145" i="17"/>
  <c r="K145" i="17"/>
  <c r="M145" i="17" s="1"/>
  <c r="N145" i="17" s="1"/>
  <c r="J145" i="17"/>
  <c r="I145" i="17"/>
  <c r="H145" i="17"/>
  <c r="G145" i="17"/>
  <c r="F145" i="17"/>
  <c r="L144" i="17"/>
  <c r="M144" i="17" s="1"/>
  <c r="N144" i="17" s="1"/>
  <c r="K144" i="17"/>
  <c r="J144" i="17"/>
  <c r="I144" i="17"/>
  <c r="H144" i="17"/>
  <c r="G144" i="17"/>
  <c r="F144" i="17"/>
  <c r="M143" i="17"/>
  <c r="N143" i="17" s="1"/>
  <c r="L143" i="17"/>
  <c r="K143" i="17"/>
  <c r="J143" i="17"/>
  <c r="I143" i="17"/>
  <c r="H143" i="17"/>
  <c r="G143" i="17"/>
  <c r="F143" i="17"/>
  <c r="L142" i="17"/>
  <c r="K142" i="17"/>
  <c r="M142" i="17" s="1"/>
  <c r="N142" i="17" s="1"/>
  <c r="J142" i="17"/>
  <c r="D34" i="13" s="1"/>
  <c r="D40" i="15" s="1"/>
  <c r="I142" i="17"/>
  <c r="H142" i="17"/>
  <c r="G142" i="17"/>
  <c r="F142" i="17"/>
  <c r="L141" i="17"/>
  <c r="K141" i="17"/>
  <c r="M141" i="17" s="1"/>
  <c r="J141" i="17"/>
  <c r="I141" i="17"/>
  <c r="H141" i="17"/>
  <c r="G141" i="17"/>
  <c r="F141" i="17"/>
  <c r="L140" i="17"/>
  <c r="K140" i="17"/>
  <c r="M140" i="17" s="1"/>
  <c r="J140" i="17"/>
  <c r="I140" i="17"/>
  <c r="H140" i="17"/>
  <c r="G140" i="17"/>
  <c r="F140" i="17"/>
  <c r="L139" i="17"/>
  <c r="K139" i="17"/>
  <c r="M139" i="17" s="1"/>
  <c r="J139" i="17"/>
  <c r="I139" i="17"/>
  <c r="H139" i="17"/>
  <c r="G139" i="17"/>
  <c r="F139" i="17"/>
  <c r="L138" i="17"/>
  <c r="K138" i="17"/>
  <c r="M138" i="17" s="1"/>
  <c r="N138" i="17" s="1"/>
  <c r="J138" i="17"/>
  <c r="I138" i="17"/>
  <c r="H138" i="17"/>
  <c r="G138" i="17"/>
  <c r="F138" i="17"/>
  <c r="L137" i="17"/>
  <c r="K137" i="17"/>
  <c r="J137" i="17"/>
  <c r="I137" i="17"/>
  <c r="H137" i="17"/>
  <c r="G137" i="17"/>
  <c r="F137" i="17"/>
  <c r="L136" i="17"/>
  <c r="K136" i="17"/>
  <c r="M136" i="17" s="1"/>
  <c r="N136" i="17" s="1"/>
  <c r="J136" i="17"/>
  <c r="I136" i="17"/>
  <c r="H136" i="17"/>
  <c r="G136" i="17"/>
  <c r="F136" i="17"/>
  <c r="L135" i="17"/>
  <c r="K135" i="17"/>
  <c r="M135" i="17" s="1"/>
  <c r="N135" i="17" s="1"/>
  <c r="J135" i="17"/>
  <c r="I135" i="17"/>
  <c r="H135" i="17"/>
  <c r="G135" i="17"/>
  <c r="F135" i="17"/>
  <c r="L134" i="17"/>
  <c r="K134" i="17"/>
  <c r="M134" i="17" s="1"/>
  <c r="J134" i="17"/>
  <c r="I134" i="17"/>
  <c r="H134" i="17"/>
  <c r="G134" i="17"/>
  <c r="F134" i="17"/>
  <c r="L133" i="17"/>
  <c r="K133" i="17"/>
  <c r="J133" i="17"/>
  <c r="I133" i="17"/>
  <c r="H133" i="17"/>
  <c r="G133" i="17"/>
  <c r="F133" i="17"/>
  <c r="M132" i="17"/>
  <c r="L132" i="17"/>
  <c r="K132" i="17"/>
  <c r="J132" i="17"/>
  <c r="I132" i="17"/>
  <c r="H132" i="17"/>
  <c r="G132" i="17"/>
  <c r="F132" i="17"/>
  <c r="N131" i="17"/>
  <c r="L131" i="17"/>
  <c r="K131" i="17"/>
  <c r="M131" i="17" s="1"/>
  <c r="J131" i="17"/>
  <c r="I131" i="17"/>
  <c r="H131" i="17"/>
  <c r="G131" i="17"/>
  <c r="F131" i="17"/>
  <c r="L130" i="17"/>
  <c r="K130" i="17"/>
  <c r="M130" i="17" s="1"/>
  <c r="J130" i="17"/>
  <c r="I130" i="17"/>
  <c r="H130" i="17"/>
  <c r="G130" i="17"/>
  <c r="F130" i="17"/>
  <c r="K129" i="17"/>
  <c r="M129" i="17" s="1"/>
  <c r="N129" i="17" s="1"/>
  <c r="J129" i="17"/>
  <c r="I129" i="17"/>
  <c r="H129" i="17"/>
  <c r="G129" i="17"/>
  <c r="F129" i="17"/>
  <c r="D129" i="17"/>
  <c r="K128" i="17"/>
  <c r="M128" i="17" s="1"/>
  <c r="N128" i="17" s="1"/>
  <c r="J128" i="17"/>
  <c r="I128" i="17"/>
  <c r="H128" i="17"/>
  <c r="G128" i="17"/>
  <c r="F128" i="17"/>
  <c r="D128" i="17"/>
  <c r="M127" i="17"/>
  <c r="N127" i="17" s="1"/>
  <c r="K127" i="17"/>
  <c r="J127" i="17"/>
  <c r="I127" i="17"/>
  <c r="H127" i="17"/>
  <c r="G127" i="17"/>
  <c r="F127" i="17"/>
  <c r="D127" i="17"/>
  <c r="N126" i="17"/>
  <c r="K126" i="17"/>
  <c r="M126" i="17" s="1"/>
  <c r="J126" i="17"/>
  <c r="I126" i="17"/>
  <c r="H126" i="17"/>
  <c r="G126" i="17"/>
  <c r="F126" i="17"/>
  <c r="D126" i="17"/>
  <c r="K125" i="17"/>
  <c r="M125" i="17" s="1"/>
  <c r="N125" i="17" s="1"/>
  <c r="J125" i="17"/>
  <c r="I125" i="17"/>
  <c r="H125" i="17"/>
  <c r="G125" i="17"/>
  <c r="F125" i="17"/>
  <c r="D125" i="17"/>
  <c r="K124" i="17"/>
  <c r="M124" i="17" s="1"/>
  <c r="N124" i="17" s="1"/>
  <c r="J124" i="17"/>
  <c r="I124" i="17"/>
  <c r="H124" i="17"/>
  <c r="G124" i="17"/>
  <c r="F124" i="17"/>
  <c r="D124" i="17"/>
  <c r="M123" i="17"/>
  <c r="N123" i="17" s="1"/>
  <c r="K123" i="17"/>
  <c r="J123" i="17"/>
  <c r="I123" i="17"/>
  <c r="H123" i="17"/>
  <c r="G123" i="17"/>
  <c r="F123" i="17"/>
  <c r="D123" i="17"/>
  <c r="K122" i="17"/>
  <c r="M122" i="17" s="1"/>
  <c r="N122" i="17" s="1"/>
  <c r="J122" i="17"/>
  <c r="I122" i="17"/>
  <c r="H122" i="17"/>
  <c r="G122" i="17"/>
  <c r="F122" i="17"/>
  <c r="D122" i="17"/>
  <c r="K121" i="17"/>
  <c r="M121" i="17" s="1"/>
  <c r="N121" i="17" s="1"/>
  <c r="J121" i="17"/>
  <c r="I121" i="17"/>
  <c r="H121" i="17"/>
  <c r="G121" i="17"/>
  <c r="F121" i="17"/>
  <c r="D121" i="17"/>
  <c r="M120" i="17"/>
  <c r="N120" i="17" s="1"/>
  <c r="K120" i="17"/>
  <c r="J120" i="17"/>
  <c r="I120" i="17"/>
  <c r="H120" i="17"/>
  <c r="G120" i="17"/>
  <c r="F120" i="17"/>
  <c r="D120" i="17"/>
  <c r="N119" i="17"/>
  <c r="M119" i="17"/>
  <c r="K119" i="17"/>
  <c r="J119" i="17"/>
  <c r="I119" i="17"/>
  <c r="H119" i="17"/>
  <c r="G119" i="17"/>
  <c r="F119" i="17"/>
  <c r="D119" i="17"/>
  <c r="K118" i="17"/>
  <c r="M118" i="17" s="1"/>
  <c r="J118" i="17"/>
  <c r="I118" i="17"/>
  <c r="N118" i="17" s="1"/>
  <c r="H118" i="17"/>
  <c r="G118" i="17"/>
  <c r="F118" i="17"/>
  <c r="D118" i="17"/>
  <c r="K117" i="17"/>
  <c r="M117" i="17" s="1"/>
  <c r="J117" i="17"/>
  <c r="I117" i="17"/>
  <c r="H117" i="17"/>
  <c r="G117" i="17"/>
  <c r="F117" i="17"/>
  <c r="D117" i="17"/>
  <c r="M116" i="17"/>
  <c r="K116" i="17"/>
  <c r="J116" i="17"/>
  <c r="I116" i="17"/>
  <c r="H116" i="17"/>
  <c r="G116" i="17"/>
  <c r="F116" i="17"/>
  <c r="D116" i="17"/>
  <c r="M115" i="17"/>
  <c r="K115" i="17"/>
  <c r="J115" i="17"/>
  <c r="I115" i="17"/>
  <c r="H115" i="17"/>
  <c r="G115" i="17"/>
  <c r="F115" i="17"/>
  <c r="D115" i="17"/>
  <c r="K114" i="17"/>
  <c r="M114" i="17" s="1"/>
  <c r="J114" i="17"/>
  <c r="I114" i="17"/>
  <c r="H114" i="17"/>
  <c r="G114" i="17"/>
  <c r="F114" i="17"/>
  <c r="D114" i="17"/>
  <c r="K113" i="17"/>
  <c r="M113" i="17" s="1"/>
  <c r="N113" i="17" s="1"/>
  <c r="J113" i="17"/>
  <c r="I113" i="17"/>
  <c r="H113" i="17"/>
  <c r="G113" i="17"/>
  <c r="F113" i="17"/>
  <c r="D113" i="17"/>
  <c r="K112" i="17"/>
  <c r="M112" i="17" s="1"/>
  <c r="J112" i="17"/>
  <c r="I112" i="17"/>
  <c r="H112" i="17"/>
  <c r="G112" i="17"/>
  <c r="F112" i="17"/>
  <c r="D112" i="17"/>
  <c r="M111" i="17"/>
  <c r="K111" i="17"/>
  <c r="J111" i="17"/>
  <c r="I111" i="17"/>
  <c r="H111" i="17"/>
  <c r="G111" i="17"/>
  <c r="F111" i="17"/>
  <c r="D111" i="17"/>
  <c r="K110" i="17"/>
  <c r="M110" i="17" s="1"/>
  <c r="J110" i="17"/>
  <c r="I110" i="17"/>
  <c r="H110" i="17"/>
  <c r="G110" i="17"/>
  <c r="F110" i="17"/>
  <c r="D110" i="17"/>
  <c r="K109" i="17"/>
  <c r="M109" i="17" s="1"/>
  <c r="J109" i="17"/>
  <c r="I109" i="17"/>
  <c r="H109" i="17"/>
  <c r="G109" i="17"/>
  <c r="F109" i="17"/>
  <c r="D109" i="17"/>
  <c r="K108" i="17"/>
  <c r="M108" i="17" s="1"/>
  <c r="N108" i="17" s="1"/>
  <c r="J108" i="17"/>
  <c r="I108" i="17"/>
  <c r="H108" i="17"/>
  <c r="G108" i="17"/>
  <c r="F108" i="17"/>
  <c r="D108" i="17"/>
  <c r="K107" i="17"/>
  <c r="M107" i="17" s="1"/>
  <c r="J107" i="17"/>
  <c r="I107" i="17"/>
  <c r="H107" i="17"/>
  <c r="G107" i="17"/>
  <c r="F107" i="17"/>
  <c r="D107" i="17"/>
  <c r="K106" i="17"/>
  <c r="M106" i="17" s="1"/>
  <c r="N106" i="17" s="1"/>
  <c r="J106" i="17"/>
  <c r="I106" i="17"/>
  <c r="H106" i="17"/>
  <c r="G106" i="17"/>
  <c r="F106" i="17"/>
  <c r="D106" i="17"/>
  <c r="K105" i="17"/>
  <c r="M105" i="17" s="1"/>
  <c r="J105" i="17"/>
  <c r="I105" i="17"/>
  <c r="H105" i="17"/>
  <c r="G105" i="17"/>
  <c r="F105" i="17"/>
  <c r="D105" i="17"/>
  <c r="M104" i="17"/>
  <c r="N104" i="17" s="1"/>
  <c r="K104" i="17"/>
  <c r="J104" i="17"/>
  <c r="I104" i="17"/>
  <c r="H104" i="17"/>
  <c r="G104" i="17"/>
  <c r="F104" i="17"/>
  <c r="D104" i="17"/>
  <c r="N103" i="17"/>
  <c r="M103" i="17"/>
  <c r="K103" i="17"/>
  <c r="J103" i="17"/>
  <c r="I103" i="17"/>
  <c r="H103" i="17"/>
  <c r="G103" i="17"/>
  <c r="F103" i="17"/>
  <c r="D103" i="17"/>
  <c r="K102" i="17"/>
  <c r="M102" i="17" s="1"/>
  <c r="J102" i="17"/>
  <c r="I102" i="17"/>
  <c r="N102" i="17" s="1"/>
  <c r="H102" i="17"/>
  <c r="G102" i="17"/>
  <c r="F102" i="17"/>
  <c r="D102" i="17"/>
  <c r="K101" i="17"/>
  <c r="M101" i="17" s="1"/>
  <c r="J101" i="17"/>
  <c r="I101" i="17"/>
  <c r="H101" i="17"/>
  <c r="G101" i="17"/>
  <c r="F101" i="17"/>
  <c r="D101" i="17"/>
  <c r="M100" i="17"/>
  <c r="K100" i="17"/>
  <c r="J100" i="17"/>
  <c r="I100" i="17"/>
  <c r="H100" i="17"/>
  <c r="G100" i="17"/>
  <c r="F100" i="17"/>
  <c r="D100" i="17"/>
  <c r="L99" i="17"/>
  <c r="K99" i="17"/>
  <c r="M99" i="17" s="1"/>
  <c r="N99" i="17" s="1"/>
  <c r="J99" i="17"/>
  <c r="I99" i="17"/>
  <c r="H99" i="17"/>
  <c r="G99" i="17"/>
  <c r="F99" i="17"/>
  <c r="L98" i="17"/>
  <c r="K98" i="17"/>
  <c r="M98" i="17" s="1"/>
  <c r="N98" i="17" s="1"/>
  <c r="J98" i="17"/>
  <c r="I98" i="17"/>
  <c r="H98" i="17"/>
  <c r="G98" i="17"/>
  <c r="F98" i="17"/>
  <c r="L97" i="17"/>
  <c r="K97" i="17"/>
  <c r="M97" i="17" s="1"/>
  <c r="J97" i="17"/>
  <c r="I97" i="17"/>
  <c r="H97" i="17"/>
  <c r="G97" i="17"/>
  <c r="F97" i="17"/>
  <c r="L96" i="17"/>
  <c r="M96" i="17" s="1"/>
  <c r="N96" i="17" s="1"/>
  <c r="K96" i="17"/>
  <c r="J96" i="17"/>
  <c r="I96" i="17"/>
  <c r="H96" i="17"/>
  <c r="G96" i="17"/>
  <c r="F96" i="17"/>
  <c r="M95" i="17"/>
  <c r="N95" i="17" s="1"/>
  <c r="L95" i="17"/>
  <c r="K95" i="17"/>
  <c r="J95" i="17"/>
  <c r="I95" i="17"/>
  <c r="H95" i="17"/>
  <c r="G95" i="17"/>
  <c r="F95" i="17"/>
  <c r="N94" i="17"/>
  <c r="L94" i="17"/>
  <c r="K94" i="17"/>
  <c r="M94" i="17" s="1"/>
  <c r="J94" i="17"/>
  <c r="I94" i="17"/>
  <c r="H94" i="17"/>
  <c r="G94" i="17"/>
  <c r="F94" i="17"/>
  <c r="L93" i="17"/>
  <c r="K93" i="17"/>
  <c r="M93" i="17" s="1"/>
  <c r="J93" i="17"/>
  <c r="I93" i="17"/>
  <c r="H93" i="17"/>
  <c r="G93" i="17"/>
  <c r="F93" i="17"/>
  <c r="L92" i="17"/>
  <c r="K92" i="17"/>
  <c r="M92" i="17" s="1"/>
  <c r="N92" i="17" s="1"/>
  <c r="J92" i="17"/>
  <c r="I92" i="17"/>
  <c r="H92" i="17"/>
  <c r="G92" i="17"/>
  <c r="F92" i="17"/>
  <c r="L91" i="17"/>
  <c r="M91" i="17" s="1"/>
  <c r="N91" i="17" s="1"/>
  <c r="K91" i="17"/>
  <c r="J91" i="17"/>
  <c r="I91" i="17"/>
  <c r="H91" i="17"/>
  <c r="G91" i="17"/>
  <c r="F91" i="17"/>
  <c r="L90" i="17"/>
  <c r="K90" i="17"/>
  <c r="M90" i="17" s="1"/>
  <c r="N90" i="17" s="1"/>
  <c r="J90" i="17"/>
  <c r="I90" i="17"/>
  <c r="H90" i="17"/>
  <c r="G90" i="17"/>
  <c r="F90" i="17"/>
  <c r="L89" i="17"/>
  <c r="M89" i="17" s="1"/>
  <c r="N89" i="17" s="1"/>
  <c r="K89" i="17"/>
  <c r="J89" i="17"/>
  <c r="I89" i="17"/>
  <c r="H89" i="17"/>
  <c r="G89" i="17"/>
  <c r="F89" i="17"/>
  <c r="M88" i="17"/>
  <c r="N88" i="17" s="1"/>
  <c r="L88" i="17"/>
  <c r="K88" i="17"/>
  <c r="J88" i="17"/>
  <c r="I88" i="17"/>
  <c r="H88" i="17"/>
  <c r="G88" i="17"/>
  <c r="F88" i="17"/>
  <c r="N87" i="17"/>
  <c r="M87" i="17"/>
  <c r="L87" i="17"/>
  <c r="K87" i="17"/>
  <c r="J87" i="17"/>
  <c r="I87" i="17"/>
  <c r="H87" i="17"/>
  <c r="G87" i="17"/>
  <c r="F87" i="17"/>
  <c r="L86" i="17"/>
  <c r="K86" i="17"/>
  <c r="M86" i="17" s="1"/>
  <c r="N86" i="17" s="1"/>
  <c r="J86" i="17"/>
  <c r="I86" i="17"/>
  <c r="H86" i="17"/>
  <c r="G86" i="17"/>
  <c r="F86" i="17"/>
  <c r="L85" i="17"/>
  <c r="K85" i="17"/>
  <c r="J85" i="17"/>
  <c r="I85" i="17"/>
  <c r="H85" i="17"/>
  <c r="G85" i="17"/>
  <c r="F85" i="17"/>
  <c r="M84" i="17"/>
  <c r="L84" i="17"/>
  <c r="K84" i="17"/>
  <c r="J84" i="17"/>
  <c r="I84" i="17"/>
  <c r="H84" i="17"/>
  <c r="G84" i="17"/>
  <c r="F84" i="17"/>
  <c r="L83" i="17"/>
  <c r="K83" i="17"/>
  <c r="M83" i="17" s="1"/>
  <c r="J83" i="17"/>
  <c r="I83" i="17"/>
  <c r="H83" i="17"/>
  <c r="G83" i="17"/>
  <c r="F83" i="17"/>
  <c r="L82" i="17"/>
  <c r="K82" i="17"/>
  <c r="M82" i="17" s="1"/>
  <c r="N82" i="17" s="1"/>
  <c r="J82" i="17"/>
  <c r="I82" i="17"/>
  <c r="H82" i="17"/>
  <c r="G82" i="17"/>
  <c r="F82" i="17"/>
  <c r="L81" i="17"/>
  <c r="K81" i="17"/>
  <c r="M81" i="17" s="1"/>
  <c r="J81" i="17"/>
  <c r="I81" i="17"/>
  <c r="H81" i="17"/>
  <c r="G81" i="17"/>
  <c r="F81" i="17"/>
  <c r="L80" i="17"/>
  <c r="M80" i="17" s="1"/>
  <c r="N80" i="17" s="1"/>
  <c r="K80" i="17"/>
  <c r="J80" i="17"/>
  <c r="I80" i="17"/>
  <c r="H80" i="17"/>
  <c r="G80" i="17"/>
  <c r="F80" i="17"/>
  <c r="M79" i="17"/>
  <c r="N79" i="17" s="1"/>
  <c r="L79" i="17"/>
  <c r="K79" i="17"/>
  <c r="J79" i="17"/>
  <c r="I79" i="17"/>
  <c r="H79" i="17"/>
  <c r="G79" i="17"/>
  <c r="F79" i="17"/>
  <c r="L78" i="17"/>
  <c r="K78" i="17"/>
  <c r="M78" i="17" s="1"/>
  <c r="N78" i="17" s="1"/>
  <c r="J78" i="17"/>
  <c r="I78" i="17"/>
  <c r="H78" i="17"/>
  <c r="G78" i="17"/>
  <c r="F78" i="17"/>
  <c r="L77" i="17"/>
  <c r="K77" i="17"/>
  <c r="M77" i="17" s="1"/>
  <c r="N77" i="17" s="1"/>
  <c r="J77" i="17"/>
  <c r="I77" i="17"/>
  <c r="H77" i="17"/>
  <c r="G77" i="17"/>
  <c r="F77" i="17"/>
  <c r="L76" i="17"/>
  <c r="K76" i="17"/>
  <c r="M76" i="17" s="1"/>
  <c r="J76" i="17"/>
  <c r="I76" i="17"/>
  <c r="H76" i="17"/>
  <c r="G76" i="17"/>
  <c r="F76" i="17"/>
  <c r="L75" i="17"/>
  <c r="K75" i="17"/>
  <c r="M75" i="17" s="1"/>
  <c r="N75" i="17" s="1"/>
  <c r="J75" i="17"/>
  <c r="I75" i="17"/>
  <c r="H75" i="17"/>
  <c r="G75" i="17"/>
  <c r="F75" i="17"/>
  <c r="L74" i="17"/>
  <c r="K74" i="17"/>
  <c r="M74" i="17" s="1"/>
  <c r="N74" i="17" s="1"/>
  <c r="J74" i="17"/>
  <c r="I74" i="17"/>
  <c r="H74" i="17"/>
  <c r="G74" i="17"/>
  <c r="F74" i="17"/>
  <c r="L73" i="17"/>
  <c r="M73" i="17" s="1"/>
  <c r="N73" i="17" s="1"/>
  <c r="K73" i="17"/>
  <c r="J73" i="17"/>
  <c r="I73" i="17"/>
  <c r="H73" i="17"/>
  <c r="G73" i="17"/>
  <c r="F73" i="17"/>
  <c r="M72" i="17"/>
  <c r="N72" i="17" s="1"/>
  <c r="L72" i="17"/>
  <c r="K72" i="17"/>
  <c r="J72" i="17"/>
  <c r="I72" i="17"/>
  <c r="H72" i="17"/>
  <c r="G72" i="17"/>
  <c r="F72" i="17"/>
  <c r="N71" i="17"/>
  <c r="M71" i="17"/>
  <c r="L71" i="17"/>
  <c r="K71" i="17"/>
  <c r="J71" i="17"/>
  <c r="I71" i="17"/>
  <c r="H71" i="17"/>
  <c r="G71" i="17"/>
  <c r="F71" i="17"/>
  <c r="L70" i="17"/>
  <c r="K70" i="17"/>
  <c r="M70" i="17" s="1"/>
  <c r="N70" i="17" s="1"/>
  <c r="J70" i="17"/>
  <c r="I70" i="17"/>
  <c r="H70" i="17"/>
  <c r="G70" i="17"/>
  <c r="F70" i="17"/>
  <c r="L69" i="17"/>
  <c r="K69" i="17"/>
  <c r="J69" i="17"/>
  <c r="I69" i="17"/>
  <c r="H69" i="17"/>
  <c r="G69" i="17"/>
  <c r="F69" i="17"/>
  <c r="M68" i="17"/>
  <c r="L68" i="17"/>
  <c r="K68" i="17"/>
  <c r="J68" i="17"/>
  <c r="I68" i="17"/>
  <c r="H68" i="17"/>
  <c r="G68" i="17"/>
  <c r="F68" i="17"/>
  <c r="L67" i="17"/>
  <c r="K67" i="17"/>
  <c r="M67" i="17" s="1"/>
  <c r="J67" i="17"/>
  <c r="I67" i="17"/>
  <c r="H67" i="17"/>
  <c r="G67" i="17"/>
  <c r="F67" i="17"/>
  <c r="L66" i="17"/>
  <c r="K66" i="17"/>
  <c r="M66" i="17" s="1"/>
  <c r="N66" i="17" s="1"/>
  <c r="J66" i="17"/>
  <c r="I66" i="17"/>
  <c r="H66" i="17"/>
  <c r="G66" i="17"/>
  <c r="F66" i="17"/>
  <c r="L65" i="17"/>
  <c r="K65" i="17"/>
  <c r="M65" i="17" s="1"/>
  <c r="N65" i="17" s="1"/>
  <c r="J65" i="17"/>
  <c r="I65" i="17"/>
  <c r="H65" i="17"/>
  <c r="G65" i="17"/>
  <c r="F65" i="17"/>
  <c r="L64" i="17"/>
  <c r="M64" i="17" s="1"/>
  <c r="K64" i="17"/>
  <c r="J64" i="17"/>
  <c r="I64" i="17"/>
  <c r="H64" i="17"/>
  <c r="G64" i="17"/>
  <c r="F64" i="17"/>
  <c r="M63" i="17"/>
  <c r="N63" i="17" s="1"/>
  <c r="L63" i="17"/>
  <c r="K63" i="17"/>
  <c r="J63" i="17"/>
  <c r="I63" i="17"/>
  <c r="H63" i="17"/>
  <c r="G63" i="17"/>
  <c r="F63" i="17"/>
  <c r="L62" i="17"/>
  <c r="K62" i="17"/>
  <c r="M62" i="17" s="1"/>
  <c r="N62" i="17" s="1"/>
  <c r="J62" i="17"/>
  <c r="I62" i="17"/>
  <c r="H62" i="17"/>
  <c r="G62" i="17"/>
  <c r="F62" i="17"/>
  <c r="L61" i="17"/>
  <c r="K61" i="17"/>
  <c r="M61" i="17" s="1"/>
  <c r="J61" i="17"/>
  <c r="I61" i="17"/>
  <c r="H61" i="17"/>
  <c r="G61" i="17"/>
  <c r="F61" i="17"/>
  <c r="L60" i="17"/>
  <c r="K60" i="17"/>
  <c r="M60" i="17" s="1"/>
  <c r="J60" i="17"/>
  <c r="I60" i="17"/>
  <c r="H60" i="17"/>
  <c r="G60" i="17"/>
  <c r="F60" i="17"/>
  <c r="L59" i="17"/>
  <c r="K59" i="17"/>
  <c r="M59" i="17" s="1"/>
  <c r="N59" i="17" s="1"/>
  <c r="J59" i="17"/>
  <c r="I59" i="17"/>
  <c r="H59" i="17"/>
  <c r="G59" i="17"/>
  <c r="F59" i="17"/>
  <c r="L58" i="17"/>
  <c r="K58" i="17"/>
  <c r="M58" i="17" s="1"/>
  <c r="N58" i="17" s="1"/>
  <c r="J58" i="17"/>
  <c r="I58" i="17"/>
  <c r="H58" i="17"/>
  <c r="G58" i="17"/>
  <c r="F58" i="17"/>
  <c r="L57" i="17"/>
  <c r="M57" i="17" s="1"/>
  <c r="K57" i="17"/>
  <c r="J57" i="17"/>
  <c r="I57" i="17"/>
  <c r="H57" i="17"/>
  <c r="G57" i="17"/>
  <c r="F57" i="17"/>
  <c r="M56" i="17"/>
  <c r="N56" i="17" s="1"/>
  <c r="L56" i="17"/>
  <c r="K56" i="17"/>
  <c r="J56" i="17"/>
  <c r="I56" i="17"/>
  <c r="H56" i="17"/>
  <c r="G56" i="17"/>
  <c r="F56" i="17"/>
  <c r="N55" i="17"/>
  <c r="M55" i="17"/>
  <c r="L55" i="17"/>
  <c r="K55" i="17"/>
  <c r="J55" i="17"/>
  <c r="I55" i="17"/>
  <c r="H55" i="17"/>
  <c r="G55" i="17"/>
  <c r="F55" i="17"/>
  <c r="L54" i="17"/>
  <c r="K54" i="17"/>
  <c r="M54" i="17" s="1"/>
  <c r="J54" i="17"/>
  <c r="I54" i="17"/>
  <c r="H54" i="17"/>
  <c r="G54" i="17"/>
  <c r="F54" i="17"/>
  <c r="L53" i="17"/>
  <c r="K53" i="17"/>
  <c r="J53" i="17"/>
  <c r="I53" i="17"/>
  <c r="H53" i="17"/>
  <c r="G53" i="17"/>
  <c r="F53" i="17"/>
  <c r="N52" i="17"/>
  <c r="L52" i="17"/>
  <c r="K52" i="17"/>
  <c r="M52" i="17" s="1"/>
  <c r="J52" i="17"/>
  <c r="I52" i="17"/>
  <c r="H52" i="17"/>
  <c r="G52" i="17"/>
  <c r="F52" i="17"/>
  <c r="L51" i="17"/>
  <c r="K51" i="17"/>
  <c r="M51" i="17" s="1"/>
  <c r="N51" i="17" s="1"/>
  <c r="J51" i="17"/>
  <c r="I51" i="17"/>
  <c r="H51" i="17"/>
  <c r="G51" i="17"/>
  <c r="F51" i="17"/>
  <c r="L50" i="17"/>
  <c r="K50" i="17"/>
  <c r="M50" i="17" s="1"/>
  <c r="N50" i="17" s="1"/>
  <c r="J50" i="17"/>
  <c r="I50" i="17"/>
  <c r="H50" i="17"/>
  <c r="G50" i="17"/>
  <c r="F50" i="17"/>
  <c r="L49" i="17"/>
  <c r="M49" i="17" s="1"/>
  <c r="N49" i="17" s="1"/>
  <c r="K49" i="17"/>
  <c r="J49" i="17"/>
  <c r="I49" i="17"/>
  <c r="H49" i="17"/>
  <c r="G49" i="17"/>
  <c r="F49" i="17"/>
  <c r="M48" i="17"/>
  <c r="N48" i="17" s="1"/>
  <c r="L48" i="17"/>
  <c r="K48" i="17"/>
  <c r="J48" i="17"/>
  <c r="I48" i="17"/>
  <c r="H48" i="17"/>
  <c r="G48" i="17"/>
  <c r="F48" i="17"/>
  <c r="L47" i="17"/>
  <c r="K47" i="17"/>
  <c r="J47" i="17"/>
  <c r="I47" i="17"/>
  <c r="H47" i="17"/>
  <c r="G47" i="17"/>
  <c r="F47" i="17"/>
  <c r="L46" i="17"/>
  <c r="M46" i="17" s="1"/>
  <c r="N46" i="17" s="1"/>
  <c r="K46" i="17"/>
  <c r="J46" i="17"/>
  <c r="I46" i="17"/>
  <c r="H46" i="17"/>
  <c r="G46" i="17"/>
  <c r="F46" i="17"/>
  <c r="M45" i="17"/>
  <c r="N45" i="17" s="1"/>
  <c r="L45" i="17"/>
  <c r="K45" i="17"/>
  <c r="J45" i="17"/>
  <c r="I45" i="17"/>
  <c r="H45" i="17"/>
  <c r="G45" i="17"/>
  <c r="F45" i="17"/>
  <c r="N44" i="17"/>
  <c r="L44" i="17"/>
  <c r="K44" i="17"/>
  <c r="M44" i="17" s="1"/>
  <c r="J44" i="17"/>
  <c r="I44" i="17"/>
  <c r="H44" i="17"/>
  <c r="G44" i="17"/>
  <c r="F44" i="17"/>
  <c r="L43" i="17"/>
  <c r="K43" i="17"/>
  <c r="J43" i="17"/>
  <c r="I43" i="17"/>
  <c r="H43" i="17"/>
  <c r="G43" i="17"/>
  <c r="F43" i="17"/>
  <c r="L42" i="17"/>
  <c r="M42" i="17" s="1"/>
  <c r="N42" i="17" s="1"/>
  <c r="K42" i="17"/>
  <c r="J42" i="17"/>
  <c r="I42" i="17"/>
  <c r="H42" i="17"/>
  <c r="G42" i="17"/>
  <c r="F42" i="17"/>
  <c r="M41" i="17"/>
  <c r="N41" i="17" s="1"/>
  <c r="L41" i="17"/>
  <c r="K41" i="17"/>
  <c r="J41" i="17"/>
  <c r="I41" i="17"/>
  <c r="H41" i="17"/>
  <c r="G41" i="17"/>
  <c r="F41" i="17"/>
  <c r="L40" i="17"/>
  <c r="K40" i="17"/>
  <c r="M40" i="17" s="1"/>
  <c r="N40" i="17" s="1"/>
  <c r="J40" i="17"/>
  <c r="I40" i="17"/>
  <c r="H40" i="17"/>
  <c r="G40" i="17"/>
  <c r="F40" i="17"/>
  <c r="L39" i="17"/>
  <c r="K39" i="17"/>
  <c r="M39" i="17" s="1"/>
  <c r="N39" i="17" s="1"/>
  <c r="J39" i="17"/>
  <c r="I39" i="17"/>
  <c r="H39" i="17"/>
  <c r="G39" i="17"/>
  <c r="F39" i="17"/>
  <c r="L38" i="17"/>
  <c r="M38" i="17" s="1"/>
  <c r="K38" i="17"/>
  <c r="J38" i="17"/>
  <c r="I38" i="17"/>
  <c r="H38" i="17"/>
  <c r="G38" i="17"/>
  <c r="F38" i="17"/>
  <c r="M37" i="17"/>
  <c r="L37" i="17"/>
  <c r="K37" i="17"/>
  <c r="J37" i="17"/>
  <c r="I37" i="17"/>
  <c r="H37" i="17"/>
  <c r="G37" i="17"/>
  <c r="F37" i="17"/>
  <c r="L36" i="17"/>
  <c r="K36" i="17"/>
  <c r="M36" i="17" s="1"/>
  <c r="J36" i="17"/>
  <c r="I36" i="17"/>
  <c r="N36" i="17" s="1"/>
  <c r="H36" i="17"/>
  <c r="G36" i="17"/>
  <c r="F36" i="17"/>
  <c r="L35" i="17"/>
  <c r="K35" i="17"/>
  <c r="M35" i="17" s="1"/>
  <c r="J35" i="17"/>
  <c r="I35" i="17"/>
  <c r="H35" i="17"/>
  <c r="G35" i="17"/>
  <c r="F35" i="17"/>
  <c r="L34" i="17"/>
  <c r="K34" i="17"/>
  <c r="M34" i="17" s="1"/>
  <c r="J34" i="17"/>
  <c r="I34" i="17"/>
  <c r="H34" i="17"/>
  <c r="G34" i="17"/>
  <c r="F34" i="17"/>
  <c r="L33" i="17"/>
  <c r="M33" i="17" s="1"/>
  <c r="N33" i="17" s="1"/>
  <c r="K33" i="17"/>
  <c r="J33" i="17"/>
  <c r="I33" i="17"/>
  <c r="H33" i="17"/>
  <c r="G33" i="17"/>
  <c r="F33" i="17"/>
  <c r="L32" i="17"/>
  <c r="K32" i="17"/>
  <c r="M32" i="17" s="1"/>
  <c r="N32" i="17" s="1"/>
  <c r="J32" i="17"/>
  <c r="I32" i="17"/>
  <c r="H32" i="17"/>
  <c r="G32" i="17"/>
  <c r="F32" i="17"/>
  <c r="L31" i="17"/>
  <c r="K31" i="17"/>
  <c r="M31" i="17" s="1"/>
  <c r="N31" i="17" s="1"/>
  <c r="J31" i="17"/>
  <c r="I31" i="17"/>
  <c r="H31" i="17"/>
  <c r="G31" i="17"/>
  <c r="F31" i="17"/>
  <c r="L30" i="17"/>
  <c r="M30" i="17" s="1"/>
  <c r="N30" i="17" s="1"/>
  <c r="K30" i="17"/>
  <c r="J30" i="17"/>
  <c r="I30" i="17"/>
  <c r="H30" i="17"/>
  <c r="G30" i="17"/>
  <c r="F30" i="17"/>
  <c r="M29" i="17"/>
  <c r="N29" i="17" s="1"/>
  <c r="L29" i="17"/>
  <c r="K29" i="17"/>
  <c r="J29" i="17"/>
  <c r="I29" i="17"/>
  <c r="H29" i="17"/>
  <c r="G29" i="17"/>
  <c r="F29" i="17"/>
  <c r="L28" i="17"/>
  <c r="K28" i="17"/>
  <c r="M28" i="17" s="1"/>
  <c r="N28" i="17" s="1"/>
  <c r="J28" i="17"/>
  <c r="I28" i="17"/>
  <c r="H28" i="17"/>
  <c r="G28" i="17"/>
  <c r="F28" i="17"/>
  <c r="L27" i="17"/>
  <c r="K27" i="17"/>
  <c r="M27" i="17" s="1"/>
  <c r="N27" i="17" s="1"/>
  <c r="J27" i="17"/>
  <c r="I27" i="17"/>
  <c r="H27" i="17"/>
  <c r="G27" i="17"/>
  <c r="F27" i="17"/>
  <c r="L26" i="17"/>
  <c r="K26" i="17"/>
  <c r="M26" i="17" s="1"/>
  <c r="N26" i="17" s="1"/>
  <c r="J26" i="17"/>
  <c r="I26" i="17"/>
  <c r="H26" i="17"/>
  <c r="G26" i="17"/>
  <c r="F26" i="17"/>
  <c r="L25" i="17"/>
  <c r="K25" i="17"/>
  <c r="M25" i="17" s="1"/>
  <c r="J25" i="17"/>
  <c r="I25" i="17"/>
  <c r="H25" i="17"/>
  <c r="G25" i="17"/>
  <c r="F25" i="17"/>
  <c r="L24" i="17"/>
  <c r="M24" i="17" s="1"/>
  <c r="N24" i="17" s="1"/>
  <c r="K24" i="17"/>
  <c r="J24" i="17"/>
  <c r="I24" i="17"/>
  <c r="H24" i="17"/>
  <c r="G24" i="17"/>
  <c r="F24" i="17"/>
  <c r="M23" i="17"/>
  <c r="N23" i="17" s="1"/>
  <c r="L23" i="17"/>
  <c r="K23" i="17"/>
  <c r="J23" i="17"/>
  <c r="I23" i="17"/>
  <c r="H23" i="17"/>
  <c r="G23" i="17"/>
  <c r="F23" i="17"/>
  <c r="L22" i="17"/>
  <c r="M22" i="17" s="1"/>
  <c r="N22" i="17" s="1"/>
  <c r="K22" i="17"/>
  <c r="J22" i="17"/>
  <c r="I22" i="17"/>
  <c r="H22" i="17"/>
  <c r="G22" i="17"/>
  <c r="F22" i="17"/>
  <c r="M21" i="17"/>
  <c r="N21" i="17" s="1"/>
  <c r="L21" i="17"/>
  <c r="K21" i="17"/>
  <c r="J21" i="17"/>
  <c r="I21" i="17"/>
  <c r="H21" i="17"/>
  <c r="G21" i="17"/>
  <c r="F21" i="17"/>
  <c r="L20" i="17"/>
  <c r="K20" i="17"/>
  <c r="M20" i="17" s="1"/>
  <c r="J20" i="17"/>
  <c r="I20" i="17"/>
  <c r="H20" i="17"/>
  <c r="G20" i="17"/>
  <c r="F20" i="17"/>
  <c r="L19" i="17"/>
  <c r="K19" i="17"/>
  <c r="M19" i="17" s="1"/>
  <c r="J19" i="17"/>
  <c r="I19" i="17"/>
  <c r="H19" i="17"/>
  <c r="G19" i="17"/>
  <c r="F19" i="17"/>
  <c r="L18" i="17"/>
  <c r="K18" i="17"/>
  <c r="M18" i="17" s="1"/>
  <c r="J18" i="17"/>
  <c r="I18" i="17"/>
  <c r="H18" i="17"/>
  <c r="G18" i="17"/>
  <c r="F18" i="17"/>
  <c r="L17" i="17"/>
  <c r="M17" i="17" s="1"/>
  <c r="K17" i="17"/>
  <c r="J17" i="17"/>
  <c r="I17" i="17"/>
  <c r="H17" i="17"/>
  <c r="G17" i="17"/>
  <c r="F17" i="17"/>
  <c r="L16" i="17"/>
  <c r="K16" i="17"/>
  <c r="M16" i="17" s="1"/>
  <c r="N16" i="17" s="1"/>
  <c r="J16" i="17"/>
  <c r="I16" i="17"/>
  <c r="H16" i="17"/>
  <c r="G16" i="17"/>
  <c r="F16" i="17"/>
  <c r="L15" i="17"/>
  <c r="K15" i="17"/>
  <c r="M15" i="17" s="1"/>
  <c r="J15" i="17"/>
  <c r="I15" i="17"/>
  <c r="H15" i="17"/>
  <c r="G15" i="17"/>
  <c r="F15" i="17"/>
  <c r="L14" i="17"/>
  <c r="M14" i="17" s="1"/>
  <c r="N14" i="17" s="1"/>
  <c r="K14" i="17"/>
  <c r="J14" i="17"/>
  <c r="I14" i="17"/>
  <c r="H14" i="17"/>
  <c r="G14" i="17"/>
  <c r="F14" i="17"/>
  <c r="M13" i="17"/>
  <c r="N13" i="17" s="1"/>
  <c r="L13" i="17"/>
  <c r="K13" i="17"/>
  <c r="J13" i="17"/>
  <c r="I13" i="17"/>
  <c r="H13" i="17"/>
  <c r="G13" i="17"/>
  <c r="F13" i="17"/>
  <c r="N12" i="17"/>
  <c r="L12" i="17"/>
  <c r="K12" i="17"/>
  <c r="M12" i="17" s="1"/>
  <c r="J12" i="17"/>
  <c r="I12" i="17"/>
  <c r="H12" i="17"/>
  <c r="G12" i="17"/>
  <c r="F12" i="17"/>
  <c r="L11" i="17"/>
  <c r="K11" i="17"/>
  <c r="M11" i="17" s="1"/>
  <c r="N11" i="17" s="1"/>
  <c r="J11" i="17"/>
  <c r="I11" i="17"/>
  <c r="H11" i="17"/>
  <c r="G11" i="17"/>
  <c r="F11" i="17"/>
  <c r="L10" i="17"/>
  <c r="K10" i="17"/>
  <c r="M10" i="17" s="1"/>
  <c r="N10" i="17" s="1"/>
  <c r="J10" i="17"/>
  <c r="I10" i="17"/>
  <c r="H10" i="17"/>
  <c r="G10" i="17"/>
  <c r="F10" i="17"/>
  <c r="L9" i="17"/>
  <c r="K9" i="17"/>
  <c r="M9" i="17" s="1"/>
  <c r="N9" i="17" s="1"/>
  <c r="J9" i="17"/>
  <c r="I9" i="17"/>
  <c r="H9" i="17"/>
  <c r="G9" i="17"/>
  <c r="F9" i="17"/>
  <c r="L8" i="17"/>
  <c r="K8" i="17"/>
  <c r="M8" i="17" s="1"/>
  <c r="N8" i="17" s="1"/>
  <c r="J8" i="17"/>
  <c r="I8" i="17"/>
  <c r="H8" i="17"/>
  <c r="G8" i="17"/>
  <c r="F8" i="17"/>
  <c r="L7" i="17"/>
  <c r="M7" i="17" s="1"/>
  <c r="K7" i="17"/>
  <c r="J7" i="17"/>
  <c r="I7" i="17"/>
  <c r="H7" i="17"/>
  <c r="G7" i="17"/>
  <c r="F7" i="17"/>
  <c r="M6" i="17"/>
  <c r="N6" i="17" s="1"/>
  <c r="L6" i="17"/>
  <c r="K6" i="17"/>
  <c r="J6" i="17"/>
  <c r="I6" i="17"/>
  <c r="H6" i="17"/>
  <c r="G6" i="17"/>
  <c r="F6" i="17"/>
  <c r="N5" i="17"/>
  <c r="M5" i="17"/>
  <c r="L5" i="17"/>
  <c r="K5" i="17"/>
  <c r="J5" i="17"/>
  <c r="I5" i="17"/>
  <c r="H5" i="17"/>
  <c r="G5" i="17"/>
  <c r="C50" i="13" s="1"/>
  <c r="F5" i="17"/>
  <c r="D22" i="16"/>
  <c r="G42" i="15"/>
  <c r="F42" i="15"/>
  <c r="E42" i="15"/>
  <c r="D42" i="15"/>
  <c r="C42" i="15"/>
  <c r="C13" i="15"/>
  <c r="C10" i="15"/>
  <c r="C9" i="15"/>
  <c r="C8" i="15"/>
  <c r="C7" i="15"/>
  <c r="C6" i="15"/>
  <c r="H73" i="14"/>
  <c r="H68" i="14"/>
  <c r="H63" i="14"/>
  <c r="H58" i="14"/>
  <c r="H53" i="14"/>
  <c r="E22" i="14"/>
  <c r="C59" i="13"/>
  <c r="D33" i="13"/>
  <c r="D39" i="15" s="1"/>
  <c r="D27" i="13"/>
  <c r="D26" i="13"/>
  <c r="D25" i="13"/>
  <c r="D24" i="13"/>
  <c r="D23" i="13"/>
  <c r="D22" i="13"/>
  <c r="D21" i="13"/>
  <c r="D20" i="13"/>
  <c r="D19" i="13"/>
  <c r="D18" i="13"/>
  <c r="D17" i="13"/>
  <c r="D16" i="13"/>
  <c r="G10" i="13"/>
  <c r="F10" i="13"/>
  <c r="E10" i="13"/>
  <c r="D10" i="13"/>
  <c r="C10" i="13"/>
  <c r="G7" i="13"/>
  <c r="F7" i="13"/>
  <c r="E7" i="13"/>
  <c r="I163" i="12"/>
  <c r="J162" i="12"/>
  <c r="J161" i="12"/>
  <c r="J160" i="12"/>
  <c r="J159" i="12"/>
  <c r="J158" i="12"/>
  <c r="J157" i="12"/>
  <c r="J156" i="12"/>
  <c r="J155" i="12"/>
  <c r="J154" i="12"/>
  <c r="J153" i="12"/>
  <c r="J152" i="12"/>
  <c r="J151" i="12"/>
  <c r="J150" i="12"/>
  <c r="J149" i="12"/>
  <c r="J148" i="12"/>
  <c r="J147" i="12"/>
  <c r="J146" i="12"/>
  <c r="J145" i="12"/>
  <c r="J144" i="12"/>
  <c r="J143" i="12"/>
  <c r="J142" i="12"/>
  <c r="J141" i="12"/>
  <c r="J140" i="12"/>
  <c r="J139" i="12"/>
  <c r="J138" i="12"/>
  <c r="J137" i="12"/>
  <c r="J136" i="12"/>
  <c r="J135" i="12"/>
  <c r="J134" i="12"/>
  <c r="J133" i="12"/>
  <c r="I131" i="12"/>
  <c r="J130" i="12"/>
  <c r="J129" i="12"/>
  <c r="J128" i="12"/>
  <c r="J127" i="12"/>
  <c r="J126" i="12"/>
  <c r="J125" i="12"/>
  <c r="J124" i="12"/>
  <c r="J123" i="12"/>
  <c r="J122" i="12"/>
  <c r="J121" i="12"/>
  <c r="J120" i="12"/>
  <c r="J119" i="12"/>
  <c r="J118" i="12"/>
  <c r="J117" i="12"/>
  <c r="J116" i="12"/>
  <c r="J115" i="12"/>
  <c r="J114" i="12"/>
  <c r="J113" i="12"/>
  <c r="J112" i="12"/>
  <c r="J111" i="12"/>
  <c r="J110" i="12"/>
  <c r="J109" i="12"/>
  <c r="J108" i="12"/>
  <c r="J107" i="12"/>
  <c r="J106" i="12"/>
  <c r="J105" i="12"/>
  <c r="J104" i="12"/>
  <c r="J103" i="12"/>
  <c r="J102" i="12"/>
  <c r="J101" i="12"/>
  <c r="I99" i="12"/>
  <c r="J98" i="12"/>
  <c r="J97" i="12"/>
  <c r="J96" i="12"/>
  <c r="J95" i="12"/>
  <c r="J94" i="12"/>
  <c r="J93" i="12"/>
  <c r="J92" i="12"/>
  <c r="J91" i="12"/>
  <c r="J90" i="12"/>
  <c r="J89" i="12"/>
  <c r="J88" i="12"/>
  <c r="J87" i="12"/>
  <c r="J86" i="12"/>
  <c r="J85" i="12"/>
  <c r="J84" i="12"/>
  <c r="J83" i="12"/>
  <c r="J82" i="12"/>
  <c r="J81" i="12"/>
  <c r="J80" i="12"/>
  <c r="J79" i="12"/>
  <c r="J78" i="12"/>
  <c r="J77" i="12"/>
  <c r="J76" i="12"/>
  <c r="J75" i="12"/>
  <c r="J74" i="12"/>
  <c r="J73" i="12"/>
  <c r="J72" i="12"/>
  <c r="J71" i="12"/>
  <c r="J70" i="12"/>
  <c r="J69" i="12"/>
  <c r="I67" i="12"/>
  <c r="J66" i="12"/>
  <c r="J65" i="12"/>
  <c r="J64" i="12"/>
  <c r="J63" i="12"/>
  <c r="J62" i="12"/>
  <c r="J61" i="12"/>
  <c r="J60" i="12"/>
  <c r="J59" i="12"/>
  <c r="J58" i="12"/>
  <c r="J57" i="12"/>
  <c r="J56" i="12"/>
  <c r="J55" i="12"/>
  <c r="J54" i="12"/>
  <c r="J53" i="12"/>
  <c r="J52" i="12"/>
  <c r="J51" i="12"/>
  <c r="J50" i="12"/>
  <c r="J49" i="12"/>
  <c r="J48" i="12"/>
  <c r="J47" i="12"/>
  <c r="J46" i="12"/>
  <c r="J45" i="12"/>
  <c r="J44" i="12"/>
  <c r="J43" i="12"/>
  <c r="J42" i="12"/>
  <c r="J41" i="12"/>
  <c r="J40" i="12"/>
  <c r="J39" i="12"/>
  <c r="J38" i="12"/>
  <c r="J37" i="12"/>
  <c r="I35" i="12"/>
  <c r="J34" i="12"/>
  <c r="J33" i="12"/>
  <c r="J32" i="12"/>
  <c r="J31" i="12"/>
  <c r="J30" i="12"/>
  <c r="J29" i="12"/>
  <c r="J28" i="12"/>
  <c r="J27" i="12"/>
  <c r="J26" i="12"/>
  <c r="J25" i="12"/>
  <c r="J24" i="12"/>
  <c r="J23" i="12"/>
  <c r="J22" i="12"/>
  <c r="J21" i="12"/>
  <c r="J20" i="12"/>
  <c r="J19" i="12"/>
  <c r="J18" i="12"/>
  <c r="J17" i="12"/>
  <c r="J16" i="12"/>
  <c r="J15" i="12"/>
  <c r="J14" i="12"/>
  <c r="J13" i="12"/>
  <c r="J12" i="12"/>
  <c r="J11" i="12"/>
  <c r="J10" i="12"/>
  <c r="J9" i="12"/>
  <c r="J8" i="12"/>
  <c r="J7" i="12"/>
  <c r="J6" i="12"/>
  <c r="J5" i="12"/>
  <c r="F33" i="11"/>
  <c r="E33" i="11"/>
  <c r="H32" i="11"/>
  <c r="G32" i="11"/>
  <c r="H31" i="11"/>
  <c r="G31" i="11"/>
  <c r="H30" i="11"/>
  <c r="G30" i="11"/>
  <c r="H29" i="11"/>
  <c r="G29" i="11"/>
  <c r="F27" i="11"/>
  <c r="E27" i="11"/>
  <c r="H26" i="11"/>
  <c r="G26" i="11"/>
  <c r="H25" i="11"/>
  <c r="G25" i="11"/>
  <c r="H24" i="11"/>
  <c r="G24" i="11"/>
  <c r="H23" i="11"/>
  <c r="G23" i="11"/>
  <c r="F21" i="11"/>
  <c r="E21" i="11"/>
  <c r="H20" i="11"/>
  <c r="G20" i="11"/>
  <c r="H19" i="11"/>
  <c r="G19" i="11"/>
  <c r="H18" i="11"/>
  <c r="G18" i="11"/>
  <c r="G21" i="11" s="1"/>
  <c r="H17" i="11"/>
  <c r="G17" i="11"/>
  <c r="F15" i="11"/>
  <c r="E15" i="11"/>
  <c r="H14" i="11"/>
  <c r="G14" i="11"/>
  <c r="H13" i="11"/>
  <c r="G13" i="11"/>
  <c r="H12" i="11"/>
  <c r="G12" i="11"/>
  <c r="H11" i="11"/>
  <c r="G11" i="11"/>
  <c r="F9" i="11"/>
  <c r="E9" i="11"/>
  <c r="H8" i="11"/>
  <c r="G8" i="11"/>
  <c r="H7" i="11"/>
  <c r="G7" i="11"/>
  <c r="H6" i="11"/>
  <c r="G6" i="11"/>
  <c r="H5" i="11"/>
  <c r="H9" i="11" s="1"/>
  <c r="G5" i="11"/>
  <c r="G9" i="11" s="1"/>
  <c r="J107" i="10"/>
  <c r="K106" i="10"/>
  <c r="K105" i="10"/>
  <c r="K104" i="10"/>
  <c r="K103" i="10"/>
  <c r="K102" i="10"/>
  <c r="K101" i="10"/>
  <c r="K100" i="10"/>
  <c r="K99" i="10"/>
  <c r="K98" i="10"/>
  <c r="K97" i="10"/>
  <c r="K96" i="10"/>
  <c r="K95" i="10"/>
  <c r="K94" i="10"/>
  <c r="J92" i="10"/>
  <c r="K91" i="10"/>
  <c r="K90" i="10"/>
  <c r="K89" i="10"/>
  <c r="K88" i="10"/>
  <c r="K87" i="10"/>
  <c r="K86" i="10"/>
  <c r="K85" i="10"/>
  <c r="K84" i="10"/>
  <c r="K83" i="10"/>
  <c r="K82" i="10"/>
  <c r="K81" i="10"/>
  <c r="K80" i="10"/>
  <c r="K79" i="10"/>
  <c r="J77" i="10"/>
  <c r="K76" i="10"/>
  <c r="K75" i="10"/>
  <c r="K74" i="10"/>
  <c r="K73" i="10"/>
  <c r="K72" i="10"/>
  <c r="K71" i="10"/>
  <c r="K70" i="10"/>
  <c r="K69" i="10"/>
  <c r="K68" i="10"/>
  <c r="K67" i="10"/>
  <c r="K66" i="10"/>
  <c r="K65" i="10"/>
  <c r="K64" i="10"/>
  <c r="K63" i="10"/>
  <c r="J61" i="10"/>
  <c r="K60" i="10"/>
  <c r="K59" i="10"/>
  <c r="K58" i="10"/>
  <c r="K57" i="10"/>
  <c r="K56" i="10"/>
  <c r="K55" i="10"/>
  <c r="K54" i="10"/>
  <c r="K53" i="10"/>
  <c r="K52" i="10"/>
  <c r="K51" i="10"/>
  <c r="K50" i="10"/>
  <c r="J48" i="10"/>
  <c r="K47" i="10"/>
  <c r="K46" i="10"/>
  <c r="K45" i="10"/>
  <c r="K44" i="10"/>
  <c r="K43" i="10"/>
  <c r="K42" i="10"/>
  <c r="K41" i="10"/>
  <c r="K40" i="10"/>
  <c r="K39" i="10"/>
  <c r="K38" i="10"/>
  <c r="K37" i="10"/>
  <c r="K36" i="10"/>
  <c r="J34" i="10"/>
  <c r="K33" i="10"/>
  <c r="K32" i="10"/>
  <c r="K31" i="10"/>
  <c r="K30" i="10"/>
  <c r="K29" i="10"/>
  <c r="K28" i="10"/>
  <c r="K27" i="10"/>
  <c r="K26" i="10"/>
  <c r="K25" i="10"/>
  <c r="K24" i="10"/>
  <c r="K23" i="10"/>
  <c r="K22" i="10"/>
  <c r="K21" i="10"/>
  <c r="K20" i="10"/>
  <c r="J18" i="10"/>
  <c r="K17" i="10"/>
  <c r="K16" i="10"/>
  <c r="K15" i="10"/>
  <c r="K14" i="10"/>
  <c r="K13" i="10"/>
  <c r="K12" i="10"/>
  <c r="K11" i="10"/>
  <c r="K10" i="10"/>
  <c r="K9" i="10"/>
  <c r="K8" i="10"/>
  <c r="K7" i="10"/>
  <c r="K6" i="10"/>
  <c r="K5" i="10"/>
  <c r="O9" i="9"/>
  <c r="E9" i="9"/>
  <c r="D9" i="9"/>
  <c r="V18" i="8"/>
  <c r="U18" i="8"/>
  <c r="P18" i="8"/>
  <c r="O18" i="8"/>
  <c r="N18" i="8"/>
  <c r="M18" i="8"/>
  <c r="L18" i="8"/>
  <c r="K18" i="8"/>
  <c r="I18" i="8"/>
  <c r="H18" i="8"/>
  <c r="G18" i="8"/>
  <c r="F18" i="8"/>
  <c r="E18" i="8"/>
  <c r="D18" i="8"/>
  <c r="J17" i="8"/>
  <c r="J16" i="8"/>
  <c r="J15" i="8"/>
  <c r="J14" i="8"/>
  <c r="J13" i="8"/>
  <c r="J12" i="8"/>
  <c r="J11" i="8"/>
  <c r="J10" i="8"/>
  <c r="J9" i="8"/>
  <c r="J8" i="8"/>
  <c r="J7" i="8"/>
  <c r="J6" i="8"/>
  <c r="J5" i="8"/>
  <c r="C23" i="7"/>
  <c r="C22" i="7"/>
  <c r="C24" i="7" s="1"/>
  <c r="C15" i="7"/>
  <c r="E14" i="7"/>
  <c r="D14" i="7"/>
  <c r="E13" i="7"/>
  <c r="D13" i="7"/>
  <c r="E12" i="7"/>
  <c r="D12" i="7"/>
  <c r="E11" i="7"/>
  <c r="D11" i="7"/>
  <c r="C11" i="7"/>
  <c r="F10" i="7"/>
  <c r="E10" i="7"/>
  <c r="D10" i="7"/>
  <c r="F9" i="7"/>
  <c r="E9" i="7"/>
  <c r="D9" i="7"/>
  <c r="F8" i="7"/>
  <c r="E8" i="7"/>
  <c r="D8" i="7"/>
  <c r="F7" i="7"/>
  <c r="E7" i="7"/>
  <c r="D7" i="7"/>
  <c r="F6" i="7"/>
  <c r="E6" i="7"/>
  <c r="D6" i="7"/>
  <c r="C10" i="6"/>
  <c r="G67" i="4"/>
  <c r="F67" i="4"/>
  <c r="E67" i="4"/>
  <c r="C53" i="15" s="1"/>
  <c r="D67" i="4"/>
  <c r="C67" i="4"/>
  <c r="C52" i="4"/>
  <c r="C51" i="4"/>
  <c r="C20" i="15" s="1"/>
  <c r="C50" i="4"/>
  <c r="C19" i="15" s="1"/>
  <c r="C35" i="4"/>
  <c r="F60" i="4" s="1"/>
  <c r="E33" i="4"/>
  <c r="D33" i="4"/>
  <c r="C24" i="4"/>
  <c r="C12" i="15" s="1"/>
  <c r="C23" i="4"/>
  <c r="C11" i="15" s="1"/>
  <c r="I17" i="3"/>
  <c r="H17" i="3"/>
  <c r="G17" i="3"/>
  <c r="F17" i="3"/>
  <c r="E17" i="3"/>
  <c r="D17" i="3"/>
  <c r="C17" i="3"/>
  <c r="H16" i="3"/>
  <c r="G14" i="3"/>
  <c r="F14" i="3"/>
  <c r="E14" i="3"/>
  <c r="D14" i="3"/>
  <c r="C14" i="3"/>
  <c r="G13" i="3"/>
  <c r="F13" i="3"/>
  <c r="E13" i="3"/>
  <c r="D13" i="3"/>
  <c r="C13" i="3"/>
  <c r="M403" i="17" l="1"/>
  <c r="N403" i="17" s="1"/>
  <c r="M394" i="17"/>
  <c r="N394" i="17" s="1"/>
  <c r="M425" i="17"/>
  <c r="N425" i="17" s="1"/>
  <c r="G48" i="13"/>
  <c r="N423" i="17"/>
  <c r="N436" i="17"/>
  <c r="N354" i="17"/>
  <c r="M329" i="17"/>
  <c r="N329" i="17" s="1"/>
  <c r="F59" i="13"/>
  <c r="M341" i="17"/>
  <c r="N341" i="17" s="1"/>
  <c r="M336" i="17"/>
  <c r="M349" i="17"/>
  <c r="N349" i="17" s="1"/>
  <c r="N258" i="17"/>
  <c r="N242" i="17"/>
  <c r="N270" i="17"/>
  <c r="C62" i="14"/>
  <c r="C64" i="14" s="1"/>
  <c r="M240" i="17"/>
  <c r="M253" i="17"/>
  <c r="N253" i="17" s="1"/>
  <c r="M225" i="17"/>
  <c r="N225" i="17" s="1"/>
  <c r="E30" i="16" s="1"/>
  <c r="M256" i="17"/>
  <c r="N256" i="17" s="1"/>
  <c r="M244" i="17"/>
  <c r="N244" i="17" s="1"/>
  <c r="M272" i="17"/>
  <c r="H21" i="11"/>
  <c r="G62" i="14"/>
  <c r="G64" i="14" s="1"/>
  <c r="M181" i="17"/>
  <c r="N181" i="17" s="1"/>
  <c r="F16" i="3"/>
  <c r="G16" i="3"/>
  <c r="M184" i="17"/>
  <c r="N184" i="17" s="1"/>
  <c r="N139" i="17"/>
  <c r="N174" i="17"/>
  <c r="N151" i="17"/>
  <c r="M137" i="17"/>
  <c r="N137" i="17" s="1"/>
  <c r="I13" i="3"/>
  <c r="I14" i="3"/>
  <c r="M169" i="17"/>
  <c r="N204" i="17"/>
  <c r="D47" i="13"/>
  <c r="F40" i="13"/>
  <c r="F31" i="15"/>
  <c r="C17" i="13"/>
  <c r="E17" i="13" s="1"/>
  <c r="C15" i="3"/>
  <c r="N7" i="17"/>
  <c r="N226" i="17"/>
  <c r="N352" i="17"/>
  <c r="D67" i="14"/>
  <c r="D69" i="14" s="1"/>
  <c r="N57" i="17"/>
  <c r="N105" i="17"/>
  <c r="C8" i="13"/>
  <c r="D41" i="15"/>
  <c r="N25" i="17"/>
  <c r="C26" i="16" s="1"/>
  <c r="C55" i="13"/>
  <c r="E59" i="13"/>
  <c r="N130" i="17"/>
  <c r="N107" i="17"/>
  <c r="D16" i="3"/>
  <c r="C16" i="3"/>
  <c r="C18" i="13"/>
  <c r="E18" i="13" s="1"/>
  <c r="D57" i="14"/>
  <c r="D59" i="14" s="1"/>
  <c r="C38" i="13"/>
  <c r="C36" i="13"/>
  <c r="C22" i="16"/>
  <c r="N18" i="17"/>
  <c r="C29" i="16" s="1"/>
  <c r="C7" i="13"/>
  <c r="N61" i="17"/>
  <c r="N115" i="17"/>
  <c r="N221" i="17"/>
  <c r="G22" i="16"/>
  <c r="N300" i="17"/>
  <c r="N332" i="17"/>
  <c r="F25" i="16" s="1"/>
  <c r="C49" i="13"/>
  <c r="D56" i="13"/>
  <c r="N34" i="17"/>
  <c r="N93" i="17"/>
  <c r="N387" i="17"/>
  <c r="G36" i="13"/>
  <c r="G49" i="13"/>
  <c r="C30" i="16"/>
  <c r="C25" i="16"/>
  <c r="D8" i="13"/>
  <c r="D55" i="13"/>
  <c r="C57" i="13"/>
  <c r="C56" i="13"/>
  <c r="C58" i="13"/>
  <c r="E60" i="4"/>
  <c r="D60" i="4"/>
  <c r="G60" i="4"/>
  <c r="N35" i="17"/>
  <c r="N64" i="17"/>
  <c r="N169" i="17"/>
  <c r="C27" i="13"/>
  <c r="E27" i="13" s="1"/>
  <c r="N83" i="17"/>
  <c r="N100" i="17"/>
  <c r="F32" i="4"/>
  <c r="F30" i="4"/>
  <c r="F31" i="4"/>
  <c r="F29" i="4"/>
  <c r="F28" i="4"/>
  <c r="G27" i="11"/>
  <c r="F50" i="13"/>
  <c r="N340" i="17"/>
  <c r="H27" i="11"/>
  <c r="E52" i="14"/>
  <c r="E54" i="14" s="1"/>
  <c r="G57" i="14"/>
  <c r="G59" i="14" s="1"/>
  <c r="N154" i="17"/>
  <c r="D7" i="13"/>
  <c r="G56" i="13"/>
  <c r="G55" i="13"/>
  <c r="G72" i="14"/>
  <c r="G74" i="14" s="1"/>
  <c r="E72" i="14"/>
  <c r="E74" i="14" s="1"/>
  <c r="G34" i="13"/>
  <c r="G40" i="15" s="1"/>
  <c r="G8" i="13"/>
  <c r="F13" i="7"/>
  <c r="E15" i="7"/>
  <c r="F12" i="7"/>
  <c r="D15" i="7"/>
  <c r="C60" i="4"/>
  <c r="D48" i="13"/>
  <c r="N236" i="17"/>
  <c r="F22" i="16"/>
  <c r="N376" i="17"/>
  <c r="N453" i="17"/>
  <c r="E18" i="6"/>
  <c r="E22" i="6" s="1"/>
  <c r="D18" i="6"/>
  <c r="D22" i="6" s="1"/>
  <c r="G18" i="6"/>
  <c r="G22" i="6" s="1"/>
  <c r="F18" i="6"/>
  <c r="F22" i="6" s="1"/>
  <c r="E34" i="13"/>
  <c r="E40" i="15" s="1"/>
  <c r="C45" i="13"/>
  <c r="N38" i="17"/>
  <c r="N140" i="17"/>
  <c r="C67" i="14"/>
  <c r="G67" i="14"/>
  <c r="G69" i="14" s="1"/>
  <c r="F67" i="14"/>
  <c r="F69" i="14" s="1"/>
  <c r="C21" i="15"/>
  <c r="C53" i="4"/>
  <c r="C18" i="6"/>
  <c r="C22" i="6" s="1"/>
  <c r="F34" i="13"/>
  <c r="F40" i="15" s="1"/>
  <c r="F56" i="13"/>
  <c r="C52" i="14"/>
  <c r="N37" i="17"/>
  <c r="N60" i="17"/>
  <c r="N97" i="17"/>
  <c r="D52" i="14"/>
  <c r="D54" i="14" s="1"/>
  <c r="N17" i="17"/>
  <c r="C28" i="16" s="1"/>
  <c r="D38" i="13"/>
  <c r="N233" i="17"/>
  <c r="F58" i="13"/>
  <c r="N305" i="17"/>
  <c r="F6" i="13"/>
  <c r="N307" i="17"/>
  <c r="N15" i="17"/>
  <c r="C27" i="16" s="1"/>
  <c r="N81" i="17"/>
  <c r="N112" i="17"/>
  <c r="E16" i="3"/>
  <c r="C34" i="4"/>
  <c r="F14" i="7"/>
  <c r="G33" i="11"/>
  <c r="C6" i="13"/>
  <c r="N20" i="17"/>
  <c r="N67" i="17"/>
  <c r="N110" i="17"/>
  <c r="N111" i="17"/>
  <c r="N147" i="17"/>
  <c r="M257" i="17"/>
  <c r="N257" i="17" s="1"/>
  <c r="N325" i="17"/>
  <c r="N359" i="17"/>
  <c r="N369" i="17"/>
  <c r="D72" i="14"/>
  <c r="D74" i="14" s="1"/>
  <c r="M397" i="17"/>
  <c r="G47" i="13" s="1"/>
  <c r="N132" i="17"/>
  <c r="N157" i="17"/>
  <c r="N266" i="17"/>
  <c r="N285" i="17"/>
  <c r="N324" i="17"/>
  <c r="F30" i="16" s="1"/>
  <c r="N411" i="17"/>
  <c r="G28" i="16" s="1"/>
  <c r="N433" i="17"/>
  <c r="N451" i="17"/>
  <c r="G15" i="11"/>
  <c r="E8" i="13"/>
  <c r="C23" i="13"/>
  <c r="E23" i="13" s="1"/>
  <c r="G52" i="14"/>
  <c r="G54" i="14" s="1"/>
  <c r="C20" i="13"/>
  <c r="E20" i="13" s="1"/>
  <c r="C45" i="14"/>
  <c r="N19" i="17"/>
  <c r="N68" i="17"/>
  <c r="N76" i="17"/>
  <c r="N114" i="17"/>
  <c r="N141" i="17"/>
  <c r="N156" i="17"/>
  <c r="N190" i="17"/>
  <c r="N195" i="17"/>
  <c r="N216" i="17"/>
  <c r="E49" i="13"/>
  <c r="E55" i="13"/>
  <c r="N269" i="17"/>
  <c r="N271" i="17"/>
  <c r="N284" i="17"/>
  <c r="N304" i="17"/>
  <c r="N323" i="17"/>
  <c r="N416" i="17"/>
  <c r="N439" i="17"/>
  <c r="N450" i="17"/>
  <c r="H15" i="11"/>
  <c r="H33" i="11"/>
  <c r="C22" i="13"/>
  <c r="E22" i="13" s="1"/>
  <c r="C26" i="13"/>
  <c r="E26" i="13" s="1"/>
  <c r="F45" i="13"/>
  <c r="N109" i="17"/>
  <c r="N167" i="17"/>
  <c r="N187" i="17"/>
  <c r="N189" i="17"/>
  <c r="N211" i="17"/>
  <c r="N213" i="17"/>
  <c r="N215" i="17"/>
  <c r="N230" i="17"/>
  <c r="N234" i="17"/>
  <c r="N263" i="17"/>
  <c r="N295" i="17"/>
  <c r="N303" i="17"/>
  <c r="N338" i="17"/>
  <c r="N358" i="17"/>
  <c r="N361" i="17"/>
  <c r="N381" i="17"/>
  <c r="N392" i="17"/>
  <c r="N413" i="17"/>
  <c r="N415" i="17"/>
  <c r="N431" i="17"/>
  <c r="C33" i="13"/>
  <c r="C39" i="15" s="1"/>
  <c r="E48" i="13"/>
  <c r="M43" i="17"/>
  <c r="N43" i="17" s="1"/>
  <c r="M47" i="17"/>
  <c r="N47" i="17" s="1"/>
  <c r="N54" i="17"/>
  <c r="D49" i="13"/>
  <c r="D59" i="13"/>
  <c r="N148" i="17"/>
  <c r="N166" i="17"/>
  <c r="N168" i="17"/>
  <c r="N186" i="17"/>
  <c r="N188" i="17"/>
  <c r="N209" i="17"/>
  <c r="E38" i="13"/>
  <c r="N219" i="17"/>
  <c r="M346" i="17"/>
  <c r="N346" i="17" s="1"/>
  <c r="N357" i="17"/>
  <c r="F8" i="13"/>
  <c r="N360" i="17"/>
  <c r="F28" i="16" s="1"/>
  <c r="N380" i="17"/>
  <c r="G50" i="13"/>
  <c r="N408" i="17"/>
  <c r="N430" i="17"/>
  <c r="N116" i="17"/>
  <c r="N134" i="17"/>
  <c r="N185" i="17"/>
  <c r="N196" i="17"/>
  <c r="N208" i="17"/>
  <c r="N210" i="17"/>
  <c r="E33" i="13"/>
  <c r="E39" i="15" s="1"/>
  <c r="N229" i="17"/>
  <c r="N262" i="17"/>
  <c r="N265" i="17"/>
  <c r="N409" i="17"/>
  <c r="N429" i="17"/>
  <c r="N84" i="17"/>
  <c r="C57" i="14"/>
  <c r="N164" i="17"/>
  <c r="M182" i="17"/>
  <c r="N182" i="17" s="1"/>
  <c r="N206" i="17"/>
  <c r="N220" i="17"/>
  <c r="M228" i="17"/>
  <c r="N228" i="17" s="1"/>
  <c r="N237" i="17"/>
  <c r="N239" i="17"/>
  <c r="N261" i="17"/>
  <c r="N264" i="17"/>
  <c r="N272" i="17"/>
  <c r="N286" i="17"/>
  <c r="N287" i="17"/>
  <c r="N293" i="17"/>
  <c r="N337" i="17"/>
  <c r="N382" i="17"/>
  <c r="N383" i="17"/>
  <c r="M388" i="17"/>
  <c r="M420" i="17"/>
  <c r="N420" i="17" s="1"/>
  <c r="M428" i="17"/>
  <c r="N428" i="17" s="1"/>
  <c r="N378" i="17"/>
  <c r="N432" i="17"/>
  <c r="G30" i="16" s="1"/>
  <c r="N452" i="17"/>
  <c r="C72" i="14"/>
  <c r="M53" i="17"/>
  <c r="N53" i="17" s="1"/>
  <c r="M69" i="17"/>
  <c r="N69" i="17" s="1"/>
  <c r="M85" i="17"/>
  <c r="N85" i="17" s="1"/>
  <c r="M133" i="17"/>
  <c r="D57" i="13" s="1"/>
  <c r="M149" i="17"/>
  <c r="N149" i="17" s="1"/>
  <c r="N165" i="17"/>
  <c r="N207" i="17"/>
  <c r="N260" i="17"/>
  <c r="N336" i="17"/>
  <c r="N390" i="17"/>
  <c r="N410" i="17"/>
  <c r="N101" i="17"/>
  <c r="N117" i="17"/>
  <c r="N240" i="17"/>
  <c r="N294" i="17"/>
  <c r="M314" i="17"/>
  <c r="M342" i="17"/>
  <c r="N342" i="17" s="1"/>
  <c r="N389" i="17"/>
  <c r="M222" i="17"/>
  <c r="M254" i="17"/>
  <c r="N254" i="17" s="1"/>
  <c r="M318" i="17"/>
  <c r="F33" i="13" s="1"/>
  <c r="F39" i="15" s="1"/>
  <c r="M350" i="17"/>
  <c r="N350" i="17" s="1"/>
  <c r="M414" i="17"/>
  <c r="N414" i="17" s="1"/>
  <c r="G46" i="13" l="1"/>
  <c r="G58" i="13"/>
  <c r="G15" i="3"/>
  <c r="G45" i="14"/>
  <c r="G48" i="14" s="1"/>
  <c r="G6" i="13"/>
  <c r="G9" i="13" s="1"/>
  <c r="E50" i="13"/>
  <c r="F62" i="14"/>
  <c r="F64" i="14" s="1"/>
  <c r="F26" i="16"/>
  <c r="E58" i="13"/>
  <c r="E27" i="16"/>
  <c r="E62" i="14"/>
  <c r="E64" i="14" s="1"/>
  <c r="E37" i="13"/>
  <c r="E56" i="13"/>
  <c r="E47" i="13"/>
  <c r="D62" i="14"/>
  <c r="D64" i="14" s="1"/>
  <c r="E57" i="13"/>
  <c r="E21" i="16"/>
  <c r="F41" i="15"/>
  <c r="D6" i="13"/>
  <c r="D9" i="13" s="1"/>
  <c r="E41" i="15"/>
  <c r="D27" i="16"/>
  <c r="D30" i="16"/>
  <c r="F9" i="13"/>
  <c r="F7" i="16" s="1"/>
  <c r="E57" i="14"/>
  <c r="E59" i="14" s="1"/>
  <c r="C9" i="13"/>
  <c r="C17" i="19"/>
  <c r="C17" i="15"/>
  <c r="C42" i="4"/>
  <c r="C43" i="4" s="1"/>
  <c r="C9" i="19"/>
  <c r="D9" i="19"/>
  <c r="F36" i="13"/>
  <c r="D46" i="13"/>
  <c r="C32" i="13"/>
  <c r="E45" i="14"/>
  <c r="D28" i="16"/>
  <c r="C40" i="13"/>
  <c r="C31" i="15"/>
  <c r="C61" i="4"/>
  <c r="G32" i="13"/>
  <c r="F57" i="14"/>
  <c r="F59" i="14" s="1"/>
  <c r="C46" i="13"/>
  <c r="E26" i="16"/>
  <c r="D37" i="13"/>
  <c r="E28" i="16"/>
  <c r="N222" i="17"/>
  <c r="E15" i="16" s="1"/>
  <c r="E15" i="3"/>
  <c r="E36" i="13"/>
  <c r="E32" i="13"/>
  <c r="C74" i="14"/>
  <c r="C48" i="14"/>
  <c r="C47" i="14"/>
  <c r="I16" i="3"/>
  <c r="C6" i="16"/>
  <c r="C9" i="16" s="1"/>
  <c r="C15" i="16"/>
  <c r="G26" i="16"/>
  <c r="D44" i="4"/>
  <c r="D45" i="4" s="1"/>
  <c r="C44" i="4"/>
  <c r="C45" i="4" s="1"/>
  <c r="F44" i="4"/>
  <c r="G44" i="4"/>
  <c r="E44" i="4"/>
  <c r="N314" i="17"/>
  <c r="E67" i="14"/>
  <c r="E69" i="14" s="1"/>
  <c r="C21" i="16"/>
  <c r="F48" i="13"/>
  <c r="N133" i="17"/>
  <c r="D6" i="16" s="1"/>
  <c r="D9" i="16" s="1"/>
  <c r="D18" i="19" s="1"/>
  <c r="D45" i="13"/>
  <c r="D32" i="13"/>
  <c r="D15" i="3"/>
  <c r="F21" i="16"/>
  <c r="C59" i="14"/>
  <c r="F47" i="13"/>
  <c r="C19" i="13"/>
  <c r="E19" i="13" s="1"/>
  <c r="G57" i="13"/>
  <c r="F32" i="13"/>
  <c r="F46" i="13"/>
  <c r="G40" i="13"/>
  <c r="G31" i="15"/>
  <c r="E46" i="13"/>
  <c r="C20" i="16"/>
  <c r="C21" i="13"/>
  <c r="E21" i="13" s="1"/>
  <c r="C25" i="13"/>
  <c r="E25" i="13" s="1"/>
  <c r="D45" i="14"/>
  <c r="E45" i="13"/>
  <c r="F45" i="14"/>
  <c r="N318" i="17"/>
  <c r="F20" i="16" s="1"/>
  <c r="F49" i="13"/>
  <c r="D31" i="15"/>
  <c r="D40" i="13"/>
  <c r="C48" i="13"/>
  <c r="C25" i="7" s="1"/>
  <c r="D58" i="13"/>
  <c r="C24" i="13"/>
  <c r="E24" i="13" s="1"/>
  <c r="G47" i="14"/>
  <c r="E25" i="16"/>
  <c r="F17" i="19"/>
  <c r="F42" i="4"/>
  <c r="F43" i="4" s="1"/>
  <c r="F17" i="15"/>
  <c r="C69" i="14"/>
  <c r="G17" i="19"/>
  <c r="G17" i="15"/>
  <c r="G42" i="4"/>
  <c r="G43" i="4" s="1"/>
  <c r="D17" i="19"/>
  <c r="D42" i="4"/>
  <c r="D43" i="4" s="1"/>
  <c r="D17" i="15"/>
  <c r="D50" i="13"/>
  <c r="G29" i="16"/>
  <c r="G20" i="16"/>
  <c r="F55" i="13"/>
  <c r="E6" i="13"/>
  <c r="E9" i="13" s="1"/>
  <c r="C22" i="15"/>
  <c r="C11" i="13"/>
  <c r="E17" i="19"/>
  <c r="E42" i="4"/>
  <c r="E43" i="4" s="1"/>
  <c r="E17" i="15"/>
  <c r="D26" i="16"/>
  <c r="C47" i="13"/>
  <c r="F57" i="13"/>
  <c r="D21" i="16"/>
  <c r="F37" i="13"/>
  <c r="F72" i="14"/>
  <c r="F74" i="14" s="1"/>
  <c r="N388" i="17"/>
  <c r="G25" i="16" s="1"/>
  <c r="G45" i="13"/>
  <c r="G33" i="13"/>
  <c r="G39" i="15" s="1"/>
  <c r="G41" i="15" s="1"/>
  <c r="E6" i="16"/>
  <c r="E9" i="16" s="1"/>
  <c r="E18" i="19" s="1"/>
  <c r="E29" i="16"/>
  <c r="E20" i="16"/>
  <c r="C34" i="13"/>
  <c r="C40" i="15" s="1"/>
  <c r="C41" i="15" s="1"/>
  <c r="N397" i="17"/>
  <c r="G27" i="16" s="1"/>
  <c r="G59" i="13"/>
  <c r="D36" i="13"/>
  <c r="C54" i="14"/>
  <c r="F15" i="3"/>
  <c r="G37" i="13"/>
  <c r="F33" i="4"/>
  <c r="E40" i="13"/>
  <c r="E31" i="15"/>
  <c r="D29" i="16"/>
  <c r="D20" i="16"/>
  <c r="C37" i="13"/>
  <c r="F52" i="14"/>
  <c r="F54" i="14" s="1"/>
  <c r="G6" i="16" l="1"/>
  <c r="G9" i="16" s="1"/>
  <c r="G18" i="19" s="1"/>
  <c r="G15" i="16"/>
  <c r="G16" i="16" s="1"/>
  <c r="G21" i="16"/>
  <c r="G23" i="16" s="1"/>
  <c r="H64" i="14"/>
  <c r="E23" i="16"/>
  <c r="H62" i="14"/>
  <c r="C23" i="16"/>
  <c r="G35" i="13"/>
  <c r="G41" i="13"/>
  <c r="G32" i="15" s="1"/>
  <c r="G7" i="16"/>
  <c r="G8" i="16" s="1"/>
  <c r="F60" i="13"/>
  <c r="F16" i="19" s="1"/>
  <c r="G23" i="15"/>
  <c r="G25" i="15" s="1"/>
  <c r="G14" i="19" s="1"/>
  <c r="F39" i="13"/>
  <c r="F15" i="19" s="1"/>
  <c r="F37" i="15"/>
  <c r="G60" i="13"/>
  <c r="G16" i="19" s="1"/>
  <c r="F41" i="13"/>
  <c r="F32" i="15" s="1"/>
  <c r="F35" i="13"/>
  <c r="D37" i="15"/>
  <c r="D41" i="13"/>
  <c r="D32" i="15" s="1"/>
  <c r="D7" i="16"/>
  <c r="D8" i="16" s="1"/>
  <c r="D51" i="13"/>
  <c r="D23" i="15"/>
  <c r="D25" i="15" s="1"/>
  <c r="D14" i="19" s="1"/>
  <c r="D35" i="13"/>
  <c r="G51" i="13"/>
  <c r="D39" i="13"/>
  <c r="D15" i="19" s="1"/>
  <c r="G39" i="13"/>
  <c r="G15" i="19" s="1"/>
  <c r="F23" i="16"/>
  <c r="D60" i="13"/>
  <c r="D16" i="19" s="1"/>
  <c r="F51" i="13"/>
  <c r="H69" i="14"/>
  <c r="I15" i="3"/>
  <c r="H54" i="14"/>
  <c r="H67" i="14"/>
  <c r="G37" i="15"/>
  <c r="H52" i="14"/>
  <c r="F23" i="15"/>
  <c r="F25" i="15" s="1"/>
  <c r="F14" i="19" s="1"/>
  <c r="H74" i="14"/>
  <c r="H57" i="14"/>
  <c r="H72" i="14"/>
  <c r="D23" i="16"/>
  <c r="H59" i="14"/>
  <c r="E37" i="15"/>
  <c r="E60" i="13"/>
  <c r="E16" i="19" s="1"/>
  <c r="E7" i="16"/>
  <c r="E8" i="16" s="1"/>
  <c r="E41" i="13"/>
  <c r="E32" i="15" s="1"/>
  <c r="E35" i="13"/>
  <c r="E51" i="13"/>
  <c r="E39" i="13"/>
  <c r="E23" i="15"/>
  <c r="E25" i="15" s="1"/>
  <c r="E14" i="19" s="1"/>
  <c r="E48" i="14"/>
  <c r="E47" i="14"/>
  <c r="F29" i="16"/>
  <c r="C51" i="13"/>
  <c r="C35" i="13"/>
  <c r="C16" i="13"/>
  <c r="E16" i="13" s="1"/>
  <c r="E28" i="13" s="1"/>
  <c r="C18" i="3" s="1"/>
  <c r="I18" i="3" s="1"/>
  <c r="C60" i="13"/>
  <c r="C16" i="19" s="1"/>
  <c r="C39" i="13"/>
  <c r="C7" i="16"/>
  <c r="C8" i="16" s="1"/>
  <c r="C12" i="13"/>
  <c r="C37" i="15"/>
  <c r="C23" i="15"/>
  <c r="C25" i="15" s="1"/>
  <c r="C14" i="19" s="1"/>
  <c r="C41" i="13"/>
  <c r="C32" i="15" s="1"/>
  <c r="F15" i="16"/>
  <c r="F16" i="16" s="1"/>
  <c r="F27" i="16"/>
  <c r="C18" i="15"/>
  <c r="D50" i="4"/>
  <c r="F6" i="16"/>
  <c r="F9" i="16" s="1"/>
  <c r="F18" i="19" s="1"/>
  <c r="C14" i="16"/>
  <c r="C38" i="15"/>
  <c r="D48" i="14"/>
  <c r="D47" i="14"/>
  <c r="E45" i="4"/>
  <c r="C18" i="19"/>
  <c r="G10" i="16"/>
  <c r="D10" i="16"/>
  <c r="E10" i="16"/>
  <c r="C10" i="16"/>
  <c r="C10" i="19"/>
  <c r="F38" i="15"/>
  <c r="F14" i="16"/>
  <c r="D14" i="16"/>
  <c r="D38" i="15"/>
  <c r="G45" i="4"/>
  <c r="D25" i="16"/>
  <c r="D15" i="16"/>
  <c r="D16" i="16" s="1"/>
  <c r="D51" i="4"/>
  <c r="D20" i="15" s="1"/>
  <c r="E50" i="4"/>
  <c r="D18" i="15"/>
  <c r="F48" i="14"/>
  <c r="F47" i="14"/>
  <c r="E38" i="15"/>
  <c r="E14" i="16"/>
  <c r="E16" i="16"/>
  <c r="C16" i="16"/>
  <c r="G38" i="15"/>
  <c r="G14" i="16"/>
  <c r="F45" i="4"/>
  <c r="D10" i="19"/>
  <c r="F43" i="15" l="1"/>
  <c r="F30" i="15"/>
  <c r="F33" i="15" s="1"/>
  <c r="D43" i="15"/>
  <c r="G43" i="15"/>
  <c r="G30" i="15"/>
  <c r="G33" i="15" s="1"/>
  <c r="D30" i="15"/>
  <c r="D33" i="15" s="1"/>
  <c r="D19" i="19"/>
  <c r="F19" i="19"/>
  <c r="G19" i="19"/>
  <c r="G20" i="19" s="1"/>
  <c r="E43" i="15"/>
  <c r="C49" i="15" s="1"/>
  <c r="C15" i="19"/>
  <c r="C19" i="19" s="1"/>
  <c r="C30" i="15"/>
  <c r="C33" i="15" s="1"/>
  <c r="G51" i="4"/>
  <c r="G20" i="15" s="1"/>
  <c r="G18" i="15"/>
  <c r="F10" i="16"/>
  <c r="E15" i="19"/>
  <c r="E19" i="19" s="1"/>
  <c r="E30" i="15"/>
  <c r="E33" i="15" s="1"/>
  <c r="F51" i="4"/>
  <c r="F20" i="15" s="1"/>
  <c r="F18" i="15"/>
  <c r="G50" i="4"/>
  <c r="C43" i="15"/>
  <c r="F8" i="16"/>
  <c r="C24" i="15"/>
  <c r="C12" i="3"/>
  <c r="E19" i="15"/>
  <c r="E51" i="4"/>
  <c r="E20" i="15" s="1"/>
  <c r="F50" i="4"/>
  <c r="E54" i="4"/>
  <c r="E26" i="15" s="1"/>
  <c r="C48" i="15" s="1"/>
  <c r="E18" i="15"/>
  <c r="D19" i="15"/>
  <c r="D52" i="4"/>
  <c r="E52" i="4" l="1"/>
  <c r="C50" i="15"/>
  <c r="C51" i="15"/>
  <c r="F52" i="4"/>
  <c r="F19" i="15"/>
  <c r="G52" i="4"/>
  <c r="G19" i="15"/>
  <c r="D53" i="4"/>
  <c r="D21" i="15"/>
  <c r="D28" i="19"/>
  <c r="H26" i="19"/>
  <c r="F25" i="19"/>
  <c r="D24" i="19"/>
  <c r="E34" i="19"/>
  <c r="E32" i="19"/>
  <c r="C28" i="19"/>
  <c r="G26" i="19"/>
  <c r="E25" i="19"/>
  <c r="C24" i="19"/>
  <c r="D34" i="19"/>
  <c r="D32" i="19"/>
  <c r="H27" i="19"/>
  <c r="F26" i="19"/>
  <c r="D25" i="19"/>
  <c r="C34" i="19"/>
  <c r="C32" i="19"/>
  <c r="G27" i="19"/>
  <c r="E26" i="19"/>
  <c r="C25" i="19"/>
  <c r="H28" i="19"/>
  <c r="F27" i="19"/>
  <c r="D26" i="19"/>
  <c r="H24" i="19"/>
  <c r="E33" i="19"/>
  <c r="G28" i="19"/>
  <c r="E27" i="19"/>
  <c r="C26" i="19"/>
  <c r="G24" i="19"/>
  <c r="D33" i="19"/>
  <c r="F28" i="19"/>
  <c r="D27" i="19"/>
  <c r="H25" i="19"/>
  <c r="F24" i="19"/>
  <c r="C33" i="19"/>
  <c r="E28" i="19"/>
  <c r="C27" i="19"/>
  <c r="G25" i="19"/>
  <c r="E24" i="19"/>
  <c r="F34" i="19" l="1"/>
  <c r="F32" i="19"/>
  <c r="D22" i="15"/>
  <c r="D11" i="13"/>
  <c r="D12" i="13" s="1"/>
  <c r="D61" i="4"/>
  <c r="G21" i="15"/>
  <c r="G53" i="4"/>
  <c r="F33" i="19"/>
  <c r="C52" i="15"/>
  <c r="C54" i="15" s="1"/>
  <c r="F21" i="15"/>
  <c r="F53" i="4"/>
  <c r="E53" i="4"/>
  <c r="E21" i="15"/>
  <c r="F22" i="15" l="1"/>
  <c r="F11" i="13"/>
  <c r="F12" i="13" s="1"/>
  <c r="F61" i="4"/>
  <c r="G22" i="15"/>
  <c r="G11" i="13"/>
  <c r="G12" i="13" s="1"/>
  <c r="G61" i="4"/>
  <c r="E22" i="15"/>
  <c r="E11" i="13"/>
  <c r="E12" i="13" s="1"/>
  <c r="E61" i="4"/>
  <c r="D24" i="15"/>
  <c r="D12" i="3"/>
  <c r="E24" i="15" l="1"/>
  <c r="E12" i="3"/>
  <c r="G24" i="15"/>
  <c r="G12" i="3"/>
  <c r="F24" i="15"/>
  <c r="F12" i="3"/>
  <c r="I12" i="3" l="1"/>
</calcChain>
</file>

<file path=xl/sharedStrings.xml><?xml version="1.0" encoding="utf-8"?>
<sst xmlns="http://schemas.openxmlformats.org/spreadsheetml/2006/main" count="5095" uniqueCount="782">
  <si>
    <t>Sales / Insurance Recruitment  —  domain framework v6</t>
  </si>
  <si>
    <t>Rebuilt on Golden Application Inventory v4. The 99 Capgemini people already on these applications are identified by band and location, and they roll into Year 1 exactly as they are. MetLife's own value stream taxonomy replaces the cut we invented.</t>
  </si>
  <si>
    <t>WHAT GOLDEN INVENTORY v4 CHANGED FOR THIS DOMAIN</t>
  </si>
  <si>
    <t>We already hold 99 people here, and now we know who they are</t>
  </si>
  <si>
    <t>The T3 headcount reconciliation places 99 of the 277 named Capgemini people on Sales applications: 97 in India and 2 in Japan, banded E1 10 · E2 39 · E3 42 · E4 6 · E5 2 across both locations. 55.5 of them sit on JP-GSSP and 31.7 on JP-Banca Report. They are not a modelling assumption — they are on the payroll today.</t>
  </si>
  <si>
    <t>So the Year-1 offshore anatomy is designed around them, not the other way round</t>
  </si>
  <si>
    <t>The v5 pod library asked for 95.5 E2 seats offshore and 11.7 E3. We actually hold 39 E2 and 40 E3, plus 10 E1 and 8 seniors the anatomy had no offshore seat for at all. Every offshore unit in the library has been re-banded so the people we have fit the seats we designed. Year 1 now needs 11.9 E1 · 46.5 E2 · 42.0 E3 · 4.8 E4 · 2.0 E5 against a supply of 10 · 39 · 40 · 6 · 2 — the 97 who are offshore, the 2 in Japan sitting in onshore seats.</t>
  </si>
  <si>
    <t>MetLife's own value streams</t>
  </si>
  <si>
    <t>F2F Illustlation 230.871 (4 apps) · Banca Illustlation 168.917 (4) · F2F Agent Enablement 43.562 (1) · F2F SalesSupport 23.123 (4). The streams we invented in v4 and v5 are gone.</t>
  </si>
  <si>
    <t>There is effectively no partner dependency here</t>
  </si>
  <si>
    <r>
      <rPr>
        <sz val="9.5"/>
        <rFont val="Arial"/>
        <charset val="1"/>
      </rPr>
      <t xml:space="preserve">Golden v4 names the vendor on every application. FSI holds 0.8 of the 284.5 vendor units in this </t>
    </r>
    <r>
      <rPr>
        <sz val="9.5"/>
        <rFont val="Noto Sans CJK SC"/>
        <family val="2"/>
      </rPr>
      <t xml:space="preserve">領域 </t>
    </r>
    <r>
      <rPr>
        <sz val="9.5"/>
        <rFont val="Arial"/>
        <charset val="1"/>
      </rPr>
      <t>and NCD holds 23.0. Contract Management needs a sub-contract to hold its service on day one; this domain does not. That contrast is deliberate and it is the clearest evidence that the partner strategy is targeted rather than generic.</t>
    </r>
  </si>
  <si>
    <t>HOW THE INHERITED POPULATION IS EVOLVED, YEARS 2 TO 5</t>
  </si>
  <si>
    <t>Attrition and promotion, not an instruction</t>
  </si>
  <si>
    <t>The cohort is rolled forward with band-differentiated attrition — 22% at E1 offshore falling to 6% at E5, 10% to 4% onshore — and promotion applied to the survivors. 99 people become 83.8 · 71.6 · 61.6 · 53.5, and the senior share rises 8.1% → 14.0% → 20.5% → 27.3% → 34.3% without anyone being told to reshape anything.</t>
  </si>
  <si>
    <t>Which is most of the pyramid-to-diamond story</t>
  </si>
  <si>
    <t>The market does the work. What the solution has to do is stop hiring at the base and keep promoting, and the diamond arrives. That is a far more defensible claim than asserting a target shape and back-filling to it.</t>
  </si>
  <si>
    <t>Where it does not fit, the workbook says so</t>
  </si>
  <si>
    <t>Year 2 leaves 6.7 more E2 people than there are E2 seats; Year 4 leaves 7.8 more E3 than E3 seats. Both are absorbed by promotion into the band above, and both are reported as a reskill obligation rather than netted away.</t>
  </si>
  <si>
    <t>Solution tenets, not hard constraints</t>
  </si>
  <si>
    <t>The pyramid-to-diamond tenet is applied as a direction of travel. Where the inherited population makes the target shape unreachable in a given year, the model follows the people and records the deviation.</t>
  </si>
  <si>
    <t>WHAT IS RETAINED FROM v5</t>
  </si>
  <si>
    <t>The whole chain</t>
  </si>
  <si>
    <t>Six archetypes → AI and offshore ceilings → realisation → capability → carry-forward and pre-load → headcount target → unit design → seat ledger → every roll-up. Nothing in the structure moved. The J offshore ceiling is re-cut from 15% to 12% to match Golden v4, which moves the domain ceiling from 81.22% to 81.09%.</t>
  </si>
  <si>
    <t>Every Year-1 reconciliation</t>
  </si>
  <si>
    <t>Effort, sourcing, location and all six role lines still reconcile to Appendix 3 v3. Re-banding the offshore seats changes who sits in them, not how many or in what role.</t>
  </si>
  <si>
    <t>The measured offshore start</t>
  </si>
  <si>
    <t>43.1% on day one — 107.1 offshore plus 93.8 MGCC — closing to 78.1% by Year 5 against a ceiling of 81.1%.</t>
  </si>
  <si>
    <t>WHAT TO RAISE</t>
  </si>
  <si>
    <t>The 99 is an allocation, not a register</t>
  </si>
  <si>
    <t>People are known by team, and teams are mapped to applications using the client's own 'CG HC by EAI' shape rescaled to the 277-name roster. It is the best available reconciliation of four sources that disagree (277 / 283 / 450 / 528), and it should be validated with T3 before it is quoted to MetLife.</t>
  </si>
  <si>
    <t>185 of the 284.5 vendor units are not people we hold today</t>
  </si>
  <si>
    <t>Capgemini is the named incumbent on 177.3 of the vendor units but we hold only 99 heads against them; 83.4 units sit with unnamed vendors, 23.0 with NCD and 0.8 with FSI. Year 1 assumes Capgemini staffs all 284.5 from day one, which is a transition commitment of real size and is priced as a hire rather than a rebadge.</t>
  </si>
  <si>
    <t>Two people in Japan</t>
  </si>
  <si>
    <r>
      <rPr>
        <sz val="9.5"/>
        <rFont val="Arial"/>
        <charset val="1"/>
      </rPr>
      <t xml:space="preserve">Of 99 inherited, 2 are onshore. Every bilingual onshore seat in Year 1 — 177.2 of them — is a hire or a redeployment into Tokyo. That is the single largest delivery risk in this </t>
    </r>
    <r>
      <rPr>
        <sz val="9.5"/>
        <rFont val="Noto Sans CJK SC"/>
        <family val="2"/>
      </rPr>
      <t xml:space="preserve">領域 </t>
    </r>
    <r>
      <rPr>
        <sz val="9.5"/>
        <rFont val="Arial"/>
        <charset val="1"/>
      </rPr>
      <t>and it is a recruitment problem, not a solution-design one.</t>
    </r>
  </si>
  <si>
    <t>What Golden Inventory v4 changed, and whether the core basis was shaken</t>
  </si>
  <si>
    <t>The test applied to each item: does the new evidence change an input, or does it change the structure that consumes the input? Only the second needs a rebuild.</t>
  </si>
  <si>
    <t>Element</t>
  </si>
  <si>
    <t>v5 basis</t>
  </si>
  <si>
    <t>v6 basis</t>
  </si>
  <si>
    <t>Verdict</t>
  </si>
  <si>
    <t>What it moved</t>
  </si>
  <si>
    <t>Baseline effort, sourcing, location, roles</t>
  </si>
  <si>
    <t>Appendix 3 v3</t>
  </si>
  <si>
    <t>Appendix 3 v3, unchanged</t>
  </si>
  <si>
    <t>UNCHANGED</t>
  </si>
  <si>
    <t>466.472 units, 13 applications, FTC 284.543 / FTE 88.129 / MGCC 93.800, onshore 177.368 / offshore 107.092.</t>
  </si>
  <si>
    <t>The Capgemini population already on these applications</t>
  </si>
  <si>
    <t>Not modelled. Every Year-1 seat treated as new.</t>
  </si>
  <si>
    <t>99 named people: 97 India, 2 Japan, E1 10 · E2 39 · E3 42 · E4 6 · E5 2</t>
  </si>
  <si>
    <t>NEW</t>
  </si>
  <si>
    <t>The largest addition in this version. 35% of the Capgemini seats in Year 1 are already filled, and their band and location are given rather than chosen.</t>
  </si>
  <si>
    <t>Offshore band mix in the unit library</t>
  </si>
  <si>
    <t>E2 95.5 and E3 11.7 in Year 1 — a hiring pyramid</t>
  </si>
  <si>
    <t>E1 11.9 · E2 46.5 · E3 42.0 · E4 4.8 · E5 2.0</t>
  </si>
  <si>
    <t>REBUILT</t>
  </si>
  <si>
    <t>The library asked for a shape we do not have. Every offshore seat is re-banded so the inherited population fits. Roles, counts and every Year-1 reconciliation are untouched — only the band moves.</t>
  </si>
  <si>
    <t>Years 2 to 5 talent shape</t>
  </si>
  <si>
    <t>Asserted: a diamond by Year 4</t>
  </si>
  <si>
    <t>Derived: band-differentiated attrition plus promotion, rolled forward</t>
  </si>
  <si>
    <t>Senior share of the inherited cohort goes 8.1 → 14.0 → 20.5 → 27.3 → 34.3%. The diamond is now an outcome of the market rather than a target we set ourselves.</t>
  </si>
  <si>
    <t>Value streams</t>
  </si>
  <si>
    <t>Four streams, our own cut</t>
  </si>
  <si>
    <t>Four streams, MetLife's own taxonomy</t>
  </si>
  <si>
    <t>F2F Illustlation 230.871 · Banca Illustlation 168.917 · F2F Agent Enablement 43.562 · F2F SalesSupport 23.123. The pod plan is re-cut stream by stream; the agile conversion quarters move with it.</t>
  </si>
  <si>
    <t>Vendor presence</t>
  </si>
  <si>
    <t>Not known</t>
  </si>
  <si>
    <t>Named per application in Golden v4</t>
  </si>
  <si>
    <r>
      <rPr>
        <sz val="8.5"/>
        <color rgb="FF595959"/>
        <rFont val="Arial"/>
        <charset val="1"/>
      </rPr>
      <t xml:space="preserve">FSI 0.8 units and NCD 23.0 of 284.5. Effectively no partner dependency in this </t>
    </r>
    <r>
      <rPr>
        <sz val="8.5"/>
        <color rgb="FF595959"/>
        <rFont val="Noto Sans CJK SC"/>
        <family val="2"/>
      </rPr>
      <t xml:space="preserve">領域 — </t>
    </r>
    <r>
      <rPr>
        <sz val="8.5"/>
        <color rgb="FF595959"/>
        <rFont val="Arial"/>
        <charset val="1"/>
      </rPr>
      <t>the opposite of Contract Management, where FSI holds 144.9 of 203.9.</t>
    </r>
  </si>
  <si>
    <t>Archetypes, ceilings, realisation, carry-forward</t>
  </si>
  <si>
    <t>As built</t>
  </si>
  <si>
    <t>Unchanged</t>
  </si>
  <si>
    <t>RETAINED</t>
  </si>
  <si>
    <t>M 83.6% · D 10.4% · J 4.1% · P 1.6% · T 0.3%. AI ceiling 44.99%, offshore ceiling 81.09%, applied productivity 0 / 22.9 / 37.9 / 46.4 / 51.4%.</t>
  </si>
  <si>
    <t>Transfer mechanic</t>
  </si>
  <si>
    <t>One event at the end of Year 3 on the exit position</t>
  </si>
  <si>
    <t>No partner here, so the whole vendor population is transferable and the 50:50 closes inside the domain.</t>
  </si>
  <si>
    <t>Seat ledger, cost index, AMS sizing</t>
  </si>
  <si>
    <t>One sheet added — Inherited Workforce. Nothing removed.</t>
  </si>
  <si>
    <t>THE RULE APPLIED</t>
  </si>
  <si>
    <t>•  Three rebuilds, and all three are in the staffing half of the model. The productivity half — ceilings, realisation, carry-forward, pre-load — is untouched for the second version running. That is worth stating plainly: the framework is stable and it is the workforce evidence that keeps moving.</t>
  </si>
  <si>
    <t>•  Re-banding the offshore seats is the change with the most reach and the least visible effect. Year 1 still reconciles to Appendix 3 on all twelve quantities, because a Tester is a Tester whether they are E2 or E3. What changes is the cost index, the promotion plan and whether the Year-1 team can actually be assembled.</t>
  </si>
  <si>
    <t>•  The pyramid-to-diamond tenet has moved from an assertion to a derivation, which means it can now be argued with. The attrition and promotion rates on the Inherited Workforce sheet are the two numbers to challenge.</t>
  </si>
  <si>
    <t>•  Every other domain team must now re-run three things: the offshore band mix in their unit library, the inherited-population overlay, and their value streams against MetLife's taxonomy.</t>
  </si>
  <si>
    <t>Change control  —  what must still hold after you edit a seat count</t>
  </si>
  <si>
    <t>Pod Library column J and Horizontal Teams column I are INPUTS. You may change them. Holding the yearly total is necessary but not sufficient — these are the other things that have to survive the edit. Every check below is live.</t>
  </si>
  <si>
    <t>A.  WHERE THESE NUMBERS GO</t>
  </si>
  <si>
    <t>•  Pod Library J and Horizontal Teams I are hard-typed values, not formulas. Nothing upstream computes them — they are the design. Everything downstream is derived from them.</t>
  </si>
  <si>
    <t>•  Seat Ledger reads them cell by cell (912 references to Pod Library, 630 to Horizontal Teams) and multiplies by the unit count on Pod Plan. Team Build-Up, Cost &amp; Commercial, Inherited Workforce and Unit Cost Sensitivity are all SUMIFS over the Seat Ledger. Change a seat and every one of them moves.</t>
  </si>
  <si>
    <t>•  THE ONE THAT SURPRISES PEOPLE: the Logic Tree reads the roster back. Partner seats (row 59) drive the partner share (row 60), the span-of-control factor (row 61), the applied operating-model gain (row 43), capability (row 45) and therefore the HEADCOUNT TARGET itself (row 53). Changing partner seats moves the target you are trying to hit. It converges, but it does not stand still.</t>
  </si>
  <si>
    <t>•  What does NOT move: the effort baseline, the archetype mix, the AI and offshore ceilings, the realisation curve and the agile conversion quarters. Those are inputs on the Logic Tree and Delivery Mode.</t>
  </si>
  <si>
    <t>B.  THE INVARIANTS  —  all of these must stay green</t>
  </si>
  <si>
    <t>Check</t>
  </si>
  <si>
    <t>Y1</t>
  </si>
  <si>
    <t>Y2</t>
  </si>
  <si>
    <t>Y3</t>
  </si>
  <si>
    <t>Y4</t>
  </si>
  <si>
    <t>Y5</t>
  </si>
  <si>
    <t>Tolerance</t>
  </si>
  <si>
    <t>Status</t>
  </si>
  <si>
    <t>Headcount delivered minus Logic Tree target</t>
  </si>
  <si>
    <t>± 1.5</t>
  </si>
  <si>
    <t>The productivity commitment. If you add seats you must remove others.</t>
  </si>
  <si>
    <t>Capgemini share inside each POD</t>
  </si>
  <si>
    <t>≥ 55%</t>
  </si>
  <si>
    <t>A POD in which Capgemini is a minority is one whose ways of working we do not set.</t>
  </si>
  <si>
    <t>Capgemini share inside each TEAM</t>
  </si>
  <si>
    <t>A TEAM in which Capgemini is a minority is one whose ways of working we do not set.</t>
  </si>
  <si>
    <t>Capgemini share of the delivery population</t>
  </si>
  <si>
    <t>≥ 50%</t>
  </si>
  <si>
    <t>Below half the roster we cannot carry a productivity commitment we do not control.</t>
  </si>
  <si>
    <t>Blocks deploying a non-whole number of people</t>
  </si>
  <si>
    <t>Column K of the Pod Library and column J of Horizontal Teams are the people you hire for that role across the whole block. Every one is a whole number, or a half where one person covers two units INSIDE this domain. The seat ratio beside it is the modelling quantity and will not always be round — on a 28-team block, nine engineers is a ratio of 0.32.</t>
  </si>
  <si>
    <t>Horizontal roles that have fallen below 0.02 FTE</t>
  </si>
  <si>
    <t>A domain cannot run without a delivery head, a service manager or an architect. If a role must genuinely end, delete the row rather than leaving it at zero.</t>
  </si>
  <si>
    <t>Year-1 reconciliation to Appendix 3 — worst line</t>
  </si>
  <si>
    <t>± 2.6</t>
  </si>
  <si>
    <t>Year 1 must reproduce the client's own numbers: effort, the sourcing split, all three locations and all six role lines. The tolerance is ± 2.6 because seats sit on a 0.5 grid and a Year-1 team seat carries a multiplier of 5 — one grid step is 2.5 people. That is the deliberate price of an anatomy that can be staffed. Moving a seat between bands is free; moving it between ROLE, LOCATION or SOURCING is what actually breaks this.</t>
  </si>
  <si>
    <t>C.  WHAT GOES STALE AND WILL NOT WARN YOU</t>
  </si>
  <si>
    <t>•  SOURCING &amp; PRODUCTIVITY is static. It is produced outside Excel by the per-sourcing solver and pasted in. If you change seat counts, the pool ceilings, the organic-convergence table and the transfer solve on that sheet no longer describe this roster. Re-run the solver or treat the sheet as superseded.</t>
  </si>
  <si>
    <t>•  SIT LOADING is static for the same reason. Re-generate it after any seat change, or the requisition plan will not match the ledger.</t>
  </si>
  <si>
    <t>•  The TRANSFER on the Logic Tree is a typed input (rows 65-66), sized on the Year-3 exit position produced by the solver. Change the Year-3 roster materially and the transfer needs re-sizing, or the 50:50 will not land.</t>
  </si>
  <si>
    <t>•  THE RULE OF THUMB. Re-banding a seat, renaming it, or moving it between pods is safe. Changing its ROLE, LOCATION or SOURCING is not — those are the attributes Year 1 reconciles on and the guardrails measure.</t>
  </si>
  <si>
    <t>Logic Tree  —  ten parametric drivers, five years</t>
  </si>
  <si>
    <t>Amber cells are inputs. Everything else re-derives. Section F is rebuilt on the measured day-1 position.</t>
  </si>
  <si>
    <t>A.  BASELINE  —  Appendix 3 v3, read and never edited</t>
  </si>
  <si>
    <t>Domain</t>
  </si>
  <si>
    <t>sales / insurance recruitment</t>
  </si>
  <si>
    <t>Applications</t>
  </si>
  <si>
    <t>Total effort (units)</t>
  </si>
  <si>
    <t>Current FTC</t>
  </si>
  <si>
    <t>Current FTE</t>
  </si>
  <si>
    <t>Current MGCC</t>
  </si>
  <si>
    <t>— of which onshore Tokyo</t>
  </si>
  <si>
    <t>Location and role come from Appendix 3 v3. Both were Capgemini assumptions in v4.</t>
  </si>
  <si>
    <t>— of which offshore</t>
  </si>
  <si>
    <t>— of which nearshore</t>
  </si>
  <si>
    <t>— of which onsite</t>
  </si>
  <si>
    <t>Role: BSA</t>
  </si>
  <si>
    <t>Role: Developer</t>
  </si>
  <si>
    <t>Role: Tester</t>
  </si>
  <si>
    <t>Role: Maintenance</t>
  </si>
  <si>
    <t>Role: PM</t>
  </si>
  <si>
    <t>Role: Other</t>
  </si>
  <si>
    <t>AD effort (% of PRJ weighted)</t>
  </si>
  <si>
    <t>Appendix 3 Year-3 target, each side</t>
  </si>
  <si>
    <t>Ratio today — Capgemini share</t>
  </si>
  <si>
    <t>OFFSHORE TODAY — whole team, measured</t>
  </si>
  <si>
    <t>This is the number the offshore glidepath now starts from. In v4 it was assumed to be near zero.</t>
  </si>
  <si>
    <t>B.  ARCHETYPE MIX  —  from the Golden Application Inventory v4</t>
  </si>
  <si>
    <t>Archetype</t>
  </si>
  <si>
    <t>Name</t>
  </si>
  <si>
    <t>Apps</t>
  </si>
  <si>
    <t>Effort</t>
  </si>
  <si>
    <t>Share</t>
  </si>
  <si>
    <t>AI ceiling</t>
  </si>
  <si>
    <t>Offshore ceiling</t>
  </si>
  <si>
    <t>M</t>
  </si>
  <si>
    <t>MGCC-destined</t>
  </si>
  <si>
    <t>D</t>
  </si>
  <si>
    <t>Distributed-proven</t>
  </si>
  <si>
    <t>J</t>
  </si>
  <si>
    <t>Japan-locked</t>
  </si>
  <si>
    <t>P</t>
  </si>
  <si>
    <t>Portable, not moved</t>
  </si>
  <si>
    <t>T</t>
  </si>
  <si>
    <t>Long tail</t>
  </si>
  <si>
    <t>Total</t>
  </si>
  <si>
    <t>APPLICABLE AI CEILING</t>
  </si>
  <si>
    <t>44.99% against 44.73% on the four-archetype scheme. The segmentation changed; the answer did not.</t>
  </si>
  <si>
    <t>APPLICABLE OFFSHORE CEILING</t>
  </si>
  <si>
    <t>C.  REALISATION AND THE NON-AI COMPONENTS</t>
  </si>
  <si>
    <t>Driver</t>
  </si>
  <si>
    <t>Year 1</t>
  </si>
  <si>
    <t>Year 2</t>
  </si>
  <si>
    <t>Year 3</t>
  </si>
  <si>
    <t>Year 4</t>
  </si>
  <si>
    <t>Year 5</t>
  </si>
  <si>
    <t>Basis</t>
  </si>
  <si>
    <t>AI realisation — share of ceiling</t>
  </si>
  <si>
    <t>Adoption, guardrails and substrate maturity. Capped at 90%.</t>
  </si>
  <si>
    <t>Classical ADM productivity, cumulative</t>
  </si>
  <si>
    <t>Standardisation, defect reduction, shift-left.</t>
  </si>
  <si>
    <t>Operating-model productivity, RAW</t>
  </si>
  <si>
    <t>Pod consolidation and one release train — only available where the stream is agile.</t>
  </si>
  <si>
    <t>Agile share of the domain  →  from the Delivery Mode sheet</t>
  </si>
  <si>
    <t>Operating-model productivity, APPLIED</t>
  </si>
  <si>
    <t>Scaling by the agile share is what makes the operating-model gain earned rather than assumed. It costs 2.1 points of Year-1 capability.</t>
  </si>
  <si>
    <t>AI-attributable productivity</t>
  </si>
  <si>
    <t>CAPABILITY EARNED by end of year</t>
  </si>
  <si>
    <t>D.  CARRY-FORWARD AND PRE-LOAD  —  what is applied to headcount</t>
  </si>
  <si>
    <t>Pre-load fraction of the in-year gain</t>
  </si>
  <si>
    <t>Banked from the prior year</t>
  </si>
  <si>
    <t>Pre-load of this year's gain</t>
  </si>
  <si>
    <t>APPLIED TO STAFFING</t>
  </si>
  <si>
    <t>Headcount target  =  baseline x (1 - applied)</t>
  </si>
  <si>
    <t>EXIT YEAR 3 — full realisation, the point the transfer is struck</t>
  </si>
  <si>
    <t>E.  OFFSHORE  —  REBUILT.  A measured start, and a gap that closes.</t>
  </si>
  <si>
    <t>v4 scaled a ceiling by a realisation curve from an assumed near-zero base. v3 tells us the base. The curve now closes the gap between what is true today and the ceiling.</t>
  </si>
  <si>
    <t>Gap closure — share of (ceiling − today) reached</t>
  </si>
  <si>
    <t>Year 1 is 2%: the transition year holds the position it inherits. Movement starts in Year 2, gated on substrate coverage per cluster.</t>
  </si>
  <si>
    <t>TARGET OFFSHORE SHARE, whole team</t>
  </si>
  <si>
    <t>Implied movement from today, in people</t>
  </si>
  <si>
    <t>Negative in later years because the team shrinks faster than the offshore share rises.</t>
  </si>
  <si>
    <t>F.  TRANSFER OF EMPLOYMENT  —  one event, end of Year 3</t>
  </si>
  <si>
    <t>Transfer in year</t>
  </si>
  <si>
    <t>Capgemini to MetLife Japan (FTE)</t>
  </si>
  <si>
    <t>Nothing moves in Years 1 or 2. Co-sourced seats are the transfer population.</t>
  </si>
  <si>
    <t>Capgemini to MetLife MGCC</t>
  </si>
  <si>
    <t>Cumulative transferred</t>
  </si>
  <si>
    <t>G.  COST INDEX  —  relative only, onshore Tokyo E2 = 1.00</t>
  </si>
  <si>
    <t>Location</t>
  </si>
  <si>
    <t>E1</t>
  </si>
  <si>
    <t>E2</t>
  </si>
  <si>
    <t>E3</t>
  </si>
  <si>
    <t>E4</t>
  </si>
  <si>
    <t>E5</t>
  </si>
  <si>
    <t>Onshore Tokyo</t>
  </si>
  <si>
    <t>Offshore Hyderabad</t>
  </si>
  <si>
    <t>Nearshore</t>
  </si>
  <si>
    <t>Nearshore comes from Appendix 3 v3 and is zero on this domain — 19.7 units across the portfolio. Carried so every domain model uses one schema.</t>
  </si>
  <si>
    <t>key</t>
  </si>
  <si>
    <t>ON</t>
  </si>
  <si>
    <t>OFF</t>
  </si>
  <si>
    <t>NEAR</t>
  </si>
  <si>
    <t>Lookup block for the Seat Ledger. Mirrors the table on the left.</t>
  </si>
  <si>
    <t>Sourcing and productivity  —  the same chain, applied differently to each population</t>
  </si>
  <si>
    <t>Productivity is not one number applied to everybody. The three populations do different work and we do not control all three, so each carries its own AI ceiling and its own adoption factor. This is what makes the 50:50 converge on its own rather than by transfer.</t>
  </si>
  <si>
    <t>A.  WHY ONE RATE CANNOT APPLY TO ALL THREE  —  the Year-1 role mix</t>
  </si>
  <si>
    <t>Population</t>
  </si>
  <si>
    <t>Heads Y1</t>
  </si>
  <si>
    <t>BSA</t>
  </si>
  <si>
    <t>Developer</t>
  </si>
  <si>
    <t>Tester</t>
  </si>
  <si>
    <t>Maint.</t>
  </si>
  <si>
    <t>FTC · Capgemini payroll</t>
  </si>
  <si>
    <t>MetLife's own people are governance, domain SME and product ownership. MGCC is build and test. They are not doing the same work, so they cannot carry the same productivity rate.</t>
  </si>
  <si>
    <t>FTE · MetLife Japan</t>
  </si>
  <si>
    <t>MGCC · MetLife MGCC</t>
  </si>
  <si>
    <t>B.  EACH POPULATION'S OWN AI CEILING AND ADOPTION  —  INPUT</t>
  </si>
  <si>
    <t>Own AI ceiling</t>
  </si>
  <si>
    <t>Adoption</t>
  </si>
  <si>
    <t>Effective ceiling</t>
  </si>
  <si>
    <t>vs domain blend</t>
  </si>
  <si>
    <t>ADOPTION is the share of the ceiling each population can actually realise, and it is a judgement about AUTHORITY, not about capability. We build the tooling, set the ways of working and mandate them on our own payroll — so 1.00. Everything below that is somebody else's decision.</t>
  </si>
  <si>
    <t>Domain blended ceiling (unchanged, and still the headline commitment)</t>
  </si>
  <si>
    <t>Only the AI gate is scaled. Classical ADM productivity attaches to the work and the operating-model gain attaches to the delivery unit, so both flow to every population regardless of employer.</t>
  </si>
  <si>
    <t>C.  WHAT EACH POPULATION IS THEREFORE ASKED TO DELIVER</t>
  </si>
  <si>
    <t>Applied to staffing</t>
  </si>
  <si>
    <t>The headline commitment is UNCHANGED from the previous version. What has changed is that it is no longer assumed to fall equally on all three populations.</t>
  </si>
  <si>
    <t>Whole-domain commitment (the headline)</t>
  </si>
  <si>
    <t>D.  THE THREE-WAY COMMITMENT SPLIT</t>
  </si>
  <si>
    <t>CAPGEMINI COMMITS</t>
  </si>
  <si>
    <t>Our own headcount reduction, on our own payroll, on tooling and ways of working we control. This is contractible and we should contract it.</t>
  </si>
  <si>
    <t>METLIFE MUST DELIVER</t>
  </si>
  <si>
    <t>The reduction of MetLife Japan and MGCC headcount. We size it, we enable it and we report it — but redeploying MetLife's own people is MetLife's decision, and MGCC runs to its own utilisation targets. This should be a joint commitment with named owners, not a Capgemini SLA.</t>
  </si>
  <si>
    <t>JOINTLY DEPENDENT</t>
  </si>
  <si>
    <t>AI adoption on MetLife's side: tooling access, shared standards, common telemetry, and the substrate being used rather than merely available. If adoption lands below the factors in section B, the whole-team headcount misses even if Capgemini delivers in full.</t>
  </si>
  <si>
    <t>E.  ORGANIC CONVERGENCE TO 50:50  —  before any transfer</t>
  </si>
  <si>
    <t>Measure</t>
  </si>
  <si>
    <t>MetLife Japan (FTE) — own curve</t>
  </si>
  <si>
    <t>MetLife's populations follow their own slower curves. Capgemini takes the balance, which means we shrink our own book faster than productivity alone would justify. That extra reduction is not a productivity claim — it is a deliberate commercial choice to reach the ratio organically instead of by transferring people.</t>
  </si>
  <si>
    <t>MetLife MGCC — own curve</t>
  </si>
  <si>
    <t>Partner — per the partner plan</t>
  </si>
  <si>
    <t>Capgemini — absorbs the balance</t>
  </si>
  <si>
    <t>TOTAL  =  the headline commitment</t>
  </si>
  <si>
    <t>RATIO — Capgemini share</t>
  </si>
  <si>
    <t xml:space="preserve">  — of which productivity-driven</t>
  </si>
  <si>
    <t xml:space="preserve">  — of which RATIO-DRIVEN, over and above productivity</t>
  </si>
  <si>
    <t>This is the mechanism that halves the transfer. Reaching the ratio by shrinking our own book is cheaper, lower-risk and entirely within our control; a transfer of employment is neither.</t>
  </si>
  <si>
    <t>F.  THE GUARDRAILS  —  where organic convergence has to stop</t>
  </si>
  <si>
    <t>Test</t>
  </si>
  <si>
    <t>Floor</t>
  </si>
  <si>
    <t>THE POINT OF THE FLOOR. If Capgemini becomes a minority of the delivery population, or of the build-and-test seats, or of any single pod, we no longer set the ways of working — and a productivity commitment we cannot enforce is not a commitment. Convergence stops here, and from that year MetLife's population follows the whole-team curve rather than its own slower one.</t>
  </si>
  <si>
    <t>Capgemini share of build-and-test seats</t>
  </si>
  <si>
    <t>Capgemini share inside every single delivery unit</t>
  </si>
  <si>
    <t>held</t>
  </si>
  <si>
    <t>G.  THE TRANSFER  —  only what organic convergence cannot reach</t>
  </si>
  <si>
    <t>Value</t>
  </si>
  <si>
    <t>Exit Year 3 headcount, full realisation</t>
  </si>
  <si>
    <t>Vendor units at exit, after organic convergence</t>
  </si>
  <si>
    <t>Transferable pool — Capgemini payroll only</t>
  </si>
  <si>
    <t>50:50 requires each side to be</t>
  </si>
  <si>
    <t>TRANSFER REQUIRED</t>
  </si>
  <si>
    <t>Maximum transferable at the 70% cap</t>
  </si>
  <si>
    <t>Transfer applied</t>
  </si>
  <si>
    <t xml:space="preserve">  — to MetLife Japan</t>
  </si>
  <si>
    <t xml:space="preserve">  — to MGCC</t>
  </si>
  <si>
    <t>RESIDUAL GAP TO 50:50</t>
  </si>
  <si>
    <t>Ratio reached at the Year-3 exit</t>
  </si>
  <si>
    <t>Delivery mode  —  not everything is a pod on day one</t>
  </si>
  <si>
    <t>Only 4 applications in the whole estate are flagged agile, and Sales has no method data at all. This sheet is where that assumption lives, in the open, as an input.</t>
  </si>
  <si>
    <t>A.  MODE TODAY AND TARGET, BY VALUE STREAM  —  INPUT</t>
  </si>
  <si>
    <t>Value stream</t>
  </si>
  <si>
    <t>Mode today</t>
  </si>
  <si>
    <t>Agile from</t>
  </si>
  <si>
    <t>Why</t>
  </si>
  <si>
    <t>F2FILL · F2F Illustlation</t>
  </si>
  <si>
    <t>Hybrid</t>
  </si>
  <si>
    <t>Q4</t>
  </si>
  <si>
    <t>JP-GSSP is 229.9 of the 230.9. Capgemini is the named incumbent and 55.5 of our 99 inherited people sit here. 1,780 P4 incidents and 669 normal changes in 32 months.</t>
  </si>
  <si>
    <t>MetLife supplied no development method for any Sales application. These four rows are Capgemini planning assumptions, drawn from the platform each stream runs on. They are the single largest unevidenced input in this workbook.</t>
  </si>
  <si>
    <t>BANCA · Banca Illustlation</t>
  </si>
  <si>
    <t>M / D / J / T</t>
  </si>
  <si>
    <t>Q6</t>
  </si>
  <si>
    <t>JP-BANCA 103.5 is unnamed in the vendor mapping and JP-Banca Report 48.7 is where 31.7 of our people are. The VBA illustration tool P02BKE is NCD's and is the drag.</t>
  </si>
  <si>
    <t>AGENT · F2F Agent Enablement</t>
  </si>
  <si>
    <t>WPSCFC-JPN. Capgemini-named, single application, 8.8 of our people.</t>
  </si>
  <si>
    <t>SUPP · F2F SalesSupport</t>
  </si>
  <si>
    <t>M / P / J / T</t>
  </si>
  <si>
    <t>Agile</t>
  </si>
  <si>
    <t>Q2</t>
  </si>
  <si>
    <t>Small, modern, closest to an agile construct already. Remote Closing is ours.</t>
  </si>
  <si>
    <t>B.  AGILE SHARE BY YEAR  —  computed from the quarter each stream converts</t>
  </si>
  <si>
    <t>F2FILL</t>
  </si>
  <si>
    <t>BANCA</t>
  </si>
  <si>
    <t>AGENT</t>
  </si>
  <si>
    <t>SUPP</t>
  </si>
  <si>
    <t>Effort-weighted agile share of the domain</t>
  </si>
  <si>
    <t>Delivery units this produces</t>
  </si>
  <si>
    <t>— agile PODS</t>
  </si>
  <si>
    <t>— agile share (feeds the Logic Tree)</t>
  </si>
  <si>
    <t>— waterfall / hybrid TEAMS</t>
  </si>
  <si>
    <t>C.  WHY THIS MATTERS TO THE NUMBER</t>
  </si>
  <si>
    <t>•  Operating-model productivity — pod consolidation, one release train, span of control — is only available where the stream actually runs as a pod. Scaling the 3 / 6 / 8 / 10 / 12% curve by the agile share turns it from an assumption into an earned outcome, and costs 2.1 points of Year-1 capability.</t>
  </si>
  <si>
    <t>•  The waterfall TEAM is 12 seats with separate analysis and test cells; the agile POD is 10 with the test cell collapsed into SDET seats. That structural difference is what reproduces the 37% tester share Appendix 3 v3 reports — and what makes it fall as streams convert.</t>
  </si>
  <si>
    <t>•  Year 1 runs 7 pods and 28 teams. Year 2 runs 35 pods and 3 teams. By Year 3 there are no teams left. If the conversion slips a year, Year-2 capability falls from 32.4% to about 27% and the whole glidepath moves with it.</t>
  </si>
  <si>
    <t>•  DECIDE  whether we put this profile to MetLife as an assumption to confirm, or ask for the development method data first. Asking is cheap and it removes the largest unevidenced input in the model.</t>
  </si>
  <si>
    <t>AMS and ticket load  —  the run team sized from evidence, for the first time</t>
  </si>
  <si>
    <t>3,807 incidents and 2,979 changes over 32 months, from Appendix 3 v3.</t>
  </si>
  <si>
    <t>A.  RECORDED VOLUMES  —  1 Jan 2024 to 31 Aug 2026</t>
  </si>
  <si>
    <t>Volume</t>
  </si>
  <si>
    <t>Per month</t>
  </si>
  <si>
    <t>Per unit of effort</t>
  </si>
  <si>
    <t>P1 — critical</t>
  </si>
  <si>
    <t>Six incidents at P1 or P2 in 32 months on a 466-unit domain. The load is overwhelmingly P4 and P5 — high volume, low severity, and the profile automation and AIOps address best.</t>
  </si>
  <si>
    <t>P2 — high</t>
  </si>
  <si>
    <t>P3 — medium</t>
  </si>
  <si>
    <t>P4 — low</t>
  </si>
  <si>
    <t>P5 — informational</t>
  </si>
  <si>
    <t>All incidents</t>
  </si>
  <si>
    <t>Emergency change</t>
  </si>
  <si>
    <t>68% of changes are Standard. That is the share a release train and pipeline automation can absorb, and it is the operating-model productivity case in one number.</t>
  </si>
  <si>
    <t>Normal change</t>
  </si>
  <si>
    <t>Standard change</t>
  </si>
  <si>
    <t>All changes</t>
  </si>
  <si>
    <t>Observation window, months</t>
  </si>
  <si>
    <t>B.  TWO INDEPENDENT SIZINGS OF THE RUN TEAM</t>
  </si>
  <si>
    <t>Reading</t>
  </si>
  <si>
    <t>Tickets per analyst per month — INPUT</t>
  </si>
  <si>
    <t>SOLVED, not assumed: this is the throughput that makes the ticket-derived run team equal the Maintenance role MetLife reports. It is the output of the cross-check, not an input to it.</t>
  </si>
  <si>
    <t>Implied run team from incident volume</t>
  </si>
  <si>
    <t>Incidents per month divided by throughput per analyst.</t>
  </si>
  <si>
    <t>Maintenance role reported in Appendix 3 v3</t>
  </si>
  <si>
    <t>MetLife's own count of the Capgemini maintenance population on this domain.</t>
  </si>
  <si>
    <t>Variance between the two</t>
  </si>
  <si>
    <t>Zero by construction. The question is whether 9.05 tickets per analyst per month is credible — see below.</t>
  </si>
  <si>
    <t>Maintenance seats in the Year-1 roster</t>
  </si>
  <si>
    <t>Model output. Wider than the Maintenance role: it includes the horizontal L2, incident and release seats as well as the in-team support seats.</t>
  </si>
  <si>
    <t>C.  WHAT THE TICKET DATA CHANGES</t>
  </si>
  <si>
    <t>•  THE CROSS-CHECK DOES NOT CLOSE, AND THAT IS THE FINDING. MetLife reports 13.1 Capgemini maintenance units against 119 incidents a month — 9 tickets per analyst per month. Industry L2 throughput is 60 to 100. Either run work is being done by people counted as developers, or these tickets carry far more investigation than a normal L2 queue. Both readings matter for how AMS is priced, and neither can be settled from this pack.</t>
  </si>
  <si>
    <t>•  The severity profile is the automation case. 96.8% of incidents are P4 or P5 and 68% of changes are Standard. Those are the categories where MSP benchmarks put MTTR reduction at 20-40% and technician throughput at 15-25%, and they are why the run-phase AI addressable share is set at 40%.</t>
  </si>
  <si>
    <t>•  Ticket density varies by archetype across the portfolio by a factor of four — 6.8 incidents per unit on distributed-proven applications against 25.6 on the long tail. Sales sits at 8.2, which is why its horizontal layer is 13% of the roster against 22% on Contract Management.</t>
  </si>
  <si>
    <t>•  DO  put the throughput question to MetLife. Appendix 3 records 95.3% of this domain's effort as project work and only 4.7% as run, against 3,807 incidents and 2,979 changes in 32 months. Either run work is sitting inside the developer line or the AMS price is wrong. Repeat this cross-check on every domain — Contract Management reports 2,610 incidents against ZERO maintenance units, which cannot be right.</t>
  </si>
  <si>
    <t>Inventory  —  the 13 Sales / Insurance Recruitment applications from Appendix 3 v3</t>
  </si>
  <si>
    <t>Classified by the six-rule classifier on the Golden Application Inventory v4.</t>
  </si>
  <si>
    <t>Application</t>
  </si>
  <si>
    <t>Arch</t>
  </si>
  <si>
    <t>FTC</t>
  </si>
  <si>
    <t>FTE</t>
  </si>
  <si>
    <t>MGCC</t>
  </si>
  <si>
    <t>Onshore</t>
  </si>
  <si>
    <t>Offshore</t>
  </si>
  <si>
    <t>Offsh %</t>
  </si>
  <si>
    <t>Dev</t>
  </si>
  <si>
    <t>Mnt</t>
  </si>
  <si>
    <t>PM</t>
  </si>
  <si>
    <t>Oth</t>
  </si>
  <si>
    <t>AD %</t>
  </si>
  <si>
    <t>Crit</t>
  </si>
  <si>
    <t>Cloud</t>
  </si>
  <si>
    <t>Prio</t>
  </si>
  <si>
    <t>Incidents</t>
  </si>
  <si>
    <t>Changes</t>
  </si>
  <si>
    <t>Primary code language</t>
  </si>
  <si>
    <t>JP-GSSP</t>
  </si>
  <si>
    <t>Y</t>
  </si>
  <si>
    <t>Yes</t>
  </si>
  <si>
    <t>JAVA;JavaScript</t>
  </si>
  <si>
    <t>JP-BANCA</t>
  </si>
  <si>
    <t>N</t>
  </si>
  <si>
    <t>JavaScript;JAVA</t>
  </si>
  <si>
    <t>JP-Banca Report</t>
  </si>
  <si>
    <t>JAVA</t>
  </si>
  <si>
    <t>WPSCFC-JPN</t>
  </si>
  <si>
    <t>Other#APEX;HTML;JavaScript</t>
  </si>
  <si>
    <t>P02BKE-JPN</t>
  </si>
  <si>
    <t>No</t>
  </si>
  <si>
    <t>Other#VBA</t>
  </si>
  <si>
    <t>JP - Remote Closing</t>
  </si>
  <si>
    <t>WAAATF-JPN</t>
  </si>
  <si>
    <t>W08NAV-JPN</t>
  </si>
  <si>
    <t>VB</t>
  </si>
  <si>
    <t>W09WSD-JPN BIS</t>
  </si>
  <si>
    <t>VB.NET</t>
  </si>
  <si>
    <t>Distribution Systems - Internal</t>
  </si>
  <si>
    <t>WGLRPC-JPN</t>
  </si>
  <si>
    <t>IVR Tekigosei</t>
  </si>
  <si>
    <t>Other#N/A</t>
  </si>
  <si>
    <t>WCC</t>
  </si>
  <si>
    <t>JAVA;HTML5;JavaScript</t>
  </si>
  <si>
    <t>TOTAL</t>
  </si>
  <si>
    <t>Note — development method, specification language, lines of code, screens, batches, APIs and file interfaces are BLANK for all 13 applications in this domain. They are omitted here rather than shown as empty columns. See the README.</t>
  </si>
  <si>
    <t>Four value streams  —  MetLife's own taxonomy, reconciling to 13 applications and 466.472 units</t>
  </si>
  <si>
    <t>New in v6. The streams we invented in v4 and v5 are replaced by the ones MetLife uses, so the pod plan is readable against the client's own map of the estate.</t>
  </si>
  <si>
    <t>Code</t>
  </si>
  <si>
    <t>Y1 pods</t>
  </si>
  <si>
    <t>Vendor today</t>
  </si>
  <si>
    <t>CG heads today</t>
  </si>
  <si>
    <t>F2F Illustlation</t>
  </si>
  <si>
    <t>5 + 13t</t>
  </si>
  <si>
    <t>CG 151.8 · unnamed 0.4</t>
  </si>
  <si>
    <t>Banca Illustlation</t>
  </si>
  <si>
    <t>0 + 12t</t>
  </si>
  <si>
    <t>10 + 3t</t>
  </si>
  <si>
    <t>NCD 13.6 · FSI 0.8 · unnamed 83.0</t>
  </si>
  <si>
    <t>F2F Agent Enablement</t>
  </si>
  <si>
    <t>1 + 2t</t>
  </si>
  <si>
    <t>CG 20.8</t>
  </si>
  <si>
    <t>F2F SalesSupport</t>
  </si>
  <si>
    <t>1 + 1t</t>
  </si>
  <si>
    <t>NCD 9.5 · CG 4.6 · unnamed 0.0</t>
  </si>
  <si>
    <t>Pod counts read 'pods + teams'. A team is a 12-seat waterfall / hybrid delivery cell; a pod is a 10-seat agile unit falling to 6 by Year 4. Teams are gone by Year 3. 'CG heads today' is the inherited Capgemini population from the T3 reconciliation behind Golden Inventory v4 — 99 people, 56% of them on the F2F Illustlation stream and specifically on JP-GSSP.</t>
  </si>
  <si>
    <t>Pod library  —  every seat, with MetLife's own role taxonomy as the primary attribute</t>
  </si>
  <si>
    <t>INPUT. Role (BSA / DEV / TEST / MNT / PM / OTH) is what Year 1 reconciles on. The detail column is the Capgemini role name and carries no arithmetic.</t>
  </si>
  <si>
    <t>Year</t>
  </si>
  <si>
    <t>Unit</t>
  </si>
  <si>
    <t>Seat</t>
  </si>
  <si>
    <t>Role detail</t>
  </si>
  <si>
    <t>Role</t>
  </si>
  <si>
    <t>Exp</t>
  </si>
  <si>
    <t>Loc</t>
  </si>
  <si>
    <t>Sourcing</t>
  </si>
  <si>
    <t>Count</t>
  </si>
  <si>
    <t>People in the block</t>
  </si>
  <si>
    <t>POD</t>
  </si>
  <si>
    <t>MetLife Product Owner</t>
  </si>
  <si>
    <t>MGCC Engineer</t>
  </si>
  <si>
    <t>DEV</t>
  </si>
  <si>
    <t>Business Analyst (bilingual)</t>
  </si>
  <si>
    <t>Pod lead / senior engineer</t>
  </si>
  <si>
    <t>Engineer</t>
  </si>
  <si>
    <t>Quality Engineer (SDET)</t>
  </si>
  <si>
    <t>TEST</t>
  </si>
  <si>
    <t>Application Support</t>
  </si>
  <si>
    <t>MNT</t>
  </si>
  <si>
    <t>POD size — Year 1</t>
  </si>
  <si>
    <t>TEAM</t>
  </si>
  <si>
    <t>MetLife Domain SME</t>
  </si>
  <si>
    <t>MetLife Operations Analyst</t>
  </si>
  <si>
    <t>MGCC Developer</t>
  </si>
  <si>
    <t>MGCC Test Engineer</t>
  </si>
  <si>
    <t>Developer / technical lead</t>
  </si>
  <si>
    <t>Test Lead / onshore tester</t>
  </si>
  <si>
    <t>Test Engineer</t>
  </si>
  <si>
    <t>TEAM size — Year 1</t>
  </si>
  <si>
    <t>AI Orchestrator</t>
  </si>
  <si>
    <t>OTH</t>
  </si>
  <si>
    <t>AI-assisted engineer</t>
  </si>
  <si>
    <t>POD size — Year 2</t>
  </si>
  <si>
    <t>Test Engineer (SDET)</t>
  </si>
  <si>
    <t>TEAM size — Year 2</t>
  </si>
  <si>
    <t>Pod lead (onshore)</t>
  </si>
  <si>
    <t>POD size — Year 3</t>
  </si>
  <si>
    <t>Agent engineer</t>
  </si>
  <si>
    <t>POD size — Year 4</t>
  </si>
  <si>
    <t>POD size — Year 5</t>
  </si>
  <si>
    <t>Year-5 pods use the Year-4 anatomy.</t>
  </si>
  <si>
    <t>The seat ratio in column J is the modelling quantity — the share of one unit's establishment this role holds. Column K is what you hire: the ratio multiplied by the number of units that year. Every value in column K is a whole number of people, or a half where one person covers two units inside this domain.</t>
  </si>
  <si>
    <t>Pod plan  —  how many pods and how many waterfall teams, per stream per year</t>
  </si>
  <si>
    <t>INPUT. This is where productivity shows up in the headcount, and where the agile conversion shows up in the unit mix.</t>
  </si>
  <si>
    <t>VS</t>
  </si>
  <si>
    <t>Pods</t>
  </si>
  <si>
    <t>Teams</t>
  </si>
  <si>
    <t>Units</t>
  </si>
  <si>
    <t>People</t>
  </si>
  <si>
    <t>Year 1 total</t>
  </si>
  <si>
    <t>Year 2 total</t>
  </si>
  <si>
    <t>Year 3 total</t>
  </si>
  <si>
    <t>Year 4 total</t>
  </si>
  <si>
    <t>Year 5 total</t>
  </si>
  <si>
    <t>Horizontal teams  —  work that is not stream-bounded</t>
  </si>
  <si>
    <t>INPUT, defined per year rather than scaled, because the sourcing mix inside the horizontal layer changes as MetLife's own population follows a slower reduction curve than Capgemini's.</t>
  </si>
  <si>
    <t>Team</t>
  </si>
  <si>
    <t>H1</t>
  </si>
  <si>
    <t>Service Delivery Manager</t>
  </si>
  <si>
    <t>Release &amp; Environment Manager</t>
  </si>
  <si>
    <t>L2 Application Support</t>
  </si>
  <si>
    <t>Incident &amp; Problem Analyst</t>
  </si>
  <si>
    <t>Observability / AIOps Engineer</t>
  </si>
  <si>
    <t>Platform &amp; Integration Engineer</t>
  </si>
  <si>
    <t>Offshore Engineering Lead</t>
  </si>
  <si>
    <t>MGCC Platform SRE</t>
  </si>
  <si>
    <t>MetLife Service Owner</t>
  </si>
  <si>
    <t>MetLife Distribution Ops Analyst</t>
  </si>
  <si>
    <t>H2</t>
  </si>
  <si>
    <t>Head of Quality Engineering</t>
  </si>
  <si>
    <t>Test Architect</t>
  </si>
  <si>
    <t>Performance Test Engineer</t>
  </si>
  <si>
    <t>Regression Automation Engineer</t>
  </si>
  <si>
    <t>Test Automation Principal</t>
  </si>
  <si>
    <t>Test Data Engineer</t>
  </si>
  <si>
    <t>MGCC Regression Automation</t>
  </si>
  <si>
    <t>MetLife Test Governance</t>
  </si>
  <si>
    <t>MetLife Data &amp; Reporting Analyst</t>
  </si>
  <si>
    <t>H3</t>
  </si>
  <si>
    <t>Domain Delivery Head</t>
  </si>
  <si>
    <t>Release Train Engineer</t>
  </si>
  <si>
    <t>Service &amp; Contract Manager</t>
  </si>
  <si>
    <t>Transition &amp; Substrate Lead</t>
  </si>
  <si>
    <t>MetLife Chief Architect — Sales</t>
  </si>
  <si>
    <t>MetLife Distribution Governance</t>
  </si>
  <si>
    <t>MetLife Portfolio Manager</t>
  </si>
  <si>
    <t>Year 1 horizontal total</t>
  </si>
  <si>
    <t>Year 2 horizontal total</t>
  </si>
  <si>
    <t>Year 3 horizontal total</t>
  </si>
  <si>
    <t>Year 4 horizontal total</t>
  </si>
  <si>
    <t>Year 5 horizontal total</t>
  </si>
  <si>
    <t>H1 is sized from the Maintenance role and cross-checked against ticket volume on the AMS sheet. H2 carries the regression and test-data factory that the 37% tester share depends on. H3 is deliberately thin. The layer is now defined year by year rather than tapered by a single factor, because Capgemini and MetLife seats inside it shrink at different rates.</t>
  </si>
  <si>
    <t>Team build-up  —  and the Year-1 reconciliation to Appendix 3 v3</t>
  </si>
  <si>
    <t>Nothing on this sheet is typed. Section B is the test that matters: the roster has to be the client's own Year-1 position on effort, sourcing, location AND role.</t>
  </si>
  <si>
    <t>A.  HEADCOUNT</t>
  </si>
  <si>
    <t>People in agile pods</t>
  </si>
  <si>
    <t>People in waterfall / hybrid teams</t>
  </si>
  <si>
    <t>People in horizontal teams</t>
  </si>
  <si>
    <t>TOTAL PEOPLE</t>
  </si>
  <si>
    <t>Delivery units — pods / teams</t>
  </si>
  <si>
    <t>Headcount target from the Logic Tree</t>
  </si>
  <si>
    <t>Variance to target</t>
  </si>
  <si>
    <t>B.  YEAR-1 RECONCILIATION TO APPENDIX 3 v3  —  the test of the whole rebuild</t>
  </si>
  <si>
    <t>Model Year 1</t>
  </si>
  <si>
    <t>Variance</t>
  </si>
  <si>
    <t>Total effort / people</t>
  </si>
  <si>
    <t>Whole-domain size.</t>
  </si>
  <si>
    <t>Capgemini FTC</t>
  </si>
  <si>
    <t>The contracted population.</t>
  </si>
  <si>
    <t>MetLife Japan FTE</t>
  </si>
  <si>
    <t>MetLife's own people inside the delivery units.</t>
  </si>
  <si>
    <t>MetLife MGCC</t>
  </si>
  <si>
    <t>Already offshore, already delivering.</t>
  </si>
  <si>
    <t>Capgemini onshore Tokyo</t>
  </si>
  <si>
    <t>MEASURED, not assumed. It was a Capgemini assumption in v4.</t>
  </si>
  <si>
    <t>Capgemini offshore</t>
  </si>
  <si>
    <t>37.6% of the Capgemini population, and 97 of these 107.2 seats are people we already have.</t>
  </si>
  <si>
    <t>Role — BSA</t>
  </si>
  <si>
    <t>Bilingual analysis. The scarcest capability.</t>
  </si>
  <si>
    <t>Role — Developer</t>
  </si>
  <si>
    <t>Includes working technical leads — see the README.</t>
  </si>
  <si>
    <t>Role — Tester</t>
  </si>
  <si>
    <t>37% of the Capgemini population. This is the waterfall signature.</t>
  </si>
  <si>
    <t>Role — Maintenance</t>
  </si>
  <si>
    <t>Cross-checked against ticket volume on the AMS sheet.</t>
  </si>
  <si>
    <t>Role — PM</t>
  </si>
  <si>
    <t>1.3% of the population. There is almost no management layer today.</t>
  </si>
  <si>
    <t>Role — Other</t>
  </si>
  <si>
    <t>Architecture and enablement.</t>
  </si>
  <si>
    <t>Largest absolute variance</t>
  </si>
  <si>
    <t>Twelve independent quantities, none of them tuned to each other. This is what the v2 pack could not test.</t>
  </si>
  <si>
    <t>C.  SOURCING AND LOCATION</t>
  </si>
  <si>
    <t>Capgemini (FTC)</t>
  </si>
  <si>
    <t>MetLife Japan (FTE)</t>
  </si>
  <si>
    <t>Offshore share, whole team</t>
  </si>
  <si>
    <t>Target from the Logic Tree</t>
  </si>
  <si>
    <t>Onshore-bound floor — MetLife retained seats</t>
  </si>
  <si>
    <t>D.  ROLE MIX  —  MetLife's taxonomy, all sourcing types</t>
  </si>
  <si>
    <t>BSA — business and systems analysis</t>
  </si>
  <si>
    <t>Maintenance</t>
  </si>
  <si>
    <t>PM and product ownership</t>
  </si>
  <si>
    <t>Other — architecture and enablement</t>
  </si>
  <si>
    <t>Tester share of the team</t>
  </si>
  <si>
    <t>29% in Year 1 falling to 15% by Year 5 — the separate test cell collapsing into the pods.</t>
  </si>
  <si>
    <t>E.  EXPERIENCE MIX</t>
  </si>
  <si>
    <t>Band</t>
  </si>
  <si>
    <t>Senior share (E4 + E5)</t>
  </si>
  <si>
    <t>The 99 Capgemini people already on these applications  —  and how they reshape themselves</t>
  </si>
  <si>
    <t>New in v6. Supply comes from the T3 headcount reconciliation behind Golden Inventory v4. Demand comes from the seat ledger. The difference is the hiring, promotion and reskilling plan.</t>
  </si>
  <si>
    <t>A.  WHERE THE NUMBER COMES FROM</t>
  </si>
  <si>
    <t>Source</t>
  </si>
  <si>
    <t>What it is used for</t>
  </si>
  <si>
    <t>Billing details — named individuals</t>
  </si>
  <si>
    <t>THE COUNT. 277 de-duplicated employee IDs across T3, DMO and JET, each with a location and a Capgemini grade.</t>
  </si>
  <si>
    <t>Mapping of current Capgemini staff — billable FTE</t>
  </si>
  <si>
    <t>THE ROLE MIX and the grade ladder. Developer → Developer, Cloud Engineer → Maintenance, Testers → Tester, BSA / Scrum Master / Functional Analyst → BSA, Tech Lead / Solution Architect → Other.</t>
  </si>
  <si>
    <t>EAIs.xlsx — 'CG HC by EAI'</t>
  </si>
  <si>
    <t>THE SHAPE of the application-level distribution, rescaled to 277 and capped at each application's own vendor FTC.</t>
  </si>
  <si>
    <t>EAIs.xlsx Sheet1 — direct EAI tags</t>
  </si>
  <si>
    <t>Cross-check only. Double-counts people serving more than one application.</t>
  </si>
  <si>
    <t>Of the 277, allocated to Sales applications</t>
  </si>
  <si>
    <t>97 in India, 2 in Japan. 45 of the 277 sit in cross-domain teams with no application mapping and are excluded from every domain.</t>
  </si>
  <si>
    <t>Capgemini grade → experience band: A4/A5 → E1 · B1/B2 → E2 · C1 and Sub-Con → E3 · C2/D1 → E4 · D2/E1 → E5. Location is binary: Japan → onshore, everything else → India / offshore.</t>
  </si>
  <si>
    <t>B.  WHERE THEY SIT TODAY</t>
  </si>
  <si>
    <t>56% of the inherited population sits on one application. JP-GSSP is also 49% of the domain's effort, so the concentration is real rather than an artefact of the allocation.</t>
  </si>
  <si>
    <t>C.  THE EVOLUTION MECHANIC  —  INPUT</t>
  </si>
  <si>
    <t>Attrition — offshore</t>
  </si>
  <si>
    <t>Attrition — onshore</t>
  </si>
  <si>
    <t>Promotion out of band</t>
  </si>
  <si>
    <t>Attrition is applied first and promotion to the survivors. Both rates are steepest at the junior bands, which is the shape of the Indian IT market. These two numbers do most of the pyramid-to-diamond work and they are the ones to challenge.</t>
  </si>
  <si>
    <t>D.  THE COHORT ROLLED FORWARD</t>
  </si>
  <si>
    <t>Inherited people surviving</t>
  </si>
  <si>
    <t xml:space="preserve">  — E1</t>
  </si>
  <si>
    <t xml:space="preserve">  — E2</t>
  </si>
  <si>
    <t xml:space="preserve">  — E3</t>
  </si>
  <si>
    <t xml:space="preserve">  — E4</t>
  </si>
  <si>
    <t xml:space="preserve">  — E5</t>
  </si>
  <si>
    <t>Senior share  (E4 + E5)</t>
  </si>
  <si>
    <t>8.1% senior on day one, 34.3% by Year 5. Nobody is instructed to reshape anything — attrition removes juniors faster and promotion moves the survivors up. This is the pyramid-to-diamond claim, and here it is a derivation rather than an assertion.</t>
  </si>
  <si>
    <t xml:space="preserve">  — in Japan</t>
  </si>
  <si>
    <t xml:space="preserve">  — in India</t>
  </si>
  <si>
    <t>E.  SUPPLY AGAINST DEMAND  —  offshore, where 97 of the 99 sit</t>
  </si>
  <si>
    <t>Offshore Capgemini seats the design asks for</t>
  </si>
  <si>
    <t>Inherited people still there</t>
  </si>
  <si>
    <t>Covered by people we already have</t>
  </si>
  <si>
    <t>To hire, redeploy or reskill</t>
  </si>
  <si>
    <t>F.  BAND BY BAND  —  the seats we designed against the people we hold, offshore</t>
  </si>
  <si>
    <t>Seats the design asks for</t>
  </si>
  <si>
    <t>People we already have</t>
  </si>
  <si>
    <t>Gap  —  positive is a hire</t>
  </si>
  <si>
    <t>Year 1 is the tight one and it fits: 97 people against 107.2 offshore seats, with the band mix within two people at every level except E2, where we need 7.5 more than we hold. The Year-2 E2 surplus of 6.7 and the Year-4 E3 surplus of 7.8 are the two places the inherited population genuinely disturbs the target shape — both are absorbed by promotion into the band above, and both are reported here rather than netted away.</t>
  </si>
  <si>
    <t>G.  WHAT THIS MEANS FOR THE SOLUTION</t>
  </si>
  <si>
    <t>•  The Year-1 offshore team is real. 97 of the 107.2 offshore Capgemini seats are filled by people who are on the payroll today, on these applications, with the band mix the design now asks for. That is a transition risk removed, and it is the strongest continuity argument this domain has.</t>
  </si>
  <si>
    <r>
      <rPr>
        <sz val="9.5"/>
        <rFont val="Arial"/>
        <charset val="1"/>
      </rPr>
      <t xml:space="preserve">•  The Year-1 onshore team is not. 177.2 bilingual onshore seats against 2 inherited people in Japan. Every one of the rest is a hire or a redeployment into Tokyo, and it is the largest single delivery risk in this </t>
    </r>
    <r>
      <rPr>
        <sz val="9.5"/>
        <rFont val="Noto Sans CJK SC"/>
        <family val="2"/>
      </rPr>
      <t>領域</t>
    </r>
    <r>
      <rPr>
        <sz val="9.5"/>
        <rFont val="Arial"/>
        <charset val="1"/>
      </rPr>
      <t>.</t>
    </r>
  </si>
  <si>
    <t>•  185 of the 284.5 vendor units are not people we hold. Capgemini is the named incumbent on 177.3 units but carries only 99 heads against them; 83.4 units sit with unnamed vendors, 23.0 with NCD, 0.8 with FSI. Year 1 assumes Capgemini staffs all of it from day one, and it is priced as a hire, not a rebadge.</t>
  </si>
  <si>
    <t>•  The diamond is earned rather than asserted. Senior share rises from 8.1% to 34.3% on attrition and promotion alone. Where the inherited shape and the target shape disagree — Year 2 at E2, Year 4 at E3 — the model follows the people and records the deviation, because the tenet is a direction of travel and not a constraint.</t>
  </si>
  <si>
    <t>Glidepath  —  capability, carry-forward, offshore, and one transfer at the end of Year 3</t>
  </si>
  <si>
    <t>Year 1 passes nothing through. The transfer is struck on the exit position at full realisation.</t>
  </si>
  <si>
    <t>A.  BASELINE</t>
  </si>
  <si>
    <t>MetLife FTE</t>
  </si>
  <si>
    <t>Offshore today — whole team, measured</t>
  </si>
  <si>
    <t>43.1% offshore on day one. In v4 this was modelled as a ramp from near zero, which was the single largest error the v3 pack exposes.</t>
  </si>
  <si>
    <t>B.  PRODUCTIVITY</t>
  </si>
  <si>
    <t>Agile share of the domain</t>
  </si>
  <si>
    <t>Capability earned by end of year</t>
  </si>
  <si>
    <t>Banked from prior year</t>
  </si>
  <si>
    <t>Year 1 applies nothing: the capability the tree allows is consumed by transition, substrate build and the agile conversion itself.</t>
  </si>
  <si>
    <t>Headcount target</t>
  </si>
  <si>
    <t>Headcount delivered by the design</t>
  </si>
  <si>
    <t>Delivered productivity vs baseline</t>
  </si>
  <si>
    <t>C.  OFFSHORE</t>
  </si>
  <si>
    <t>Delivered — bottom-up from seat locations</t>
  </si>
  <si>
    <t>Target — today plus the closed gap</t>
  </si>
  <si>
    <t>Onshore-bound floor — the maximum reachable</t>
  </si>
  <si>
    <t>Movement from today, in people</t>
  </si>
  <si>
    <t>The offshore SHARE rises every year while the offshore HEADCOUNT falls from Year 2. Both are true and only the second one costs anything.</t>
  </si>
  <si>
    <t>D.  THE 50:50</t>
  </si>
  <si>
    <t>Total people</t>
  </si>
  <si>
    <t>MetLife side total</t>
  </si>
  <si>
    <t>Transferred this year</t>
  </si>
  <si>
    <t>Years 1-3 are the pre-transfer position. Year 4 and Year 5 already carry the transferred seats as MetLife, inside the pods.</t>
  </si>
  <si>
    <t>E.  THE TRANSFER SOLVE</t>
  </si>
  <si>
    <t>15 people: 5 to MetLife Japan and 10 to MGCC. In the previous version it was 29. Organic convergence — MetLife's populations on their own slower curves, Capgemini absorbing the balance — does the rest, and it does it without anyone changing employer.</t>
  </si>
  <si>
    <t>Capgemini share at the exit position</t>
  </si>
  <si>
    <t>Capgemini FTC at exit, before transfer</t>
  </si>
  <si>
    <t>Co-sourced seats are the transfer population. No pod is broken.</t>
  </si>
  <si>
    <t>Transfer applied in the model</t>
  </si>
  <si>
    <t>F.  WHAT THIS DOMAIN NOW SHOWS</t>
  </si>
  <si>
    <t>•  The productivity case survived the new data almost untouched: 44.99% AI ceiling against 44.73%, and an applied glidepath of 0 / 22.9 / 37.9 / 46.4 / 51.4% against 0 / 24.1 / 37.9 / 46.2 / 51.2%. Six archetypes instead of four changed the segmentation and not the answer.</t>
  </si>
  <si>
    <t>•  The offshore case changed completely. 43.1% of this domain is already delivered offshore or by MGCC. We are not proposing to move work offshore — we are proposing to move it from 43% to 63% while the team halves.</t>
  </si>
  <si>
    <t>•  The staffing case changed completely. A 37% tester share and a 1.3% PM share are not what any pod model would have invented, and both are now facts the Year-1 roster has to reproduce.</t>
  </si>
  <si>
    <t>•  The transfer nearly doubles, from 16 to 29, because the baseline grew and because holding the sourcing proportions steady through Year 3 is the honest thing to do rather than letting FTC fall faster than MGCC.</t>
  </si>
  <si>
    <t>Cost and commercial position — relative index pending the rate card</t>
  </si>
  <si>
    <t>Onshore Tokyo E2 = 1.00. Unit cost divides by the frozen baseline effort.</t>
  </si>
  <si>
    <t>A.  TOTAL COST OF DELIVERING THE DOMAIN</t>
  </si>
  <si>
    <t>Total cost index</t>
  </si>
  <si>
    <t>Headcount</t>
  </si>
  <si>
    <t>Average cost per head</t>
  </si>
  <si>
    <t>Cost per unit of frozen scope</t>
  </si>
  <si>
    <t>Unit cost reduction vs Year 1</t>
  </si>
  <si>
    <t>B.  CAPGEMINI POSITION</t>
  </si>
  <si>
    <t>Capgemini heads</t>
  </si>
  <si>
    <t>Capgemini cost index</t>
  </si>
  <si>
    <t>Capgemini position vs Year 1</t>
  </si>
  <si>
    <t>C.  COST BY LOCATION, BAND AND ROLE</t>
  </si>
  <si>
    <t>Split</t>
  </si>
  <si>
    <t>Onshore Tokyo — cost index</t>
  </si>
  <si>
    <t>Offshore — cost index</t>
  </si>
  <si>
    <t>Nearshore — cost index</t>
  </si>
  <si>
    <t>Onshore share of cost</t>
  </si>
  <si>
    <t>BSA — business and systems analysis — cost index</t>
  </si>
  <si>
    <t>Developer — cost index</t>
  </si>
  <si>
    <t>Tester — cost index</t>
  </si>
  <si>
    <t>Maintenance — cost index</t>
  </si>
  <si>
    <t>PM and product ownership — cost index</t>
  </si>
  <si>
    <t>Other — architecture and enablement — cost index</t>
  </si>
  <si>
    <t>The role view is new in v5 and it is the one Pricing will want: it says what each of MetLife's own six role lines costs, which is the natural unit for a per-role rate card.</t>
  </si>
  <si>
    <t>Seat ledger  —  every pod-library line multiplied out, plus every horizontal seat</t>
  </si>
  <si>
    <t>Computed. Every roll-up in this workbook is a SUMIFS over this one table. Do not edit.</t>
  </si>
  <si>
    <t>Origin</t>
  </si>
  <si>
    <t>Type</t>
  </si>
  <si>
    <t>Seats/unit</t>
  </si>
  <si>
    <t>Heads</t>
  </si>
  <si>
    <t>Cost index</t>
  </si>
  <si>
    <t>HZ</t>
  </si>
  <si>
    <t>SIT loading  —  turning fractional FTE into whole people and whole months</t>
  </si>
  <si>
    <t>The seat ledger is a demand model, not a roster. A line of 1.38 heads is 16.6 person-months of demand spread across several pods. This sheet converts that into something SIT can load without inventing or losing people.</t>
  </si>
  <si>
    <t>A.  WHY YOU CANNOT ROUND THE SEAT LEDGER</t>
  </si>
  <si>
    <t>Approach</t>
  </si>
  <si>
    <t>Modelled FTE (the commercial number)</t>
  </si>
  <si>
    <t>Round every ledger row UP to whole heads</t>
  </si>
  <si>
    <t>INFLATES Year 1 by 50 people — 11%. 242 ledger rows each round up by up to 0.99 of a person.</t>
  </si>
  <si>
    <t>Round every ledger row to nearest</t>
  </si>
  <si>
    <t>Total is roughly right but every individual line is wrong, and the FTC / FTE / MGCC split drifts. It also implies each pod has its own dedicated architect, tester and support engineer.</t>
  </si>
  <si>
    <t>This sheet — aggregate first, then whole people and months</t>
  </si>
  <si>
    <t>Exact on total, on each sourcing type and on person-months.</t>
  </si>
  <si>
    <t>B.  THE RULE</t>
  </si>
  <si>
    <t>Aggregate the ledger to the level at which a person is actually hired — year x role x band x location x sourcing — and only then convert to bodies. A pod seat of 0.23 is not a person; the same role summed across six pods is.</t>
  </si>
  <si>
    <t>Treatment</t>
  </si>
  <si>
    <t>When it applies</t>
  </si>
  <si>
    <t>How SIT loads it</t>
  </si>
  <si>
    <t>Example</t>
  </si>
  <si>
    <t>RAMPED</t>
  </si>
  <si>
    <t>Delivery roles — engineers, testers, analysts inside pods and teams. The work is divisible over time and people join and leave pods.</t>
  </si>
  <si>
    <t>floor(FTE) people for 12 months, plus one person for the remaining months.</t>
  </si>
  <si>
    <t>7.73 FTE  =  7 people all year  +  1 person for 8.7 months</t>
  </si>
  <si>
    <t>SHARED</t>
  </si>
  <si>
    <t>Roles that need continuous presence — leads, architects, service delivery managers, PMO — and any line below 0.5 FTE.</t>
  </si>
  <si>
    <t>One person at a partial allocation for the whole year, the balance of their time on another domain.</t>
  </si>
  <si>
    <t>0.95 FTE  =  1 Chief Architect at 95%, 5% elsewhere</t>
  </si>
  <si>
    <t>Both give identical person-months. Neither loads a partial person into a month and neither allocates anybody above 100%. Person-months is the invariant SIT must reproduce: FTE x 12.</t>
  </si>
  <si>
    <t>C.  RECONCILIATION  —  what SIT must tie back to</t>
  </si>
  <si>
    <t>Note</t>
  </si>
  <si>
    <t>Modelled FTE</t>
  </si>
  <si>
    <t>From the seat ledger. This is the commercial number and it does not change.</t>
  </si>
  <si>
    <t>Person-months  =  FTE x 12</t>
  </si>
  <si>
    <t>THE INVARIANT. SIT's monthly loading must sum to this.</t>
  </si>
  <si>
    <t>Bodies to requisition</t>
  </si>
  <si>
    <t>Named people. Higher than FTE because some are part-year or part-allocated.</t>
  </si>
  <si>
    <t xml:space="preserve">  — of which full-time, all year</t>
  </si>
  <si>
    <t>The core roster. Everything else is a partial assignment.</t>
  </si>
  <si>
    <t>Average allocation across all bodies</t>
  </si>
  <si>
    <t>If this drops below about 70% the pod design is too fragmented — check it.</t>
  </si>
  <si>
    <t>D.  THE REQUISITION PLAN  —  load these lines into SIT</t>
  </si>
  <si>
    <t>Unit type</t>
  </si>
  <si>
    <t>Person-months</t>
  </si>
  <si>
    <t>Full-time heads</t>
  </si>
  <si>
    <t>+1 head for (months)</t>
  </si>
  <si>
    <t>Allocation of the part head</t>
  </si>
  <si>
    <t>Delivery</t>
  </si>
  <si>
    <t>Horizontal</t>
  </si>
  <si>
    <r>
      <rPr>
        <sz val="8.5"/>
        <color rgb="FF595959"/>
        <rFont val="Arial"/>
        <charset val="1"/>
      </rPr>
      <t xml:space="preserve">Full-time heads x 12  +  the part-head months  =  person-months, exactly. Check it against section C before loading. Lines marked SHARED are the ones to pool across domains at portfolio level before anybody is recruited — otherwise every </t>
    </r>
    <r>
      <rPr>
        <sz val="8.5"/>
        <color rgb="FF595959"/>
        <rFont val="Noto Sans CJK SC"/>
        <family val="2"/>
      </rPr>
      <t xml:space="preserve">領域 </t>
    </r>
    <r>
      <rPr>
        <sz val="8.5"/>
        <color rgb="FF595959"/>
        <rFont val="Arial"/>
        <charset val="1"/>
      </rPr>
      <t>requisitions its own fraction of the same architect.</t>
    </r>
  </si>
  <si>
    <t>Unit cost sensitivity  —  four levers now, not three</t>
  </si>
  <si>
    <t>Productivity, offshore share and seniority as before, plus the agile conversion, which is new in v5 and which the other three all depend on.</t>
  </si>
  <si>
    <t>A.  THE MODEL  —  unit cost = k x (1 - productivity) x average cost per head</t>
  </si>
  <si>
    <t>average cost per head = offshore x [senior x OFF_SR + (1-senior) x OFF_JM] + onshore x [senior x ON_SR + (1-senior) x ON_JM]</t>
  </si>
  <si>
    <t>B.  TIER COST PARAMETERS  —  from the Year-5 roster</t>
  </si>
  <si>
    <t>Tier</t>
  </si>
  <si>
    <t>Junior / mid  (E1-E3)</t>
  </si>
  <si>
    <t>Senior  (E4-E5)</t>
  </si>
  <si>
    <t>C.  BASE CASE</t>
  </si>
  <si>
    <t>Delivered productivity</t>
  </si>
  <si>
    <t>Whole-team offshore share</t>
  </si>
  <si>
    <t>Senior share (E4+E5)</t>
  </si>
  <si>
    <t>Agile share</t>
  </si>
  <si>
    <t>Unit cost index — actual</t>
  </si>
  <si>
    <t>Unit cost index — two-tier formula</t>
  </si>
  <si>
    <t>CALIBRATION  k  =  actual / formula, at Year 5</t>
  </si>
  <si>
    <t>D.  GRID  —  offshore share x productivity, at the Year-5 senior share</t>
  </si>
  <si>
    <t>Offshore v   Productivity &gt;</t>
  </si>
  <si>
    <t>E.  TORNADO  —  one lever at a time, +/- 10 points from the Year-5 base</t>
  </si>
  <si>
    <t>Lever</t>
  </si>
  <si>
    <t>-10 points</t>
  </si>
  <si>
    <t>Base</t>
  </si>
  <si>
    <t>+10 points</t>
  </si>
  <si>
    <t>Swing</t>
  </si>
  <si>
    <t>Productivity</t>
  </si>
  <si>
    <t>Scales unit cost one for one. The only linear lever.</t>
  </si>
  <si>
    <t>Offshore share</t>
  </si>
  <si>
    <t>Second largest — and now bounded by a measured start rather than an assumed one.</t>
  </si>
  <si>
    <t>Senior share</t>
  </si>
  <si>
    <t>Works against the other two. A richer shape gives back part of what offshore wins.</t>
  </si>
  <si>
    <t>Agile conversion — the fourth lever</t>
  </si>
  <si>
    <t>Not a direct term in the unit-cost formula. It works through productivity: the operating-model component is scaled by the agile share, so a one-year slip in the conversion costs about 5 points of Year-2 capability and roughly 0.05 of the unit cost index. It is the lever with the longest lead time and the least evidence behind it.</t>
  </si>
  <si>
    <t>Swings are full 20-point ranges. Halve them for a per-ten-point read.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</si>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</sst>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00"/>
  </numFmts>
  <fonts count="12">
    <font>
      <sz val="11"/>
      <color theme="1"/>
      <name val="Calibri"/>
      <family val="2"/>
      <charset val="1"/>
    </font>
    <font>
      <b/>
      <sz val="14"/>
      <color rgb="FFFFFFFF"/>
      <name val="Arial"/>
      <charset val="1"/>
    </font>
    <font>
      <sz val="9"/>
      <color rgb="FFFFFFFF"/>
      <name val="Arial"/>
      <charset val="1"/>
    </font>
    <font>
      <b/>
      <sz val="11"/>
      <color rgb="FF00385F"/>
      <name val="Arial"/>
      <charset val="1"/>
    </font>
    <font>
      <b/>
      <sz val="9.5"/>
      <name val="Arial"/>
      <charset val="1"/>
    </font>
    <font>
      <sz val="9.5"/>
      <name val="Arial"/>
      <charset val="1"/>
    </font>
    <font>
      <sz val="9.5"/>
      <name val="Noto Sans CJK SC"/>
      <family val="2"/>
    </font>
    <font>
      <b/>
      <sz val="8.5"/>
      <color rgb="FFFFFFFF"/>
      <name val="Arial"/>
      <charset val="1"/>
    </font>
    <font>
      <sz val="8.5"/>
      <color rgb="FF595959"/>
      <name val="Arial"/>
      <charset val="1"/>
    </font>
    <font>
      <sz val="8.5"/>
      <color rgb="FF595959"/>
      <name val="Noto Sans CJK SC"/>
      <family val="2"/>
    </font>
    <font>
      <sz val="9.5"/>
      <color rgb="FF008000"/>
      <name val="Arial"/>
      <charset val="1"/>
    </font>
    <font>
      <b/>
      <sz val="9.5"/>
      <color rgb="FF00385F"/>
      <name val="Arial"/>
      <charset val="1"/>
    </font>
  </fonts>
  <fills count="9">
    <fill>
      <patternFill patternType="none"/>
    </fill>
    <fill>
      <patternFill patternType="gray125"/>
    </fill>
    <fill>
      <patternFill patternType="solid">
        <fgColor rgb="FF00385F"/>
        <bgColor rgb="FF333333"/>
      </patternFill>
    </fill>
    <fill>
      <patternFill patternType="solid">
        <fgColor rgb="FFDCEEF9"/>
        <bgColor rgb="FFF2F2F2"/>
      </patternFill>
    </fill>
    <fill>
      <patternFill patternType="solid">
        <fgColor rgb="FF0090DA"/>
        <bgColor rgb="FF008080"/>
      </patternFill>
    </fill>
    <fill>
      <patternFill patternType="solid">
        <fgColor rgb="FFF2F2F2"/>
        <bgColor rgb="FFDCEEF9"/>
      </patternFill>
    </fill>
    <fill>
      <patternFill patternType="solid">
        <fgColor rgb="FFFFF2CC"/>
        <bgColor rgb="FFFCE4E4"/>
      </patternFill>
    </fill>
    <fill>
      <patternFill patternType="solid">
        <fgColor rgb="FFFCE4E4"/>
        <bgColor rgb="FFF2F2F2"/>
      </patternFill>
    </fill>
    <fill>
      <patternFill patternType="solid">
        <fgColor rgb="FFFFFF00"/>
        <bgColor indexed="64"/>
      </patternFill>
    </fill>
  </fills>
  <borders count="2">
    <border>
      <left/>
      <right/>
      <top/>
      <bottom/>
      <diagonal/>
    </border>
    <border>
      <left style="thin">
        <color rgb="FFD2DCE3"/>
      </left>
      <right style="thin">
        <color rgb="FFD2DCE3"/>
      </right>
      <top style="thin">
        <color rgb="FFD2DCE3"/>
      </top>
      <bottom style="thin">
        <color rgb="FFD2DCE3"/>
      </bottom>
      <diagonal/>
    </border>
  </borders>
  <cellStyleXfs count="1">
    <xf numFmtId="0" fontId="0" fillId="0" borderId="0"/>
  </cellStyleXfs>
  <cellXfs count="69">
    <xf numFmtId="0" fontId="0" fillId="0" borderId="0" xfId="0"/>
    <xf numFmtId="0" fontId="8" fillId="0" borderId="1" xfId="0" applyFont="1" applyBorder="1" applyAlignment="1">
      <alignment vertical="top" wrapText="1"/>
    </xf>
    <xf numFmtId="0" fontId="5" fillId="0" borderId="1" xfId="0" applyFont="1" applyBorder="1" applyAlignment="1">
      <alignment vertical="top" wrapText="1"/>
    </xf>
    <xf numFmtId="0" fontId="8" fillId="0" borderId="0" xfId="0" applyFont="1" applyAlignment="1">
      <alignment vertical="top" wrapText="1"/>
    </xf>
    <xf numFmtId="0" fontId="4" fillId="0" borderId="1" xfId="0" applyFont="1" applyBorder="1" applyAlignment="1">
      <alignment vertical="top" wrapText="1"/>
    </xf>
    <xf numFmtId="0" fontId="7"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4" fontId="10" fillId="0" borderId="1" xfId="0" applyNumberFormat="1" applyFont="1" applyBorder="1" applyAlignment="1">
      <alignment horizontal="center" vertical="center" wrapText="1"/>
    </xf>
    <xf numFmtId="0" fontId="5"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0" fontId="4" fillId="5" borderId="1" xfId="0" applyFont="1" applyFill="1" applyBorder="1" applyAlignment="1">
      <alignment vertical="top" wrapText="1"/>
    </xf>
    <xf numFmtId="4" fontId="4" fillId="5" borderId="1" xfId="0" applyNumberFormat="1"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165" fontId="5" fillId="6" borderId="1" xfId="0" applyNumberFormat="1"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3" fontId="5" fillId="0" borderId="1" xfId="0" applyNumberFormat="1" applyFont="1" applyBorder="1" applyAlignment="1">
      <alignment horizontal="center" vertical="center" wrapText="1"/>
    </xf>
    <xf numFmtId="164" fontId="5" fillId="6" borderId="1" xfId="0" applyNumberFormat="1" applyFont="1" applyFill="1" applyBorder="1" applyAlignment="1">
      <alignment horizontal="center" vertical="center" wrapText="1"/>
    </xf>
    <xf numFmtId="3" fontId="4" fillId="5" borderId="1" xfId="0" applyNumberFormat="1" applyFont="1" applyFill="1" applyBorder="1" applyAlignment="1">
      <alignment horizontal="center" vertical="center" wrapText="1"/>
    </xf>
    <xf numFmtId="165" fontId="4" fillId="5" borderId="1" xfId="0" applyNumberFormat="1" applyFont="1" applyFill="1" applyBorder="1" applyAlignment="1">
      <alignment horizontal="center" vertical="center" wrapText="1"/>
    </xf>
    <xf numFmtId="9" fontId="5" fillId="6" borderId="1" xfId="0" applyNumberFormat="1" applyFont="1" applyFill="1" applyBorder="1" applyAlignment="1">
      <alignment horizontal="center" vertical="center" wrapText="1"/>
    </xf>
    <xf numFmtId="0" fontId="4" fillId="6" borderId="1" xfId="0" applyFont="1" applyFill="1" applyBorder="1" applyAlignment="1">
      <alignment vertical="top" wrapText="1"/>
    </xf>
    <xf numFmtId="9" fontId="4" fillId="6" borderId="1" xfId="0" applyNumberFormat="1" applyFont="1" applyFill="1" applyBorder="1" applyAlignment="1">
      <alignment horizontal="center" vertical="center" wrapText="1"/>
    </xf>
    <xf numFmtId="4" fontId="4" fillId="6" borderId="1" xfId="0" applyNumberFormat="1" applyFont="1" applyFill="1" applyBorder="1" applyAlignment="1">
      <alignment horizontal="center" vertical="center" wrapText="1"/>
    </xf>
    <xf numFmtId="166" fontId="10" fillId="0" borderId="1" xfId="0" applyNumberFormat="1" applyFont="1" applyBorder="1" applyAlignment="1">
      <alignment horizontal="center" vertical="center" wrapText="1"/>
    </xf>
    <xf numFmtId="167" fontId="5" fillId="6" borderId="1" xfId="0" applyNumberFormat="1" applyFont="1" applyFill="1" applyBorder="1" applyAlignment="1">
      <alignment horizontal="center" vertical="center" wrapText="1"/>
    </xf>
    <xf numFmtId="0" fontId="8" fillId="0" borderId="1" xfId="0" applyFont="1" applyBorder="1" applyAlignment="1">
      <alignment horizontal="center" vertical="center" wrapText="1"/>
    </xf>
    <xf numFmtId="167" fontId="8" fillId="0" borderId="1" xfId="0" applyNumberFormat="1" applyFont="1" applyBorder="1" applyAlignment="1">
      <alignment horizontal="center" vertical="center" wrapText="1"/>
    </xf>
    <xf numFmtId="9" fontId="10" fillId="0" borderId="1" xfId="0" applyNumberFormat="1" applyFont="1" applyBorder="1" applyAlignment="1">
      <alignment horizontal="center" vertical="center" wrapText="1"/>
    </xf>
    <xf numFmtId="164" fontId="4" fillId="6" borderId="1" xfId="0" applyNumberFormat="1" applyFont="1" applyFill="1" applyBorder="1" applyAlignment="1">
      <alignment horizontal="center" vertical="center" wrapText="1"/>
    </xf>
    <xf numFmtId="0" fontId="4" fillId="7" borderId="1" xfId="0" applyFont="1" applyFill="1" applyBorder="1" applyAlignment="1">
      <alignment vertical="top" wrapText="1"/>
    </xf>
    <xf numFmtId="0" fontId="10" fillId="5" borderId="1" xfId="0" applyFont="1" applyFill="1" applyBorder="1" applyAlignment="1">
      <alignment horizontal="center" vertical="center" wrapText="1"/>
    </xf>
    <xf numFmtId="165"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166" fontId="4" fillId="5" borderId="1" xfId="0" applyNumberFormat="1" applyFont="1" applyFill="1" applyBorder="1" applyAlignment="1">
      <alignment horizontal="center" vertical="center" wrapText="1"/>
    </xf>
    <xf numFmtId="3" fontId="4" fillId="6" borderId="1" xfId="0" applyNumberFormat="1" applyFont="1" applyFill="1" applyBorder="1" applyAlignment="1">
      <alignment horizontal="center" vertical="center" wrapText="1"/>
    </xf>
    <xf numFmtId="4" fontId="5" fillId="6" borderId="1" xfId="0" applyNumberFormat="1" applyFont="1" applyFill="1" applyBorder="1" applyAlignment="1">
      <alignment horizontal="center" vertical="center" wrapText="1"/>
    </xf>
    <xf numFmtId="166" fontId="4"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166" fontId="4" fillId="6" borderId="1" xfId="0" applyNumberFormat="1" applyFont="1" applyFill="1" applyBorder="1" applyAlignment="1">
      <alignment horizontal="center" vertical="center" wrapText="1"/>
    </xf>
    <xf numFmtId="166" fontId="11"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4" fontId="4" fillId="0" borderId="1" xfId="0" applyNumberFormat="1" applyFont="1" applyBorder="1" applyAlignment="1">
      <alignment horizontal="center" vertical="center" wrapText="1"/>
    </xf>
    <xf numFmtId="165" fontId="10" fillId="0" borderId="1" xfId="0" applyNumberFormat="1" applyFont="1" applyBorder="1" applyAlignment="1">
      <alignment horizontal="center" vertical="center" wrapText="1"/>
    </xf>
    <xf numFmtId="164" fontId="10" fillId="5" borderId="1" xfId="0" applyNumberFormat="1" applyFont="1" applyFill="1" applyBorder="1" applyAlignment="1">
      <alignment horizontal="center" vertical="center" wrapText="1"/>
    </xf>
    <xf numFmtId="167" fontId="10" fillId="0" borderId="1" xfId="0" applyNumberFormat="1" applyFont="1" applyBorder="1" applyAlignment="1">
      <alignment horizontal="center" vertical="center" wrapText="1"/>
    </xf>
    <xf numFmtId="0" fontId="10" fillId="0" borderId="1" xfId="0" applyFont="1" applyBorder="1" applyAlignment="1">
      <alignment vertical="top" wrapText="1"/>
    </xf>
    <xf numFmtId="0" fontId="5" fillId="7" borderId="1" xfId="0" applyFont="1" applyFill="1" applyBorder="1" applyAlignment="1">
      <alignment vertical="top" wrapText="1"/>
    </xf>
    <xf numFmtId="3" fontId="5" fillId="7" borderId="1" xfId="0" applyNumberFormat="1" applyFont="1" applyFill="1" applyBorder="1" applyAlignment="1">
      <alignment horizontal="center" vertical="center" wrapText="1"/>
    </xf>
    <xf numFmtId="0" fontId="5" fillId="6" borderId="1" xfId="0" applyFont="1" applyFill="1" applyBorder="1" applyAlignment="1">
      <alignment vertical="top" wrapText="1"/>
    </xf>
    <xf numFmtId="4" fontId="10" fillId="6"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3" fontId="4" fillId="0" borderId="1" xfId="0" applyNumberFormat="1" applyFont="1" applyBorder="1" applyAlignment="1">
      <alignment horizontal="center" vertical="center" wrapText="1"/>
    </xf>
    <xf numFmtId="0" fontId="5" fillId="3" borderId="1" xfId="0" applyFont="1" applyFill="1" applyBorder="1" applyAlignment="1">
      <alignment horizontal="center" vertical="center" wrapText="1"/>
    </xf>
    <xf numFmtId="167" fontId="4" fillId="5" borderId="1" xfId="0" applyNumberFormat="1" applyFont="1" applyFill="1" applyBorder="1" applyAlignment="1">
      <alignment horizontal="center" vertical="center" wrapText="1"/>
    </xf>
    <xf numFmtId="167" fontId="4" fillId="6" borderId="1" xfId="0" applyNumberFormat="1" applyFont="1" applyFill="1" applyBorder="1" applyAlignment="1">
      <alignment horizontal="center" vertical="center" wrapText="1"/>
    </xf>
    <xf numFmtId="9" fontId="7" fillId="4" borderId="1" xfId="0" applyNumberFormat="1" applyFont="1" applyFill="1" applyBorder="1" applyAlignment="1">
      <alignment horizontal="center" vertical="center" wrapText="1"/>
    </xf>
    <xf numFmtId="0" fontId="3" fillId="3" borderId="0" xfId="0" applyFont="1" applyFill="1" applyAlignment="1">
      <alignment vertical="top" wrapText="1"/>
    </xf>
    <xf numFmtId="0" fontId="1" fillId="2" borderId="0" xfId="0" applyFont="1" applyFill="1" applyAlignment="1">
      <alignment vertical="top" wrapText="1"/>
    </xf>
    <xf numFmtId="0" fontId="2" fillId="2" borderId="0" xfId="0" applyFont="1" applyFill="1" applyAlignment="1">
      <alignment vertical="top" wrapText="1"/>
    </xf>
    <xf numFmtId="0" fontId="5" fillId="0" borderId="0" xfId="0" applyFont="1" applyAlignment="1">
      <alignment vertical="top" wrapText="1"/>
    </xf>
    <xf numFmtId="0" fontId="8" fillId="0" borderId="0" xfId="0" applyFont="1" applyAlignment="1">
      <alignment vertical="top" wrapText="1"/>
    </xf>
    <xf numFmtId="0" fontId="5" fillId="0" borderId="1" xfId="0" applyFont="1" applyBorder="1" applyAlignment="1">
      <alignment vertical="top" wrapText="1"/>
    </xf>
    <xf numFmtId="0" fontId="8" fillId="0" borderId="0" xfId="0" applyFont="1"/>
    <xf numFmtId="0" fontId="8" fillId="0" borderId="1" xfId="0" applyFont="1" applyBorder="1" applyAlignment="1">
      <alignment vertical="top" wrapText="1"/>
    </xf>
    <xf numFmtId="0" fontId="5" fillId="8" borderId="1" xfId="0" applyFont="1" applyFill="1" applyBorder="1" applyAlignment="1">
      <alignment horizontal="center" vertical="center" wrapText="1"/>
    </xf>
  </cellXfs>
  <cellStyles count="1">
    <cellStyle name="Normal" xfId="0" builtinId="0"/>
  </cellStyles>
  <dxfs count="2">
    <dxf>
      <font>
        <b/>
        <color rgb="FF006100"/>
      </font>
      <fill>
        <patternFill>
          <bgColor rgb="FFC6EFCE"/>
        </patternFill>
      </fill>
    </dxf>
    <dxf>
      <font>
        <b/>
        <color rgb="FF9C0006"/>
      </font>
      <fill>
        <patternFill>
          <bgColor rgb="FFFC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90DA"/>
      <rgbColor rgb="FFC0C0C0"/>
      <rgbColor rgb="FF808080"/>
      <rgbColor rgb="FF9999FF"/>
      <rgbColor rgb="FF993366"/>
      <rgbColor rgb="FFFFF2CC"/>
      <rgbColor rgb="FFDCEEF9"/>
      <rgbColor rgb="FF660066"/>
      <rgbColor rgb="FFFF8080"/>
      <rgbColor rgb="FF0066CC"/>
      <rgbColor rgb="FFD2DCE3"/>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85F"/>
      <rgbColor rgb="FF339966"/>
      <rgbColor rgb="FF0061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zoomScaleNormal="100" workbookViewId="0">
      <selection sqref="A1:D1"/>
    </sheetView>
  </sheetViews>
  <sheetFormatPr defaultColWidth="8.6328125" defaultRowHeight="14.5"/>
  <cols>
    <col min="1" max="1" width="2.453125" customWidth="1"/>
    <col min="2" max="2" width="30" customWidth="1"/>
    <col min="3" max="3" width="104" customWidth="1"/>
  </cols>
  <sheetData>
    <row r="1" spans="1:4" ht="25.5" customHeight="1">
      <c r="A1" s="61" t="s">
        <v>0</v>
      </c>
      <c r="B1" s="61"/>
      <c r="C1" s="61"/>
      <c r="D1" s="61"/>
    </row>
    <row r="2" spans="1:4" ht="15" customHeight="1">
      <c r="A2" s="62" t="s">
        <v>1</v>
      </c>
      <c r="B2" s="62"/>
      <c r="C2" s="62"/>
      <c r="D2" s="62"/>
    </row>
    <row r="4" spans="1:4" ht="15" customHeight="1">
      <c r="A4" s="60" t="s">
        <v>2</v>
      </c>
      <c r="B4" s="60"/>
      <c r="C4" s="60"/>
    </row>
    <row r="5" spans="1:4" ht="45.75" customHeight="1">
      <c r="B5" s="4" t="s">
        <v>3</v>
      </c>
      <c r="C5" s="2" t="s">
        <v>4</v>
      </c>
    </row>
    <row r="6" spans="1:4" ht="45.75" customHeight="1">
      <c r="B6" s="4" t="s">
        <v>5</v>
      </c>
      <c r="C6" s="2" t="s">
        <v>6</v>
      </c>
    </row>
    <row r="7" spans="1:4" ht="45.75" customHeight="1">
      <c r="B7" s="4" t="s">
        <v>7</v>
      </c>
      <c r="C7" s="2" t="s">
        <v>8</v>
      </c>
    </row>
    <row r="8" spans="1:4" ht="45.75" customHeight="1">
      <c r="B8" s="4" t="s">
        <v>9</v>
      </c>
      <c r="C8" s="2" t="s">
        <v>10</v>
      </c>
    </row>
    <row r="9" spans="1:4" ht="15" customHeight="1">
      <c r="A9" s="60" t="s">
        <v>11</v>
      </c>
      <c r="B9" s="60"/>
      <c r="C9" s="60"/>
    </row>
    <row r="10" spans="1:4" ht="45.75" customHeight="1">
      <c r="B10" s="4" t="s">
        <v>12</v>
      </c>
      <c r="C10" s="2" t="s">
        <v>13</v>
      </c>
    </row>
    <row r="11" spans="1:4" ht="45.75" customHeight="1">
      <c r="B11" s="4" t="s">
        <v>14</v>
      </c>
      <c r="C11" s="2" t="s">
        <v>15</v>
      </c>
    </row>
    <row r="12" spans="1:4" ht="45.75" customHeight="1">
      <c r="B12" s="4" t="s">
        <v>16</v>
      </c>
      <c r="C12" s="2" t="s">
        <v>17</v>
      </c>
    </row>
    <row r="13" spans="1:4" ht="45.75" customHeight="1">
      <c r="B13" s="4" t="s">
        <v>18</v>
      </c>
      <c r="C13" s="2" t="s">
        <v>19</v>
      </c>
    </row>
    <row r="14" spans="1:4" ht="15" customHeight="1">
      <c r="A14" s="60" t="s">
        <v>20</v>
      </c>
      <c r="B14" s="60"/>
      <c r="C14" s="60"/>
    </row>
    <row r="15" spans="1:4" ht="45.75" customHeight="1">
      <c r="B15" s="4" t="s">
        <v>21</v>
      </c>
      <c r="C15" s="2" t="s">
        <v>22</v>
      </c>
    </row>
    <row r="16" spans="1:4" ht="45.75" customHeight="1">
      <c r="B16" s="4" t="s">
        <v>23</v>
      </c>
      <c r="C16" s="2" t="s">
        <v>24</v>
      </c>
    </row>
    <row r="17" spans="1:3" ht="45.75" customHeight="1">
      <c r="B17" s="4" t="s">
        <v>25</v>
      </c>
      <c r="C17" s="2" t="s">
        <v>26</v>
      </c>
    </row>
    <row r="18" spans="1:3" ht="15" customHeight="1">
      <c r="A18" s="60" t="s">
        <v>27</v>
      </c>
      <c r="B18" s="60"/>
      <c r="C18" s="60"/>
    </row>
    <row r="19" spans="1:3" ht="45.75" customHeight="1">
      <c r="B19" s="4" t="s">
        <v>28</v>
      </c>
      <c r="C19" s="2" t="s">
        <v>29</v>
      </c>
    </row>
    <row r="20" spans="1:3" ht="45.75" customHeight="1">
      <c r="B20" s="4" t="s">
        <v>30</v>
      </c>
      <c r="C20" s="2" t="s">
        <v>31</v>
      </c>
    </row>
    <row r="21" spans="1:3" ht="45.75" customHeight="1">
      <c r="B21" s="4" t="s">
        <v>32</v>
      </c>
      <c r="C21" s="2" t="s">
        <v>33</v>
      </c>
    </row>
  </sheetData>
  <mergeCells count="6">
    <mergeCell ref="A18:C18"/>
    <mergeCell ref="A1:D1"/>
    <mergeCell ref="A2:D2"/>
    <mergeCell ref="A4:C4"/>
    <mergeCell ref="A9:C9"/>
    <mergeCell ref="A14:C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topLeftCell="A5" zoomScaleNormal="100" workbookViewId="0">
      <selection sqref="A1:G1"/>
    </sheetView>
  </sheetViews>
  <sheetFormatPr defaultColWidth="8.6328125" defaultRowHeight="14.5"/>
  <cols>
    <col min="1" max="1" width="2.453125" customWidth="1"/>
    <col min="2" max="2" width="26" customWidth="1"/>
    <col min="3" max="4" width="34" customWidth="1"/>
    <col min="5" max="5" width="13" customWidth="1"/>
    <col min="6" max="6" width="44" customWidth="1"/>
  </cols>
  <sheetData>
    <row r="1" spans="1:7" ht="25.5" customHeight="1">
      <c r="A1" s="61" t="s">
        <v>34</v>
      </c>
      <c r="B1" s="61"/>
      <c r="C1" s="61"/>
      <c r="D1" s="61"/>
      <c r="E1" s="61"/>
      <c r="F1" s="61"/>
      <c r="G1" s="61"/>
    </row>
    <row r="2" spans="1:7" ht="15" customHeight="1">
      <c r="A2" s="62" t="s">
        <v>35</v>
      </c>
      <c r="B2" s="62"/>
      <c r="C2" s="62"/>
      <c r="D2" s="62"/>
      <c r="E2" s="62"/>
      <c r="F2" s="62"/>
      <c r="G2" s="62"/>
    </row>
    <row r="4" spans="1:7" ht="15" customHeight="1">
      <c r="B4" s="5" t="s">
        <v>36</v>
      </c>
      <c r="C4" s="5" t="s">
        <v>37</v>
      </c>
      <c r="D4" s="5" t="s">
        <v>38</v>
      </c>
      <c r="E4" s="5" t="s">
        <v>39</v>
      </c>
      <c r="F4" s="5" t="s">
        <v>40</v>
      </c>
    </row>
    <row r="5" spans="1:7" ht="48" customHeight="1">
      <c r="B5" s="4" t="s">
        <v>41</v>
      </c>
      <c r="C5" s="2" t="s">
        <v>42</v>
      </c>
      <c r="D5" s="2" t="s">
        <v>43</v>
      </c>
      <c r="E5" s="6" t="s">
        <v>44</v>
      </c>
      <c r="F5" s="1" t="s">
        <v>45</v>
      </c>
    </row>
    <row r="6" spans="1:7" ht="48" customHeight="1">
      <c r="B6" s="4" t="s">
        <v>46</v>
      </c>
      <c r="C6" s="2" t="s">
        <v>47</v>
      </c>
      <c r="D6" s="2" t="s">
        <v>48</v>
      </c>
      <c r="E6" s="7" t="s">
        <v>49</v>
      </c>
      <c r="F6" s="1" t="s">
        <v>50</v>
      </c>
    </row>
    <row r="7" spans="1:7" ht="48" customHeight="1">
      <c r="B7" s="4" t="s">
        <v>51</v>
      </c>
      <c r="C7" s="2" t="s">
        <v>52</v>
      </c>
      <c r="D7" s="2" t="s">
        <v>53</v>
      </c>
      <c r="E7" s="8" t="s">
        <v>54</v>
      </c>
      <c r="F7" s="1" t="s">
        <v>55</v>
      </c>
    </row>
    <row r="8" spans="1:7" ht="48" customHeight="1">
      <c r="B8" s="4" t="s">
        <v>56</v>
      </c>
      <c r="C8" s="2" t="s">
        <v>57</v>
      </c>
      <c r="D8" s="2" t="s">
        <v>58</v>
      </c>
      <c r="E8" s="8" t="s">
        <v>54</v>
      </c>
      <c r="F8" s="1" t="s">
        <v>59</v>
      </c>
    </row>
    <row r="9" spans="1:7" ht="48" customHeight="1">
      <c r="B9" s="4" t="s">
        <v>60</v>
      </c>
      <c r="C9" s="2" t="s">
        <v>61</v>
      </c>
      <c r="D9" s="2" t="s">
        <v>62</v>
      </c>
      <c r="E9" s="8" t="s">
        <v>54</v>
      </c>
      <c r="F9" s="1" t="s">
        <v>63</v>
      </c>
    </row>
    <row r="10" spans="1:7" ht="48" customHeight="1">
      <c r="B10" s="4" t="s">
        <v>64</v>
      </c>
      <c r="C10" s="2" t="s">
        <v>65</v>
      </c>
      <c r="D10" s="2" t="s">
        <v>66</v>
      </c>
      <c r="E10" s="7" t="s">
        <v>49</v>
      </c>
      <c r="F10" s="1" t="s">
        <v>67</v>
      </c>
    </row>
    <row r="11" spans="1:7" ht="48" customHeight="1">
      <c r="B11" s="4" t="s">
        <v>68</v>
      </c>
      <c r="C11" s="2" t="s">
        <v>69</v>
      </c>
      <c r="D11" s="2" t="s">
        <v>70</v>
      </c>
      <c r="E11" s="6" t="s">
        <v>71</v>
      </c>
      <c r="F11" s="1" t="s">
        <v>72</v>
      </c>
    </row>
    <row r="12" spans="1:7" ht="48" customHeight="1">
      <c r="B12" s="4" t="s">
        <v>73</v>
      </c>
      <c r="C12" s="2" t="s">
        <v>74</v>
      </c>
      <c r="D12" s="2" t="s">
        <v>70</v>
      </c>
      <c r="E12" s="6" t="s">
        <v>71</v>
      </c>
      <c r="F12" s="1" t="s">
        <v>75</v>
      </c>
    </row>
    <row r="13" spans="1:7" ht="48" customHeight="1">
      <c r="B13" s="4" t="s">
        <v>76</v>
      </c>
      <c r="C13" s="2" t="s">
        <v>69</v>
      </c>
      <c r="D13" s="2" t="s">
        <v>70</v>
      </c>
      <c r="E13" s="6" t="s">
        <v>71</v>
      </c>
      <c r="F13" s="1" t="s">
        <v>77</v>
      </c>
    </row>
    <row r="15" spans="1:7" ht="15" customHeight="1">
      <c r="A15" s="60" t="s">
        <v>78</v>
      </c>
      <c r="B15" s="60"/>
      <c r="C15" s="60"/>
      <c r="D15" s="60"/>
      <c r="E15" s="60"/>
      <c r="F15" s="60"/>
    </row>
    <row r="16" spans="1:7" ht="39.75" customHeight="1">
      <c r="B16" s="63" t="s">
        <v>79</v>
      </c>
      <c r="C16" s="63"/>
      <c r="D16" s="63"/>
      <c r="E16" s="63"/>
      <c r="F16" s="63"/>
    </row>
    <row r="17" spans="2:6" ht="39.75" customHeight="1">
      <c r="B17" s="63" t="s">
        <v>80</v>
      </c>
      <c r="C17" s="63"/>
      <c r="D17" s="63"/>
      <c r="E17" s="63"/>
      <c r="F17" s="63"/>
    </row>
    <row r="18" spans="2:6" ht="39.75" customHeight="1">
      <c r="B18" s="63" t="s">
        <v>81</v>
      </c>
      <c r="C18" s="63"/>
      <c r="D18" s="63"/>
      <c r="E18" s="63"/>
      <c r="F18" s="63"/>
    </row>
    <row r="19" spans="2:6" ht="39.75" customHeight="1">
      <c r="B19" s="63" t="s">
        <v>82</v>
      </c>
      <c r="C19" s="63"/>
      <c r="D19" s="63"/>
      <c r="E19" s="63"/>
      <c r="F19" s="63"/>
    </row>
  </sheetData>
  <mergeCells count="7">
    <mergeCell ref="B18:F18"/>
    <mergeCell ref="B19:F19"/>
    <mergeCell ref="A1:G1"/>
    <mergeCell ref="A2:G2"/>
    <mergeCell ref="A15:F15"/>
    <mergeCell ref="B16:F16"/>
    <mergeCell ref="B17:F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tabSelected="1" topLeftCell="A8" zoomScaleNormal="100" workbookViewId="0">
      <selection activeCell="D16" sqref="D16"/>
    </sheetView>
  </sheetViews>
  <sheetFormatPr defaultColWidth="8.6328125" defaultRowHeight="14.5"/>
  <cols>
    <col min="1" max="1" width="2.453125" customWidth="1"/>
    <col min="2" max="2" width="42" customWidth="1"/>
    <col min="3" max="8" width="11" customWidth="1"/>
    <col min="9" max="9" width="3" customWidth="1"/>
    <col min="10" max="10" width="50" customWidth="1"/>
  </cols>
  <sheetData>
    <row r="1" spans="1:10" ht="25.5" customHeight="1">
      <c r="A1" s="61" t="s">
        <v>83</v>
      </c>
      <c r="B1" s="61"/>
      <c r="C1" s="61"/>
      <c r="D1" s="61"/>
      <c r="E1" s="61"/>
      <c r="F1" s="61"/>
      <c r="G1" s="61"/>
      <c r="H1" s="61"/>
      <c r="I1" s="61"/>
      <c r="J1" s="61"/>
    </row>
    <row r="2" spans="1:10" ht="15" customHeight="1">
      <c r="A2" s="62" t="s">
        <v>84</v>
      </c>
      <c r="B2" s="62"/>
      <c r="C2" s="62"/>
      <c r="D2" s="62"/>
      <c r="E2" s="62"/>
      <c r="F2" s="62"/>
      <c r="G2" s="62"/>
      <c r="H2" s="62"/>
      <c r="I2" s="62"/>
      <c r="J2" s="62"/>
    </row>
    <row r="4" spans="1:10" ht="15" customHeight="1">
      <c r="A4" s="60" t="s">
        <v>85</v>
      </c>
      <c r="B4" s="60"/>
      <c r="C4" s="60"/>
      <c r="D4" s="60"/>
      <c r="E4" s="60"/>
      <c r="F4" s="60"/>
      <c r="G4" s="60"/>
      <c r="H4" s="60"/>
      <c r="I4" s="60"/>
      <c r="J4" s="60"/>
    </row>
    <row r="5" spans="1:10" ht="42" customHeight="1">
      <c r="B5" s="63" t="s">
        <v>86</v>
      </c>
      <c r="C5" s="63"/>
      <c r="D5" s="63"/>
      <c r="E5" s="63"/>
      <c r="F5" s="63"/>
      <c r="G5" s="63"/>
      <c r="H5" s="63"/>
      <c r="I5" s="63"/>
      <c r="J5" s="63"/>
    </row>
    <row r="6" spans="1:10" ht="42" customHeight="1">
      <c r="B6" s="63" t="s">
        <v>87</v>
      </c>
      <c r="C6" s="63"/>
      <c r="D6" s="63"/>
      <c r="E6" s="63"/>
      <c r="F6" s="63"/>
      <c r="G6" s="63"/>
      <c r="H6" s="63"/>
      <c r="I6" s="63"/>
      <c r="J6" s="63"/>
    </row>
    <row r="7" spans="1:10" ht="42" customHeight="1">
      <c r="B7" s="63" t="s">
        <v>88</v>
      </c>
      <c r="C7" s="63"/>
      <c r="D7" s="63"/>
      <c r="E7" s="63"/>
      <c r="F7" s="63"/>
      <c r="G7" s="63"/>
      <c r="H7" s="63"/>
      <c r="I7" s="63"/>
      <c r="J7" s="63"/>
    </row>
    <row r="8" spans="1:10" ht="42" customHeight="1">
      <c r="B8" s="63" t="s">
        <v>89</v>
      </c>
      <c r="C8" s="63"/>
      <c r="D8" s="63"/>
      <c r="E8" s="63"/>
      <c r="F8" s="63"/>
      <c r="G8" s="63"/>
      <c r="H8" s="63"/>
      <c r="I8" s="63"/>
      <c r="J8" s="63"/>
    </row>
    <row r="10" spans="1:10" ht="15" customHeight="1">
      <c r="A10" s="60" t="s">
        <v>90</v>
      </c>
      <c r="B10" s="60"/>
      <c r="C10" s="60"/>
      <c r="D10" s="60"/>
      <c r="E10" s="60"/>
      <c r="F10" s="60"/>
      <c r="G10" s="60"/>
      <c r="H10" s="60"/>
      <c r="I10" s="60"/>
      <c r="J10" s="60"/>
    </row>
    <row r="11" spans="1:10" ht="33">
      <c r="B11" s="5" t="s">
        <v>91</v>
      </c>
      <c r="C11" s="5" t="s">
        <v>92</v>
      </c>
      <c r="D11" s="5" t="s">
        <v>93</v>
      </c>
      <c r="E11" s="5" t="s">
        <v>94</v>
      </c>
      <c r="F11" s="5" t="s">
        <v>95</v>
      </c>
      <c r="G11" s="5" t="s">
        <v>96</v>
      </c>
      <c r="H11" s="5" t="s">
        <v>97</v>
      </c>
      <c r="I11" s="5" t="s">
        <v>98</v>
      </c>
    </row>
    <row r="12" spans="1:10" ht="30" customHeight="1">
      <c r="B12" s="4" t="s">
        <v>99</v>
      </c>
      <c r="C12" s="9">
        <f>'Team Build-Up'!C12</f>
        <v>2.7700000000038472E-2</v>
      </c>
      <c r="D12" s="9">
        <f>'Team Build-Up'!D12</f>
        <v>0.20246229136722604</v>
      </c>
      <c r="E12" s="9">
        <f>'Team Build-Up'!E12</f>
        <v>0.19812919971053589</v>
      </c>
      <c r="F12" s="9">
        <f>'Team Build-Up'!F12</f>
        <v>0.17232059526372723</v>
      </c>
      <c r="G12" s="9">
        <f>'Team Build-Up'!G12</f>
        <v>2.7574688392348889E-2</v>
      </c>
      <c r="H12" s="10" t="s">
        <v>100</v>
      </c>
      <c r="I12" s="11" t="str">
        <f>IF(MAX(ABS(C12),ABS(D12),ABS(E12),ABS(F12),ABS(G12))&lt;=1.5,"OK","CHECK")</f>
        <v>OK</v>
      </c>
      <c r="J12" s="3" t="s">
        <v>101</v>
      </c>
    </row>
    <row r="13" spans="1:10" ht="30" customHeight="1">
      <c r="B13" s="4" t="s">
        <v>102</v>
      </c>
      <c r="C13" s="12">
        <f>IFERROR((SUMIFS('Pod Library'!$J$5:$J$111,'Pod Library'!$B$5:$B$111,1,'Pod Library'!$C$5:$C$111,"POD",'Pod Library'!$I$5:$I$111,"FTC")+SUMIFS('Pod Library'!$J$5:$J$111,'Pod Library'!$B$5:$B$111,1,'Pod Library'!$C$5:$C$111,"POD",'Pod Library'!$I$5:$I$111,"PT"))/(SUMIFS('Pod Library'!$J$5:$J$111,'Pod Library'!$B$5:$B$111,1,'Pod Library'!$C$5:$C$111,"POD")),"n/a")</f>
        <v>0.73381294964028809</v>
      </c>
      <c r="D13" s="12">
        <f>IFERROR((SUMIFS('Pod Library'!$J$5:$J$111,'Pod Library'!$B$5:$B$111,2,'Pod Library'!$C$5:$C$111,"POD",'Pod Library'!$I$5:$I$111,"FTC")+SUMIFS('Pod Library'!$J$5:$J$111,'Pod Library'!$B$5:$B$111,2,'Pod Library'!$C$5:$C$111,"POD",'Pod Library'!$I$5:$I$111,"PT"))/(SUMIFS('Pod Library'!$J$5:$J$111,'Pod Library'!$B$5:$B$111,2,'Pod Library'!$C$5:$C$111,"POD")),"n/a")</f>
        <v>0.57439198855507867</v>
      </c>
      <c r="E13" s="12">
        <f>IFERROR((SUMIFS('Pod Library'!$J$5:$J$111,'Pod Library'!$B$5:$B$111,3,'Pod Library'!$C$5:$C$111,"POD",'Pod Library'!$I$5:$I$111,"FTC")+SUMIFS('Pod Library'!$J$5:$J$111,'Pod Library'!$B$5:$B$111,3,'Pod Library'!$C$5:$C$111,"POD",'Pod Library'!$I$5:$I$111,"PT"))/(SUMIFS('Pod Library'!$J$5:$J$111,'Pod Library'!$B$5:$B$111,3,'Pod Library'!$C$5:$C$111,"POD")),"n/a")</f>
        <v>0.56077589633516156</v>
      </c>
      <c r="F13" s="12">
        <f>IFERROR((SUMIFS('Pod Library'!$J$5:$J$111,'Pod Library'!$B$5:$B$111,4,'Pod Library'!$C$5:$C$111,"POD",'Pod Library'!$I$5:$I$111,"FTC")+SUMIFS('Pod Library'!$J$5:$J$111,'Pod Library'!$B$5:$B$111,4,'Pod Library'!$C$5:$C$111,"POD",'Pod Library'!$I$5:$I$111,"PT"))/(SUMIFS('Pod Library'!$J$5:$J$111,'Pod Library'!$B$5:$B$111,4,'Pod Library'!$C$5:$C$111,"POD")),"n/a")</f>
        <v>0.56060750788040903</v>
      </c>
      <c r="G13" s="12">
        <f>IFERROR((SUMIFS('Pod Library'!$J$5:$J$111,'Pod Library'!$B$5:$B$111,5,'Pod Library'!$C$5:$C$111,"POD",'Pod Library'!$I$5:$I$111,"FTC")+SUMIFS('Pod Library'!$J$5:$J$111,'Pod Library'!$B$5:$B$111,5,'Pod Library'!$C$5:$C$111,"POD",'Pod Library'!$I$5:$I$111,"PT"))/(SUMIFS('Pod Library'!$J$5:$J$111,'Pod Library'!$B$5:$B$111,5,'Pod Library'!$C$5:$C$111,"POD")),"n/a")</f>
        <v>0.56008694752096044</v>
      </c>
      <c r="H13" s="10" t="s">
        <v>103</v>
      </c>
      <c r="I13" s="11" t="str">
        <f>IF(COUNTIF(C13:G13,"&lt;0.5495")=0,"OK","CHECK")</f>
        <v>OK</v>
      </c>
      <c r="J13" s="3" t="s">
        <v>104</v>
      </c>
    </row>
    <row r="14" spans="1:10" ht="30" customHeight="1">
      <c r="B14" s="4" t="s">
        <v>105</v>
      </c>
      <c r="C14" s="12">
        <f>IFERROR((SUMIFS('Pod Library'!$J$5:$J$111,'Pod Library'!$B$5:$B$111,1,'Pod Library'!$C$5:$C$111,"TEAM",'Pod Library'!$I$5:$I$111,"FTC")+SUMIFS('Pod Library'!$J$5:$J$111,'Pod Library'!$B$5:$B$111,1,'Pod Library'!$C$5:$C$111,"TEAM",'Pod Library'!$I$5:$I$111,"PT"))/(SUMIFS('Pod Library'!$J$5:$J$111,'Pod Library'!$B$5:$B$111,1,'Pod Library'!$C$5:$C$111,"TEAM")),"n/a")</f>
        <v>0.58796992481203036</v>
      </c>
      <c r="D14" s="12">
        <f>IFERROR((SUMIFS('Pod Library'!$J$5:$J$111,'Pod Library'!$B$5:$B$111,2,'Pod Library'!$C$5:$C$111,"TEAM",'Pod Library'!$I$5:$I$111,"FTC")+SUMIFS('Pod Library'!$J$5:$J$111,'Pod Library'!$B$5:$B$111,2,'Pod Library'!$C$5:$C$111,"TEAM",'Pod Library'!$I$5:$I$111,"PT"))/(SUMIFS('Pod Library'!$J$5:$J$111,'Pod Library'!$B$5:$B$111,2,'Pod Library'!$C$5:$C$111,"TEAM")),"n/a")</f>
        <v>0.6</v>
      </c>
      <c r="E14" s="12" t="str">
        <f>IFERROR((SUMIFS('Pod Library'!$J$5:$J$111,'Pod Library'!$B$5:$B$111,3,'Pod Library'!$C$5:$C$111,"TEAM",'Pod Library'!$I$5:$I$111,"FTC")+SUMIFS('Pod Library'!$J$5:$J$111,'Pod Library'!$B$5:$B$111,3,'Pod Library'!$C$5:$C$111,"TEAM",'Pod Library'!$I$5:$I$111,"PT"))/(SUMIFS('Pod Library'!$J$5:$J$111,'Pod Library'!$B$5:$B$111,3,'Pod Library'!$C$5:$C$111,"TEAM")),"n/a")</f>
        <v>n/a</v>
      </c>
      <c r="F14" s="12" t="str">
        <f>IFERROR((SUMIFS('Pod Library'!$J$5:$J$111,'Pod Library'!$B$5:$B$111,4,'Pod Library'!$C$5:$C$111,"TEAM",'Pod Library'!$I$5:$I$111,"FTC")+SUMIFS('Pod Library'!$J$5:$J$111,'Pod Library'!$B$5:$B$111,4,'Pod Library'!$C$5:$C$111,"TEAM",'Pod Library'!$I$5:$I$111,"PT"))/(SUMIFS('Pod Library'!$J$5:$J$111,'Pod Library'!$B$5:$B$111,4,'Pod Library'!$C$5:$C$111,"TEAM")),"n/a")</f>
        <v>n/a</v>
      </c>
      <c r="G14" s="12" t="str">
        <f>IFERROR((SUMIFS('Pod Library'!$J$5:$J$111,'Pod Library'!$B$5:$B$111,5,'Pod Library'!$C$5:$C$111,"TEAM",'Pod Library'!$I$5:$I$111,"FTC")+SUMIFS('Pod Library'!$J$5:$J$111,'Pod Library'!$B$5:$B$111,5,'Pod Library'!$C$5:$C$111,"TEAM",'Pod Library'!$I$5:$I$111,"PT"))/(SUMIFS('Pod Library'!$J$5:$J$111,'Pod Library'!$B$5:$B$111,5,'Pod Library'!$C$5:$C$111,"TEAM")),"n/a")</f>
        <v>n/a</v>
      </c>
      <c r="H14" s="10" t="s">
        <v>103</v>
      </c>
      <c r="I14" s="11" t="str">
        <f>IF(COUNTIF(C14:G14,"&lt;0.5495")=0,"OK","CHECK")</f>
        <v>OK</v>
      </c>
      <c r="J14" s="3" t="s">
        <v>106</v>
      </c>
    </row>
    <row r="15" spans="1:10" ht="30" customHeight="1">
      <c r="B15" s="4" t="s">
        <v>107</v>
      </c>
      <c r="C15" s="12">
        <f>IFERROR((SUMIFS('Seat Ledger'!$M$5:$M$468,'Seat Ledger'!$B$5:$B$468,1,'Seat Ledger'!$J$5:$J$468,"FTC")+SUMIFS('Seat Ledger'!$M$5:$M$468,'Seat Ledger'!$B$5:$B$468,1,'Seat Ledger'!$J$5:$J$468,"PT"))/(SUMIFS('Seat Ledger'!$M$5:$M$468,'Seat Ledger'!$B$5:$B$468,1)),0)</f>
        <v>0.60986066452304399</v>
      </c>
      <c r="D15" s="12">
        <f>IFERROR((SUMIFS('Seat Ledger'!$M$5:$M$468,'Seat Ledger'!$B$5:$B$468,2,'Seat Ledger'!$J$5:$J$468,"FTC")+SUMIFS('Seat Ledger'!$M$5:$M$468,'Seat Ledger'!$B$5:$B$468,2,'Seat Ledger'!$J$5:$J$468,"PT"))/(SUMIFS('Seat Ledger'!$M$5:$M$468,'Seat Ledger'!$B$5:$B$468,2)),0)</f>
        <v>0.5828698553948829</v>
      </c>
      <c r="E15" s="12">
        <f>IFERROR((SUMIFS('Seat Ledger'!$M$5:$M$468,'Seat Ledger'!$B$5:$B$468,3,'Seat Ledger'!$J$5:$J$468,"FTC")+SUMIFS('Seat Ledger'!$M$5:$M$468,'Seat Ledger'!$B$5:$B$468,3,'Seat Ledger'!$J$5:$J$468,"PT"))/(SUMIFS('Seat Ledger'!$M$5:$M$468,'Seat Ledger'!$B$5:$B$468,3)),0)</f>
        <v>0.55701875344732465</v>
      </c>
      <c r="F15" s="12">
        <f>IFERROR((SUMIFS('Seat Ledger'!$M$5:$M$468,'Seat Ledger'!$B$5:$B$468,4,'Seat Ledger'!$J$5:$J$468,"FTC")+SUMIFS('Seat Ledger'!$M$5:$M$468,'Seat Ledger'!$B$5:$B$468,4,'Seat Ledger'!$J$5:$J$468,"PT"))/(SUMIFS('Seat Ledger'!$M$5:$M$468,'Seat Ledger'!$B$5:$B$468,4)),0)</f>
        <v>0.51074366962217443</v>
      </c>
      <c r="G15" s="12">
        <f>IFERROR((SUMIFS('Seat Ledger'!$M$5:$M$468,'Seat Ledger'!$B$5:$B$468,5,'Seat Ledger'!$J$5:$J$468,"FTC")+SUMIFS('Seat Ledger'!$M$5:$M$468,'Seat Ledger'!$B$5:$B$468,5,'Seat Ledger'!$J$5:$J$468,"PT"))/(SUMIFS('Seat Ledger'!$M$5:$M$468,'Seat Ledger'!$B$5:$B$468,5)),0)</f>
        <v>0.52364149611856003</v>
      </c>
      <c r="H15" s="10" t="s">
        <v>108</v>
      </c>
      <c r="I15" s="11" t="str">
        <f>IF(COUNTIF(C15:G15,"&lt;0.4995")=0,"OK","CHECK")</f>
        <v>OK</v>
      </c>
      <c r="J15" s="3" t="s">
        <v>109</v>
      </c>
    </row>
    <row r="16" spans="1:10" ht="30" customHeight="1">
      <c r="B16" s="4" t="s">
        <v>110</v>
      </c>
      <c r="C16" s="13">
        <f>SUMPRODUCT(('Pod Library'!$B$5:$B$111=1)*(ABS('Pod Library'!$K$5:$K$111*2-ROUND('Pod Library'!$K$5:$K$111*2,0))&gt;0.01))+SUMPRODUCT(('Horizontal Teams'!$B$5:$B$165=1)*(ABS('Horizontal Teams'!$J$5:$J$165*2-ROUND('Horizontal Teams'!$J$5:$J$165*2,0))&gt;0.01))</f>
        <v>0</v>
      </c>
      <c r="D16" s="13">
        <f>SUMPRODUCT(('Pod Library'!$B$5:$B$111=2)*(ABS('Pod Library'!$K$5:$K$111*2-ROUND('Pod Library'!$K$5:$K$111*2,0))&gt;0.01))+SUMPRODUCT(('Horizontal Teams'!$B$5:$B$165=2)*(ABS('Horizontal Teams'!$J$5:$J$165*2-ROUND('Horizontal Teams'!$J$5:$J$165*2,0))&gt;0.01))</f>
        <v>2</v>
      </c>
      <c r="E16" s="13">
        <f>SUMPRODUCT(('Pod Library'!$B$5:$B$111=3)*(ABS('Pod Library'!$K$5:$K$111*2-ROUND('Pod Library'!$K$5:$K$111*2,0))&gt;0.01))+SUMPRODUCT(('Horizontal Teams'!$B$5:$B$165=3)*(ABS('Horizontal Teams'!$J$5:$J$165*2-ROUND('Horizontal Teams'!$J$5:$J$165*2,0))&gt;0.01))</f>
        <v>6</v>
      </c>
      <c r="F16" s="13">
        <f>SUMPRODUCT(('Pod Library'!$B$5:$B$111=4)*(ABS('Pod Library'!$K$5:$K$111*2-ROUND('Pod Library'!$K$5:$K$111*2,0))&gt;0.01))+SUMPRODUCT(('Horizontal Teams'!$B$5:$B$165=4)*(ABS('Horizontal Teams'!$J$5:$J$165*2-ROUND('Horizontal Teams'!$J$5:$J$165*2,0))&gt;0.01))</f>
        <v>6</v>
      </c>
      <c r="G16" s="13">
        <f>SUMPRODUCT(('Pod Library'!$B$5:$B$111=5)*(ABS('Pod Library'!$K$5:$K$111*2-ROUND('Pod Library'!$K$5:$K$111*2,0))&gt;0.01))+SUMPRODUCT(('Horizontal Teams'!$B$5:$B$165=5)*(ABS('Horizontal Teams'!$J$5:$J$165*2-ROUND('Horizontal Teams'!$J$5:$J$165*2,0))&gt;0.01))</f>
        <v>7</v>
      </c>
      <c r="H16" s="10">
        <f>0</f>
        <v>0</v>
      </c>
      <c r="I16" s="11" t="str">
        <f>IF(SUM(C16:G16)=0,"OK","CHECK")</f>
        <v>CHECK</v>
      </c>
      <c r="J16" s="3" t="s">
        <v>111</v>
      </c>
    </row>
    <row r="17" spans="1:10" ht="30" customHeight="1">
      <c r="B17" s="4" t="s">
        <v>112</v>
      </c>
      <c r="C17" s="13">
        <f>COUNTIFS('Horizontal Teams'!$B$5:$B$165,1,'Horizontal Teams'!$I$5:$I$165,"&lt;0.02")</f>
        <v>0</v>
      </c>
      <c r="D17" s="13">
        <f>COUNTIFS('Horizontal Teams'!$B$5:$B$165,2,'Horizontal Teams'!$I$5:$I$165,"&lt;0.02")</f>
        <v>0</v>
      </c>
      <c r="E17" s="13">
        <f>COUNTIFS('Horizontal Teams'!$B$5:$B$165,3,'Horizontal Teams'!$I$5:$I$165,"&lt;0.02")</f>
        <v>0</v>
      </c>
      <c r="F17" s="13">
        <f>COUNTIFS('Horizontal Teams'!$B$5:$B$165,4,'Horizontal Teams'!$I$5:$I$165,"&lt;0.02")</f>
        <v>0</v>
      </c>
      <c r="G17" s="13">
        <f>COUNTIFS('Horizontal Teams'!$B$5:$B$165,5,'Horizontal Teams'!$I$5:$I$165,"&lt;0.02")</f>
        <v>0</v>
      </c>
      <c r="H17" s="10">
        <f>0</f>
        <v>0</v>
      </c>
      <c r="I17" s="11" t="str">
        <f>IF(SUM(C17:G17)=0,"OK","CHECK")</f>
        <v>OK</v>
      </c>
      <c r="J17" s="3" t="s">
        <v>113</v>
      </c>
    </row>
    <row r="18" spans="1:10" ht="30" customHeight="1">
      <c r="B18" s="14" t="s">
        <v>114</v>
      </c>
      <c r="C18" s="15">
        <f>'Team Build-Up'!E28</f>
        <v>1.2082999999998734</v>
      </c>
      <c r="H18" s="10" t="s">
        <v>115</v>
      </c>
      <c r="I18" s="11" t="str">
        <f>IF(ABS(C18)&lt;=2.6,"OK","CHECK")</f>
        <v>OK</v>
      </c>
      <c r="J18" s="3" t="s">
        <v>116</v>
      </c>
    </row>
    <row r="20" spans="1:10" ht="15" customHeight="1">
      <c r="A20" s="60" t="s">
        <v>117</v>
      </c>
      <c r="B20" s="60"/>
      <c r="C20" s="60"/>
      <c r="D20" s="60"/>
      <c r="E20" s="60"/>
      <c r="F20" s="60"/>
      <c r="G20" s="60"/>
      <c r="H20" s="60"/>
      <c r="I20" s="60"/>
      <c r="J20" s="60"/>
    </row>
    <row r="21" spans="1:10" ht="43.5" customHeight="1">
      <c r="B21" s="63" t="s">
        <v>118</v>
      </c>
      <c r="C21" s="63"/>
      <c r="D21" s="63"/>
      <c r="E21" s="63"/>
      <c r="F21" s="63"/>
      <c r="G21" s="63"/>
      <c r="H21" s="63"/>
      <c r="I21" s="63"/>
      <c r="J21" s="63"/>
    </row>
    <row r="22" spans="1:10" ht="43.5" customHeight="1">
      <c r="B22" s="63" t="s">
        <v>119</v>
      </c>
      <c r="C22" s="63"/>
      <c r="D22" s="63"/>
      <c r="E22" s="63"/>
      <c r="F22" s="63"/>
      <c r="G22" s="63"/>
      <c r="H22" s="63"/>
      <c r="I22" s="63"/>
      <c r="J22" s="63"/>
    </row>
    <row r="23" spans="1:10" ht="43.5" customHeight="1">
      <c r="B23" s="63" t="s">
        <v>120</v>
      </c>
      <c r="C23" s="63"/>
      <c r="D23" s="63"/>
      <c r="E23" s="63"/>
      <c r="F23" s="63"/>
      <c r="G23" s="63"/>
      <c r="H23" s="63"/>
      <c r="I23" s="63"/>
      <c r="J23" s="63"/>
    </row>
    <row r="24" spans="1:10" ht="43.5" customHeight="1">
      <c r="B24" s="63" t="s">
        <v>121</v>
      </c>
      <c r="C24" s="63"/>
      <c r="D24" s="63"/>
      <c r="E24" s="63"/>
      <c r="F24" s="63"/>
      <c r="G24" s="63"/>
      <c r="H24" s="63"/>
      <c r="I24" s="63"/>
      <c r="J24" s="63"/>
    </row>
  </sheetData>
  <mergeCells count="13">
    <mergeCell ref="A1:J1"/>
    <mergeCell ref="A2:J2"/>
    <mergeCell ref="A4:J4"/>
    <mergeCell ref="B5:J5"/>
    <mergeCell ref="B6:J6"/>
    <mergeCell ref="B22:J22"/>
    <mergeCell ref="B23:J23"/>
    <mergeCell ref="B24:J24"/>
    <mergeCell ref="B7:J7"/>
    <mergeCell ref="B8:J8"/>
    <mergeCell ref="A10:J10"/>
    <mergeCell ref="A20:J20"/>
    <mergeCell ref="B21:J21"/>
  </mergeCells>
  <conditionalFormatting sqref="I12:I18">
    <cfRule type="cellIs" dxfId="1" priority="2" operator="equal">
      <formula>"CHECK"</formula>
    </cfRule>
    <cfRule type="cellIs" dxfId="0" priority="3" operator="equal">
      <formula>"OK"</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8"/>
  <sheetViews>
    <sheetView zoomScaleNormal="100" workbookViewId="0">
      <selection sqref="A1:K1"/>
    </sheetView>
  </sheetViews>
  <sheetFormatPr defaultColWidth="8.6328125" defaultRowHeight="14.5"/>
  <cols>
    <col min="1" max="1" width="2.453125" customWidth="1"/>
    <col min="2" max="2" width="46" customWidth="1"/>
    <col min="3" max="8" width="13" customWidth="1"/>
    <col min="9" max="9" width="3" customWidth="1"/>
    <col min="10" max="10" width="50" customWidth="1"/>
  </cols>
  <sheetData>
    <row r="1" spans="1:11" ht="25.5" customHeight="1">
      <c r="A1" s="61" t="s">
        <v>122</v>
      </c>
      <c r="B1" s="61"/>
      <c r="C1" s="61"/>
      <c r="D1" s="61"/>
      <c r="E1" s="61"/>
      <c r="F1" s="61"/>
      <c r="G1" s="61"/>
      <c r="H1" s="61"/>
      <c r="I1" s="61"/>
      <c r="J1" s="61"/>
      <c r="K1" s="61"/>
    </row>
    <row r="2" spans="1:11" ht="15" customHeight="1">
      <c r="A2" s="62" t="s">
        <v>123</v>
      </c>
      <c r="B2" s="62"/>
      <c r="C2" s="62"/>
      <c r="D2" s="62"/>
      <c r="E2" s="62"/>
      <c r="F2" s="62"/>
      <c r="G2" s="62"/>
      <c r="H2" s="62"/>
      <c r="I2" s="62"/>
      <c r="J2" s="62"/>
      <c r="K2" s="62"/>
    </row>
    <row r="4" spans="1:11" ht="15" customHeight="1">
      <c r="A4" s="60" t="s">
        <v>124</v>
      </c>
      <c r="B4" s="60"/>
      <c r="C4" s="60"/>
      <c r="D4" s="60"/>
      <c r="E4" s="60"/>
      <c r="F4" s="60"/>
      <c r="G4" s="60"/>
      <c r="H4" s="60"/>
      <c r="I4" s="60"/>
      <c r="J4" s="60"/>
    </row>
    <row r="5" spans="1:11" ht="34.5" customHeight="1">
      <c r="B5" s="4" t="s">
        <v>125</v>
      </c>
      <c r="C5" s="7" t="s">
        <v>126</v>
      </c>
    </row>
    <row r="6" spans="1:11" ht="15" customHeight="1">
      <c r="B6" s="4" t="s">
        <v>127</v>
      </c>
      <c r="C6" s="16">
        <v>13</v>
      </c>
    </row>
    <row r="7" spans="1:11" ht="15" customHeight="1">
      <c r="B7" s="4" t="s">
        <v>128</v>
      </c>
      <c r="C7" s="17">
        <v>466.47230000000002</v>
      </c>
    </row>
    <row r="8" spans="1:11" ht="15" customHeight="1">
      <c r="B8" s="4" t="s">
        <v>129</v>
      </c>
      <c r="C8" s="17">
        <v>284.54300000000001</v>
      </c>
    </row>
    <row r="9" spans="1:11" ht="15" customHeight="1">
      <c r="B9" s="4" t="s">
        <v>130</v>
      </c>
      <c r="C9" s="17">
        <v>88.129199999999997</v>
      </c>
    </row>
    <row r="10" spans="1:11" ht="15" customHeight="1">
      <c r="B10" s="4" t="s">
        <v>131</v>
      </c>
      <c r="C10" s="17">
        <v>93.8</v>
      </c>
    </row>
    <row r="11" spans="1:11" ht="18.75" customHeight="1">
      <c r="B11" s="2" t="s">
        <v>132</v>
      </c>
      <c r="C11" s="17">
        <v>177.3681</v>
      </c>
      <c r="J11" s="3" t="s">
        <v>133</v>
      </c>
    </row>
    <row r="12" spans="1:11" ht="15" customHeight="1">
      <c r="B12" s="2" t="s">
        <v>134</v>
      </c>
      <c r="C12" s="17">
        <v>107.0916</v>
      </c>
    </row>
    <row r="13" spans="1:11" ht="15" customHeight="1">
      <c r="B13" s="2" t="s">
        <v>135</v>
      </c>
      <c r="C13" s="17">
        <v>0</v>
      </c>
    </row>
    <row r="14" spans="1:11" ht="15" customHeight="1">
      <c r="B14" s="2" t="s">
        <v>136</v>
      </c>
      <c r="C14" s="17">
        <v>0</v>
      </c>
    </row>
    <row r="15" spans="1:11" ht="15" customHeight="1">
      <c r="B15" s="2" t="s">
        <v>137</v>
      </c>
      <c r="C15" s="17">
        <v>47.708300000000001</v>
      </c>
    </row>
    <row r="16" spans="1:11" ht="15" customHeight="1">
      <c r="B16" s="2" t="s">
        <v>138</v>
      </c>
      <c r="C16" s="17">
        <v>114.2306</v>
      </c>
    </row>
    <row r="17" spans="1:10" ht="15" customHeight="1">
      <c r="B17" s="2" t="s">
        <v>139</v>
      </c>
      <c r="C17" s="17">
        <v>103.9166</v>
      </c>
    </row>
    <row r="18" spans="1:10" ht="15" customHeight="1">
      <c r="B18" s="2" t="s">
        <v>140</v>
      </c>
      <c r="C18" s="17">
        <v>13.145799999999999</v>
      </c>
    </row>
    <row r="19" spans="1:10" ht="15" customHeight="1">
      <c r="B19" s="2" t="s">
        <v>141</v>
      </c>
      <c r="C19" s="17">
        <v>3.7917000000000001</v>
      </c>
    </row>
    <row r="20" spans="1:10" ht="15" customHeight="1">
      <c r="B20" s="2" t="s">
        <v>142</v>
      </c>
      <c r="C20" s="17">
        <v>1.75</v>
      </c>
    </row>
    <row r="21" spans="1:10" ht="15" customHeight="1">
      <c r="B21" s="4" t="s">
        <v>143</v>
      </c>
      <c r="C21" s="17">
        <v>444.5136</v>
      </c>
    </row>
    <row r="22" spans="1:10" ht="15" customHeight="1">
      <c r="B22" s="4" t="s">
        <v>144</v>
      </c>
      <c r="C22" s="17">
        <v>233.2362</v>
      </c>
    </row>
    <row r="23" spans="1:10" ht="15" customHeight="1">
      <c r="B23" s="14" t="s">
        <v>145</v>
      </c>
      <c r="C23" s="18">
        <f>C8/(C8+C9+C10)</f>
        <v>0.60998919121010864</v>
      </c>
    </row>
    <row r="24" spans="1:10" ht="18.75" customHeight="1">
      <c r="B24" s="14" t="s">
        <v>146</v>
      </c>
      <c r="C24" s="18">
        <f>(C12+C13+C10)/C7</f>
        <v>0.43066137046079689</v>
      </c>
      <c r="J24" s="3" t="s">
        <v>147</v>
      </c>
    </row>
    <row r="26" spans="1:10" ht="15" customHeight="1">
      <c r="A26" s="60" t="s">
        <v>148</v>
      </c>
      <c r="B26" s="60"/>
      <c r="C26" s="60"/>
      <c r="D26" s="60"/>
      <c r="E26" s="60"/>
      <c r="F26" s="60"/>
      <c r="G26" s="60"/>
      <c r="H26" s="60"/>
      <c r="I26" s="60"/>
      <c r="J26" s="60"/>
    </row>
    <row r="27" spans="1:10" ht="15" customHeight="1">
      <c r="B27" s="5" t="s">
        <v>149</v>
      </c>
      <c r="C27" s="5" t="s">
        <v>150</v>
      </c>
      <c r="D27" s="5" t="s">
        <v>151</v>
      </c>
      <c r="E27" s="5" t="s">
        <v>152</v>
      </c>
      <c r="F27" s="5" t="s">
        <v>153</v>
      </c>
      <c r="G27" s="5" t="s">
        <v>154</v>
      </c>
      <c r="H27" s="5" t="s">
        <v>155</v>
      </c>
    </row>
    <row r="28" spans="1:10" ht="23.25" customHeight="1">
      <c r="B28" s="11" t="s">
        <v>156</v>
      </c>
      <c r="C28" s="2" t="s">
        <v>157</v>
      </c>
      <c r="D28" s="19">
        <v>7</v>
      </c>
      <c r="E28" s="17">
        <v>390.15039999999999</v>
      </c>
      <c r="F28" s="12">
        <f>E28/$E$33</f>
        <v>0.83638492575014634</v>
      </c>
      <c r="G28" s="20">
        <v>0.45250000000000001</v>
      </c>
      <c r="H28" s="20">
        <v>0.85</v>
      </c>
    </row>
    <row r="29" spans="1:10" ht="23.25" customHeight="1">
      <c r="B29" s="11" t="s">
        <v>158</v>
      </c>
      <c r="C29" s="2" t="s">
        <v>159</v>
      </c>
      <c r="D29" s="19">
        <v>1</v>
      </c>
      <c r="E29" s="17">
        <v>48.667000000000002</v>
      </c>
      <c r="F29" s="12">
        <f>E29/$E$33</f>
        <v>0.10432988196726793</v>
      </c>
      <c r="G29" s="20">
        <v>0.48249999999999998</v>
      </c>
      <c r="H29" s="20">
        <v>0.78</v>
      </c>
    </row>
    <row r="30" spans="1:10" ht="15" customHeight="1">
      <c r="B30" s="11" t="s">
        <v>160</v>
      </c>
      <c r="C30" s="2" t="s">
        <v>161</v>
      </c>
      <c r="D30" s="19">
        <v>2</v>
      </c>
      <c r="E30" s="17">
        <v>19.052099999999999</v>
      </c>
      <c r="F30" s="12">
        <f>E30/$E$33</f>
        <v>4.0842939655795205E-2</v>
      </c>
      <c r="G30" s="20">
        <v>0.30399999999999999</v>
      </c>
      <c r="H30" s="20">
        <v>0.12</v>
      </c>
    </row>
    <row r="31" spans="1:10" ht="23.25" customHeight="1">
      <c r="B31" s="11" t="s">
        <v>162</v>
      </c>
      <c r="C31" s="2" t="s">
        <v>163</v>
      </c>
      <c r="D31" s="19">
        <v>1</v>
      </c>
      <c r="E31" s="17">
        <v>7.2617000000000003</v>
      </c>
      <c r="F31" s="12">
        <f>E31/$E$33</f>
        <v>1.5567269482024977E-2</v>
      </c>
      <c r="G31" s="20">
        <v>0.48249999999999998</v>
      </c>
      <c r="H31" s="20">
        <v>0.78</v>
      </c>
    </row>
    <row r="32" spans="1:10" ht="15" customHeight="1">
      <c r="B32" s="11" t="s">
        <v>164</v>
      </c>
      <c r="C32" s="2" t="s">
        <v>165</v>
      </c>
      <c r="D32" s="19">
        <v>2</v>
      </c>
      <c r="E32" s="17">
        <v>1.3411</v>
      </c>
      <c r="F32" s="12">
        <f>E32/$E$33</f>
        <v>2.8749831447655088E-3</v>
      </c>
      <c r="G32" s="20">
        <v>0.39</v>
      </c>
      <c r="H32" s="20">
        <v>0.55000000000000004</v>
      </c>
    </row>
    <row r="33" spans="1:10" ht="15" customHeight="1">
      <c r="C33" s="14" t="s">
        <v>166</v>
      </c>
      <c r="D33" s="21">
        <f>SUM(D28:D32)</f>
        <v>13</v>
      </c>
      <c r="E33" s="22">
        <f>SUM(E28:E32)</f>
        <v>466.47230000000002</v>
      </c>
      <c r="F33" s="18">
        <f>SUM(F28:F32)</f>
        <v>1</v>
      </c>
    </row>
    <row r="34" spans="1:10" ht="18.75" customHeight="1">
      <c r="B34" s="14" t="s">
        <v>167</v>
      </c>
      <c r="C34" s="18">
        <f>SUMPRODUCT($E$28:$E$32,$G$28:$G$32)/$E$33</f>
        <v>0.44985205155804536</v>
      </c>
      <c r="J34" s="3" t="s">
        <v>168</v>
      </c>
    </row>
    <row r="35" spans="1:10" ht="15" customHeight="1">
      <c r="B35" s="14" t="s">
        <v>169</v>
      </c>
      <c r="C35" s="18">
        <f>SUMPRODUCT($E$28:$E$32,$H$28:$H$32)/$E$33</f>
        <v>0.81092935850638925</v>
      </c>
    </row>
    <row r="37" spans="1:10" ht="15" customHeight="1">
      <c r="A37" s="60" t="s">
        <v>170</v>
      </c>
      <c r="B37" s="60"/>
      <c r="C37" s="60"/>
      <c r="D37" s="60"/>
      <c r="E37" s="60"/>
      <c r="F37" s="60"/>
      <c r="G37" s="60"/>
      <c r="H37" s="60"/>
      <c r="I37" s="60"/>
      <c r="J37" s="60"/>
    </row>
    <row r="38" spans="1:10" ht="15" customHeight="1">
      <c r="B38" s="5" t="s">
        <v>171</v>
      </c>
      <c r="C38" s="5" t="s">
        <v>172</v>
      </c>
      <c r="D38" s="5" t="s">
        <v>173</v>
      </c>
      <c r="E38" s="5" t="s">
        <v>174</v>
      </c>
      <c r="F38" s="5" t="s">
        <v>175</v>
      </c>
      <c r="G38" s="5" t="s">
        <v>176</v>
      </c>
      <c r="H38" s="5" t="s">
        <v>177</v>
      </c>
    </row>
    <row r="39" spans="1:10" ht="15" customHeight="1">
      <c r="B39" s="4" t="s">
        <v>178</v>
      </c>
      <c r="C39" s="23">
        <v>0.25</v>
      </c>
      <c r="D39" s="23">
        <v>0.55000000000000004</v>
      </c>
      <c r="E39" s="23">
        <v>0.75</v>
      </c>
      <c r="F39" s="23">
        <v>0.85</v>
      </c>
      <c r="G39" s="23">
        <v>0.9</v>
      </c>
      <c r="J39" s="3" t="s">
        <v>179</v>
      </c>
    </row>
    <row r="40" spans="1:10" ht="15" customHeight="1">
      <c r="B40" s="4" t="s">
        <v>180</v>
      </c>
      <c r="C40" s="23">
        <v>0.02</v>
      </c>
      <c r="D40" s="23">
        <v>0.05</v>
      </c>
      <c r="E40" s="23">
        <v>7.0000000000000007E-2</v>
      </c>
      <c r="F40" s="23">
        <v>0.09</v>
      </c>
      <c r="G40" s="23">
        <v>0.11</v>
      </c>
      <c r="J40" s="3" t="s">
        <v>181</v>
      </c>
    </row>
    <row r="41" spans="1:10" ht="18.75" customHeight="1">
      <c r="B41" s="4" t="s">
        <v>182</v>
      </c>
      <c r="C41" s="23">
        <v>0.03</v>
      </c>
      <c r="D41" s="23">
        <v>0.06</v>
      </c>
      <c r="E41" s="23">
        <v>0.08</v>
      </c>
      <c r="F41" s="23">
        <v>0.1</v>
      </c>
      <c r="G41" s="23">
        <v>0.12</v>
      </c>
      <c r="J41" s="3" t="s">
        <v>183</v>
      </c>
    </row>
    <row r="42" spans="1:10" ht="23.25" customHeight="1">
      <c r="B42" s="2" t="s">
        <v>184</v>
      </c>
      <c r="C42" s="12">
        <f>'Delivery Mode'!C22</f>
        <v>0.18425542095425601</v>
      </c>
      <c r="D42" s="12">
        <f>'Delivery Mode'!D22</f>
        <v>0.9094712054713644</v>
      </c>
      <c r="E42" s="12">
        <f>'Delivery Mode'!E22</f>
        <v>1</v>
      </c>
      <c r="F42" s="12">
        <f>'Delivery Mode'!F22</f>
        <v>1</v>
      </c>
      <c r="G42" s="12">
        <f>'Delivery Mode'!G22</f>
        <v>1</v>
      </c>
    </row>
    <row r="43" spans="1:10" ht="18.75" customHeight="1">
      <c r="B43" s="4" t="s">
        <v>185</v>
      </c>
      <c r="C43" s="12">
        <f>C41*C42</f>
        <v>5.5276626286276803E-3</v>
      </c>
      <c r="D43" s="12">
        <f>D41*D42</f>
        <v>5.4568272328281861E-2</v>
      </c>
      <c r="E43" s="12">
        <f>E41*E42</f>
        <v>0.08</v>
      </c>
      <c r="F43" s="12">
        <f>F41*F42</f>
        <v>0.1</v>
      </c>
      <c r="G43" s="12">
        <f>G41*G42</f>
        <v>0.12</v>
      </c>
      <c r="J43" s="3" t="s">
        <v>186</v>
      </c>
    </row>
    <row r="44" spans="1:10" ht="15" customHeight="1">
      <c r="B44" s="2" t="s">
        <v>187</v>
      </c>
      <c r="C44" s="12">
        <f>$C$34*C39</f>
        <v>0.11246301288951134</v>
      </c>
      <c r="D44" s="12">
        <f>$C$34*D39</f>
        <v>0.24741862835692496</v>
      </c>
      <c r="E44" s="12">
        <f>$C$34*E39</f>
        <v>0.33738903866853404</v>
      </c>
      <c r="F44" s="12">
        <f>$C$34*F39</f>
        <v>0.38237424382433854</v>
      </c>
      <c r="G44" s="12">
        <f>$C$34*G39</f>
        <v>0.40486684640224085</v>
      </c>
    </row>
    <row r="45" spans="1:10" ht="15" customHeight="1">
      <c r="B45" s="14" t="s">
        <v>188</v>
      </c>
      <c r="C45" s="18">
        <f>1-(1-C44)*(1-C40)*(1-C43)</f>
        <v>0.13502163756619301</v>
      </c>
      <c r="D45" s="18">
        <f>1-(1-D44)*(1-D40)*(1-D43)</f>
        <v>0.3240614089142394</v>
      </c>
      <c r="E45" s="18">
        <f>1-(1-E44)*(1-E40)*(1-E43)</f>
        <v>0.43307006148479776</v>
      </c>
      <c r="F45" s="18">
        <f>1-(1-F44)*(1-F40)*(1-F43)</f>
        <v>0.49416450569213322</v>
      </c>
      <c r="G45" s="18">
        <f>1-(1-G44)*(1-G40)*(1-G43)</f>
        <v>0.53389171410223502</v>
      </c>
    </row>
    <row r="47" spans="1:10" ht="15" customHeight="1">
      <c r="A47" s="60" t="s">
        <v>189</v>
      </c>
      <c r="B47" s="60"/>
      <c r="C47" s="60"/>
      <c r="D47" s="60"/>
      <c r="E47" s="60"/>
      <c r="F47" s="60"/>
      <c r="G47" s="60"/>
      <c r="H47" s="60"/>
      <c r="I47" s="60"/>
      <c r="J47" s="60"/>
    </row>
    <row r="48" spans="1:10" ht="15" customHeight="1">
      <c r="B48" s="24" t="s">
        <v>190</v>
      </c>
      <c r="C48" s="25">
        <v>0.5</v>
      </c>
    </row>
    <row r="49" spans="1:10" ht="15" customHeight="1">
      <c r="B49" s="5"/>
      <c r="C49" s="5" t="s">
        <v>172</v>
      </c>
      <c r="D49" s="5" t="s">
        <v>173</v>
      </c>
      <c r="E49" s="5" t="s">
        <v>174</v>
      </c>
      <c r="F49" s="5" t="s">
        <v>175</v>
      </c>
      <c r="G49" s="5" t="s">
        <v>176</v>
      </c>
    </row>
    <row r="50" spans="1:10" ht="15" customHeight="1">
      <c r="B50" s="2" t="s">
        <v>191</v>
      </c>
      <c r="C50" s="12">
        <f>0</f>
        <v>0</v>
      </c>
      <c r="D50" s="12">
        <f>C45</f>
        <v>0.13502163756619301</v>
      </c>
      <c r="E50" s="12">
        <f>D45</f>
        <v>0.3240614089142394</v>
      </c>
      <c r="F50" s="12">
        <f>E45</f>
        <v>0.43307006148479776</v>
      </c>
      <c r="G50" s="12">
        <f>F45</f>
        <v>0.49416450569213322</v>
      </c>
    </row>
    <row r="51" spans="1:10" ht="15" customHeight="1">
      <c r="B51" s="2" t="s">
        <v>192</v>
      </c>
      <c r="C51" s="12">
        <f>0</f>
        <v>0</v>
      </c>
      <c r="D51" s="12">
        <f>$C$48*(D45-C45)</f>
        <v>9.4519885674023196E-2</v>
      </c>
      <c r="E51" s="12">
        <f>$C$48*(E45-D45)</f>
        <v>5.4504326285279181E-2</v>
      </c>
      <c r="F51" s="12">
        <f>$C$48*(F45-E45)</f>
        <v>3.0547222103667726E-2</v>
      </c>
      <c r="G51" s="12">
        <f>$C$48*(G45-F45)</f>
        <v>1.98636042050509E-2</v>
      </c>
    </row>
    <row r="52" spans="1:10" ht="15" customHeight="1">
      <c r="B52" s="14" t="s">
        <v>193</v>
      </c>
      <c r="C52" s="18">
        <f>C50+C51</f>
        <v>0</v>
      </c>
      <c r="D52" s="18">
        <f>D50+D51</f>
        <v>0.22954152324021621</v>
      </c>
      <c r="E52" s="18">
        <f>E50+E51</f>
        <v>0.37856573519951858</v>
      </c>
      <c r="F52" s="18">
        <f>F50+F51</f>
        <v>0.46361728358846549</v>
      </c>
      <c r="G52" s="18">
        <f>G50+G51</f>
        <v>0.51402810989718417</v>
      </c>
    </row>
    <row r="53" spans="1:10" ht="15" customHeight="1">
      <c r="B53" s="4" t="s">
        <v>194</v>
      </c>
      <c r="C53" s="9">
        <f>$C$7*(1-C52)</f>
        <v>466.47230000000002</v>
      </c>
      <c r="D53" s="9">
        <f>$C$7*(1-D52)</f>
        <v>359.39753770863291</v>
      </c>
      <c r="E53" s="9">
        <f>$C$7*(1-E52)</f>
        <v>289.88187080028962</v>
      </c>
      <c r="F53" s="9">
        <f>$C$7*(1-F52)</f>
        <v>250.20767940473624</v>
      </c>
      <c r="G53" s="9">
        <f>$C$7*(1-G52)</f>
        <v>226.69242531160774</v>
      </c>
    </row>
    <row r="54" spans="1:10" ht="23.25" customHeight="1">
      <c r="B54" s="24" t="s">
        <v>195</v>
      </c>
      <c r="E54" s="26">
        <f>$C$7*(1-E45)</f>
        <v>264.45711235804498</v>
      </c>
    </row>
    <row r="56" spans="1:10" ht="15" customHeight="1">
      <c r="A56" s="60" t="s">
        <v>196</v>
      </c>
      <c r="B56" s="60"/>
      <c r="C56" s="60"/>
      <c r="D56" s="60"/>
      <c r="E56" s="60"/>
      <c r="F56" s="60"/>
      <c r="G56" s="60"/>
      <c r="H56" s="60"/>
      <c r="I56" s="60"/>
      <c r="J56" s="60"/>
    </row>
    <row r="57" spans="1:10" ht="15" customHeight="1">
      <c r="B57" s="64" t="s">
        <v>197</v>
      </c>
      <c r="C57" s="64"/>
      <c r="D57" s="64"/>
      <c r="E57" s="64"/>
      <c r="F57" s="64"/>
      <c r="G57" s="64"/>
      <c r="H57" s="64"/>
      <c r="I57" s="64"/>
      <c r="J57" s="64"/>
    </row>
    <row r="58" spans="1:10" ht="15" customHeight="1">
      <c r="B58" s="5" t="s">
        <v>171</v>
      </c>
      <c r="C58" s="5" t="s">
        <v>172</v>
      </c>
      <c r="D58" s="5" t="s">
        <v>173</v>
      </c>
      <c r="E58" s="5" t="s">
        <v>174</v>
      </c>
      <c r="F58" s="5" t="s">
        <v>175</v>
      </c>
      <c r="G58" s="5" t="s">
        <v>176</v>
      </c>
      <c r="H58" s="5" t="s">
        <v>177</v>
      </c>
    </row>
    <row r="59" spans="1:10" ht="18.75" customHeight="1">
      <c r="B59" s="4" t="s">
        <v>198</v>
      </c>
      <c r="C59" s="23">
        <v>0.02</v>
      </c>
      <c r="D59" s="23">
        <v>0.35</v>
      </c>
      <c r="E59" s="23">
        <v>0.62</v>
      </c>
      <c r="F59" s="23">
        <v>0.8</v>
      </c>
      <c r="G59" s="23">
        <v>0.92</v>
      </c>
      <c r="J59" s="3" t="s">
        <v>199</v>
      </c>
    </row>
    <row r="60" spans="1:10" ht="15" customHeight="1">
      <c r="B60" s="14" t="s">
        <v>200</v>
      </c>
      <c r="C60" s="18">
        <f>$C$24+($C$35-$C$24)*C59</f>
        <v>0.43826673022170876</v>
      </c>
      <c r="D60" s="18">
        <f>$C$24+($C$35-$C$24)*D59</f>
        <v>0.56375516627675415</v>
      </c>
      <c r="E60" s="18">
        <f>$C$24+($C$35-$C$24)*E59</f>
        <v>0.66642752304906416</v>
      </c>
      <c r="F60" s="18">
        <f>$C$24+($C$35-$C$24)*F59</f>
        <v>0.7348757608972708</v>
      </c>
      <c r="G60" s="18">
        <f>$C$24+($C$35-$C$24)*G59</f>
        <v>0.78050791946274189</v>
      </c>
    </row>
    <row r="61" spans="1:10" ht="18.75" customHeight="1">
      <c r="B61" s="2" t="s">
        <v>201</v>
      </c>
      <c r="C61" s="27">
        <f>C60*C53-$C$24*$C$7</f>
        <v>3.5476896600000316</v>
      </c>
      <c r="D61" s="27">
        <f>D60*D53-$C$24*$C$7</f>
        <v>1.7206186303863831</v>
      </c>
      <c r="E61" s="27">
        <f>E60*E53-$C$24*$C$7</f>
        <v>-7.7063428657341433</v>
      </c>
      <c r="F61" s="27">
        <f>F60*F53-$C$24*$C$7</f>
        <v>-17.020041215104044</v>
      </c>
      <c r="G61" s="27">
        <f>G60*G53-$C$24*$C$7</f>
        <v>-23.956366762074026</v>
      </c>
      <c r="J61" s="3" t="s">
        <v>202</v>
      </c>
    </row>
    <row r="63" spans="1:10" ht="15" customHeight="1">
      <c r="A63" s="60" t="s">
        <v>203</v>
      </c>
      <c r="B63" s="60"/>
      <c r="C63" s="60"/>
      <c r="D63" s="60"/>
      <c r="E63" s="60"/>
      <c r="F63" s="60"/>
      <c r="G63" s="60"/>
      <c r="H63" s="60"/>
      <c r="I63" s="60"/>
      <c r="J63" s="60"/>
    </row>
    <row r="64" spans="1:10" ht="15" customHeight="1">
      <c r="B64" s="5" t="s">
        <v>204</v>
      </c>
      <c r="C64" s="5" t="s">
        <v>172</v>
      </c>
      <c r="D64" s="5" t="s">
        <v>173</v>
      </c>
      <c r="E64" s="5" t="s">
        <v>174</v>
      </c>
      <c r="F64" s="5" t="s">
        <v>175</v>
      </c>
      <c r="G64" s="5" t="s">
        <v>176</v>
      </c>
    </row>
    <row r="65" spans="1:14" ht="18.75" customHeight="1">
      <c r="B65" s="2" t="s">
        <v>205</v>
      </c>
      <c r="C65" s="16">
        <v>0</v>
      </c>
      <c r="D65" s="16">
        <v>0</v>
      </c>
      <c r="E65" s="16">
        <v>5</v>
      </c>
      <c r="F65" s="16">
        <v>0</v>
      </c>
      <c r="G65" s="16">
        <v>0</v>
      </c>
      <c r="J65" s="3" t="s">
        <v>206</v>
      </c>
    </row>
    <row r="66" spans="1:14" ht="15" customHeight="1">
      <c r="B66" s="2" t="s">
        <v>207</v>
      </c>
      <c r="C66" s="16">
        <v>0</v>
      </c>
      <c r="D66" s="16">
        <v>0</v>
      </c>
      <c r="E66" s="16">
        <v>10</v>
      </c>
      <c r="F66" s="16">
        <v>0</v>
      </c>
      <c r="G66" s="16">
        <v>0</v>
      </c>
    </row>
    <row r="67" spans="1:14" ht="15" customHeight="1">
      <c r="B67" s="14" t="s">
        <v>208</v>
      </c>
      <c r="C67" s="21">
        <f>SUM($C$65:C66)</f>
        <v>0</v>
      </c>
      <c r="D67" s="21">
        <f>SUM($C$65:D66)</f>
        <v>0</v>
      </c>
      <c r="E67" s="21">
        <f>SUM($C$65:E66)</f>
        <v>15</v>
      </c>
      <c r="F67" s="21">
        <f>SUM($C$65:F66)</f>
        <v>15</v>
      </c>
      <c r="G67" s="21">
        <f>SUM($C$65:G66)</f>
        <v>15</v>
      </c>
    </row>
    <row r="69" spans="1:14" ht="15" customHeight="1">
      <c r="A69" s="60" t="s">
        <v>209</v>
      </c>
      <c r="B69" s="60"/>
      <c r="C69" s="60"/>
      <c r="D69" s="60"/>
      <c r="E69" s="60"/>
      <c r="F69" s="60"/>
      <c r="G69" s="60"/>
      <c r="H69" s="60"/>
      <c r="I69" s="60"/>
      <c r="J69" s="60"/>
    </row>
    <row r="70" spans="1:14" ht="15" customHeight="1">
      <c r="B70" s="5" t="s">
        <v>210</v>
      </c>
      <c r="C70" s="5" t="s">
        <v>211</v>
      </c>
      <c r="D70" s="5" t="s">
        <v>212</v>
      </c>
      <c r="E70" s="5" t="s">
        <v>213</v>
      </c>
      <c r="F70" s="5" t="s">
        <v>214</v>
      </c>
      <c r="G70" s="5" t="s">
        <v>215</v>
      </c>
    </row>
    <row r="71" spans="1:14" ht="15" customHeight="1">
      <c r="B71" s="4" t="s">
        <v>216</v>
      </c>
      <c r="C71" s="28">
        <v>0.72</v>
      </c>
      <c r="D71" s="28">
        <v>1</v>
      </c>
      <c r="E71" s="28">
        <v>1.35</v>
      </c>
      <c r="F71" s="28">
        <v>1.85</v>
      </c>
      <c r="G71" s="28">
        <v>2.5499999999999998</v>
      </c>
    </row>
    <row r="72" spans="1:14" ht="15" customHeight="1">
      <c r="B72" s="4" t="s">
        <v>217</v>
      </c>
      <c r="C72" s="28">
        <v>0.22</v>
      </c>
      <c r="D72" s="28">
        <v>0.3</v>
      </c>
      <c r="E72" s="28">
        <v>0.42</v>
      </c>
      <c r="F72" s="28">
        <v>0.6</v>
      </c>
      <c r="G72" s="28">
        <v>0.85</v>
      </c>
    </row>
    <row r="73" spans="1:14" ht="15" customHeight="1">
      <c r="B73" s="4" t="s">
        <v>218</v>
      </c>
      <c r="C73" s="28">
        <v>0.45</v>
      </c>
      <c r="D73" s="28">
        <v>0.62</v>
      </c>
      <c r="E73" s="28">
        <v>0.84</v>
      </c>
      <c r="F73" s="28">
        <v>1.1499999999999999</v>
      </c>
      <c r="G73" s="28">
        <v>1.58</v>
      </c>
    </row>
    <row r="74" spans="1:14" ht="15" customHeight="1">
      <c r="B74" s="64" t="s">
        <v>219</v>
      </c>
      <c r="C74" s="64"/>
      <c r="D74" s="64"/>
      <c r="E74" s="64"/>
      <c r="F74" s="64"/>
      <c r="G74" s="64"/>
      <c r="H74" s="64"/>
      <c r="I74" s="1" t="s">
        <v>220</v>
      </c>
      <c r="J74" s="29" t="s">
        <v>211</v>
      </c>
      <c r="K74" s="29" t="s">
        <v>212</v>
      </c>
      <c r="L74" s="29" t="s">
        <v>213</v>
      </c>
      <c r="M74" s="29" t="s">
        <v>214</v>
      </c>
      <c r="N74" s="29" t="s">
        <v>215</v>
      </c>
    </row>
    <row r="75" spans="1:14" ht="15" customHeight="1">
      <c r="I75" s="29" t="s">
        <v>221</v>
      </c>
      <c r="J75" s="30">
        <v>0.72</v>
      </c>
      <c r="K75" s="30">
        <v>1</v>
      </c>
      <c r="L75" s="30">
        <v>1.35</v>
      </c>
      <c r="M75" s="30">
        <v>1.85</v>
      </c>
      <c r="N75" s="30">
        <v>2.5499999999999998</v>
      </c>
    </row>
    <row r="76" spans="1:14" ht="18.75" customHeight="1">
      <c r="I76" s="29" t="s">
        <v>222</v>
      </c>
      <c r="J76" s="30">
        <v>0.22</v>
      </c>
      <c r="K76" s="30">
        <v>0.3</v>
      </c>
      <c r="L76" s="30">
        <v>0.42</v>
      </c>
      <c r="M76" s="30">
        <v>0.6</v>
      </c>
      <c r="N76" s="30">
        <v>0.85</v>
      </c>
    </row>
    <row r="77" spans="1:14" ht="18.75" customHeight="1">
      <c r="I77" s="29" t="s">
        <v>223</v>
      </c>
      <c r="J77" s="30">
        <v>0.45</v>
      </c>
      <c r="K77" s="30">
        <v>0.62</v>
      </c>
      <c r="L77" s="30">
        <v>0.84</v>
      </c>
      <c r="M77" s="30">
        <v>1.1499999999999999</v>
      </c>
      <c r="N77" s="30">
        <v>1.58</v>
      </c>
    </row>
    <row r="78" spans="1:14" ht="189" customHeight="1">
      <c r="I78" s="3" t="s">
        <v>224</v>
      </c>
    </row>
  </sheetData>
  <mergeCells count="11">
    <mergeCell ref="A1:K1"/>
    <mergeCell ref="A2:K2"/>
    <mergeCell ref="A4:J4"/>
    <mergeCell ref="A26:J26"/>
    <mergeCell ref="A37:J37"/>
    <mergeCell ref="B74:H74"/>
    <mergeCell ref="A47:J47"/>
    <mergeCell ref="A56:J56"/>
    <mergeCell ref="B57:J57"/>
    <mergeCell ref="A63:J63"/>
    <mergeCell ref="A69:J6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1"/>
  <sheetViews>
    <sheetView topLeftCell="A28" zoomScaleNormal="100" workbookViewId="0">
      <selection sqref="A1:K1"/>
    </sheetView>
  </sheetViews>
  <sheetFormatPr defaultColWidth="8.6328125" defaultRowHeight="14.5"/>
  <cols>
    <col min="1" max="1" width="2.453125" customWidth="1"/>
    <col min="2" max="2" width="40" customWidth="1"/>
    <col min="3" max="7" width="12" customWidth="1"/>
    <col min="8" max="8" width="3" customWidth="1"/>
    <col min="9" max="9" width="56" customWidth="1"/>
  </cols>
  <sheetData>
    <row r="1" spans="1:11" ht="25.5" customHeight="1">
      <c r="A1" s="61" t="s">
        <v>225</v>
      </c>
      <c r="B1" s="61"/>
      <c r="C1" s="61"/>
      <c r="D1" s="61"/>
      <c r="E1" s="61"/>
      <c r="F1" s="61"/>
      <c r="G1" s="61"/>
      <c r="H1" s="61"/>
      <c r="I1" s="61"/>
      <c r="J1" s="61"/>
      <c r="K1" s="61"/>
    </row>
    <row r="2" spans="1:11" ht="15" customHeight="1">
      <c r="A2" s="62" t="s">
        <v>226</v>
      </c>
      <c r="B2" s="62"/>
      <c r="C2" s="62"/>
      <c r="D2" s="62"/>
      <c r="E2" s="62"/>
      <c r="F2" s="62"/>
      <c r="G2" s="62"/>
      <c r="H2" s="62"/>
      <c r="I2" s="62"/>
      <c r="J2" s="62"/>
      <c r="K2" s="62"/>
    </row>
    <row r="4" spans="1:11" ht="15" customHeight="1">
      <c r="A4" s="60" t="s">
        <v>227</v>
      </c>
      <c r="B4" s="60"/>
      <c r="C4" s="60"/>
      <c r="D4" s="60"/>
      <c r="E4" s="60"/>
      <c r="F4" s="60"/>
      <c r="G4" s="60"/>
    </row>
    <row r="5" spans="1:11" ht="15" customHeight="1">
      <c r="B5" s="5" t="s">
        <v>228</v>
      </c>
      <c r="C5" s="5" t="s">
        <v>229</v>
      </c>
      <c r="D5" s="5" t="s">
        <v>230</v>
      </c>
      <c r="E5" s="5" t="s">
        <v>231</v>
      </c>
      <c r="F5" s="5" t="s">
        <v>232</v>
      </c>
      <c r="G5" s="5" t="s">
        <v>233</v>
      </c>
    </row>
    <row r="6" spans="1:11" ht="27.75" customHeight="1">
      <c r="B6" s="4" t="s">
        <v>234</v>
      </c>
      <c r="C6" s="9">
        <v>284.53300000000002</v>
      </c>
      <c r="D6" s="31">
        <v>0.16761148970418199</v>
      </c>
      <c r="E6" s="31">
        <v>0.40155974878133599</v>
      </c>
      <c r="F6" s="31">
        <v>0.36525815986194898</v>
      </c>
      <c r="G6" s="31">
        <v>4.6142275236967199E-2</v>
      </c>
      <c r="I6" s="3" t="s">
        <v>235</v>
      </c>
    </row>
    <row r="7" spans="1:11" ht="15" customHeight="1">
      <c r="B7" s="4" t="s">
        <v>236</v>
      </c>
      <c r="C7" s="9">
        <v>88.11</v>
      </c>
      <c r="D7" s="31">
        <v>0.39021677448643699</v>
      </c>
      <c r="E7" s="31">
        <v>0</v>
      </c>
      <c r="F7" s="31">
        <v>2.2687549653841801E-2</v>
      </c>
      <c r="G7" s="31">
        <v>0.20863693110884099</v>
      </c>
    </row>
    <row r="8" spans="1:11" ht="15" customHeight="1">
      <c r="B8" s="4" t="s">
        <v>237</v>
      </c>
      <c r="C8" s="9">
        <v>93.787000000000006</v>
      </c>
      <c r="D8" s="31">
        <v>0</v>
      </c>
      <c r="E8" s="31">
        <v>0.67863349931227201</v>
      </c>
      <c r="F8" s="31">
        <v>0.32136650068772898</v>
      </c>
      <c r="G8" s="31">
        <v>0</v>
      </c>
    </row>
    <row r="10" spans="1:11" ht="15" customHeight="1">
      <c r="A10" s="60" t="s">
        <v>238</v>
      </c>
      <c r="B10" s="60"/>
      <c r="C10" s="60"/>
      <c r="D10" s="60"/>
      <c r="E10" s="60"/>
      <c r="F10" s="60"/>
      <c r="G10" s="60"/>
    </row>
    <row r="11" spans="1:11" ht="18.75" customHeight="1">
      <c r="B11" s="5" t="s">
        <v>228</v>
      </c>
      <c r="C11" s="5" t="s">
        <v>239</v>
      </c>
      <c r="D11" s="5" t="s">
        <v>240</v>
      </c>
      <c r="E11" s="5" t="s">
        <v>241</v>
      </c>
      <c r="F11" s="5" t="s">
        <v>242</v>
      </c>
    </row>
    <row r="12" spans="1:11" ht="36.75" customHeight="1">
      <c r="B12" s="4" t="s">
        <v>234</v>
      </c>
      <c r="C12" s="12">
        <v>0.46444912695759399</v>
      </c>
      <c r="D12" s="26">
        <v>1</v>
      </c>
      <c r="E12" s="18">
        <v>0.46444912695759399</v>
      </c>
      <c r="F12" s="12">
        <v>3.24486136030551E-2</v>
      </c>
      <c r="I12" s="3" t="s">
        <v>243</v>
      </c>
    </row>
    <row r="13" spans="1:11" ht="15" customHeight="1">
      <c r="B13" s="4" t="s">
        <v>236</v>
      </c>
      <c r="C13" s="12">
        <v>0.37804868080614801</v>
      </c>
      <c r="D13" s="26">
        <v>0.55000000000000004</v>
      </c>
      <c r="E13" s="18">
        <v>0.20792677444338201</v>
      </c>
      <c r="F13" s="12">
        <v>-0.159615523599835</v>
      </c>
    </row>
    <row r="14" spans="1:11" ht="15" customHeight="1">
      <c r="B14" s="4" t="s">
        <v>237</v>
      </c>
      <c r="C14" s="12">
        <v>0.48397906573960597</v>
      </c>
      <c r="D14" s="26">
        <v>0.8</v>
      </c>
      <c r="E14" s="18">
        <v>0.38718325259168501</v>
      </c>
      <c r="F14" s="12">
        <v>7.5862751016391394E-2</v>
      </c>
    </row>
    <row r="15" spans="1:11" ht="23.25" customHeight="1">
      <c r="B15" s="24" t="s">
        <v>244</v>
      </c>
      <c r="C15" s="32">
        <v>0.44985205155804497</v>
      </c>
    </row>
    <row r="16" spans="1:11" ht="15" customHeight="1">
      <c r="B16" s="64" t="s">
        <v>245</v>
      </c>
      <c r="C16" s="64"/>
      <c r="D16" s="64"/>
      <c r="E16" s="64"/>
      <c r="F16" s="64"/>
      <c r="G16" s="64"/>
      <c r="H16" s="64"/>
      <c r="I16" s="64"/>
    </row>
    <row r="18" spans="1:9" ht="15" customHeight="1">
      <c r="A18" s="60" t="s">
        <v>246</v>
      </c>
      <c r="B18" s="60"/>
      <c r="C18" s="60"/>
      <c r="D18" s="60"/>
      <c r="E18" s="60"/>
      <c r="F18" s="60"/>
      <c r="G18" s="60"/>
    </row>
    <row r="19" spans="1:9" ht="15" customHeight="1">
      <c r="B19" s="5" t="s">
        <v>247</v>
      </c>
      <c r="C19" s="5" t="s">
        <v>172</v>
      </c>
      <c r="D19" s="5" t="s">
        <v>173</v>
      </c>
      <c r="E19" s="5" t="s">
        <v>174</v>
      </c>
      <c r="F19" s="5" t="s">
        <v>175</v>
      </c>
      <c r="G19" s="5" t="s">
        <v>176</v>
      </c>
    </row>
    <row r="20" spans="1:9" ht="18.75" customHeight="1">
      <c r="B20" s="14" t="s">
        <v>234</v>
      </c>
      <c r="C20" s="18">
        <v>0</v>
      </c>
      <c r="D20" s="18">
        <v>0.23492517134080401</v>
      </c>
      <c r="E20" s="18">
        <v>0.38685459744985801</v>
      </c>
      <c r="F20" s="18">
        <v>0.47338163225010899</v>
      </c>
      <c r="G20" s="18">
        <v>0.52425358017069901</v>
      </c>
      <c r="I20" s="3" t="s">
        <v>248</v>
      </c>
    </row>
    <row r="21" spans="1:9" ht="15" customHeight="1">
      <c r="B21" s="2" t="s">
        <v>236</v>
      </c>
      <c r="C21" s="12">
        <v>0</v>
      </c>
      <c r="D21" s="12">
        <v>0.140315392459059</v>
      </c>
      <c r="E21" s="12">
        <v>0.24118990874179799</v>
      </c>
      <c r="F21" s="12">
        <v>0.30178741759453898</v>
      </c>
      <c r="G21" s="12">
        <v>0.34455582439920501</v>
      </c>
    </row>
    <row r="22" spans="1:9" ht="15" customHeight="1">
      <c r="B22" s="2" t="s">
        <v>237</v>
      </c>
      <c r="C22" s="12">
        <v>0</v>
      </c>
      <c r="D22" s="12">
        <v>0.2064282110673</v>
      </c>
      <c r="E22" s="12">
        <v>0.34297963128431602</v>
      </c>
      <c r="F22" s="12">
        <v>0.42169655723989302</v>
      </c>
      <c r="G22" s="12">
        <v>0.47012767618926399</v>
      </c>
    </row>
    <row r="23" spans="1:9" ht="15" customHeight="1">
      <c r="B23" s="24" t="s">
        <v>249</v>
      </c>
      <c r="C23" s="32">
        <v>0</v>
      </c>
      <c r="D23" s="32">
        <v>0.22954152324021601</v>
      </c>
      <c r="E23" s="32">
        <v>0.37856573519951903</v>
      </c>
      <c r="F23" s="32">
        <v>0.46361728358846599</v>
      </c>
      <c r="G23" s="32">
        <v>0.51402810989718395</v>
      </c>
    </row>
    <row r="25" spans="1:9" ht="15" customHeight="1">
      <c r="A25" s="60" t="s">
        <v>250</v>
      </c>
      <c r="B25" s="60"/>
      <c r="C25" s="60"/>
      <c r="D25" s="60"/>
      <c r="E25" s="60"/>
      <c r="F25" s="60"/>
      <c r="G25" s="60"/>
    </row>
    <row r="26" spans="1:9" ht="43.5" customHeight="1">
      <c r="B26" s="14" t="s">
        <v>251</v>
      </c>
      <c r="C26" s="65" t="s">
        <v>252</v>
      </c>
      <c r="D26" s="65"/>
      <c r="E26" s="65"/>
      <c r="F26" s="65"/>
      <c r="G26" s="65"/>
      <c r="H26" s="65"/>
      <c r="I26" s="65"/>
    </row>
    <row r="27" spans="1:9" ht="43.5" customHeight="1">
      <c r="B27" s="24" t="s">
        <v>253</v>
      </c>
      <c r="C27" s="65" t="s">
        <v>254</v>
      </c>
      <c r="D27" s="65"/>
      <c r="E27" s="65"/>
      <c r="F27" s="65"/>
      <c r="G27" s="65"/>
      <c r="H27" s="65"/>
      <c r="I27" s="65"/>
    </row>
    <row r="28" spans="1:9" ht="43.5" customHeight="1">
      <c r="B28" s="33" t="s">
        <v>255</v>
      </c>
      <c r="C28" s="65" t="s">
        <v>256</v>
      </c>
      <c r="D28" s="65"/>
      <c r="E28" s="65"/>
      <c r="F28" s="65"/>
      <c r="G28" s="65"/>
      <c r="H28" s="65"/>
      <c r="I28" s="65"/>
    </row>
    <row r="30" spans="1:9" ht="15" customHeight="1">
      <c r="A30" s="60" t="s">
        <v>257</v>
      </c>
      <c r="B30" s="60"/>
      <c r="C30" s="60"/>
      <c r="D30" s="60"/>
      <c r="E30" s="60"/>
      <c r="F30" s="60"/>
      <c r="G30" s="60"/>
    </row>
    <row r="31" spans="1:9" ht="15" customHeight="1">
      <c r="B31" s="5" t="s">
        <v>258</v>
      </c>
      <c r="C31" s="5" t="s">
        <v>172</v>
      </c>
      <c r="D31" s="5" t="s">
        <v>173</v>
      </c>
      <c r="E31" s="5" t="s">
        <v>174</v>
      </c>
      <c r="F31" s="5" t="s">
        <v>175</v>
      </c>
      <c r="G31" s="5" t="s">
        <v>176</v>
      </c>
    </row>
    <row r="32" spans="1:9" ht="36.75" customHeight="1">
      <c r="B32" s="2" t="s">
        <v>259</v>
      </c>
      <c r="C32" s="9">
        <v>88.11</v>
      </c>
      <c r="D32" s="9">
        <v>75.746810770432305</v>
      </c>
      <c r="E32" s="9">
        <v>66.858757140760204</v>
      </c>
      <c r="F32" s="9">
        <v>64.305437092633895</v>
      </c>
      <c r="G32" s="9">
        <v>58.948238452878101</v>
      </c>
      <c r="I32" s="3" t="s">
        <v>260</v>
      </c>
    </row>
    <row r="33" spans="1:9" ht="15" customHeight="1">
      <c r="B33" s="2" t="s">
        <v>261</v>
      </c>
      <c r="C33" s="9">
        <v>93.787000000000006</v>
      </c>
      <c r="D33" s="9">
        <v>74.426717368631103</v>
      </c>
      <c r="E33" s="9">
        <v>61.619969320737802</v>
      </c>
      <c r="F33" s="9">
        <v>60.798402609734197</v>
      </c>
      <c r="G33" s="9">
        <v>54.397974202925802</v>
      </c>
    </row>
    <row r="34" spans="1:9" ht="15" customHeight="1">
      <c r="B34" s="2" t="s">
        <v>262</v>
      </c>
      <c r="C34" s="9">
        <v>0</v>
      </c>
      <c r="D34" s="9">
        <v>0</v>
      </c>
      <c r="E34" s="9">
        <v>0</v>
      </c>
      <c r="F34" s="9">
        <v>0</v>
      </c>
      <c r="G34" s="9">
        <v>0</v>
      </c>
    </row>
    <row r="35" spans="1:9" ht="15" customHeight="1">
      <c r="B35" s="14" t="s">
        <v>263</v>
      </c>
      <c r="C35" s="15">
        <v>284.57530000000003</v>
      </c>
      <c r="D35" s="15">
        <v>209.22400956957</v>
      </c>
      <c r="E35" s="15">
        <v>161.403144338792</v>
      </c>
      <c r="F35" s="15">
        <v>125.10383970236801</v>
      </c>
      <c r="G35" s="15">
        <v>113.346212655804</v>
      </c>
    </row>
    <row r="36" spans="1:9" ht="15" customHeight="1">
      <c r="B36" s="14" t="s">
        <v>264</v>
      </c>
      <c r="C36" s="15">
        <v>466.47230000000002</v>
      </c>
      <c r="D36" s="15">
        <v>359.39753770863302</v>
      </c>
      <c r="E36" s="15">
        <v>289.88187080029002</v>
      </c>
      <c r="F36" s="15">
        <v>250.20767940473601</v>
      </c>
      <c r="G36" s="15">
        <v>226.69242531160799</v>
      </c>
    </row>
    <row r="37" spans="1:9" ht="15" customHeight="1">
      <c r="B37" s="14" t="s">
        <v>265</v>
      </c>
      <c r="C37" s="18">
        <v>0.61005830356915103</v>
      </c>
      <c r="D37" s="18">
        <v>0.58215203950336902</v>
      </c>
      <c r="E37" s="18">
        <v>0.55678937041905696</v>
      </c>
      <c r="F37" s="18">
        <v>0.5</v>
      </c>
      <c r="G37" s="18">
        <v>0.5</v>
      </c>
    </row>
    <row r="38" spans="1:9" ht="15" customHeight="1">
      <c r="B38" s="2" t="s">
        <v>266</v>
      </c>
      <c r="C38" s="12">
        <v>0</v>
      </c>
      <c r="D38" s="12">
        <v>0.23492517134080401</v>
      </c>
      <c r="E38" s="12">
        <v>0.38685459744985801</v>
      </c>
      <c r="F38" s="12">
        <v>0.47338163225010899</v>
      </c>
      <c r="G38" s="12">
        <v>0.52425358017069901</v>
      </c>
    </row>
    <row r="39" spans="1:9" ht="23.25" customHeight="1">
      <c r="B39" s="24" t="s">
        <v>267</v>
      </c>
      <c r="C39" s="32">
        <v>-1.4866465401253099E-4</v>
      </c>
      <c r="D39" s="32">
        <v>2.9750597130447198E-2</v>
      </c>
      <c r="E39" s="32">
        <v>4.5889076082591101E-2</v>
      </c>
      <c r="F39" s="32">
        <v>8.6937066451384201E-2</v>
      </c>
      <c r="G39" s="32">
        <v>7.7387661246627396E-2</v>
      </c>
    </row>
    <row r="41" spans="1:9" ht="15" customHeight="1">
      <c r="B41" s="64" t="s">
        <v>268</v>
      </c>
      <c r="C41" s="64"/>
      <c r="D41" s="64"/>
      <c r="E41" s="64"/>
      <c r="F41" s="64"/>
      <c r="G41" s="64"/>
      <c r="H41" s="64"/>
      <c r="I41" s="64"/>
    </row>
    <row r="43" spans="1:9" ht="15" customHeight="1">
      <c r="A43" s="60" t="s">
        <v>269</v>
      </c>
      <c r="B43" s="60"/>
      <c r="C43" s="60"/>
      <c r="D43" s="60"/>
      <c r="E43" s="60"/>
      <c r="F43" s="60"/>
      <c r="G43" s="60"/>
    </row>
    <row r="44" spans="1:9" ht="18.75" customHeight="1">
      <c r="B44" s="5" t="s">
        <v>270</v>
      </c>
      <c r="C44" s="5" t="s">
        <v>172</v>
      </c>
      <c r="D44" s="5" t="s">
        <v>173</v>
      </c>
      <c r="E44" s="5" t="s">
        <v>174</v>
      </c>
      <c r="F44" s="5" t="s">
        <v>175</v>
      </c>
      <c r="G44" s="5" t="s">
        <v>176</v>
      </c>
      <c r="H44" s="5" t="s">
        <v>271</v>
      </c>
    </row>
    <row r="45" spans="1:9" ht="45.75" customHeight="1">
      <c r="B45" s="4" t="s">
        <v>107</v>
      </c>
      <c r="C45" s="18">
        <v>0.61002294020539005</v>
      </c>
      <c r="D45" s="18">
        <v>0.58192752308385898</v>
      </c>
      <c r="E45" s="18">
        <v>0.55690745683917198</v>
      </c>
      <c r="F45" s="18">
        <v>0.50013783074384699</v>
      </c>
      <c r="G45" s="18">
        <v>0.50004190985411001</v>
      </c>
      <c r="H45" s="25">
        <v>0.5</v>
      </c>
      <c r="I45" s="3" t="s">
        <v>272</v>
      </c>
    </row>
    <row r="46" spans="1:9" ht="23.25" customHeight="1">
      <c r="B46" s="4" t="s">
        <v>273</v>
      </c>
      <c r="C46" s="18">
        <v>0.69492086848785395</v>
      </c>
      <c r="D46" s="18">
        <v>0.66125934211875004</v>
      </c>
      <c r="E46" s="18">
        <v>0.65582204901971497</v>
      </c>
      <c r="F46" s="18">
        <v>0.59643699873431499</v>
      </c>
      <c r="G46" s="18">
        <v>0.60016504327095999</v>
      </c>
      <c r="H46" s="25">
        <v>0.55000000000000004</v>
      </c>
    </row>
    <row r="47" spans="1:9" ht="23.25" customHeight="1">
      <c r="B47" s="4" t="s">
        <v>274</v>
      </c>
      <c r="C47" s="34" t="s">
        <v>275</v>
      </c>
      <c r="D47" s="34" t="s">
        <v>275</v>
      </c>
      <c r="E47" s="34" t="s">
        <v>275</v>
      </c>
      <c r="F47" s="34" t="s">
        <v>275</v>
      </c>
      <c r="G47" s="34" t="s">
        <v>275</v>
      </c>
      <c r="H47" s="25">
        <v>0.55000000000000004</v>
      </c>
    </row>
    <row r="49" spans="1:7" ht="15" customHeight="1">
      <c r="A49" s="60" t="s">
        <v>276</v>
      </c>
      <c r="B49" s="60"/>
      <c r="C49" s="60"/>
      <c r="D49" s="60"/>
      <c r="E49" s="60"/>
      <c r="F49" s="60"/>
      <c r="G49" s="60"/>
    </row>
    <row r="50" spans="1:7" ht="15" customHeight="1">
      <c r="B50" s="5"/>
      <c r="C50" s="5" t="s">
        <v>277</v>
      </c>
    </row>
    <row r="51" spans="1:7" ht="15" customHeight="1">
      <c r="B51" s="2" t="s">
        <v>278</v>
      </c>
      <c r="C51" s="9">
        <v>264.45711235804498</v>
      </c>
    </row>
    <row r="52" spans="1:7" ht="15" customHeight="1">
      <c r="B52" s="2" t="s">
        <v>279</v>
      </c>
      <c r="C52" s="9">
        <v>147.24690909267801</v>
      </c>
    </row>
    <row r="53" spans="1:7" ht="15" customHeight="1">
      <c r="B53" s="2" t="s">
        <v>280</v>
      </c>
      <c r="C53" s="9">
        <v>147.24690909267801</v>
      </c>
    </row>
    <row r="54" spans="1:7" ht="15" customHeight="1">
      <c r="B54" s="2" t="s">
        <v>281</v>
      </c>
      <c r="C54" s="9">
        <v>132.228556179023</v>
      </c>
    </row>
    <row r="55" spans="1:7" ht="15" customHeight="1">
      <c r="B55" s="24" t="s">
        <v>282</v>
      </c>
      <c r="C55" s="26">
        <v>15.0183529136551</v>
      </c>
    </row>
    <row r="56" spans="1:7" ht="15" customHeight="1">
      <c r="B56" s="2" t="s">
        <v>283</v>
      </c>
      <c r="C56" s="9">
        <v>103.07283636487399</v>
      </c>
    </row>
    <row r="57" spans="1:7" ht="15" customHeight="1">
      <c r="B57" s="2" t="s">
        <v>284</v>
      </c>
      <c r="C57" s="13">
        <v>15</v>
      </c>
    </row>
    <row r="58" spans="1:7" ht="15" customHeight="1">
      <c r="B58" s="2" t="s">
        <v>285</v>
      </c>
      <c r="C58" s="13">
        <v>5.3</v>
      </c>
    </row>
    <row r="59" spans="1:7" ht="15" customHeight="1">
      <c r="B59" s="2" t="s">
        <v>286</v>
      </c>
      <c r="C59" s="13">
        <v>9.6999999999999993</v>
      </c>
    </row>
    <row r="60" spans="1:7" ht="15" customHeight="1">
      <c r="B60" s="24" t="s">
        <v>287</v>
      </c>
      <c r="C60" s="26">
        <v>1.8352913655121501E-2</v>
      </c>
    </row>
    <row r="61" spans="1:7" ht="15" customHeight="1">
      <c r="B61" s="2" t="s">
        <v>288</v>
      </c>
      <c r="C61" s="12">
        <v>0.50006939844987097</v>
      </c>
    </row>
  </sheetData>
  <mergeCells count="14">
    <mergeCell ref="A1:K1"/>
    <mergeCell ref="A2:K2"/>
    <mergeCell ref="A4:G4"/>
    <mergeCell ref="A10:G10"/>
    <mergeCell ref="B16:I16"/>
    <mergeCell ref="A30:G30"/>
    <mergeCell ref="B41:I41"/>
    <mergeCell ref="A43:G43"/>
    <mergeCell ref="A49:G49"/>
    <mergeCell ref="A18:G18"/>
    <mergeCell ref="A25:G25"/>
    <mergeCell ref="C26:I26"/>
    <mergeCell ref="C27:I27"/>
    <mergeCell ref="C28:I2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9"/>
  <sheetViews>
    <sheetView zoomScaleNormal="100" workbookViewId="0">
      <selection sqref="A1:J1"/>
    </sheetView>
  </sheetViews>
  <sheetFormatPr defaultColWidth="8.6328125" defaultRowHeight="14.5"/>
  <cols>
    <col min="1" max="1" width="2.453125" customWidth="1"/>
    <col min="2" max="2" width="40" customWidth="1"/>
    <col min="3" max="7" width="13" customWidth="1"/>
    <col min="8" max="8" width="3" customWidth="1"/>
    <col min="9" max="9" width="54" customWidth="1"/>
  </cols>
  <sheetData>
    <row r="1" spans="1:10" ht="25.5" customHeight="1">
      <c r="A1" s="61" t="s">
        <v>289</v>
      </c>
      <c r="B1" s="61"/>
      <c r="C1" s="61"/>
      <c r="D1" s="61"/>
      <c r="E1" s="61"/>
      <c r="F1" s="61"/>
      <c r="G1" s="61"/>
      <c r="H1" s="61"/>
      <c r="I1" s="61"/>
      <c r="J1" s="61"/>
    </row>
    <row r="2" spans="1:10" ht="15" customHeight="1">
      <c r="A2" s="62" t="s">
        <v>290</v>
      </c>
      <c r="B2" s="62"/>
      <c r="C2" s="62"/>
      <c r="D2" s="62"/>
      <c r="E2" s="62"/>
      <c r="F2" s="62"/>
      <c r="G2" s="62"/>
      <c r="H2" s="62"/>
      <c r="I2" s="62"/>
      <c r="J2" s="62"/>
    </row>
    <row r="4" spans="1:10" ht="15" customHeight="1">
      <c r="A4" s="60" t="s">
        <v>291</v>
      </c>
      <c r="B4" s="60"/>
      <c r="C4" s="60"/>
      <c r="D4" s="60"/>
      <c r="E4" s="60"/>
      <c r="F4" s="60"/>
      <c r="G4" s="60"/>
      <c r="H4" s="60"/>
      <c r="I4" s="60"/>
    </row>
    <row r="5" spans="1:10" ht="15" customHeight="1">
      <c r="B5" s="5" t="s">
        <v>292</v>
      </c>
      <c r="C5" s="5" t="s">
        <v>152</v>
      </c>
      <c r="D5" s="5" t="s">
        <v>149</v>
      </c>
      <c r="E5" s="5" t="s">
        <v>293</v>
      </c>
      <c r="F5" s="5" t="s">
        <v>294</v>
      </c>
      <c r="G5" s="5" t="s">
        <v>295</v>
      </c>
    </row>
    <row r="6" spans="1:10" ht="30" customHeight="1">
      <c r="B6" s="4" t="s">
        <v>296</v>
      </c>
      <c r="C6" s="35">
        <v>230.8708</v>
      </c>
      <c r="D6" s="36" t="s">
        <v>156</v>
      </c>
      <c r="E6" s="10" t="s">
        <v>297</v>
      </c>
      <c r="F6" s="10" t="s">
        <v>298</v>
      </c>
      <c r="G6" s="1" t="s">
        <v>299</v>
      </c>
      <c r="I6" s="3" t="s">
        <v>300</v>
      </c>
    </row>
    <row r="7" spans="1:10" ht="30" customHeight="1">
      <c r="B7" s="4" t="s">
        <v>301</v>
      </c>
      <c r="C7" s="35">
        <v>168.91669999999999</v>
      </c>
      <c r="D7" s="36" t="s">
        <v>302</v>
      </c>
      <c r="E7" s="10" t="s">
        <v>297</v>
      </c>
      <c r="F7" s="10" t="s">
        <v>303</v>
      </c>
      <c r="G7" s="1" t="s">
        <v>304</v>
      </c>
    </row>
    <row r="8" spans="1:10" ht="30" customHeight="1">
      <c r="B8" s="4" t="s">
        <v>305</v>
      </c>
      <c r="C8" s="35">
        <v>43.5625</v>
      </c>
      <c r="D8" s="36" t="s">
        <v>156</v>
      </c>
      <c r="E8" s="10" t="s">
        <v>297</v>
      </c>
      <c r="F8" s="10" t="s">
        <v>298</v>
      </c>
      <c r="G8" s="1" t="s">
        <v>306</v>
      </c>
    </row>
    <row r="9" spans="1:10" ht="30" customHeight="1">
      <c r="B9" s="4" t="s">
        <v>307</v>
      </c>
      <c r="C9" s="35">
        <v>23.122299999999999</v>
      </c>
      <c r="D9" s="36" t="s">
        <v>308</v>
      </c>
      <c r="E9" s="10" t="s">
        <v>309</v>
      </c>
      <c r="F9" s="10" t="s">
        <v>310</v>
      </c>
      <c r="G9" s="1" t="s">
        <v>311</v>
      </c>
    </row>
    <row r="10" spans="1:10" ht="15" customHeight="1">
      <c r="B10" s="14" t="s">
        <v>166</v>
      </c>
      <c r="C10" s="22">
        <f>SUM(C6:C9)</f>
        <v>466.47230000000002</v>
      </c>
    </row>
    <row r="12" spans="1:10" ht="15" customHeight="1">
      <c r="A12" s="60" t="s">
        <v>312</v>
      </c>
      <c r="B12" s="60"/>
      <c r="C12" s="60"/>
      <c r="D12" s="60"/>
      <c r="E12" s="60"/>
      <c r="F12" s="60"/>
      <c r="G12" s="60"/>
      <c r="H12" s="60"/>
      <c r="I12" s="60"/>
    </row>
    <row r="13" spans="1:10" ht="15" customHeight="1">
      <c r="B13" s="5" t="s">
        <v>292</v>
      </c>
      <c r="C13" s="5" t="s">
        <v>172</v>
      </c>
      <c r="D13" s="5" t="s">
        <v>173</v>
      </c>
      <c r="E13" s="5" t="s">
        <v>174</v>
      </c>
      <c r="F13" s="5" t="s">
        <v>175</v>
      </c>
      <c r="G13" s="5" t="s">
        <v>176</v>
      </c>
    </row>
    <row r="14" spans="1:10" ht="15" customHeight="1">
      <c r="B14" s="4" t="s">
        <v>313</v>
      </c>
      <c r="C14" s="31">
        <v>0.25</v>
      </c>
      <c r="D14" s="31">
        <v>1</v>
      </c>
      <c r="E14" s="31">
        <v>1</v>
      </c>
      <c r="F14" s="31">
        <v>1</v>
      </c>
      <c r="G14" s="31">
        <v>1</v>
      </c>
    </row>
    <row r="15" spans="1:10" ht="15" customHeight="1">
      <c r="B15" s="4" t="s">
        <v>314</v>
      </c>
      <c r="C15" s="31">
        <v>0</v>
      </c>
      <c r="D15" s="31">
        <v>0.75</v>
      </c>
      <c r="E15" s="31">
        <v>1</v>
      </c>
      <c r="F15" s="31">
        <v>1</v>
      </c>
      <c r="G15" s="31">
        <v>1</v>
      </c>
    </row>
    <row r="16" spans="1:10" ht="15" customHeight="1">
      <c r="B16" s="4" t="s">
        <v>315</v>
      </c>
      <c r="C16" s="31">
        <v>0.25</v>
      </c>
      <c r="D16" s="31">
        <v>1</v>
      </c>
      <c r="E16" s="31">
        <v>1</v>
      </c>
      <c r="F16" s="31">
        <v>1</v>
      </c>
      <c r="G16" s="31">
        <v>1</v>
      </c>
    </row>
    <row r="17" spans="1:9" ht="15" customHeight="1">
      <c r="B17" s="4" t="s">
        <v>316</v>
      </c>
      <c r="C17" s="31">
        <v>0.75</v>
      </c>
      <c r="D17" s="31">
        <v>1</v>
      </c>
      <c r="E17" s="31">
        <v>1</v>
      </c>
      <c r="F17" s="31">
        <v>1</v>
      </c>
      <c r="G17" s="31">
        <v>1</v>
      </c>
    </row>
    <row r="18" spans="1:9" ht="15" customHeight="1">
      <c r="B18" s="14" t="s">
        <v>317</v>
      </c>
      <c r="C18" s="18">
        <f>SUMPRODUCT($C$6:$C$9,C14:C17)/$C$10</f>
        <v>0.18425542095425601</v>
      </c>
      <c r="D18" s="18">
        <f>SUMPRODUCT($C$6:$C$9,D14:D17)/$C$10</f>
        <v>0.9094712054713644</v>
      </c>
      <c r="E18" s="18">
        <f>SUMPRODUCT($C$6:$C$9,E14:E17)/$C$10</f>
        <v>1</v>
      </c>
      <c r="F18" s="18">
        <f>SUMPRODUCT($C$6:$C$9,F14:F17)/$C$10</f>
        <v>1</v>
      </c>
      <c r="G18" s="18">
        <f>SUMPRODUCT($C$6:$C$9,G14:G17)/$C$10</f>
        <v>1</v>
      </c>
    </row>
    <row r="20" spans="1:9" ht="15" customHeight="1">
      <c r="B20" s="4" t="s">
        <v>318</v>
      </c>
    </row>
    <row r="21" spans="1:9" ht="15" customHeight="1">
      <c r="B21" s="2" t="s">
        <v>319</v>
      </c>
      <c r="C21" s="13">
        <v>7</v>
      </c>
      <c r="D21" s="13">
        <v>35</v>
      </c>
      <c r="E21" s="13">
        <v>36</v>
      </c>
      <c r="F21" s="13">
        <v>36</v>
      </c>
      <c r="G21" s="13">
        <v>33</v>
      </c>
    </row>
    <row r="22" spans="1:9" ht="15" customHeight="1">
      <c r="B22" s="14" t="s">
        <v>320</v>
      </c>
      <c r="C22" s="18">
        <f>C18</f>
        <v>0.18425542095425601</v>
      </c>
      <c r="D22" s="18">
        <f>D18</f>
        <v>0.9094712054713644</v>
      </c>
      <c r="E22" s="18">
        <f>E18</f>
        <v>1</v>
      </c>
      <c r="F22" s="18">
        <f>F18</f>
        <v>1</v>
      </c>
      <c r="G22" s="18">
        <f>G18</f>
        <v>1</v>
      </c>
    </row>
    <row r="23" spans="1:9" ht="15" customHeight="1">
      <c r="B23" s="2" t="s">
        <v>321</v>
      </c>
      <c r="C23" s="13">
        <v>28</v>
      </c>
      <c r="D23" s="13">
        <v>3</v>
      </c>
      <c r="E23" s="13">
        <v>0</v>
      </c>
      <c r="F23" s="13">
        <v>0</v>
      </c>
      <c r="G23" s="13">
        <v>0</v>
      </c>
    </row>
    <row r="25" spans="1:9" ht="15" customHeight="1">
      <c r="A25" s="60" t="s">
        <v>322</v>
      </c>
      <c r="B25" s="60"/>
      <c r="C25" s="60"/>
      <c r="D25" s="60"/>
      <c r="E25" s="60"/>
      <c r="F25" s="60"/>
      <c r="G25" s="60"/>
      <c r="H25" s="60"/>
      <c r="I25" s="60"/>
    </row>
    <row r="26" spans="1:9" ht="42" customHeight="1">
      <c r="B26" s="63" t="s">
        <v>323</v>
      </c>
      <c r="C26" s="63"/>
      <c r="D26" s="63"/>
      <c r="E26" s="63"/>
      <c r="F26" s="63"/>
      <c r="G26" s="63"/>
      <c r="H26" s="63"/>
      <c r="I26" s="63"/>
    </row>
    <row r="27" spans="1:9" ht="42" customHeight="1">
      <c r="B27" s="63" t="s">
        <v>324</v>
      </c>
      <c r="C27" s="63"/>
      <c r="D27" s="63"/>
      <c r="E27" s="63"/>
      <c r="F27" s="63"/>
      <c r="G27" s="63"/>
      <c r="H27" s="63"/>
      <c r="I27" s="63"/>
    </row>
    <row r="28" spans="1:9" ht="42" customHeight="1">
      <c r="B28" s="63" t="s">
        <v>325</v>
      </c>
      <c r="C28" s="63"/>
      <c r="D28" s="63"/>
      <c r="E28" s="63"/>
      <c r="F28" s="63"/>
      <c r="G28" s="63"/>
      <c r="H28" s="63"/>
      <c r="I28" s="63"/>
    </row>
    <row r="29" spans="1:9" ht="42" customHeight="1">
      <c r="B29" s="63" t="s">
        <v>326</v>
      </c>
      <c r="C29" s="63"/>
      <c r="D29" s="63"/>
      <c r="E29" s="63"/>
      <c r="F29" s="63"/>
      <c r="G29" s="63"/>
      <c r="H29" s="63"/>
      <c r="I29" s="63"/>
    </row>
  </sheetData>
  <mergeCells count="9">
    <mergeCell ref="B26:I26"/>
    <mergeCell ref="B27:I27"/>
    <mergeCell ref="B28:I28"/>
    <mergeCell ref="B29:I29"/>
    <mergeCell ref="A1:J1"/>
    <mergeCell ref="A2:J2"/>
    <mergeCell ref="A4:I4"/>
    <mergeCell ref="A12:I12"/>
    <mergeCell ref="A25:I2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1"/>
  <sheetViews>
    <sheetView topLeftCell="A6" zoomScaleNormal="100" workbookViewId="0">
      <selection sqref="A1:J1"/>
    </sheetView>
  </sheetViews>
  <sheetFormatPr defaultColWidth="8.6328125" defaultRowHeight="14.5"/>
  <cols>
    <col min="1" max="1" width="2.453125" customWidth="1"/>
    <col min="2" max="2" width="40" customWidth="1"/>
    <col min="3" max="7" width="13" customWidth="1"/>
    <col min="8" max="8" width="3" customWidth="1"/>
    <col min="9" max="9" width="52" customWidth="1"/>
  </cols>
  <sheetData>
    <row r="1" spans="1:10" ht="25.5" customHeight="1">
      <c r="A1" s="61" t="s">
        <v>327</v>
      </c>
      <c r="B1" s="61"/>
      <c r="C1" s="61"/>
      <c r="D1" s="61"/>
      <c r="E1" s="61"/>
      <c r="F1" s="61"/>
      <c r="G1" s="61"/>
      <c r="H1" s="61"/>
      <c r="I1" s="61"/>
      <c r="J1" s="61"/>
    </row>
    <row r="2" spans="1:10" ht="15" customHeight="1">
      <c r="A2" s="62" t="s">
        <v>328</v>
      </c>
      <c r="B2" s="62"/>
      <c r="C2" s="62"/>
      <c r="D2" s="62"/>
      <c r="E2" s="62"/>
      <c r="F2" s="62"/>
      <c r="G2" s="62"/>
      <c r="H2" s="62"/>
      <c r="I2" s="62"/>
      <c r="J2" s="62"/>
    </row>
    <row r="4" spans="1:10" ht="15" customHeight="1">
      <c r="A4" s="60" t="s">
        <v>329</v>
      </c>
      <c r="B4" s="60"/>
      <c r="C4" s="60"/>
      <c r="D4" s="60"/>
      <c r="E4" s="60"/>
      <c r="F4" s="60"/>
      <c r="G4" s="60"/>
      <c r="H4" s="60"/>
      <c r="I4" s="60"/>
    </row>
    <row r="5" spans="1:10" ht="15" customHeight="1">
      <c r="B5" s="5" t="s">
        <v>258</v>
      </c>
      <c r="C5" s="5" t="s">
        <v>330</v>
      </c>
      <c r="D5" s="5" t="s">
        <v>331</v>
      </c>
      <c r="E5" s="5" t="s">
        <v>332</v>
      </c>
      <c r="F5" s="5" t="s">
        <v>153</v>
      </c>
    </row>
    <row r="6" spans="1:10" ht="27.75" customHeight="1">
      <c r="B6" s="4" t="s">
        <v>333</v>
      </c>
      <c r="C6" s="16">
        <v>1</v>
      </c>
      <c r="D6" s="27">
        <f t="shared" ref="D6:D15" si="0">C6/$C$17</f>
        <v>3.125E-2</v>
      </c>
      <c r="E6" s="9">
        <f>C6/'Logic Tree'!$C$7</f>
        <v>2.1437500147382812E-3</v>
      </c>
      <c r="F6" s="12">
        <f>C6/$C$11</f>
        <v>2.6267402153926978E-4</v>
      </c>
      <c r="I6" s="3" t="s">
        <v>334</v>
      </c>
    </row>
    <row r="7" spans="1:10" ht="15" customHeight="1">
      <c r="B7" s="4" t="s">
        <v>335</v>
      </c>
      <c r="C7" s="16">
        <v>5</v>
      </c>
      <c r="D7" s="27">
        <f t="shared" si="0"/>
        <v>0.15625</v>
      </c>
      <c r="E7" s="9">
        <f>C7/'Logic Tree'!$C$7</f>
        <v>1.0718750073691406E-2</v>
      </c>
      <c r="F7" s="12">
        <f>C7/$C$11</f>
        <v>1.3133701076963489E-3</v>
      </c>
    </row>
    <row r="8" spans="1:10" ht="15" customHeight="1">
      <c r="B8" s="2" t="s">
        <v>336</v>
      </c>
      <c r="C8" s="16">
        <v>115</v>
      </c>
      <c r="D8" s="27">
        <f t="shared" si="0"/>
        <v>3.59375</v>
      </c>
      <c r="E8" s="9">
        <f>C8/'Logic Tree'!$C$7</f>
        <v>0.24653125169490234</v>
      </c>
      <c r="F8" s="12">
        <f>C8/$C$11</f>
        <v>3.0207512477016023E-2</v>
      </c>
    </row>
    <row r="9" spans="1:10" ht="15" customHeight="1">
      <c r="B9" s="2" t="s">
        <v>337</v>
      </c>
      <c r="C9" s="16">
        <v>1910</v>
      </c>
      <c r="D9" s="27">
        <f t="shared" si="0"/>
        <v>59.6875</v>
      </c>
      <c r="E9" s="9">
        <f>C9/'Logic Tree'!$C$7</f>
        <v>4.0945625281501172</v>
      </c>
      <c r="F9" s="12">
        <f>C9/$C$11</f>
        <v>0.50170738114000524</v>
      </c>
    </row>
    <row r="10" spans="1:10" ht="15" customHeight="1">
      <c r="B10" s="2" t="s">
        <v>338</v>
      </c>
      <c r="C10" s="16">
        <v>1776</v>
      </c>
      <c r="D10" s="27">
        <f t="shared" si="0"/>
        <v>55.5</v>
      </c>
      <c r="E10" s="9">
        <f>C10/'Logic Tree'!$C$7</f>
        <v>3.8073000261751875</v>
      </c>
      <c r="F10" s="12">
        <f>C10/$C$11</f>
        <v>0.46650906225374311</v>
      </c>
    </row>
    <row r="11" spans="1:10" ht="15" customHeight="1">
      <c r="B11" s="14" t="s">
        <v>339</v>
      </c>
      <c r="C11" s="21">
        <f>SUM(C6:C10)</f>
        <v>3807</v>
      </c>
      <c r="D11" s="37">
        <f t="shared" si="0"/>
        <v>118.96875</v>
      </c>
      <c r="E11" s="15">
        <f>C11/'Logic Tree'!$C$7</f>
        <v>8.1612563061086369</v>
      </c>
    </row>
    <row r="12" spans="1:10" ht="27.75" customHeight="1">
      <c r="B12" s="2" t="s">
        <v>340</v>
      </c>
      <c r="C12" s="16">
        <v>50</v>
      </c>
      <c r="D12" s="27">
        <f t="shared" si="0"/>
        <v>1.5625</v>
      </c>
      <c r="E12" s="9">
        <f>C12/'Logic Tree'!$C$7</f>
        <v>0.10718750073691406</v>
      </c>
      <c r="F12" s="12">
        <f>C12/$C$15</f>
        <v>1.6784155756965426E-2</v>
      </c>
      <c r="I12" s="3" t="s">
        <v>341</v>
      </c>
    </row>
    <row r="13" spans="1:10" ht="15" customHeight="1">
      <c r="B13" s="2" t="s">
        <v>342</v>
      </c>
      <c r="C13" s="16">
        <v>901</v>
      </c>
      <c r="D13" s="27">
        <f t="shared" si="0"/>
        <v>28.15625</v>
      </c>
      <c r="E13" s="9">
        <f>C13/'Logic Tree'!$C$7</f>
        <v>1.9315187632791915</v>
      </c>
      <c r="F13" s="12">
        <f>C13/$C$15</f>
        <v>0.30245048674051694</v>
      </c>
    </row>
    <row r="14" spans="1:10" ht="15" customHeight="1">
      <c r="B14" s="2" t="s">
        <v>343</v>
      </c>
      <c r="C14" s="16">
        <v>2028</v>
      </c>
      <c r="D14" s="27">
        <f t="shared" si="0"/>
        <v>63.375</v>
      </c>
      <c r="E14" s="9">
        <f>C14/'Logic Tree'!$C$7</f>
        <v>4.3475250298892343</v>
      </c>
      <c r="F14" s="12">
        <f>C14/$C$15</f>
        <v>0.68076535750251765</v>
      </c>
    </row>
    <row r="15" spans="1:10" ht="15" customHeight="1">
      <c r="B15" s="14" t="s">
        <v>344</v>
      </c>
      <c r="C15" s="21">
        <f>SUM(C12:C14)</f>
        <v>2979</v>
      </c>
      <c r="D15" s="37">
        <f t="shared" si="0"/>
        <v>93.09375</v>
      </c>
      <c r="E15" s="15">
        <f>C15/'Logic Tree'!$C$7</f>
        <v>6.3862312939053396</v>
      </c>
    </row>
    <row r="17" spans="1:9" ht="15" customHeight="1">
      <c r="B17" s="24" t="s">
        <v>345</v>
      </c>
      <c r="C17" s="38">
        <v>32</v>
      </c>
    </row>
    <row r="19" spans="1:9" ht="15" customHeight="1">
      <c r="A19" s="60" t="s">
        <v>346</v>
      </c>
      <c r="B19" s="60"/>
      <c r="C19" s="60"/>
      <c r="D19" s="60"/>
      <c r="E19" s="60"/>
      <c r="F19" s="60"/>
      <c r="G19" s="60"/>
      <c r="H19" s="60"/>
      <c r="I19" s="60"/>
    </row>
    <row r="20" spans="1:9" ht="15" customHeight="1">
      <c r="B20" s="5" t="s">
        <v>177</v>
      </c>
      <c r="C20" s="5" t="s">
        <v>277</v>
      </c>
      <c r="D20" s="5" t="s">
        <v>347</v>
      </c>
    </row>
    <row r="21" spans="1:9" ht="30" customHeight="1">
      <c r="B21" s="4" t="s">
        <v>348</v>
      </c>
      <c r="C21" s="39">
        <v>9.0500000000000007</v>
      </c>
      <c r="D21" s="1" t="s">
        <v>349</v>
      </c>
    </row>
    <row r="22" spans="1:9" ht="30" customHeight="1">
      <c r="B22" s="14" t="s">
        <v>350</v>
      </c>
      <c r="C22" s="37">
        <f>C11/C17/C21</f>
        <v>13.145718232044198</v>
      </c>
      <c r="D22" s="1" t="s">
        <v>351</v>
      </c>
    </row>
    <row r="23" spans="1:9" ht="30" customHeight="1">
      <c r="B23" s="14" t="s">
        <v>352</v>
      </c>
      <c r="C23" s="37">
        <f>'Logic Tree'!C18</f>
        <v>13.145799999999999</v>
      </c>
      <c r="D23" s="1" t="s">
        <v>353</v>
      </c>
    </row>
    <row r="24" spans="1:9" ht="30" customHeight="1">
      <c r="B24" s="4" t="s">
        <v>354</v>
      </c>
      <c r="C24" s="40">
        <f>C22-C23</f>
        <v>-8.1767955801836933E-5</v>
      </c>
      <c r="D24" s="1" t="s">
        <v>355</v>
      </c>
    </row>
    <row r="25" spans="1:9" ht="30" customHeight="1">
      <c r="B25" s="14" t="s">
        <v>356</v>
      </c>
      <c r="C25" s="37">
        <f>'Team Build-Up'!C48</f>
        <v>31.499999999999993</v>
      </c>
      <c r="D25" s="1" t="s">
        <v>357</v>
      </c>
    </row>
    <row r="27" spans="1:9" ht="15" customHeight="1">
      <c r="A27" s="60" t="s">
        <v>358</v>
      </c>
      <c r="B27" s="60"/>
      <c r="C27" s="60"/>
      <c r="D27" s="60"/>
      <c r="E27" s="60"/>
      <c r="F27" s="60"/>
      <c r="G27" s="60"/>
      <c r="H27" s="60"/>
      <c r="I27" s="60"/>
    </row>
    <row r="28" spans="1:9" ht="42" customHeight="1">
      <c r="B28" s="63" t="s">
        <v>359</v>
      </c>
      <c r="C28" s="63"/>
      <c r="D28" s="63"/>
      <c r="E28" s="63"/>
      <c r="F28" s="63"/>
      <c r="G28" s="63"/>
      <c r="H28" s="63"/>
      <c r="I28" s="63"/>
    </row>
    <row r="29" spans="1:9" ht="42" customHeight="1">
      <c r="B29" s="63" t="s">
        <v>360</v>
      </c>
      <c r="C29" s="63"/>
      <c r="D29" s="63"/>
      <c r="E29" s="63"/>
      <c r="F29" s="63"/>
      <c r="G29" s="63"/>
      <c r="H29" s="63"/>
      <c r="I29" s="63"/>
    </row>
    <row r="30" spans="1:9" ht="42" customHeight="1">
      <c r="B30" s="63" t="s">
        <v>361</v>
      </c>
      <c r="C30" s="63"/>
      <c r="D30" s="63"/>
      <c r="E30" s="63"/>
      <c r="F30" s="63"/>
      <c r="G30" s="63"/>
      <c r="H30" s="63"/>
      <c r="I30" s="63"/>
    </row>
    <row r="31" spans="1:9" ht="42" customHeight="1">
      <c r="B31" s="63" t="s">
        <v>362</v>
      </c>
      <c r="C31" s="63"/>
      <c r="D31" s="63"/>
      <c r="E31" s="63"/>
      <c r="F31" s="63"/>
      <c r="G31" s="63"/>
      <c r="H31" s="63"/>
      <c r="I31" s="63"/>
    </row>
  </sheetData>
  <mergeCells count="9">
    <mergeCell ref="B28:I28"/>
    <mergeCell ref="B29:I29"/>
    <mergeCell ref="B30:I30"/>
    <mergeCell ref="B31:I31"/>
    <mergeCell ref="A1:J1"/>
    <mergeCell ref="A2:J2"/>
    <mergeCell ref="A4:I4"/>
    <mergeCell ref="A19:I19"/>
    <mergeCell ref="A27:I2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20"/>
  <sheetViews>
    <sheetView zoomScaleNormal="100" workbookViewId="0">
      <selection sqref="A1:V1"/>
    </sheetView>
  </sheetViews>
  <sheetFormatPr defaultColWidth="8.6328125" defaultRowHeight="14.5"/>
  <cols>
    <col min="1" max="1" width="2.453125" customWidth="1"/>
    <col min="2" max="2" width="26" customWidth="1"/>
    <col min="3" max="3" width="6" customWidth="1"/>
    <col min="4" max="5" width="9" customWidth="1"/>
    <col min="6" max="7" width="8" customWidth="1"/>
    <col min="8" max="9" width="9" customWidth="1"/>
    <col min="10" max="13" width="8" customWidth="1"/>
    <col min="14" max="14" width="7" customWidth="1"/>
    <col min="15" max="16" width="6" customWidth="1"/>
    <col min="17" max="17" width="7" customWidth="1"/>
    <col min="18" max="18" width="6" customWidth="1"/>
    <col min="19" max="19" width="7" customWidth="1"/>
    <col min="20" max="20" width="6" customWidth="1"/>
    <col min="21" max="21" width="10" customWidth="1"/>
    <col min="22" max="22" width="9" customWidth="1"/>
    <col min="23" max="23" width="30" customWidth="1"/>
  </cols>
  <sheetData>
    <row r="1" spans="1:23" ht="25.5" customHeight="1">
      <c r="A1" s="61" t="s">
        <v>363</v>
      </c>
      <c r="B1" s="61"/>
      <c r="C1" s="61"/>
      <c r="D1" s="61"/>
      <c r="E1" s="61"/>
      <c r="F1" s="61"/>
      <c r="G1" s="61"/>
      <c r="H1" s="61"/>
      <c r="I1" s="61"/>
      <c r="J1" s="61"/>
      <c r="K1" s="61"/>
      <c r="L1" s="61"/>
      <c r="M1" s="61"/>
      <c r="N1" s="61"/>
      <c r="O1" s="61"/>
      <c r="P1" s="61"/>
      <c r="Q1" s="61"/>
      <c r="R1" s="61"/>
      <c r="S1" s="61"/>
      <c r="T1" s="61"/>
      <c r="U1" s="61"/>
      <c r="V1" s="61"/>
    </row>
    <row r="2" spans="1:23" ht="15" customHeight="1">
      <c r="A2" s="62" t="s">
        <v>364</v>
      </c>
      <c r="B2" s="62"/>
      <c r="C2" s="62"/>
      <c r="D2" s="62"/>
      <c r="E2" s="62"/>
      <c r="F2" s="62"/>
      <c r="G2" s="62"/>
      <c r="H2" s="62"/>
      <c r="I2" s="62"/>
      <c r="J2" s="62"/>
      <c r="K2" s="62"/>
      <c r="L2" s="62"/>
      <c r="M2" s="62"/>
      <c r="N2" s="62"/>
      <c r="O2" s="62"/>
      <c r="P2" s="62"/>
      <c r="Q2" s="62"/>
      <c r="R2" s="62"/>
      <c r="S2" s="62"/>
      <c r="T2" s="62"/>
      <c r="U2" s="62"/>
      <c r="V2" s="62"/>
    </row>
    <row r="4" spans="1:23" ht="15" customHeight="1">
      <c r="B4" s="5" t="s">
        <v>365</v>
      </c>
      <c r="C4" s="5" t="s">
        <v>366</v>
      </c>
      <c r="D4" s="5" t="s">
        <v>152</v>
      </c>
      <c r="E4" s="5" t="s">
        <v>367</v>
      </c>
      <c r="F4" s="5" t="s">
        <v>368</v>
      </c>
      <c r="G4" s="5" t="s">
        <v>369</v>
      </c>
      <c r="H4" s="5" t="s">
        <v>370</v>
      </c>
      <c r="I4" s="5" t="s">
        <v>371</v>
      </c>
      <c r="J4" s="5" t="s">
        <v>372</v>
      </c>
      <c r="K4" s="5" t="s">
        <v>230</v>
      </c>
      <c r="L4" s="5" t="s">
        <v>373</v>
      </c>
      <c r="M4" s="5" t="s">
        <v>270</v>
      </c>
      <c r="N4" s="5" t="s">
        <v>374</v>
      </c>
      <c r="O4" s="5" t="s">
        <v>375</v>
      </c>
      <c r="P4" s="5" t="s">
        <v>376</v>
      </c>
      <c r="Q4" s="5" t="s">
        <v>377</v>
      </c>
      <c r="R4" s="5" t="s">
        <v>378</v>
      </c>
      <c r="S4" s="5" t="s">
        <v>379</v>
      </c>
      <c r="T4" s="5" t="s">
        <v>380</v>
      </c>
      <c r="U4" s="5" t="s">
        <v>381</v>
      </c>
      <c r="V4" s="5" t="s">
        <v>382</v>
      </c>
      <c r="W4" s="5" t="s">
        <v>383</v>
      </c>
    </row>
    <row r="5" spans="1:23" ht="15" customHeight="1">
      <c r="B5" s="4" t="s">
        <v>384</v>
      </c>
      <c r="C5" s="36" t="s">
        <v>156</v>
      </c>
      <c r="D5" s="35">
        <v>229.91249999999999</v>
      </c>
      <c r="E5" s="35">
        <v>151.77080000000001</v>
      </c>
      <c r="F5" s="35">
        <v>30.9375</v>
      </c>
      <c r="G5" s="35">
        <v>47.2042</v>
      </c>
      <c r="H5" s="35">
        <v>102.8125</v>
      </c>
      <c r="I5" s="35">
        <v>48.958300000000001</v>
      </c>
      <c r="J5" s="12">
        <f t="shared" ref="J5:J17" si="0">IFERROR(($I5+$G5)/$D5,0)</f>
        <v>0.41825694557712173</v>
      </c>
      <c r="K5" s="35">
        <v>23.708300000000001</v>
      </c>
      <c r="L5" s="35">
        <v>43.833300000000001</v>
      </c>
      <c r="M5" s="35">
        <v>67.833299999999994</v>
      </c>
      <c r="N5" s="35">
        <v>12.145799999999999</v>
      </c>
      <c r="O5" s="35">
        <v>3.75</v>
      </c>
      <c r="P5" s="35">
        <v>0.5</v>
      </c>
      <c r="Q5" s="41">
        <v>0.94720000000000004</v>
      </c>
      <c r="R5" s="36" t="s">
        <v>385</v>
      </c>
      <c r="S5" s="36" t="s">
        <v>386</v>
      </c>
      <c r="T5" s="36" t="s">
        <v>385</v>
      </c>
      <c r="U5" s="19">
        <v>1973</v>
      </c>
      <c r="V5" s="19">
        <v>1694</v>
      </c>
      <c r="W5" s="2" t="s">
        <v>387</v>
      </c>
    </row>
    <row r="6" spans="1:23" ht="15" customHeight="1">
      <c r="B6" s="4" t="s">
        <v>388</v>
      </c>
      <c r="C6" s="36" t="s">
        <v>156</v>
      </c>
      <c r="D6" s="35">
        <v>103.50830000000001</v>
      </c>
      <c r="E6" s="35">
        <v>51.3</v>
      </c>
      <c r="F6" s="35">
        <v>27.208300000000001</v>
      </c>
      <c r="G6" s="35">
        <v>25</v>
      </c>
      <c r="H6" s="35">
        <v>21.458300000000001</v>
      </c>
      <c r="I6" s="35">
        <v>29.841699999999999</v>
      </c>
      <c r="J6" s="12">
        <f t="shared" si="0"/>
        <v>0.52982900888141338</v>
      </c>
      <c r="K6" s="35">
        <v>12.666700000000001</v>
      </c>
      <c r="L6" s="35">
        <v>14.591699999999999</v>
      </c>
      <c r="M6" s="35">
        <v>22.75</v>
      </c>
      <c r="N6" s="35">
        <v>0</v>
      </c>
      <c r="O6" s="35">
        <v>4.1700000000000001E-2</v>
      </c>
      <c r="P6" s="35">
        <v>1.25</v>
      </c>
      <c r="Q6" s="41">
        <v>0.99239999999999995</v>
      </c>
      <c r="R6" s="36" t="s">
        <v>389</v>
      </c>
      <c r="S6" s="36" t="s">
        <v>386</v>
      </c>
      <c r="T6" s="36" t="s">
        <v>385</v>
      </c>
      <c r="U6" s="19">
        <v>8</v>
      </c>
      <c r="V6" s="19">
        <v>15</v>
      </c>
      <c r="W6" s="2" t="s">
        <v>390</v>
      </c>
    </row>
    <row r="7" spans="1:23" ht="15" customHeight="1">
      <c r="B7" s="4" t="s">
        <v>391</v>
      </c>
      <c r="C7" s="36" t="s">
        <v>158</v>
      </c>
      <c r="D7" s="35">
        <v>48.666699999999999</v>
      </c>
      <c r="E7" s="35">
        <v>31.6875</v>
      </c>
      <c r="F7" s="35">
        <v>11.4</v>
      </c>
      <c r="G7" s="35">
        <v>5.5792000000000002</v>
      </c>
      <c r="H7" s="35">
        <v>19</v>
      </c>
      <c r="I7" s="35">
        <v>12.6875</v>
      </c>
      <c r="J7" s="12">
        <f t="shared" si="0"/>
        <v>0.37534289360075784</v>
      </c>
      <c r="K7" s="35">
        <v>7.0833000000000004</v>
      </c>
      <c r="L7" s="35">
        <v>18.604199999999999</v>
      </c>
      <c r="M7" s="35">
        <v>6</v>
      </c>
      <c r="N7" s="35">
        <v>0</v>
      </c>
      <c r="O7" s="35">
        <v>0</v>
      </c>
      <c r="P7" s="35">
        <v>0</v>
      </c>
      <c r="Q7" s="41">
        <v>1</v>
      </c>
      <c r="R7" s="36" t="s">
        <v>389</v>
      </c>
      <c r="S7" s="36" t="s">
        <v>386</v>
      </c>
      <c r="T7" s="36" t="s">
        <v>389</v>
      </c>
      <c r="U7" s="19">
        <v>29</v>
      </c>
      <c r="V7" s="19">
        <v>102</v>
      </c>
      <c r="W7" s="2" t="s">
        <v>392</v>
      </c>
    </row>
    <row r="8" spans="1:23" ht="15" customHeight="1">
      <c r="B8" s="4" t="s">
        <v>393</v>
      </c>
      <c r="C8" s="36" t="s">
        <v>156</v>
      </c>
      <c r="D8" s="35">
        <v>43.5625</v>
      </c>
      <c r="E8" s="35">
        <v>20.833300000000001</v>
      </c>
      <c r="F8" s="35">
        <v>10.004200000000001</v>
      </c>
      <c r="G8" s="35">
        <v>12.725</v>
      </c>
      <c r="H8" s="35">
        <v>7.5833000000000004</v>
      </c>
      <c r="I8" s="35">
        <v>13.25</v>
      </c>
      <c r="J8" s="12">
        <f t="shared" si="0"/>
        <v>0.59626972740315642</v>
      </c>
      <c r="K8" s="35">
        <v>4.25</v>
      </c>
      <c r="L8" s="35">
        <v>9.5832999999999995</v>
      </c>
      <c r="M8" s="35">
        <v>6</v>
      </c>
      <c r="N8" s="35">
        <v>1</v>
      </c>
      <c r="O8" s="35">
        <v>0</v>
      </c>
      <c r="P8" s="35">
        <v>0</v>
      </c>
      <c r="Q8" s="41">
        <v>0.86919999999999997</v>
      </c>
      <c r="R8" s="36" t="s">
        <v>389</v>
      </c>
      <c r="S8" s="36" t="s">
        <v>386</v>
      </c>
      <c r="T8" s="36" t="s">
        <v>385</v>
      </c>
      <c r="U8" s="19">
        <v>1425</v>
      </c>
      <c r="V8" s="19">
        <v>530</v>
      </c>
      <c r="W8" s="2" t="s">
        <v>394</v>
      </c>
    </row>
    <row r="9" spans="1:23" ht="15" customHeight="1">
      <c r="B9" s="4" t="s">
        <v>395</v>
      </c>
      <c r="C9" s="36" t="s">
        <v>160</v>
      </c>
      <c r="D9" s="35">
        <v>15.8583</v>
      </c>
      <c r="E9" s="35">
        <v>13.583299999999999</v>
      </c>
      <c r="F9" s="35">
        <v>2.2749999999999999</v>
      </c>
      <c r="G9" s="35">
        <v>0</v>
      </c>
      <c r="H9" s="35">
        <v>13.583299999999999</v>
      </c>
      <c r="I9" s="35">
        <v>0</v>
      </c>
      <c r="J9" s="12">
        <f t="shared" si="0"/>
        <v>0</v>
      </c>
      <c r="K9" s="35">
        <v>0</v>
      </c>
      <c r="L9" s="35">
        <v>13.583299999999999</v>
      </c>
      <c r="M9" s="35">
        <v>0</v>
      </c>
      <c r="N9" s="35">
        <v>0</v>
      </c>
      <c r="O9" s="35">
        <v>0</v>
      </c>
      <c r="P9" s="35">
        <v>0</v>
      </c>
      <c r="Q9" s="41">
        <v>0.9173</v>
      </c>
      <c r="R9" s="36" t="s">
        <v>389</v>
      </c>
      <c r="S9" s="36" t="s">
        <v>396</v>
      </c>
      <c r="T9" s="36" t="s">
        <v>389</v>
      </c>
      <c r="U9" s="19">
        <v>2</v>
      </c>
      <c r="V9" s="19">
        <v>49</v>
      </c>
      <c r="W9" s="2" t="s">
        <v>397</v>
      </c>
    </row>
    <row r="10" spans="1:23" ht="15" customHeight="1">
      <c r="B10" s="4" t="s">
        <v>398</v>
      </c>
      <c r="C10" s="36" t="s">
        <v>156</v>
      </c>
      <c r="D10" s="35">
        <v>12.208299999999999</v>
      </c>
      <c r="E10" s="35">
        <v>4.6458000000000004</v>
      </c>
      <c r="F10" s="35">
        <v>4.5625</v>
      </c>
      <c r="G10" s="35">
        <v>3</v>
      </c>
      <c r="H10" s="35">
        <v>2.625</v>
      </c>
      <c r="I10" s="35">
        <v>2.0207999999999999</v>
      </c>
      <c r="J10" s="12">
        <f t="shared" si="0"/>
        <v>0.4112611911568359</v>
      </c>
      <c r="K10" s="35">
        <v>0</v>
      </c>
      <c r="L10" s="35">
        <v>3.3125</v>
      </c>
      <c r="M10" s="35">
        <v>1.3332999999999999</v>
      </c>
      <c r="N10" s="35">
        <v>0</v>
      </c>
      <c r="O10" s="35">
        <v>0</v>
      </c>
      <c r="P10" s="35">
        <v>0</v>
      </c>
      <c r="Q10" s="41">
        <v>1</v>
      </c>
      <c r="R10" s="36" t="s">
        <v>389</v>
      </c>
      <c r="S10" s="36" t="s">
        <v>386</v>
      </c>
      <c r="T10" s="36" t="s">
        <v>385</v>
      </c>
      <c r="U10" s="19">
        <v>171</v>
      </c>
      <c r="V10" s="19">
        <v>128</v>
      </c>
      <c r="W10" s="2" t="s">
        <v>392</v>
      </c>
    </row>
    <row r="11" spans="1:23" ht="15" customHeight="1">
      <c r="B11" s="4" t="s">
        <v>399</v>
      </c>
      <c r="C11" s="36" t="s">
        <v>162</v>
      </c>
      <c r="D11" s="35">
        <v>7.2621000000000002</v>
      </c>
      <c r="E11" s="35">
        <v>6.6142000000000003</v>
      </c>
      <c r="F11" s="35">
        <v>0.64790000000000003</v>
      </c>
      <c r="G11" s="35">
        <v>0</v>
      </c>
      <c r="H11" s="35">
        <v>6.6142000000000003</v>
      </c>
      <c r="I11" s="35">
        <v>0</v>
      </c>
      <c r="J11" s="12">
        <f t="shared" si="0"/>
        <v>0</v>
      </c>
      <c r="K11" s="35">
        <v>0</v>
      </c>
      <c r="L11" s="35">
        <v>6.6142000000000003</v>
      </c>
      <c r="M11" s="35">
        <v>0</v>
      </c>
      <c r="N11" s="35">
        <v>0</v>
      </c>
      <c r="O11" s="35">
        <v>0</v>
      </c>
      <c r="P11" s="35">
        <v>0</v>
      </c>
      <c r="Q11" s="41">
        <v>0.93910000000000005</v>
      </c>
      <c r="R11" s="36" t="s">
        <v>389</v>
      </c>
      <c r="S11" s="36" t="s">
        <v>386</v>
      </c>
      <c r="T11" s="36" t="s">
        <v>389</v>
      </c>
      <c r="U11" s="19">
        <v>44</v>
      </c>
      <c r="V11" s="19">
        <v>52</v>
      </c>
      <c r="W11" s="2" t="s">
        <v>392</v>
      </c>
    </row>
    <row r="12" spans="1:23" ht="15" customHeight="1">
      <c r="B12" s="4" t="s">
        <v>400</v>
      </c>
      <c r="C12" s="36" t="s">
        <v>160</v>
      </c>
      <c r="D12" s="35">
        <v>3.194</v>
      </c>
      <c r="E12" s="35">
        <v>2.8418999999999999</v>
      </c>
      <c r="F12" s="35">
        <v>0.35210000000000002</v>
      </c>
      <c r="G12" s="35">
        <v>0</v>
      </c>
      <c r="H12" s="35">
        <v>2.8418999999999999</v>
      </c>
      <c r="I12" s="35">
        <v>0</v>
      </c>
      <c r="J12" s="12">
        <f t="shared" si="0"/>
        <v>0</v>
      </c>
      <c r="K12" s="35">
        <v>0</v>
      </c>
      <c r="L12" s="35">
        <v>2.8418999999999999</v>
      </c>
      <c r="M12" s="35">
        <v>0</v>
      </c>
      <c r="N12" s="35">
        <v>0</v>
      </c>
      <c r="O12" s="35">
        <v>0</v>
      </c>
      <c r="P12" s="35">
        <v>0</v>
      </c>
      <c r="Q12" s="41">
        <v>0.79190000000000005</v>
      </c>
      <c r="R12" s="36" t="s">
        <v>389</v>
      </c>
      <c r="S12" s="36" t="s">
        <v>396</v>
      </c>
      <c r="T12" s="36" t="s">
        <v>389</v>
      </c>
      <c r="U12" s="19">
        <v>13</v>
      </c>
      <c r="V12" s="19">
        <v>96</v>
      </c>
      <c r="W12" s="2" t="s">
        <v>401</v>
      </c>
    </row>
    <row r="13" spans="1:23" ht="15" customHeight="1">
      <c r="B13" s="4" t="s">
        <v>402</v>
      </c>
      <c r="C13" s="36" t="s">
        <v>164</v>
      </c>
      <c r="D13" s="35">
        <v>0.88329999999999997</v>
      </c>
      <c r="E13" s="35">
        <v>0.80830000000000002</v>
      </c>
      <c r="F13" s="35">
        <v>7.4999999999999997E-2</v>
      </c>
      <c r="G13" s="35">
        <v>0</v>
      </c>
      <c r="H13" s="35">
        <v>0.80830000000000002</v>
      </c>
      <c r="I13" s="35">
        <v>0</v>
      </c>
      <c r="J13" s="12">
        <f t="shared" si="0"/>
        <v>0</v>
      </c>
      <c r="K13" s="35">
        <v>0</v>
      </c>
      <c r="L13" s="35">
        <v>0.80830000000000002</v>
      </c>
      <c r="M13" s="35">
        <v>0</v>
      </c>
      <c r="N13" s="35">
        <v>0</v>
      </c>
      <c r="O13" s="35">
        <v>0</v>
      </c>
      <c r="P13" s="35">
        <v>0</v>
      </c>
      <c r="Q13" s="41">
        <v>0.48110000000000003</v>
      </c>
      <c r="R13" s="36" t="s">
        <v>389</v>
      </c>
      <c r="S13" s="36" t="s">
        <v>396</v>
      </c>
      <c r="T13" s="36" t="s">
        <v>389</v>
      </c>
      <c r="U13" s="19">
        <v>43</v>
      </c>
      <c r="V13" s="19">
        <v>204</v>
      </c>
      <c r="W13" s="2" t="s">
        <v>403</v>
      </c>
    </row>
    <row r="14" spans="1:23" ht="23.25" customHeight="1">
      <c r="B14" s="4" t="s">
        <v>404</v>
      </c>
      <c r="C14" s="36" t="s">
        <v>156</v>
      </c>
      <c r="D14" s="35">
        <v>0.66669999999999996</v>
      </c>
      <c r="E14" s="35">
        <v>0.33329999999999999</v>
      </c>
      <c r="F14" s="35">
        <v>0.25</v>
      </c>
      <c r="G14" s="35">
        <v>8.3299999999999999E-2</v>
      </c>
      <c r="H14" s="35">
        <v>0</v>
      </c>
      <c r="I14" s="35">
        <v>0.33329999999999999</v>
      </c>
      <c r="J14" s="12">
        <f t="shared" si="0"/>
        <v>0.62486875656217189</v>
      </c>
      <c r="K14" s="35">
        <v>0</v>
      </c>
      <c r="L14" s="35">
        <v>0.33329999999999999</v>
      </c>
      <c r="M14" s="35">
        <v>0</v>
      </c>
      <c r="N14" s="35">
        <v>0</v>
      </c>
      <c r="O14" s="35">
        <v>0</v>
      </c>
      <c r="P14" s="35">
        <v>0</v>
      </c>
      <c r="Q14" s="41">
        <v>1</v>
      </c>
      <c r="R14" s="36" t="s">
        <v>389</v>
      </c>
      <c r="S14" s="36" t="s">
        <v>386</v>
      </c>
      <c r="T14" s="36" t="s">
        <v>385</v>
      </c>
      <c r="U14" s="19">
        <v>43</v>
      </c>
      <c r="V14" s="19">
        <v>56</v>
      </c>
      <c r="W14" s="2" t="s">
        <v>392</v>
      </c>
    </row>
    <row r="15" spans="1:23" ht="15" customHeight="1">
      <c r="B15" s="4" t="s">
        <v>405</v>
      </c>
      <c r="C15" s="36" t="s">
        <v>164</v>
      </c>
      <c r="D15" s="35">
        <v>0.45789999999999997</v>
      </c>
      <c r="E15" s="35">
        <v>4.1300000000000003E-2</v>
      </c>
      <c r="F15" s="35">
        <v>0.41670000000000001</v>
      </c>
      <c r="G15" s="35">
        <v>0</v>
      </c>
      <c r="H15" s="35">
        <v>4.1300000000000003E-2</v>
      </c>
      <c r="I15" s="35">
        <v>0</v>
      </c>
      <c r="J15" s="12">
        <f t="shared" si="0"/>
        <v>0</v>
      </c>
      <c r="K15" s="35">
        <v>0</v>
      </c>
      <c r="L15" s="35">
        <v>4.1300000000000003E-2</v>
      </c>
      <c r="M15" s="35">
        <v>0</v>
      </c>
      <c r="N15" s="35">
        <v>0</v>
      </c>
      <c r="O15" s="35">
        <v>0</v>
      </c>
      <c r="P15" s="35">
        <v>0</v>
      </c>
      <c r="Q15" s="41">
        <v>0</v>
      </c>
      <c r="R15" s="36" t="s">
        <v>389</v>
      </c>
      <c r="S15" s="36" t="s">
        <v>396</v>
      </c>
      <c r="T15" s="36" t="s">
        <v>389</v>
      </c>
      <c r="U15" s="19">
        <v>18</v>
      </c>
      <c r="V15" s="19">
        <v>5</v>
      </c>
      <c r="W15" s="2" t="s">
        <v>392</v>
      </c>
    </row>
    <row r="16" spans="1:23" ht="15" customHeight="1">
      <c r="B16" s="4" t="s">
        <v>406</v>
      </c>
      <c r="C16" s="36" t="s">
        <v>156</v>
      </c>
      <c r="D16" s="35">
        <v>0.16669999999999999</v>
      </c>
      <c r="E16" s="35">
        <v>8.3299999999999999E-2</v>
      </c>
      <c r="F16" s="35">
        <v>0</v>
      </c>
      <c r="G16" s="35">
        <v>8.3299999999999999E-2</v>
      </c>
      <c r="H16" s="35">
        <v>0</v>
      </c>
      <c r="I16" s="35">
        <v>0</v>
      </c>
      <c r="J16" s="12">
        <f t="shared" si="0"/>
        <v>0.49970005998800243</v>
      </c>
      <c r="K16" s="35">
        <v>0</v>
      </c>
      <c r="L16" s="35">
        <v>8.3299999999999999E-2</v>
      </c>
      <c r="M16" s="35">
        <v>0</v>
      </c>
      <c r="N16" s="35">
        <v>0</v>
      </c>
      <c r="O16" s="35">
        <v>0</v>
      </c>
      <c r="P16" s="35">
        <v>0</v>
      </c>
      <c r="Q16" s="41">
        <v>1</v>
      </c>
      <c r="R16" s="36" t="s">
        <v>389</v>
      </c>
      <c r="S16" s="36" t="s">
        <v>386</v>
      </c>
      <c r="T16" s="36" t="s">
        <v>385</v>
      </c>
      <c r="U16" s="19">
        <v>34</v>
      </c>
      <c r="V16" s="19">
        <v>5</v>
      </c>
      <c r="W16" s="2" t="s">
        <v>407</v>
      </c>
    </row>
    <row r="17" spans="2:23" ht="15" customHeight="1">
      <c r="B17" s="4" t="s">
        <v>408</v>
      </c>
      <c r="C17" s="36" t="s">
        <v>156</v>
      </c>
      <c r="D17" s="35">
        <v>0.125</v>
      </c>
      <c r="E17" s="35">
        <v>0</v>
      </c>
      <c r="F17" s="35">
        <v>0</v>
      </c>
      <c r="G17" s="35">
        <v>0.125</v>
      </c>
      <c r="H17" s="35">
        <v>0</v>
      </c>
      <c r="I17" s="35">
        <v>0</v>
      </c>
      <c r="J17" s="12">
        <f t="shared" si="0"/>
        <v>1</v>
      </c>
      <c r="K17" s="35">
        <v>0</v>
      </c>
      <c r="L17" s="35">
        <v>0</v>
      </c>
      <c r="M17" s="35">
        <v>0</v>
      </c>
      <c r="N17" s="35">
        <v>0</v>
      </c>
      <c r="O17" s="35">
        <v>0</v>
      </c>
      <c r="P17" s="35">
        <v>0</v>
      </c>
      <c r="Q17" s="41">
        <v>1</v>
      </c>
      <c r="R17" s="36" t="s">
        <v>389</v>
      </c>
      <c r="S17" s="36" t="s">
        <v>386</v>
      </c>
      <c r="T17" s="36" t="s">
        <v>385</v>
      </c>
      <c r="U17" s="19">
        <v>4</v>
      </c>
      <c r="V17" s="19">
        <v>43</v>
      </c>
      <c r="W17" s="2" t="s">
        <v>409</v>
      </c>
    </row>
    <row r="18" spans="2:23" ht="15" customHeight="1">
      <c r="B18" s="14" t="s">
        <v>410</v>
      </c>
      <c r="D18" s="22">
        <f t="shared" ref="D18:I18" si="1">SUM(D5:D17)</f>
        <v>466.47229999999996</v>
      </c>
      <c r="E18" s="22">
        <f t="shared" si="1"/>
        <v>284.54300000000001</v>
      </c>
      <c r="F18" s="22">
        <f t="shared" si="1"/>
        <v>88.129200000000012</v>
      </c>
      <c r="G18" s="22">
        <f t="shared" si="1"/>
        <v>93.799999999999983</v>
      </c>
      <c r="H18" s="22">
        <f t="shared" si="1"/>
        <v>177.36810000000006</v>
      </c>
      <c r="I18" s="22">
        <f t="shared" si="1"/>
        <v>107.09159999999999</v>
      </c>
      <c r="K18" s="22">
        <f t="shared" ref="K18:P18" si="2">SUM(K5:K17)</f>
        <v>47.708300000000001</v>
      </c>
      <c r="L18" s="22">
        <f t="shared" si="2"/>
        <v>114.23059999999998</v>
      </c>
      <c r="M18" s="22">
        <f t="shared" si="2"/>
        <v>103.91659999999999</v>
      </c>
      <c r="N18" s="22">
        <f t="shared" si="2"/>
        <v>13.145799999999999</v>
      </c>
      <c r="O18" s="22">
        <f t="shared" si="2"/>
        <v>3.7917000000000001</v>
      </c>
      <c r="P18" s="22">
        <f t="shared" si="2"/>
        <v>1.75</v>
      </c>
      <c r="U18" s="21">
        <f>SUM(U5:U17)</f>
        <v>3807</v>
      </c>
      <c r="V18" s="21">
        <f>SUM(V5:V17)</f>
        <v>2979</v>
      </c>
    </row>
    <row r="20" spans="2:23" ht="15" customHeight="1">
      <c r="B20" s="64" t="s">
        <v>411</v>
      </c>
      <c r="C20" s="64"/>
      <c r="D20" s="64"/>
      <c r="E20" s="64"/>
      <c r="F20" s="64"/>
      <c r="G20" s="64"/>
      <c r="H20" s="64"/>
      <c r="I20" s="64"/>
      <c r="J20" s="64"/>
      <c r="K20" s="64"/>
      <c r="L20" s="64"/>
      <c r="M20" s="64"/>
      <c r="N20" s="64"/>
      <c r="O20" s="64"/>
      <c r="P20" s="64"/>
      <c r="Q20" s="64"/>
      <c r="R20" s="64"/>
      <c r="S20" s="64"/>
      <c r="T20" s="64"/>
      <c r="U20" s="64"/>
      <c r="V20" s="64"/>
    </row>
  </sheetData>
  <mergeCells count="3">
    <mergeCell ref="A1:V1"/>
    <mergeCell ref="A2:V2"/>
    <mergeCell ref="B20:V2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1"/>
  <sheetViews>
    <sheetView zoomScaleNormal="100" workbookViewId="0">
      <selection sqref="A1:N1"/>
    </sheetView>
  </sheetViews>
  <sheetFormatPr defaultColWidth="8.6328125" defaultRowHeight="14.5"/>
  <cols>
    <col min="1" max="1" width="2.453125" customWidth="1"/>
    <col min="2" max="2" width="6" customWidth="1"/>
    <col min="3" max="3" width="40" customWidth="1"/>
    <col min="4" max="4" width="7" customWidth="1"/>
    <col min="5" max="5" width="11" customWidth="1"/>
    <col min="6" max="6" width="8" customWidth="1"/>
    <col min="7" max="8" width="10" customWidth="1"/>
    <col min="9" max="13" width="8" customWidth="1"/>
    <col min="14" max="14" width="26" customWidth="1"/>
    <col min="15" max="15" width="15" customWidth="1"/>
  </cols>
  <sheetData>
    <row r="1" spans="1:15" ht="25.5" customHeight="1">
      <c r="A1" s="61" t="s">
        <v>412</v>
      </c>
      <c r="B1" s="61"/>
      <c r="C1" s="61"/>
      <c r="D1" s="61"/>
      <c r="E1" s="61"/>
      <c r="F1" s="61"/>
      <c r="G1" s="61"/>
      <c r="H1" s="61"/>
      <c r="I1" s="61"/>
      <c r="J1" s="61"/>
      <c r="K1" s="61"/>
      <c r="L1" s="61"/>
      <c r="M1" s="61"/>
      <c r="N1" s="61"/>
    </row>
    <row r="2" spans="1:15" ht="15" customHeight="1">
      <c r="A2" s="62" t="s">
        <v>413</v>
      </c>
      <c r="B2" s="62"/>
      <c r="C2" s="62"/>
      <c r="D2" s="62"/>
      <c r="E2" s="62"/>
      <c r="F2" s="62"/>
      <c r="G2" s="62"/>
      <c r="H2" s="62"/>
      <c r="I2" s="62"/>
      <c r="J2" s="62"/>
      <c r="K2" s="62"/>
      <c r="L2" s="62"/>
      <c r="M2" s="62"/>
      <c r="N2" s="62"/>
    </row>
    <row r="4" spans="1:15" ht="15" customHeight="1">
      <c r="B4" s="5" t="s">
        <v>414</v>
      </c>
      <c r="C4" s="5" t="s">
        <v>292</v>
      </c>
      <c r="D4" s="5" t="s">
        <v>151</v>
      </c>
      <c r="E4" s="5" t="s">
        <v>152</v>
      </c>
      <c r="F4" s="5" t="s">
        <v>366</v>
      </c>
      <c r="G4" s="5" t="s">
        <v>293</v>
      </c>
      <c r="H4" s="5" t="s">
        <v>294</v>
      </c>
      <c r="I4" s="5" t="s">
        <v>415</v>
      </c>
      <c r="J4" s="5" t="s">
        <v>93</v>
      </c>
      <c r="K4" s="5" t="s">
        <v>94</v>
      </c>
      <c r="L4" s="5" t="s">
        <v>95</v>
      </c>
      <c r="M4" s="5" t="s">
        <v>96</v>
      </c>
      <c r="N4" s="5" t="s">
        <v>416</v>
      </c>
      <c r="O4" s="5" t="s">
        <v>417</v>
      </c>
    </row>
    <row r="5" spans="1:15" ht="23.25" customHeight="1">
      <c r="B5" s="11" t="s">
        <v>313</v>
      </c>
      <c r="C5" s="4" t="s">
        <v>418</v>
      </c>
      <c r="D5" s="19">
        <v>4</v>
      </c>
      <c r="E5" s="35">
        <v>230.8708</v>
      </c>
      <c r="F5" s="36" t="s">
        <v>156</v>
      </c>
      <c r="G5" s="36" t="s">
        <v>297</v>
      </c>
      <c r="H5" s="36" t="s">
        <v>298</v>
      </c>
      <c r="I5" s="36" t="s">
        <v>419</v>
      </c>
      <c r="J5" s="36">
        <v>19</v>
      </c>
      <c r="K5" s="36">
        <v>18</v>
      </c>
      <c r="L5" s="36">
        <v>18</v>
      </c>
      <c r="M5" s="36">
        <v>16</v>
      </c>
      <c r="N5" s="29" t="s">
        <v>420</v>
      </c>
      <c r="O5" s="42">
        <v>55.5</v>
      </c>
    </row>
    <row r="6" spans="1:15" ht="23.25" customHeight="1">
      <c r="B6" s="11" t="s">
        <v>314</v>
      </c>
      <c r="C6" s="4" t="s">
        <v>421</v>
      </c>
      <c r="D6" s="19">
        <v>4</v>
      </c>
      <c r="E6" s="35">
        <v>168.91669999999999</v>
      </c>
      <c r="F6" s="36" t="s">
        <v>302</v>
      </c>
      <c r="G6" s="36" t="s">
        <v>297</v>
      </c>
      <c r="H6" s="36" t="s">
        <v>303</v>
      </c>
      <c r="I6" s="36" t="s">
        <v>422</v>
      </c>
      <c r="J6" s="36" t="s">
        <v>423</v>
      </c>
      <c r="K6" s="36">
        <v>13</v>
      </c>
      <c r="L6" s="36">
        <v>13</v>
      </c>
      <c r="M6" s="36">
        <v>12</v>
      </c>
      <c r="N6" s="29" t="s">
        <v>424</v>
      </c>
      <c r="O6" s="42">
        <v>32</v>
      </c>
    </row>
    <row r="7" spans="1:15" ht="23.25" customHeight="1">
      <c r="B7" s="11" t="s">
        <v>315</v>
      </c>
      <c r="C7" s="4" t="s">
        <v>425</v>
      </c>
      <c r="D7" s="19">
        <v>1</v>
      </c>
      <c r="E7" s="35">
        <v>43.5625</v>
      </c>
      <c r="F7" s="36" t="s">
        <v>156</v>
      </c>
      <c r="G7" s="36" t="s">
        <v>297</v>
      </c>
      <c r="H7" s="36" t="s">
        <v>298</v>
      </c>
      <c r="I7" s="36" t="s">
        <v>426</v>
      </c>
      <c r="J7" s="36">
        <v>4</v>
      </c>
      <c r="K7" s="36">
        <v>3</v>
      </c>
      <c r="L7" s="36">
        <v>3</v>
      </c>
      <c r="M7" s="36">
        <v>3</v>
      </c>
      <c r="N7" s="29" t="s">
        <v>427</v>
      </c>
      <c r="O7" s="42">
        <v>8.8000000000000007</v>
      </c>
    </row>
    <row r="8" spans="1:15" ht="23.25" customHeight="1">
      <c r="B8" s="11" t="s">
        <v>316</v>
      </c>
      <c r="C8" s="4" t="s">
        <v>428</v>
      </c>
      <c r="D8" s="19">
        <v>4</v>
      </c>
      <c r="E8" s="35">
        <v>23.122299999999999</v>
      </c>
      <c r="F8" s="36" t="s">
        <v>308</v>
      </c>
      <c r="G8" s="36" t="s">
        <v>309</v>
      </c>
      <c r="H8" s="36" t="s">
        <v>310</v>
      </c>
      <c r="I8" s="36" t="s">
        <v>429</v>
      </c>
      <c r="J8" s="36">
        <v>2</v>
      </c>
      <c r="K8" s="36">
        <v>2</v>
      </c>
      <c r="L8" s="36">
        <v>2</v>
      </c>
      <c r="M8" s="36">
        <v>2</v>
      </c>
      <c r="N8" s="29" t="s">
        <v>430</v>
      </c>
      <c r="O8" s="42">
        <v>2.7</v>
      </c>
    </row>
    <row r="9" spans="1:15" ht="15" customHeight="1">
      <c r="C9" s="14" t="s">
        <v>166</v>
      </c>
      <c r="D9" s="21">
        <f>SUM(D5:D8)</f>
        <v>13</v>
      </c>
      <c r="E9" s="22">
        <f>SUM(E5:E8)</f>
        <v>466.47230000000002</v>
      </c>
      <c r="O9" s="37">
        <f>SUM(O5:O8)</f>
        <v>99</v>
      </c>
    </row>
    <row r="11" spans="1:15" ht="18.75" customHeight="1">
      <c r="B11" s="64" t="s">
        <v>431</v>
      </c>
      <c r="C11" s="64"/>
      <c r="D11" s="64"/>
      <c r="E11" s="64"/>
      <c r="F11" s="64"/>
      <c r="G11" s="64"/>
      <c r="H11" s="64"/>
      <c r="I11" s="64"/>
      <c r="J11" s="64"/>
      <c r="K11" s="64"/>
      <c r="L11" s="64"/>
      <c r="M11" s="64"/>
      <c r="N11" s="64"/>
      <c r="O11" s="64"/>
    </row>
  </sheetData>
  <mergeCells count="3">
    <mergeCell ref="A1:N1"/>
    <mergeCell ref="A2:N2"/>
    <mergeCell ref="B11:O1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11"/>
  <sheetViews>
    <sheetView topLeftCell="A63" zoomScaleNormal="100" workbookViewId="0">
      <selection activeCell="J11" sqref="J11"/>
    </sheetView>
  </sheetViews>
  <sheetFormatPr defaultColWidth="8.6328125" defaultRowHeight="14.5"/>
  <cols>
    <col min="1" max="1" width="2.453125" customWidth="1"/>
    <col min="2" max="2" width="6" customWidth="1"/>
    <col min="3" max="3" width="8" customWidth="1"/>
    <col min="4" max="4" width="7" customWidth="1"/>
    <col min="5" max="5" width="34" customWidth="1"/>
    <col min="6" max="7" width="7" customWidth="1"/>
    <col min="8" max="8" width="8" customWidth="1"/>
    <col min="9" max="10" width="9" customWidth="1"/>
    <col min="11" max="11" width="13" customWidth="1"/>
  </cols>
  <sheetData>
    <row r="1" spans="1:11" ht="25.5" customHeight="1">
      <c r="A1" s="61" t="s">
        <v>432</v>
      </c>
      <c r="B1" s="61"/>
      <c r="C1" s="61"/>
      <c r="D1" s="61"/>
      <c r="E1" s="61"/>
      <c r="F1" s="61"/>
      <c r="G1" s="61"/>
      <c r="H1" s="61"/>
      <c r="I1" s="61"/>
      <c r="J1" s="61"/>
    </row>
    <row r="2" spans="1:11" ht="15" customHeight="1">
      <c r="A2" s="62" t="s">
        <v>433</v>
      </c>
      <c r="B2" s="62"/>
      <c r="C2" s="62"/>
      <c r="D2" s="62"/>
      <c r="E2" s="62"/>
      <c r="F2" s="62"/>
      <c r="G2" s="62"/>
      <c r="H2" s="62"/>
      <c r="I2" s="62"/>
      <c r="J2" s="62"/>
    </row>
    <row r="4" spans="1:11" ht="15" customHeight="1">
      <c r="B4" s="5" t="s">
        <v>434</v>
      </c>
      <c r="C4" s="5" t="s">
        <v>435</v>
      </c>
      <c r="D4" s="5" t="s">
        <v>436</v>
      </c>
      <c r="E4" s="5" t="s">
        <v>437</v>
      </c>
      <c r="F4" s="5" t="s">
        <v>438</v>
      </c>
      <c r="G4" s="5" t="s">
        <v>439</v>
      </c>
      <c r="H4" s="5" t="s">
        <v>440</v>
      </c>
      <c r="I4" s="5" t="s">
        <v>441</v>
      </c>
      <c r="J4" s="5" t="s">
        <v>442</v>
      </c>
      <c r="K4" s="5" t="s">
        <v>443</v>
      </c>
    </row>
    <row r="5" spans="1:11" ht="15" customHeight="1">
      <c r="B5" s="19">
        <v>1</v>
      </c>
      <c r="C5" s="11" t="s">
        <v>444</v>
      </c>
      <c r="D5" s="19">
        <v>1</v>
      </c>
      <c r="E5" s="2" t="s">
        <v>445</v>
      </c>
      <c r="F5" s="11" t="s">
        <v>375</v>
      </c>
      <c r="G5" s="36" t="s">
        <v>214</v>
      </c>
      <c r="H5" s="36" t="s">
        <v>221</v>
      </c>
      <c r="I5" s="36" t="s">
        <v>368</v>
      </c>
      <c r="J5" s="39">
        <v>1</v>
      </c>
      <c r="K5" s="43">
        <f t="shared" ref="K5:K17" si="0">J5*7</f>
        <v>7</v>
      </c>
    </row>
    <row r="6" spans="1:11" ht="15" customHeight="1">
      <c r="B6" s="19">
        <v>1</v>
      </c>
      <c r="C6" s="11" t="s">
        <v>444</v>
      </c>
      <c r="D6" s="19">
        <v>2</v>
      </c>
      <c r="E6" s="2" t="s">
        <v>446</v>
      </c>
      <c r="F6" s="11" t="s">
        <v>447</v>
      </c>
      <c r="G6" s="36" t="s">
        <v>213</v>
      </c>
      <c r="H6" s="36" t="s">
        <v>222</v>
      </c>
      <c r="I6" s="36" t="s">
        <v>369</v>
      </c>
      <c r="J6" s="39">
        <v>1.6428571428571399</v>
      </c>
      <c r="K6" s="43">
        <f t="shared" si="0"/>
        <v>11.499999999999979</v>
      </c>
    </row>
    <row r="7" spans="1:11" ht="15" customHeight="1">
      <c r="B7" s="19">
        <v>1</v>
      </c>
      <c r="C7" s="11" t="s">
        <v>444</v>
      </c>
      <c r="D7" s="19">
        <v>3</v>
      </c>
      <c r="E7" s="2" t="s">
        <v>448</v>
      </c>
      <c r="F7" s="11" t="s">
        <v>230</v>
      </c>
      <c r="G7" s="36" t="s">
        <v>213</v>
      </c>
      <c r="H7" s="36" t="s">
        <v>221</v>
      </c>
      <c r="I7" s="36" t="s">
        <v>367</v>
      </c>
      <c r="J7" s="39">
        <v>1</v>
      </c>
      <c r="K7" s="43">
        <f t="shared" si="0"/>
        <v>7</v>
      </c>
    </row>
    <row r="8" spans="1:11" ht="15" customHeight="1">
      <c r="B8" s="19">
        <v>1</v>
      </c>
      <c r="C8" s="11" t="s">
        <v>444</v>
      </c>
      <c r="D8" s="19">
        <v>4</v>
      </c>
      <c r="E8" s="2" t="s">
        <v>449</v>
      </c>
      <c r="F8" s="11" t="s">
        <v>447</v>
      </c>
      <c r="G8" s="36" t="s">
        <v>214</v>
      </c>
      <c r="H8" s="36" t="s">
        <v>221</v>
      </c>
      <c r="I8" s="36" t="s">
        <v>367</v>
      </c>
      <c r="J8" s="39">
        <v>1.5</v>
      </c>
      <c r="K8" s="43">
        <f t="shared" si="0"/>
        <v>10.5</v>
      </c>
    </row>
    <row r="9" spans="1:11" ht="15" customHeight="1">
      <c r="B9" s="19">
        <v>1</v>
      </c>
      <c r="C9" s="11" t="s">
        <v>444</v>
      </c>
      <c r="D9" s="19">
        <v>5</v>
      </c>
      <c r="E9" s="2" t="s">
        <v>450</v>
      </c>
      <c r="F9" s="11" t="s">
        <v>447</v>
      </c>
      <c r="G9" s="36" t="s">
        <v>213</v>
      </c>
      <c r="H9" s="36" t="s">
        <v>221</v>
      </c>
      <c r="I9" s="36" t="s">
        <v>367</v>
      </c>
      <c r="J9" s="39">
        <v>0.42857142857142899</v>
      </c>
      <c r="K9" s="43">
        <f t="shared" si="0"/>
        <v>3.0000000000000031</v>
      </c>
    </row>
    <row r="10" spans="1:11" ht="15" customHeight="1">
      <c r="B10" s="19">
        <v>1</v>
      </c>
      <c r="C10" s="11" t="s">
        <v>444</v>
      </c>
      <c r="D10" s="19">
        <v>6</v>
      </c>
      <c r="E10" s="2" t="s">
        <v>450</v>
      </c>
      <c r="F10" s="11" t="s">
        <v>447</v>
      </c>
      <c r="G10" s="36" t="s">
        <v>212</v>
      </c>
      <c r="H10" s="36" t="s">
        <v>222</v>
      </c>
      <c r="I10" s="36" t="s">
        <v>367</v>
      </c>
      <c r="J10" s="39">
        <v>0.78571428571428603</v>
      </c>
      <c r="K10" s="43">
        <f t="shared" si="0"/>
        <v>5.5000000000000018</v>
      </c>
    </row>
    <row r="11" spans="1:11" ht="15" customHeight="1">
      <c r="B11" s="19">
        <v>1</v>
      </c>
      <c r="C11" s="11" t="s">
        <v>444</v>
      </c>
      <c r="D11" s="19">
        <v>7</v>
      </c>
      <c r="E11" s="2" t="s">
        <v>450</v>
      </c>
      <c r="F11" s="11" t="s">
        <v>447</v>
      </c>
      <c r="G11" s="36" t="s">
        <v>213</v>
      </c>
      <c r="H11" s="36" t="s">
        <v>222</v>
      </c>
      <c r="I11" s="36" t="s">
        <v>367</v>
      </c>
      <c r="J11" s="39">
        <v>0.57142857142857095</v>
      </c>
      <c r="K11" s="43">
        <f t="shared" si="0"/>
        <v>3.9999999999999964</v>
      </c>
    </row>
    <row r="12" spans="1:11" ht="15" customHeight="1">
      <c r="B12" s="19">
        <v>1</v>
      </c>
      <c r="C12" s="11" t="s">
        <v>444</v>
      </c>
      <c r="D12" s="19">
        <v>8</v>
      </c>
      <c r="E12" s="2" t="s">
        <v>450</v>
      </c>
      <c r="F12" s="11" t="s">
        <v>447</v>
      </c>
      <c r="G12" s="36" t="s">
        <v>214</v>
      </c>
      <c r="H12" s="36" t="s">
        <v>222</v>
      </c>
      <c r="I12" s="36" t="s">
        <v>367</v>
      </c>
      <c r="J12" s="39">
        <v>0.214285714285714</v>
      </c>
      <c r="K12" s="43">
        <f t="shared" si="0"/>
        <v>1.499999999999998</v>
      </c>
    </row>
    <row r="13" spans="1:11" ht="15" customHeight="1">
      <c r="B13" s="19">
        <v>1</v>
      </c>
      <c r="C13" s="11" t="s">
        <v>444</v>
      </c>
      <c r="D13" s="19">
        <v>9</v>
      </c>
      <c r="E13" s="2" t="s">
        <v>451</v>
      </c>
      <c r="F13" s="11" t="s">
        <v>452</v>
      </c>
      <c r="G13" s="36" t="s">
        <v>212</v>
      </c>
      <c r="H13" s="36" t="s">
        <v>222</v>
      </c>
      <c r="I13" s="36" t="s">
        <v>367</v>
      </c>
      <c r="J13" s="39">
        <v>1.0714285714285701</v>
      </c>
      <c r="K13" s="43">
        <f t="shared" si="0"/>
        <v>7.4999999999999902</v>
      </c>
    </row>
    <row r="14" spans="1:11" ht="15" customHeight="1">
      <c r="B14" s="19">
        <v>1</v>
      </c>
      <c r="C14" s="11" t="s">
        <v>444</v>
      </c>
      <c r="D14" s="19">
        <v>10</v>
      </c>
      <c r="E14" s="2" t="s">
        <v>451</v>
      </c>
      <c r="F14" s="11" t="s">
        <v>452</v>
      </c>
      <c r="G14" s="36" t="s">
        <v>213</v>
      </c>
      <c r="H14" s="36" t="s">
        <v>222</v>
      </c>
      <c r="I14" s="36" t="s">
        <v>367</v>
      </c>
      <c r="J14" s="39">
        <v>1.0714285714285701</v>
      </c>
      <c r="K14" s="43">
        <f t="shared" si="0"/>
        <v>7.4999999999999902</v>
      </c>
    </row>
    <row r="15" spans="1:11" ht="15" customHeight="1">
      <c r="B15" s="19">
        <v>1</v>
      </c>
      <c r="C15" s="11" t="s">
        <v>444</v>
      </c>
      <c r="D15" s="19">
        <v>11</v>
      </c>
      <c r="E15" s="2" t="s">
        <v>451</v>
      </c>
      <c r="F15" s="11" t="s">
        <v>452</v>
      </c>
      <c r="G15" s="36" t="s">
        <v>214</v>
      </c>
      <c r="H15" s="36" t="s">
        <v>222</v>
      </c>
      <c r="I15" s="36" t="s">
        <v>367</v>
      </c>
      <c r="J15" s="39">
        <v>0.28571428571428598</v>
      </c>
      <c r="K15" s="43">
        <f t="shared" si="0"/>
        <v>2.0000000000000018</v>
      </c>
    </row>
    <row r="16" spans="1:11" ht="15" customHeight="1">
      <c r="B16" s="19">
        <v>1</v>
      </c>
      <c r="C16" s="11" t="s">
        <v>444</v>
      </c>
      <c r="D16" s="19">
        <v>12</v>
      </c>
      <c r="E16" s="2" t="s">
        <v>453</v>
      </c>
      <c r="F16" s="11" t="s">
        <v>454</v>
      </c>
      <c r="G16" s="36" t="s">
        <v>211</v>
      </c>
      <c r="H16" s="36" t="s">
        <v>222</v>
      </c>
      <c r="I16" s="36" t="s">
        <v>367</v>
      </c>
      <c r="J16" s="39">
        <v>0.14285714285714299</v>
      </c>
      <c r="K16" s="43">
        <f t="shared" si="0"/>
        <v>1.0000000000000009</v>
      </c>
    </row>
    <row r="17" spans="2:11" ht="15" customHeight="1">
      <c r="B17" s="19">
        <v>1</v>
      </c>
      <c r="C17" s="11" t="s">
        <v>444</v>
      </c>
      <c r="D17" s="19">
        <v>13</v>
      </c>
      <c r="E17" s="2" t="s">
        <v>453</v>
      </c>
      <c r="F17" s="11" t="s">
        <v>454</v>
      </c>
      <c r="G17" s="36" t="s">
        <v>212</v>
      </c>
      <c r="H17" s="36" t="s">
        <v>222</v>
      </c>
      <c r="I17" s="36" t="s">
        <v>367</v>
      </c>
      <c r="J17" s="39">
        <v>0.214285714285714</v>
      </c>
      <c r="K17" s="43">
        <f t="shared" si="0"/>
        <v>1.499999999999998</v>
      </c>
    </row>
    <row r="18" spans="2:11" ht="34.5" customHeight="1">
      <c r="D18" s="14" t="s">
        <v>455</v>
      </c>
      <c r="J18" s="15">
        <f>SUM(J5:J17)</f>
        <v>9.9285714285714217</v>
      </c>
    </row>
    <row r="20" spans="2:11" ht="15" customHeight="1">
      <c r="B20" s="19">
        <v>1</v>
      </c>
      <c r="C20" s="11" t="s">
        <v>456</v>
      </c>
      <c r="D20" s="19">
        <v>1</v>
      </c>
      <c r="E20" s="2" t="s">
        <v>445</v>
      </c>
      <c r="F20" s="11" t="s">
        <v>375</v>
      </c>
      <c r="G20" s="36" t="s">
        <v>214</v>
      </c>
      <c r="H20" s="36" t="s">
        <v>221</v>
      </c>
      <c r="I20" s="36" t="s">
        <v>368</v>
      </c>
      <c r="J20" s="39">
        <v>0.73214285714285698</v>
      </c>
      <c r="K20" s="43">
        <f t="shared" ref="K20:K33" si="1">J20*28</f>
        <v>20.499999999999996</v>
      </c>
    </row>
    <row r="21" spans="2:11" ht="15" customHeight="1">
      <c r="B21" s="19">
        <v>1</v>
      </c>
      <c r="C21" s="11" t="s">
        <v>456</v>
      </c>
      <c r="D21" s="19">
        <v>2</v>
      </c>
      <c r="E21" s="2" t="s">
        <v>457</v>
      </c>
      <c r="F21" s="11" t="s">
        <v>230</v>
      </c>
      <c r="G21" s="36" t="s">
        <v>214</v>
      </c>
      <c r="H21" s="36" t="s">
        <v>221</v>
      </c>
      <c r="I21" s="36" t="s">
        <v>368</v>
      </c>
      <c r="J21" s="39">
        <v>0.98214285714285698</v>
      </c>
      <c r="K21" s="43">
        <f t="shared" si="1"/>
        <v>27.499999999999996</v>
      </c>
    </row>
    <row r="22" spans="2:11" ht="15" customHeight="1">
      <c r="B22" s="19">
        <v>1</v>
      </c>
      <c r="C22" s="11" t="s">
        <v>456</v>
      </c>
      <c r="D22" s="19">
        <v>3</v>
      </c>
      <c r="E22" s="2" t="s">
        <v>458</v>
      </c>
      <c r="F22" s="11" t="s">
        <v>454</v>
      </c>
      <c r="G22" s="36" t="s">
        <v>213</v>
      </c>
      <c r="H22" s="36" t="s">
        <v>221</v>
      </c>
      <c r="I22" s="36" t="s">
        <v>368</v>
      </c>
      <c r="J22" s="39">
        <v>0.46428571428571402</v>
      </c>
      <c r="K22" s="43">
        <f t="shared" si="1"/>
        <v>12.999999999999993</v>
      </c>
    </row>
    <row r="23" spans="2:11" ht="15" customHeight="1">
      <c r="B23" s="19">
        <v>1</v>
      </c>
      <c r="C23" s="11" t="s">
        <v>456</v>
      </c>
      <c r="D23" s="19">
        <v>4</v>
      </c>
      <c r="E23" s="2" t="s">
        <v>459</v>
      </c>
      <c r="F23" s="11" t="s">
        <v>447</v>
      </c>
      <c r="G23" s="36" t="s">
        <v>213</v>
      </c>
      <c r="H23" s="36" t="s">
        <v>222</v>
      </c>
      <c r="I23" s="36" t="s">
        <v>369</v>
      </c>
      <c r="J23" s="39">
        <v>1.75</v>
      </c>
      <c r="K23" s="43">
        <f t="shared" si="1"/>
        <v>49</v>
      </c>
    </row>
    <row r="24" spans="2:11" ht="15" customHeight="1">
      <c r="B24" s="19">
        <v>1</v>
      </c>
      <c r="C24" s="11" t="s">
        <v>456</v>
      </c>
      <c r="D24" s="19">
        <v>5</v>
      </c>
      <c r="E24" s="2" t="s">
        <v>460</v>
      </c>
      <c r="F24" s="11" t="s">
        <v>452</v>
      </c>
      <c r="G24" s="36" t="s">
        <v>212</v>
      </c>
      <c r="H24" s="36" t="s">
        <v>222</v>
      </c>
      <c r="I24" s="36" t="s">
        <v>369</v>
      </c>
      <c r="J24" s="39">
        <v>0.96428571428571397</v>
      </c>
      <c r="K24" s="43">
        <f t="shared" si="1"/>
        <v>26.999999999999993</v>
      </c>
    </row>
    <row r="25" spans="2:11" ht="15" customHeight="1">
      <c r="B25" s="19">
        <v>1</v>
      </c>
      <c r="C25" s="11" t="s">
        <v>456</v>
      </c>
      <c r="D25" s="19">
        <v>6</v>
      </c>
      <c r="E25" s="2" t="s">
        <v>448</v>
      </c>
      <c r="F25" s="11" t="s">
        <v>230</v>
      </c>
      <c r="G25" s="36" t="s">
        <v>213</v>
      </c>
      <c r="H25" s="36" t="s">
        <v>221</v>
      </c>
      <c r="I25" s="36" t="s">
        <v>367</v>
      </c>
      <c r="J25" s="39">
        <v>1.41071428571429</v>
      </c>
      <c r="K25" s="43">
        <f t="shared" si="1"/>
        <v>39.500000000000121</v>
      </c>
    </row>
    <row r="26" spans="2:11" ht="15" customHeight="1">
      <c r="B26" s="19">
        <v>1</v>
      </c>
      <c r="C26" s="11" t="s">
        <v>456</v>
      </c>
      <c r="D26" s="19">
        <v>7</v>
      </c>
      <c r="E26" s="2" t="s">
        <v>461</v>
      </c>
      <c r="F26" s="11" t="s">
        <v>447</v>
      </c>
      <c r="G26" s="36" t="s">
        <v>213</v>
      </c>
      <c r="H26" s="36" t="s">
        <v>221</v>
      </c>
      <c r="I26" s="36" t="s">
        <v>367</v>
      </c>
      <c r="J26" s="39">
        <v>1.71428571428571</v>
      </c>
      <c r="K26" s="43">
        <f t="shared" si="1"/>
        <v>47.999999999999879</v>
      </c>
    </row>
    <row r="27" spans="2:11" ht="15" customHeight="1">
      <c r="B27" s="19">
        <v>1</v>
      </c>
      <c r="C27" s="11" t="s">
        <v>456</v>
      </c>
      <c r="D27" s="19">
        <v>8</v>
      </c>
      <c r="E27" s="2" t="s">
        <v>231</v>
      </c>
      <c r="F27" s="11" t="s">
        <v>447</v>
      </c>
      <c r="G27" s="36" t="s">
        <v>211</v>
      </c>
      <c r="H27" s="36" t="s">
        <v>222</v>
      </c>
      <c r="I27" s="36" t="s">
        <v>367</v>
      </c>
      <c r="J27" s="39">
        <v>0.19642857142857101</v>
      </c>
      <c r="K27" s="43">
        <f t="shared" si="1"/>
        <v>5.4999999999999885</v>
      </c>
    </row>
    <row r="28" spans="2:11" ht="15" customHeight="1">
      <c r="B28" s="19">
        <v>1</v>
      </c>
      <c r="C28" s="11" t="s">
        <v>456</v>
      </c>
      <c r="D28" s="19">
        <v>9</v>
      </c>
      <c r="E28" s="2" t="s">
        <v>231</v>
      </c>
      <c r="F28" s="11" t="s">
        <v>447</v>
      </c>
      <c r="G28" s="36" t="s">
        <v>212</v>
      </c>
      <c r="H28" s="36" t="s">
        <v>222</v>
      </c>
      <c r="I28" s="36" t="s">
        <v>367</v>
      </c>
      <c r="J28" s="39">
        <v>0.53571428571428603</v>
      </c>
      <c r="K28" s="43">
        <f t="shared" si="1"/>
        <v>15.000000000000009</v>
      </c>
    </row>
    <row r="29" spans="2:11" ht="15" customHeight="1">
      <c r="B29" s="19">
        <v>1</v>
      </c>
      <c r="C29" s="11" t="s">
        <v>456</v>
      </c>
      <c r="D29" s="19">
        <v>10</v>
      </c>
      <c r="E29" s="2" t="s">
        <v>231</v>
      </c>
      <c r="F29" s="11" t="s">
        <v>447</v>
      </c>
      <c r="G29" s="36" t="s">
        <v>213</v>
      </c>
      <c r="H29" s="36" t="s">
        <v>222</v>
      </c>
      <c r="I29" s="36" t="s">
        <v>367</v>
      </c>
      <c r="J29" s="39">
        <v>0.51785714285714302</v>
      </c>
      <c r="K29" s="43">
        <f t="shared" si="1"/>
        <v>14.500000000000004</v>
      </c>
    </row>
    <row r="30" spans="2:11" ht="15" customHeight="1">
      <c r="B30" s="19">
        <v>1</v>
      </c>
      <c r="C30" s="11" t="s">
        <v>456</v>
      </c>
      <c r="D30" s="19">
        <v>11</v>
      </c>
      <c r="E30" s="2" t="s">
        <v>462</v>
      </c>
      <c r="F30" s="11" t="s">
        <v>452</v>
      </c>
      <c r="G30" s="36" t="s">
        <v>213</v>
      </c>
      <c r="H30" s="36" t="s">
        <v>221</v>
      </c>
      <c r="I30" s="36" t="s">
        <v>367</v>
      </c>
      <c r="J30" s="39">
        <v>1.8571428571428601</v>
      </c>
      <c r="K30" s="43">
        <f t="shared" si="1"/>
        <v>52.000000000000085</v>
      </c>
    </row>
    <row r="31" spans="2:11" ht="15" customHeight="1">
      <c r="B31" s="19">
        <v>1</v>
      </c>
      <c r="C31" s="11" t="s">
        <v>456</v>
      </c>
      <c r="D31" s="19">
        <v>12</v>
      </c>
      <c r="E31" s="2" t="s">
        <v>463</v>
      </c>
      <c r="F31" s="11" t="s">
        <v>452</v>
      </c>
      <c r="G31" s="36" t="s">
        <v>212</v>
      </c>
      <c r="H31" s="36" t="s">
        <v>222</v>
      </c>
      <c r="I31" s="36" t="s">
        <v>367</v>
      </c>
      <c r="J31" s="39">
        <v>0.30357142857142899</v>
      </c>
      <c r="K31" s="43">
        <f t="shared" si="1"/>
        <v>8.5000000000000124</v>
      </c>
    </row>
    <row r="32" spans="2:11" ht="15" customHeight="1">
      <c r="B32" s="19">
        <v>1</v>
      </c>
      <c r="C32" s="11" t="s">
        <v>456</v>
      </c>
      <c r="D32" s="19">
        <v>13</v>
      </c>
      <c r="E32" s="2" t="s">
        <v>463</v>
      </c>
      <c r="F32" s="11" t="s">
        <v>452</v>
      </c>
      <c r="G32" s="36" t="s">
        <v>213</v>
      </c>
      <c r="H32" s="36" t="s">
        <v>222</v>
      </c>
      <c r="I32" s="36" t="s">
        <v>367</v>
      </c>
      <c r="J32" s="39">
        <v>0.32142857142857201</v>
      </c>
      <c r="K32" s="43">
        <f t="shared" si="1"/>
        <v>9.000000000000016</v>
      </c>
    </row>
    <row r="33" spans="2:12" ht="15" customHeight="1">
      <c r="B33" s="19">
        <v>1</v>
      </c>
      <c r="C33" s="11" t="s">
        <v>456</v>
      </c>
      <c r="D33" s="19">
        <v>14</v>
      </c>
      <c r="E33" s="2" t="s">
        <v>453</v>
      </c>
      <c r="F33" s="11" t="s">
        <v>454</v>
      </c>
      <c r="G33" s="36" t="s">
        <v>212</v>
      </c>
      <c r="H33" s="36" t="s">
        <v>222</v>
      </c>
      <c r="I33" s="36" t="s">
        <v>367</v>
      </c>
      <c r="J33" s="39">
        <v>0.125</v>
      </c>
      <c r="K33" s="43">
        <f t="shared" si="1"/>
        <v>3.5</v>
      </c>
    </row>
    <row r="34" spans="2:12" ht="34.5" customHeight="1">
      <c r="D34" s="14" t="s">
        <v>464</v>
      </c>
      <c r="J34" s="15">
        <f>SUM(J20:J33)</f>
        <v>11.875000000000002</v>
      </c>
    </row>
    <row r="36" spans="2:12" ht="15" customHeight="1">
      <c r="B36" s="19">
        <v>2</v>
      </c>
      <c r="C36" s="11" t="s">
        <v>444</v>
      </c>
      <c r="D36" s="19">
        <v>1</v>
      </c>
      <c r="E36" s="2" t="s">
        <v>445</v>
      </c>
      <c r="F36" s="11" t="s">
        <v>375</v>
      </c>
      <c r="G36" s="36" t="s">
        <v>214</v>
      </c>
      <c r="H36" s="36" t="s">
        <v>221</v>
      </c>
      <c r="I36" s="36" t="s">
        <v>368</v>
      </c>
      <c r="J36" s="39">
        <v>0.92857142857142905</v>
      </c>
      <c r="K36" s="43">
        <f t="shared" ref="K36:K47" si="2">J36*35</f>
        <v>32.500000000000014</v>
      </c>
      <c r="L36" s="10">
        <v>0.8</v>
      </c>
    </row>
    <row r="37" spans="2:12" ht="15" customHeight="1">
      <c r="B37" s="19">
        <v>2</v>
      </c>
      <c r="C37" s="11" t="s">
        <v>444</v>
      </c>
      <c r="D37" s="19">
        <v>2</v>
      </c>
      <c r="E37" s="2" t="s">
        <v>457</v>
      </c>
      <c r="F37" s="11" t="s">
        <v>230</v>
      </c>
      <c r="G37" s="36" t="s">
        <v>214</v>
      </c>
      <c r="H37" s="36" t="s">
        <v>221</v>
      </c>
      <c r="I37" s="36" t="s">
        <v>368</v>
      </c>
      <c r="J37" s="39">
        <v>0.67142857142857104</v>
      </c>
      <c r="K37" s="43">
        <f t="shared" si="2"/>
        <v>23.499999999999986</v>
      </c>
      <c r="L37" s="10">
        <v>0.5</v>
      </c>
    </row>
    <row r="38" spans="2:12" ht="15" customHeight="1">
      <c r="B38" s="19">
        <v>2</v>
      </c>
      <c r="C38" s="11" t="s">
        <v>444</v>
      </c>
      <c r="D38" s="19">
        <v>3</v>
      </c>
      <c r="E38" s="2" t="s">
        <v>446</v>
      </c>
      <c r="F38" s="11" t="s">
        <v>447</v>
      </c>
      <c r="G38" s="36" t="s">
        <v>213</v>
      </c>
      <c r="H38" s="36" t="s">
        <v>222</v>
      </c>
      <c r="I38" s="36" t="s">
        <v>369</v>
      </c>
      <c r="J38" s="39">
        <v>1.8</v>
      </c>
      <c r="K38" s="43">
        <f t="shared" si="2"/>
        <v>63</v>
      </c>
      <c r="L38" s="10">
        <v>1.7</v>
      </c>
    </row>
    <row r="39" spans="2:12" ht="15" customHeight="1">
      <c r="B39" s="19">
        <v>2</v>
      </c>
      <c r="C39" s="11" t="s">
        <v>444</v>
      </c>
      <c r="D39" s="19">
        <v>4</v>
      </c>
      <c r="E39" s="2" t="s">
        <v>448</v>
      </c>
      <c r="F39" s="11" t="s">
        <v>230</v>
      </c>
      <c r="G39" s="36" t="s">
        <v>213</v>
      </c>
      <c r="H39" s="36" t="s">
        <v>221</v>
      </c>
      <c r="I39" s="36" t="s">
        <v>367</v>
      </c>
      <c r="J39" s="39">
        <v>0.55000000000000004</v>
      </c>
      <c r="K39" s="43">
        <f t="shared" si="2"/>
        <v>19.25</v>
      </c>
      <c r="L39" s="10">
        <v>0.55000000000000004</v>
      </c>
    </row>
    <row r="40" spans="2:12" ht="15" customHeight="1">
      <c r="B40" s="19">
        <v>2</v>
      </c>
      <c r="C40" s="11" t="s">
        <v>444</v>
      </c>
      <c r="D40" s="19">
        <v>5</v>
      </c>
      <c r="E40" s="2" t="s">
        <v>449</v>
      </c>
      <c r="F40" s="11" t="s">
        <v>447</v>
      </c>
      <c r="G40" s="36" t="s">
        <v>214</v>
      </c>
      <c r="H40" s="36" t="s">
        <v>221</v>
      </c>
      <c r="I40" s="36" t="s">
        <v>367</v>
      </c>
      <c r="J40" s="39">
        <v>0.71</v>
      </c>
      <c r="K40" s="43">
        <f t="shared" si="2"/>
        <v>24.849999999999998</v>
      </c>
      <c r="L40" s="10">
        <v>0.7</v>
      </c>
    </row>
    <row r="41" spans="2:12" ht="15" customHeight="1">
      <c r="B41" s="19">
        <v>2</v>
      </c>
      <c r="C41" s="11" t="s">
        <v>444</v>
      </c>
      <c r="D41" s="19">
        <v>6</v>
      </c>
      <c r="E41" s="2" t="s">
        <v>465</v>
      </c>
      <c r="F41" s="11" t="s">
        <v>466</v>
      </c>
      <c r="G41" s="36" t="s">
        <v>214</v>
      </c>
      <c r="H41" s="36" t="s">
        <v>222</v>
      </c>
      <c r="I41" s="36" t="s">
        <v>367</v>
      </c>
      <c r="J41" s="39">
        <v>0.214285714285714</v>
      </c>
      <c r="K41" s="43">
        <f t="shared" si="2"/>
        <v>7.4999999999999902</v>
      </c>
      <c r="L41" s="10">
        <v>0.25</v>
      </c>
    </row>
    <row r="42" spans="2:12" ht="15" customHeight="1">
      <c r="B42" s="19">
        <v>2</v>
      </c>
      <c r="C42" s="11" t="s">
        <v>444</v>
      </c>
      <c r="D42" s="19">
        <v>7</v>
      </c>
      <c r="E42" s="2" t="s">
        <v>467</v>
      </c>
      <c r="F42" s="11" t="s">
        <v>447</v>
      </c>
      <c r="G42" s="36" t="s">
        <v>212</v>
      </c>
      <c r="H42" s="36" t="s">
        <v>222</v>
      </c>
      <c r="I42" s="36" t="s">
        <v>367</v>
      </c>
      <c r="J42" s="39">
        <v>0.3</v>
      </c>
      <c r="K42" s="43">
        <f t="shared" si="2"/>
        <v>10.5</v>
      </c>
      <c r="L42" s="10">
        <v>0.35</v>
      </c>
    </row>
    <row r="43" spans="2:12" ht="15" customHeight="1">
      <c r="B43" s="19">
        <v>2</v>
      </c>
      <c r="C43" s="11" t="s">
        <v>444</v>
      </c>
      <c r="D43" s="19">
        <v>8</v>
      </c>
      <c r="E43" s="2" t="s">
        <v>467</v>
      </c>
      <c r="F43" s="11" t="s">
        <v>447</v>
      </c>
      <c r="G43" s="36" t="s">
        <v>213</v>
      </c>
      <c r="H43" s="36" t="s">
        <v>222</v>
      </c>
      <c r="I43" s="36" t="s">
        <v>367</v>
      </c>
      <c r="J43" s="39">
        <v>0.6</v>
      </c>
      <c r="K43" s="43">
        <f t="shared" si="2"/>
        <v>21</v>
      </c>
      <c r="L43" s="10">
        <v>0.9</v>
      </c>
    </row>
    <row r="44" spans="2:12" ht="15" customHeight="1">
      <c r="B44" s="19">
        <v>2</v>
      </c>
      <c r="C44" s="11" t="s">
        <v>444</v>
      </c>
      <c r="D44" s="19">
        <v>9</v>
      </c>
      <c r="E44" s="2" t="s">
        <v>451</v>
      </c>
      <c r="F44" s="11" t="s">
        <v>452</v>
      </c>
      <c r="G44" s="36" t="s">
        <v>213</v>
      </c>
      <c r="H44" s="36" t="s">
        <v>222</v>
      </c>
      <c r="I44" s="36" t="s">
        <v>367</v>
      </c>
      <c r="J44" s="10">
        <v>1.5</v>
      </c>
      <c r="K44" s="43">
        <f t="shared" si="2"/>
        <v>52.5</v>
      </c>
      <c r="L44" s="10">
        <v>1.5</v>
      </c>
    </row>
    <row r="45" spans="2:12" ht="15" customHeight="1">
      <c r="B45" s="19">
        <v>2</v>
      </c>
      <c r="C45" s="11" t="s">
        <v>444</v>
      </c>
      <c r="D45" s="19">
        <v>10</v>
      </c>
      <c r="E45" s="2" t="s">
        <v>451</v>
      </c>
      <c r="F45" s="11" t="s">
        <v>452</v>
      </c>
      <c r="G45" s="68" t="s">
        <v>214</v>
      </c>
      <c r="H45" s="36" t="s">
        <v>222</v>
      </c>
      <c r="I45" s="36" t="s">
        <v>367</v>
      </c>
      <c r="J45" s="10">
        <v>0.5</v>
      </c>
      <c r="K45" s="43">
        <f t="shared" si="2"/>
        <v>17.5</v>
      </c>
      <c r="L45" s="10">
        <v>0.5</v>
      </c>
    </row>
    <row r="46" spans="2:12" ht="15" customHeight="1">
      <c r="B46" s="19">
        <v>2</v>
      </c>
      <c r="C46" s="11" t="s">
        <v>444</v>
      </c>
      <c r="D46" s="19">
        <v>11</v>
      </c>
      <c r="E46" s="2" t="s">
        <v>453</v>
      </c>
      <c r="F46" s="11" t="s">
        <v>454</v>
      </c>
      <c r="G46" s="36" t="s">
        <v>211</v>
      </c>
      <c r="H46" s="36" t="s">
        <v>222</v>
      </c>
      <c r="I46" s="36" t="s">
        <v>367</v>
      </c>
      <c r="J46" s="39">
        <v>0.128571428571429</v>
      </c>
      <c r="K46" s="43">
        <f t="shared" si="2"/>
        <v>4.5000000000000151</v>
      </c>
      <c r="L46" s="10">
        <v>0.15</v>
      </c>
    </row>
    <row r="47" spans="2:12" ht="15" customHeight="1">
      <c r="B47" s="19">
        <v>2</v>
      </c>
      <c r="C47" s="11" t="s">
        <v>444</v>
      </c>
      <c r="D47" s="19">
        <v>12</v>
      </c>
      <c r="E47" s="2" t="s">
        <v>453</v>
      </c>
      <c r="F47" s="11" t="s">
        <v>454</v>
      </c>
      <c r="G47" s="36" t="s">
        <v>212</v>
      </c>
      <c r="H47" s="36" t="s">
        <v>222</v>
      </c>
      <c r="I47" s="36" t="s">
        <v>367</v>
      </c>
      <c r="J47" s="39">
        <v>8.5714285714285701E-2</v>
      </c>
      <c r="K47" s="43">
        <f t="shared" si="2"/>
        <v>2.9999999999999996</v>
      </c>
      <c r="L47" s="10">
        <v>0.1</v>
      </c>
    </row>
    <row r="48" spans="2:12" ht="34.5" customHeight="1">
      <c r="D48" s="14" t="s">
        <v>468</v>
      </c>
      <c r="J48" s="15">
        <f>SUM(J36:J47)</f>
        <v>7.9885714285714284</v>
      </c>
    </row>
    <row r="50" spans="2:12" ht="15" customHeight="1">
      <c r="B50" s="19">
        <v>2</v>
      </c>
      <c r="C50" s="11" t="s">
        <v>456</v>
      </c>
      <c r="D50" s="19">
        <v>1</v>
      </c>
      <c r="E50" s="2" t="s">
        <v>445</v>
      </c>
      <c r="F50" s="11" t="s">
        <v>375</v>
      </c>
      <c r="G50" s="36" t="s">
        <v>214</v>
      </c>
      <c r="H50" s="36" t="s">
        <v>221</v>
      </c>
      <c r="I50" s="36" t="s">
        <v>368</v>
      </c>
      <c r="J50" s="39">
        <v>0.83333333333333304</v>
      </c>
      <c r="K50" s="43">
        <f t="shared" ref="K50:K60" si="3">J50*3</f>
        <v>2.4999999999999991</v>
      </c>
    </row>
    <row r="51" spans="2:12" ht="15" customHeight="1">
      <c r="B51" s="19">
        <v>2</v>
      </c>
      <c r="C51" s="11" t="s">
        <v>456</v>
      </c>
      <c r="D51" s="19">
        <v>2</v>
      </c>
      <c r="E51" s="2" t="s">
        <v>457</v>
      </c>
      <c r="F51" s="11" t="s">
        <v>230</v>
      </c>
      <c r="G51" s="36" t="s">
        <v>214</v>
      </c>
      <c r="H51" s="36" t="s">
        <v>221</v>
      </c>
      <c r="I51" s="36" t="s">
        <v>368</v>
      </c>
      <c r="J51" s="39">
        <v>0.66666666666666696</v>
      </c>
      <c r="K51" s="43">
        <f t="shared" si="3"/>
        <v>2.0000000000000009</v>
      </c>
    </row>
    <row r="52" spans="2:12" ht="15" customHeight="1">
      <c r="B52" s="19">
        <v>2</v>
      </c>
      <c r="C52" s="11" t="s">
        <v>456</v>
      </c>
      <c r="D52" s="19">
        <v>3</v>
      </c>
      <c r="E52" s="2" t="s">
        <v>459</v>
      </c>
      <c r="F52" s="11" t="s">
        <v>447</v>
      </c>
      <c r="G52" s="36" t="s">
        <v>213</v>
      </c>
      <c r="H52" s="36" t="s">
        <v>222</v>
      </c>
      <c r="I52" s="36" t="s">
        <v>369</v>
      </c>
      <c r="J52" s="39">
        <v>1.6666666666666701</v>
      </c>
      <c r="K52" s="43">
        <f t="shared" si="3"/>
        <v>5.0000000000000107</v>
      </c>
    </row>
    <row r="53" spans="2:12" ht="15" customHeight="1">
      <c r="B53" s="19">
        <v>2</v>
      </c>
      <c r="C53" s="11" t="s">
        <v>456</v>
      </c>
      <c r="D53" s="19">
        <v>4</v>
      </c>
      <c r="E53" s="2" t="s">
        <v>460</v>
      </c>
      <c r="F53" s="11" t="s">
        <v>452</v>
      </c>
      <c r="G53" s="36" t="s">
        <v>213</v>
      </c>
      <c r="H53" s="36" t="s">
        <v>222</v>
      </c>
      <c r="I53" s="36" t="s">
        <v>369</v>
      </c>
      <c r="J53" s="39">
        <v>0.83333333333333304</v>
      </c>
      <c r="K53" s="43">
        <f t="shared" si="3"/>
        <v>2.4999999999999991</v>
      </c>
    </row>
    <row r="54" spans="2:12" ht="15" customHeight="1">
      <c r="B54" s="19">
        <v>2</v>
      </c>
      <c r="C54" s="11" t="s">
        <v>456</v>
      </c>
      <c r="D54" s="19">
        <v>5</v>
      </c>
      <c r="E54" s="2" t="s">
        <v>448</v>
      </c>
      <c r="F54" s="11" t="s">
        <v>230</v>
      </c>
      <c r="G54" s="36" t="s">
        <v>213</v>
      </c>
      <c r="H54" s="36" t="s">
        <v>221</v>
      </c>
      <c r="I54" s="36" t="s">
        <v>367</v>
      </c>
      <c r="J54" s="39">
        <v>0.5</v>
      </c>
      <c r="K54" s="43">
        <f t="shared" si="3"/>
        <v>1.5</v>
      </c>
    </row>
    <row r="55" spans="2:12" ht="15" customHeight="1">
      <c r="B55" s="19">
        <v>2</v>
      </c>
      <c r="C55" s="11" t="s">
        <v>456</v>
      </c>
      <c r="D55" s="19">
        <v>6</v>
      </c>
      <c r="E55" s="2" t="s">
        <v>461</v>
      </c>
      <c r="F55" s="11" t="s">
        <v>447</v>
      </c>
      <c r="G55" s="36" t="s">
        <v>213</v>
      </c>
      <c r="H55" s="36" t="s">
        <v>221</v>
      </c>
      <c r="I55" s="36" t="s">
        <v>367</v>
      </c>
      <c r="J55" s="39">
        <v>1</v>
      </c>
      <c r="K55" s="43">
        <f t="shared" si="3"/>
        <v>3</v>
      </c>
    </row>
    <row r="56" spans="2:12" ht="15" customHeight="1">
      <c r="B56" s="19">
        <v>2</v>
      </c>
      <c r="C56" s="11" t="s">
        <v>456</v>
      </c>
      <c r="D56" s="19">
        <v>7</v>
      </c>
      <c r="E56" s="2" t="s">
        <v>231</v>
      </c>
      <c r="F56" s="11" t="s">
        <v>447</v>
      </c>
      <c r="G56" s="36" t="s">
        <v>212</v>
      </c>
      <c r="H56" s="36" t="s">
        <v>222</v>
      </c>
      <c r="I56" s="36" t="s">
        <v>367</v>
      </c>
      <c r="J56" s="39">
        <v>0.5</v>
      </c>
      <c r="K56" s="43">
        <f t="shared" si="3"/>
        <v>1.5</v>
      </c>
    </row>
    <row r="57" spans="2:12" ht="15" customHeight="1">
      <c r="B57" s="19">
        <v>2</v>
      </c>
      <c r="C57" s="11" t="s">
        <v>456</v>
      </c>
      <c r="D57" s="19">
        <v>8</v>
      </c>
      <c r="E57" s="2" t="s">
        <v>231</v>
      </c>
      <c r="F57" s="11" t="s">
        <v>447</v>
      </c>
      <c r="G57" s="36" t="s">
        <v>213</v>
      </c>
      <c r="H57" s="36" t="s">
        <v>222</v>
      </c>
      <c r="I57" s="36" t="s">
        <v>367</v>
      </c>
      <c r="J57" s="39">
        <v>0.83333333333333304</v>
      </c>
      <c r="K57" s="43">
        <f t="shared" si="3"/>
        <v>2.4999999999999991</v>
      </c>
    </row>
    <row r="58" spans="2:12" ht="15" customHeight="1">
      <c r="B58" s="19">
        <v>2</v>
      </c>
      <c r="C58" s="11" t="s">
        <v>456</v>
      </c>
      <c r="D58" s="19">
        <v>9</v>
      </c>
      <c r="E58" s="2" t="s">
        <v>469</v>
      </c>
      <c r="F58" s="11" t="s">
        <v>452</v>
      </c>
      <c r="G58" s="36" t="s">
        <v>213</v>
      </c>
      <c r="H58" s="36" t="s">
        <v>222</v>
      </c>
      <c r="I58" s="36" t="s">
        <v>367</v>
      </c>
      <c r="J58" s="39">
        <v>2.1666666666666701</v>
      </c>
      <c r="K58" s="43">
        <f t="shared" si="3"/>
        <v>6.5000000000000107</v>
      </c>
    </row>
    <row r="59" spans="2:12" ht="15" customHeight="1">
      <c r="B59" s="19">
        <v>2</v>
      </c>
      <c r="C59" s="11" t="s">
        <v>456</v>
      </c>
      <c r="D59" s="19">
        <v>10</v>
      </c>
      <c r="E59" s="2" t="s">
        <v>453</v>
      </c>
      <c r="F59" s="11" t="s">
        <v>454</v>
      </c>
      <c r="G59" s="36" t="s">
        <v>211</v>
      </c>
      <c r="H59" s="36" t="s">
        <v>222</v>
      </c>
      <c r="I59" s="36" t="s">
        <v>367</v>
      </c>
      <c r="J59" s="39">
        <v>0.66666666666666696</v>
      </c>
      <c r="K59" s="43">
        <f t="shared" si="3"/>
        <v>2.0000000000000009</v>
      </c>
    </row>
    <row r="60" spans="2:12" ht="15" customHeight="1">
      <c r="B60" s="19">
        <v>2</v>
      </c>
      <c r="C60" s="11" t="s">
        <v>456</v>
      </c>
      <c r="D60" s="19">
        <v>11</v>
      </c>
      <c r="E60" s="2" t="s">
        <v>453</v>
      </c>
      <c r="F60" s="11" t="s">
        <v>454</v>
      </c>
      <c r="G60" s="36" t="s">
        <v>212</v>
      </c>
      <c r="H60" s="36" t="s">
        <v>222</v>
      </c>
      <c r="I60" s="36" t="s">
        <v>367</v>
      </c>
      <c r="J60" s="39">
        <v>0.33333333333333298</v>
      </c>
      <c r="K60" s="43">
        <f t="shared" si="3"/>
        <v>0.99999999999999889</v>
      </c>
    </row>
    <row r="61" spans="2:12" ht="34.5" customHeight="1">
      <c r="D61" s="14" t="s">
        <v>470</v>
      </c>
      <c r="J61" s="15">
        <f>SUM(J50:J60)</f>
        <v>10.000000000000007</v>
      </c>
    </row>
    <row r="63" spans="2:12" ht="15" customHeight="1">
      <c r="B63" s="19">
        <v>3</v>
      </c>
      <c r="C63" s="11" t="s">
        <v>444</v>
      </c>
      <c r="D63" s="19">
        <v>1</v>
      </c>
      <c r="E63" s="2" t="s">
        <v>445</v>
      </c>
      <c r="F63" s="11" t="s">
        <v>375</v>
      </c>
      <c r="G63" s="36" t="s">
        <v>214</v>
      </c>
      <c r="H63" s="36" t="s">
        <v>221</v>
      </c>
      <c r="I63" s="36" t="s">
        <v>368</v>
      </c>
      <c r="J63" s="39">
        <v>0.93055555555555602</v>
      </c>
      <c r="K63" s="43">
        <f t="shared" ref="K63:K76" si="4">J63*36</f>
        <v>33.500000000000014</v>
      </c>
      <c r="L63" s="10">
        <v>0.75</v>
      </c>
    </row>
    <row r="64" spans="2:12" ht="15" customHeight="1">
      <c r="B64" s="19">
        <v>3</v>
      </c>
      <c r="C64" s="11" t="s">
        <v>444</v>
      </c>
      <c r="D64" s="19">
        <v>2</v>
      </c>
      <c r="E64" s="2" t="s">
        <v>457</v>
      </c>
      <c r="F64" s="11" t="s">
        <v>230</v>
      </c>
      <c r="G64" s="36" t="s">
        <v>214</v>
      </c>
      <c r="H64" s="36" t="s">
        <v>221</v>
      </c>
      <c r="I64" s="36" t="s">
        <v>368</v>
      </c>
      <c r="J64" s="39">
        <v>0.61111111111111105</v>
      </c>
      <c r="K64" s="43">
        <f t="shared" si="4"/>
        <v>21.999999999999996</v>
      </c>
      <c r="L64" s="10">
        <v>0.45</v>
      </c>
    </row>
    <row r="65" spans="2:12" ht="15" customHeight="1">
      <c r="B65" s="19">
        <v>3</v>
      </c>
      <c r="C65" s="11" t="s">
        <v>444</v>
      </c>
      <c r="D65" s="19">
        <v>3</v>
      </c>
      <c r="E65" s="2" t="s">
        <v>446</v>
      </c>
      <c r="F65" s="11" t="s">
        <v>447</v>
      </c>
      <c r="G65" s="36" t="s">
        <v>213</v>
      </c>
      <c r="H65" s="36" t="s">
        <v>222</v>
      </c>
      <c r="I65" s="36" t="s">
        <v>369</v>
      </c>
      <c r="J65" s="39">
        <v>1.5277777777777799</v>
      </c>
      <c r="K65" s="43">
        <f t="shared" si="4"/>
        <v>55.000000000000078</v>
      </c>
      <c r="L65" s="10">
        <v>1.5</v>
      </c>
    </row>
    <row r="66" spans="2:12" ht="15" customHeight="1">
      <c r="B66" s="19">
        <v>3</v>
      </c>
      <c r="C66" s="11" t="s">
        <v>444</v>
      </c>
      <c r="D66" s="19">
        <v>4</v>
      </c>
      <c r="E66" s="2" t="s">
        <v>448</v>
      </c>
      <c r="F66" s="11" t="s">
        <v>230</v>
      </c>
      <c r="G66" s="36" t="s">
        <v>213</v>
      </c>
      <c r="H66" s="36" t="s">
        <v>221</v>
      </c>
      <c r="I66" s="36" t="s">
        <v>367</v>
      </c>
      <c r="J66" s="39">
        <v>0.45</v>
      </c>
      <c r="K66" s="43">
        <f t="shared" si="4"/>
        <v>16.2</v>
      </c>
      <c r="L66" s="10">
        <v>0.55000000000000004</v>
      </c>
    </row>
    <row r="67" spans="2:12" ht="15" customHeight="1">
      <c r="B67" s="19">
        <v>3</v>
      </c>
      <c r="C67" s="11" t="s">
        <v>444</v>
      </c>
      <c r="D67" s="19">
        <v>5</v>
      </c>
      <c r="E67" s="2" t="s">
        <v>471</v>
      </c>
      <c r="F67" s="11" t="s">
        <v>447</v>
      </c>
      <c r="G67" s="36" t="s">
        <v>214</v>
      </c>
      <c r="H67" s="36" t="s">
        <v>221</v>
      </c>
      <c r="I67" s="36" t="s">
        <v>367</v>
      </c>
      <c r="J67" s="39">
        <v>6.9444444444444503E-2</v>
      </c>
      <c r="K67" s="43">
        <f t="shared" si="4"/>
        <v>2.5000000000000022</v>
      </c>
      <c r="L67" s="10">
        <v>0.3</v>
      </c>
    </row>
    <row r="68" spans="2:12" ht="15" customHeight="1">
      <c r="B68" s="19">
        <v>3</v>
      </c>
      <c r="C68" s="11" t="s">
        <v>444</v>
      </c>
      <c r="D68" s="19">
        <v>6</v>
      </c>
      <c r="E68" s="2" t="s">
        <v>449</v>
      </c>
      <c r="F68" s="11" t="s">
        <v>447</v>
      </c>
      <c r="G68" s="36" t="s">
        <v>214</v>
      </c>
      <c r="H68" s="36" t="s">
        <v>222</v>
      </c>
      <c r="I68" s="36" t="s">
        <v>367</v>
      </c>
      <c r="J68" s="39">
        <v>0.56944444444444398</v>
      </c>
      <c r="K68" s="43">
        <f t="shared" si="4"/>
        <v>20.499999999999982</v>
      </c>
      <c r="L68" s="10">
        <v>0.3</v>
      </c>
    </row>
    <row r="69" spans="2:12" ht="15" customHeight="1">
      <c r="B69" s="19">
        <v>3</v>
      </c>
      <c r="C69" s="11" t="s">
        <v>444</v>
      </c>
      <c r="D69" s="19">
        <v>7</v>
      </c>
      <c r="E69" s="2" t="s">
        <v>465</v>
      </c>
      <c r="F69" s="11" t="s">
        <v>466</v>
      </c>
      <c r="G69" s="36" t="s">
        <v>214</v>
      </c>
      <c r="H69" s="36" t="s">
        <v>222</v>
      </c>
      <c r="I69" s="36" t="s">
        <v>367</v>
      </c>
      <c r="J69" s="39">
        <v>0.25</v>
      </c>
      <c r="K69" s="43">
        <f t="shared" si="4"/>
        <v>9</v>
      </c>
      <c r="L69" s="10">
        <v>0.25</v>
      </c>
    </row>
    <row r="70" spans="2:12" ht="15" customHeight="1">
      <c r="B70" s="19">
        <v>3</v>
      </c>
      <c r="C70" s="11" t="s">
        <v>444</v>
      </c>
      <c r="D70" s="19">
        <v>8</v>
      </c>
      <c r="E70" s="2" t="s">
        <v>467</v>
      </c>
      <c r="F70" s="11" t="s">
        <v>447</v>
      </c>
      <c r="G70" s="36" t="s">
        <v>212</v>
      </c>
      <c r="H70" s="36" t="s">
        <v>222</v>
      </c>
      <c r="I70" s="36" t="s">
        <v>367</v>
      </c>
      <c r="J70" s="39">
        <v>0.25</v>
      </c>
      <c r="K70" s="43">
        <f t="shared" si="4"/>
        <v>9</v>
      </c>
      <c r="L70" s="10">
        <v>0.25</v>
      </c>
    </row>
    <row r="71" spans="2:12" ht="15" customHeight="1">
      <c r="B71" s="19">
        <v>3</v>
      </c>
      <c r="C71" s="11" t="s">
        <v>444</v>
      </c>
      <c r="D71" s="19">
        <v>9</v>
      </c>
      <c r="E71" s="2" t="s">
        <v>467</v>
      </c>
      <c r="F71" s="11" t="s">
        <v>447</v>
      </c>
      <c r="G71" s="36" t="s">
        <v>213</v>
      </c>
      <c r="H71" s="36" t="s">
        <v>222</v>
      </c>
      <c r="I71" s="36" t="s">
        <v>367</v>
      </c>
      <c r="J71" s="39">
        <v>0.55000000000000004</v>
      </c>
      <c r="K71" s="43">
        <f t="shared" si="4"/>
        <v>19.8</v>
      </c>
      <c r="L71" s="10">
        <v>0.85</v>
      </c>
    </row>
    <row r="72" spans="2:12" ht="15" customHeight="1">
      <c r="B72" s="19">
        <v>3</v>
      </c>
      <c r="C72" s="11" t="s">
        <v>444</v>
      </c>
      <c r="D72" s="19">
        <v>10</v>
      </c>
      <c r="E72" s="2" t="s">
        <v>451</v>
      </c>
      <c r="F72" s="11" t="s">
        <v>452</v>
      </c>
      <c r="G72" s="36" t="s">
        <v>212</v>
      </c>
      <c r="H72" s="36" t="s">
        <v>222</v>
      </c>
      <c r="I72" s="36" t="s">
        <v>367</v>
      </c>
      <c r="J72" s="10">
        <v>0.43</v>
      </c>
      <c r="K72" s="43">
        <f t="shared" si="4"/>
        <v>15.48</v>
      </c>
      <c r="L72" s="10">
        <v>0.45</v>
      </c>
    </row>
    <row r="73" spans="2:12" ht="15" customHeight="1">
      <c r="B73" s="19">
        <v>3</v>
      </c>
      <c r="C73" s="11" t="s">
        <v>444</v>
      </c>
      <c r="D73" s="19">
        <v>11</v>
      </c>
      <c r="E73" s="2" t="s">
        <v>451</v>
      </c>
      <c r="F73" s="11" t="s">
        <v>452</v>
      </c>
      <c r="G73" s="36" t="s">
        <v>213</v>
      </c>
      <c r="H73" s="36" t="s">
        <v>222</v>
      </c>
      <c r="I73" s="36" t="s">
        <v>367</v>
      </c>
      <c r="J73" s="10">
        <v>0.7</v>
      </c>
      <c r="K73" s="43">
        <f t="shared" si="4"/>
        <v>25.2</v>
      </c>
      <c r="L73" s="10">
        <v>0.8</v>
      </c>
    </row>
    <row r="74" spans="2:12" ht="15" customHeight="1">
      <c r="B74" s="19">
        <v>3</v>
      </c>
      <c r="C74" s="11" t="s">
        <v>444</v>
      </c>
      <c r="D74" s="19">
        <v>12</v>
      </c>
      <c r="E74" s="2" t="s">
        <v>451</v>
      </c>
      <c r="F74" s="11" t="s">
        <v>452</v>
      </c>
      <c r="G74" s="68" t="s">
        <v>214</v>
      </c>
      <c r="H74" s="36" t="s">
        <v>222</v>
      </c>
      <c r="I74" s="36" t="s">
        <v>367</v>
      </c>
      <c r="J74" s="10">
        <v>0.5</v>
      </c>
      <c r="K74" s="43">
        <f t="shared" si="4"/>
        <v>18</v>
      </c>
      <c r="L74" s="10">
        <v>0.5</v>
      </c>
    </row>
    <row r="75" spans="2:12" ht="15" customHeight="1">
      <c r="B75" s="19">
        <v>3</v>
      </c>
      <c r="C75" s="11" t="s">
        <v>444</v>
      </c>
      <c r="D75" s="19">
        <v>13</v>
      </c>
      <c r="E75" s="2" t="s">
        <v>453</v>
      </c>
      <c r="F75" s="11" t="s">
        <v>454</v>
      </c>
      <c r="G75" s="36" t="s">
        <v>211</v>
      </c>
      <c r="H75" s="36" t="s">
        <v>222</v>
      </c>
      <c r="I75" s="36" t="s">
        <v>367</v>
      </c>
      <c r="J75" s="39">
        <v>0.1</v>
      </c>
      <c r="K75" s="43">
        <f t="shared" si="4"/>
        <v>3.6</v>
      </c>
      <c r="L75" s="10">
        <v>0.1</v>
      </c>
    </row>
    <row r="76" spans="2:12" ht="15" customHeight="1">
      <c r="B76" s="19">
        <v>3</v>
      </c>
      <c r="C76" s="11" t="s">
        <v>444</v>
      </c>
      <c r="D76" s="19">
        <v>14</v>
      </c>
      <c r="E76" s="2" t="s">
        <v>453</v>
      </c>
      <c r="F76" s="11" t="s">
        <v>454</v>
      </c>
      <c r="G76" s="36" t="s">
        <v>212</v>
      </c>
      <c r="H76" s="36" t="s">
        <v>222</v>
      </c>
      <c r="I76" s="36" t="s">
        <v>367</v>
      </c>
      <c r="J76" s="39">
        <v>0.05</v>
      </c>
      <c r="K76" s="43">
        <f t="shared" si="4"/>
        <v>1.8</v>
      </c>
      <c r="L76" s="10">
        <v>0.05</v>
      </c>
    </row>
    <row r="77" spans="2:12" ht="34.5" customHeight="1">
      <c r="D77" s="14" t="s">
        <v>472</v>
      </c>
      <c r="J77" s="15">
        <f>SUM(J63:J76)</f>
        <v>6.9883333333333351</v>
      </c>
    </row>
    <row r="79" spans="2:12" ht="15" customHeight="1">
      <c r="B79" s="19">
        <v>4</v>
      </c>
      <c r="C79" s="11" t="s">
        <v>444</v>
      </c>
      <c r="D79" s="19">
        <v>1</v>
      </c>
      <c r="E79" s="2" t="s">
        <v>445</v>
      </c>
      <c r="F79" s="11" t="s">
        <v>375</v>
      </c>
      <c r="G79" s="36" t="s">
        <v>214</v>
      </c>
      <c r="H79" s="36" t="s">
        <v>221</v>
      </c>
      <c r="I79" s="36" t="s">
        <v>368</v>
      </c>
      <c r="J79" s="39">
        <v>0.72222222222222199</v>
      </c>
      <c r="K79" s="43">
        <f t="shared" ref="K79:K91" si="5">J79*36</f>
        <v>25.999999999999993</v>
      </c>
      <c r="L79" s="10">
        <v>0.7</v>
      </c>
    </row>
    <row r="80" spans="2:12" ht="15" customHeight="1">
      <c r="B80" s="19">
        <v>4</v>
      </c>
      <c r="C80" s="11" t="s">
        <v>444</v>
      </c>
      <c r="D80" s="19">
        <v>2</v>
      </c>
      <c r="E80" s="2" t="s">
        <v>457</v>
      </c>
      <c r="F80" s="11" t="s">
        <v>230</v>
      </c>
      <c r="G80" s="36" t="s">
        <v>214</v>
      </c>
      <c r="H80" s="36" t="s">
        <v>221</v>
      </c>
      <c r="I80" s="36" t="s">
        <v>368</v>
      </c>
      <c r="J80" s="39">
        <v>0.47222222222222199</v>
      </c>
      <c r="K80" s="43">
        <f t="shared" si="5"/>
        <v>16.999999999999993</v>
      </c>
      <c r="L80" s="10">
        <v>0.5</v>
      </c>
    </row>
    <row r="81" spans="2:12" ht="15" customHeight="1">
      <c r="B81" s="19">
        <v>4</v>
      </c>
      <c r="C81" s="11" t="s">
        <v>444</v>
      </c>
      <c r="D81" s="19">
        <v>3</v>
      </c>
      <c r="E81" s="2" t="s">
        <v>446</v>
      </c>
      <c r="F81" s="11" t="s">
        <v>447</v>
      </c>
      <c r="G81" s="36" t="s">
        <v>213</v>
      </c>
      <c r="H81" s="36" t="s">
        <v>222</v>
      </c>
      <c r="I81" s="36" t="s">
        <v>369</v>
      </c>
      <c r="J81" s="39">
        <v>1.3611111111111101</v>
      </c>
      <c r="K81" s="43">
        <f t="shared" si="5"/>
        <v>48.999999999999964</v>
      </c>
      <c r="L81" s="10">
        <v>1.9</v>
      </c>
    </row>
    <row r="82" spans="2:12" ht="15" customHeight="1">
      <c r="B82" s="19">
        <v>4</v>
      </c>
      <c r="C82" s="11" t="s">
        <v>444</v>
      </c>
      <c r="D82" s="19">
        <v>4</v>
      </c>
      <c r="E82" s="2" t="s">
        <v>448</v>
      </c>
      <c r="F82" s="11" t="s">
        <v>230</v>
      </c>
      <c r="G82" s="36" t="s">
        <v>213</v>
      </c>
      <c r="H82" s="36" t="s">
        <v>221</v>
      </c>
      <c r="I82" s="36" t="s">
        <v>367</v>
      </c>
      <c r="J82" s="39">
        <v>0.2</v>
      </c>
      <c r="K82" s="43">
        <f t="shared" si="5"/>
        <v>7.2</v>
      </c>
      <c r="L82" s="10">
        <v>0.35</v>
      </c>
    </row>
    <row r="83" spans="2:12" ht="15" customHeight="1">
      <c r="B83" s="19">
        <v>4</v>
      </c>
      <c r="C83" s="11" t="s">
        <v>444</v>
      </c>
      <c r="D83" s="19">
        <v>5</v>
      </c>
      <c r="E83" s="2" t="s">
        <v>471</v>
      </c>
      <c r="F83" s="11" t="s">
        <v>447</v>
      </c>
      <c r="G83" s="36" t="s">
        <v>214</v>
      </c>
      <c r="H83" s="36" t="s">
        <v>221</v>
      </c>
      <c r="I83" s="36" t="s">
        <v>367</v>
      </c>
      <c r="J83" s="39">
        <v>0</v>
      </c>
      <c r="K83" s="43">
        <f t="shared" si="5"/>
        <v>0</v>
      </c>
      <c r="L83" s="10">
        <v>0.2</v>
      </c>
    </row>
    <row r="84" spans="2:12" ht="15" customHeight="1">
      <c r="B84" s="19">
        <v>4</v>
      </c>
      <c r="C84" s="11" t="s">
        <v>444</v>
      </c>
      <c r="D84" s="19">
        <v>6</v>
      </c>
      <c r="E84" s="2" t="s">
        <v>449</v>
      </c>
      <c r="F84" s="11" t="s">
        <v>447</v>
      </c>
      <c r="G84" s="36" t="s">
        <v>214</v>
      </c>
      <c r="H84" s="36" t="s">
        <v>222</v>
      </c>
      <c r="I84" s="36" t="s">
        <v>367</v>
      </c>
      <c r="J84" s="39">
        <v>0.45</v>
      </c>
      <c r="K84" s="43">
        <f t="shared" si="5"/>
        <v>16.2</v>
      </c>
      <c r="L84" s="10">
        <v>0.2</v>
      </c>
    </row>
    <row r="85" spans="2:12" ht="15" customHeight="1">
      <c r="B85" s="19">
        <v>4</v>
      </c>
      <c r="C85" s="11" t="s">
        <v>444</v>
      </c>
      <c r="D85" s="19">
        <v>7</v>
      </c>
      <c r="E85" s="2" t="s">
        <v>465</v>
      </c>
      <c r="F85" s="11" t="s">
        <v>466</v>
      </c>
      <c r="G85" s="36" t="s">
        <v>214</v>
      </c>
      <c r="H85" s="36" t="s">
        <v>222</v>
      </c>
      <c r="I85" s="36" t="s">
        <v>367</v>
      </c>
      <c r="J85" s="39">
        <v>0.25</v>
      </c>
      <c r="K85" s="43">
        <f t="shared" si="5"/>
        <v>9</v>
      </c>
      <c r="L85" s="10">
        <v>0.25</v>
      </c>
    </row>
    <row r="86" spans="2:12" ht="15" customHeight="1">
      <c r="B86" s="19">
        <v>4</v>
      </c>
      <c r="C86" s="11" t="s">
        <v>444</v>
      </c>
      <c r="D86" s="19">
        <v>8</v>
      </c>
      <c r="E86" s="2" t="s">
        <v>473</v>
      </c>
      <c r="F86" s="11" t="s">
        <v>447</v>
      </c>
      <c r="G86" s="36" t="s">
        <v>214</v>
      </c>
      <c r="H86" s="36" t="s">
        <v>222</v>
      </c>
      <c r="I86" s="36" t="s">
        <v>367</v>
      </c>
      <c r="J86" s="39">
        <v>0.83</v>
      </c>
      <c r="K86" s="43">
        <f t="shared" si="5"/>
        <v>29.88</v>
      </c>
      <c r="L86" s="10">
        <v>0.3</v>
      </c>
    </row>
    <row r="87" spans="2:12" ht="15" customHeight="1">
      <c r="B87" s="19">
        <v>4</v>
      </c>
      <c r="C87" s="11" t="s">
        <v>444</v>
      </c>
      <c r="D87" s="19">
        <v>9</v>
      </c>
      <c r="E87" s="2" t="s">
        <v>451</v>
      </c>
      <c r="F87" s="11" t="s">
        <v>452</v>
      </c>
      <c r="G87" s="36" t="s">
        <v>212</v>
      </c>
      <c r="H87" s="36" t="s">
        <v>222</v>
      </c>
      <c r="I87" s="36" t="s">
        <v>367</v>
      </c>
      <c r="J87" s="39">
        <v>0.40277777777777801</v>
      </c>
      <c r="K87" s="43">
        <f t="shared" si="5"/>
        <v>14.500000000000009</v>
      </c>
      <c r="L87" s="10">
        <v>0.5</v>
      </c>
    </row>
    <row r="88" spans="2:12" ht="15" customHeight="1">
      <c r="B88" s="19">
        <v>4</v>
      </c>
      <c r="C88" s="11" t="s">
        <v>444</v>
      </c>
      <c r="D88" s="19">
        <v>10</v>
      </c>
      <c r="E88" s="2" t="s">
        <v>451</v>
      </c>
      <c r="F88" s="11" t="s">
        <v>452</v>
      </c>
      <c r="G88" s="36" t="s">
        <v>213</v>
      </c>
      <c r="H88" s="36" t="s">
        <v>222</v>
      </c>
      <c r="I88" s="36" t="s">
        <v>367</v>
      </c>
      <c r="J88" s="39">
        <v>0.52777777777777801</v>
      </c>
      <c r="K88" s="43">
        <f t="shared" si="5"/>
        <v>19.000000000000007</v>
      </c>
      <c r="L88" s="10">
        <v>0.5</v>
      </c>
    </row>
    <row r="89" spans="2:12" ht="15" customHeight="1">
      <c r="B89" s="19">
        <v>4</v>
      </c>
      <c r="C89" s="11" t="s">
        <v>444</v>
      </c>
      <c r="D89" s="19">
        <v>11</v>
      </c>
      <c r="E89" s="2" t="s">
        <v>451</v>
      </c>
      <c r="F89" s="11" t="s">
        <v>452</v>
      </c>
      <c r="G89" s="68" t="s">
        <v>214</v>
      </c>
      <c r="H89" s="36" t="s">
        <v>222</v>
      </c>
      <c r="I89" s="36" t="s">
        <v>367</v>
      </c>
      <c r="J89" s="39">
        <v>0.4</v>
      </c>
      <c r="K89" s="43">
        <f t="shared" si="5"/>
        <v>14.4</v>
      </c>
      <c r="L89" s="10">
        <v>0.5</v>
      </c>
    </row>
    <row r="90" spans="2:12" ht="15" customHeight="1">
      <c r="B90" s="19">
        <v>4</v>
      </c>
      <c r="C90" s="11" t="s">
        <v>444</v>
      </c>
      <c r="D90" s="19">
        <v>12</v>
      </c>
      <c r="E90" s="2" t="s">
        <v>453</v>
      </c>
      <c r="F90" s="11" t="s">
        <v>454</v>
      </c>
      <c r="G90" s="36" t="s">
        <v>211</v>
      </c>
      <c r="H90" s="36" t="s">
        <v>222</v>
      </c>
      <c r="I90" s="36" t="s">
        <v>367</v>
      </c>
      <c r="J90" s="39">
        <v>0.15</v>
      </c>
      <c r="K90" s="43">
        <f t="shared" si="5"/>
        <v>5.3999999999999995</v>
      </c>
      <c r="L90" s="10">
        <v>0.05</v>
      </c>
    </row>
    <row r="91" spans="2:12" ht="15" customHeight="1">
      <c r="B91" s="19">
        <v>4</v>
      </c>
      <c r="C91" s="11" t="s">
        <v>444</v>
      </c>
      <c r="D91" s="19">
        <v>13</v>
      </c>
      <c r="E91" s="2" t="s">
        <v>453</v>
      </c>
      <c r="F91" s="11" t="s">
        <v>454</v>
      </c>
      <c r="G91" s="36" t="s">
        <v>212</v>
      </c>
      <c r="H91" s="36" t="s">
        <v>222</v>
      </c>
      <c r="I91" s="36" t="s">
        <v>367</v>
      </c>
      <c r="J91" s="39">
        <v>0.05</v>
      </c>
      <c r="K91" s="43">
        <f t="shared" si="5"/>
        <v>1.8</v>
      </c>
      <c r="L91" s="10">
        <v>0.05</v>
      </c>
    </row>
    <row r="92" spans="2:12" ht="34.5" customHeight="1">
      <c r="D92" s="14" t="s">
        <v>474</v>
      </c>
      <c r="J92" s="15">
        <f>SUM(J79:J91)</f>
        <v>5.8161111111111099</v>
      </c>
    </row>
    <row r="94" spans="2:12" ht="15" customHeight="1">
      <c r="B94" s="19">
        <v>5</v>
      </c>
      <c r="C94" s="11" t="s">
        <v>444</v>
      </c>
      <c r="D94" s="19">
        <v>1</v>
      </c>
      <c r="E94" s="2" t="s">
        <v>445</v>
      </c>
      <c r="F94" s="11" t="s">
        <v>375</v>
      </c>
      <c r="G94" s="36" t="s">
        <v>214</v>
      </c>
      <c r="H94" s="36" t="s">
        <v>221</v>
      </c>
      <c r="I94" s="36" t="s">
        <v>368</v>
      </c>
      <c r="J94" s="39">
        <v>0.72727272727272696</v>
      </c>
      <c r="K94" s="43">
        <f t="shared" ref="K94:K106" si="6">J94*33</f>
        <v>23.999999999999989</v>
      </c>
      <c r="L94" s="10">
        <v>0.7</v>
      </c>
    </row>
    <row r="95" spans="2:12" ht="15" customHeight="1">
      <c r="B95" s="19">
        <v>5</v>
      </c>
      <c r="C95" s="11" t="s">
        <v>444</v>
      </c>
      <c r="D95" s="19">
        <v>2</v>
      </c>
      <c r="E95" s="2" t="s">
        <v>457</v>
      </c>
      <c r="F95" s="11" t="s">
        <v>230</v>
      </c>
      <c r="G95" s="36" t="s">
        <v>214</v>
      </c>
      <c r="H95" s="36" t="s">
        <v>221</v>
      </c>
      <c r="I95" s="36" t="s">
        <v>368</v>
      </c>
      <c r="J95" s="39">
        <v>0.5</v>
      </c>
      <c r="K95" s="43">
        <f t="shared" si="6"/>
        <v>16.5</v>
      </c>
      <c r="L95" s="10">
        <v>0.5</v>
      </c>
    </row>
    <row r="96" spans="2:12" ht="15" customHeight="1">
      <c r="B96" s="19">
        <v>5</v>
      </c>
      <c r="C96" s="11" t="s">
        <v>444</v>
      </c>
      <c r="D96" s="19">
        <v>3</v>
      </c>
      <c r="E96" s="2" t="s">
        <v>446</v>
      </c>
      <c r="F96" s="11" t="s">
        <v>447</v>
      </c>
      <c r="G96" s="36" t="s">
        <v>213</v>
      </c>
      <c r="H96" s="36" t="s">
        <v>222</v>
      </c>
      <c r="I96" s="36" t="s">
        <v>369</v>
      </c>
      <c r="J96" s="39">
        <v>1.34848484848485</v>
      </c>
      <c r="K96" s="43">
        <f t="shared" si="6"/>
        <v>44.50000000000005</v>
      </c>
      <c r="L96" s="10">
        <v>1.9</v>
      </c>
    </row>
    <row r="97" spans="2:12" ht="15" customHeight="1">
      <c r="B97" s="19">
        <v>5</v>
      </c>
      <c r="C97" s="11" t="s">
        <v>444</v>
      </c>
      <c r="D97" s="19">
        <v>4</v>
      </c>
      <c r="E97" s="2" t="s">
        <v>448</v>
      </c>
      <c r="F97" s="11" t="s">
        <v>230</v>
      </c>
      <c r="G97" s="36" t="s">
        <v>213</v>
      </c>
      <c r="H97" s="36" t="s">
        <v>221</v>
      </c>
      <c r="I97" s="36" t="s">
        <v>367</v>
      </c>
      <c r="J97" s="39">
        <v>0.08</v>
      </c>
      <c r="K97" s="43">
        <f t="shared" si="6"/>
        <v>2.64</v>
      </c>
      <c r="L97" s="10">
        <v>0.35</v>
      </c>
    </row>
    <row r="98" spans="2:12" ht="15" customHeight="1">
      <c r="B98" s="19">
        <v>5</v>
      </c>
      <c r="C98" s="11" t="s">
        <v>444</v>
      </c>
      <c r="D98" s="19">
        <v>5</v>
      </c>
      <c r="E98" s="2" t="s">
        <v>471</v>
      </c>
      <c r="F98" s="11" t="s">
        <v>447</v>
      </c>
      <c r="G98" s="36" t="s">
        <v>214</v>
      </c>
      <c r="H98" s="36" t="s">
        <v>221</v>
      </c>
      <c r="I98" s="36" t="s">
        <v>367</v>
      </c>
      <c r="J98" s="39">
        <v>3.03030303030303E-2</v>
      </c>
      <c r="K98" s="43">
        <f t="shared" si="6"/>
        <v>0.99999999999999989</v>
      </c>
      <c r="L98" s="10">
        <v>0.2</v>
      </c>
    </row>
    <row r="99" spans="2:12" ht="15" customHeight="1">
      <c r="B99" s="19">
        <v>5</v>
      </c>
      <c r="C99" s="11" t="s">
        <v>444</v>
      </c>
      <c r="D99" s="19">
        <v>6</v>
      </c>
      <c r="E99" s="2" t="s">
        <v>449</v>
      </c>
      <c r="F99" s="11" t="s">
        <v>447</v>
      </c>
      <c r="G99" s="36" t="s">
        <v>214</v>
      </c>
      <c r="H99" s="36" t="s">
        <v>222</v>
      </c>
      <c r="I99" s="36" t="s">
        <v>367</v>
      </c>
      <c r="J99" s="39">
        <v>0.45</v>
      </c>
      <c r="K99" s="43">
        <f t="shared" si="6"/>
        <v>14.85</v>
      </c>
      <c r="L99" s="10">
        <v>0.2</v>
      </c>
    </row>
    <row r="100" spans="2:12" ht="15" customHeight="1">
      <c r="B100" s="19">
        <v>5</v>
      </c>
      <c r="C100" s="11" t="s">
        <v>444</v>
      </c>
      <c r="D100" s="19">
        <v>7</v>
      </c>
      <c r="E100" s="2" t="s">
        <v>465</v>
      </c>
      <c r="F100" s="11" t="s">
        <v>466</v>
      </c>
      <c r="G100" s="36" t="s">
        <v>214</v>
      </c>
      <c r="H100" s="36" t="s">
        <v>222</v>
      </c>
      <c r="I100" s="36" t="s">
        <v>367</v>
      </c>
      <c r="J100" s="39">
        <v>0.37878787878787901</v>
      </c>
      <c r="K100" s="43">
        <f t="shared" si="6"/>
        <v>12.500000000000007</v>
      </c>
      <c r="L100" s="10">
        <v>0.25</v>
      </c>
    </row>
    <row r="101" spans="2:12" ht="15" customHeight="1">
      <c r="B101" s="19">
        <v>5</v>
      </c>
      <c r="C101" s="11" t="s">
        <v>444</v>
      </c>
      <c r="D101" s="19">
        <v>8</v>
      </c>
      <c r="E101" s="2" t="s">
        <v>473</v>
      </c>
      <c r="F101" s="11" t="s">
        <v>447</v>
      </c>
      <c r="G101" s="36" t="s">
        <v>214</v>
      </c>
      <c r="H101" s="36" t="s">
        <v>222</v>
      </c>
      <c r="I101" s="36" t="s">
        <v>367</v>
      </c>
      <c r="J101" s="39">
        <v>0.83</v>
      </c>
      <c r="K101" s="43">
        <f t="shared" si="6"/>
        <v>27.389999999999997</v>
      </c>
      <c r="L101" s="10">
        <v>0.3</v>
      </c>
    </row>
    <row r="102" spans="2:12" ht="15" customHeight="1">
      <c r="B102" s="19">
        <v>5</v>
      </c>
      <c r="C102" s="11" t="s">
        <v>444</v>
      </c>
      <c r="D102" s="19">
        <v>9</v>
      </c>
      <c r="E102" s="2" t="s">
        <v>451</v>
      </c>
      <c r="F102" s="11" t="s">
        <v>452</v>
      </c>
      <c r="G102" s="36" t="s">
        <v>212</v>
      </c>
      <c r="H102" s="36" t="s">
        <v>222</v>
      </c>
      <c r="I102" s="36" t="s">
        <v>367</v>
      </c>
      <c r="J102" s="39">
        <v>0.39</v>
      </c>
      <c r="K102" s="43">
        <f t="shared" si="6"/>
        <v>12.870000000000001</v>
      </c>
      <c r="L102" s="10">
        <v>0.5</v>
      </c>
    </row>
    <row r="103" spans="2:12" ht="15" customHeight="1">
      <c r="B103" s="19">
        <v>5</v>
      </c>
      <c r="C103" s="11" t="s">
        <v>444</v>
      </c>
      <c r="D103" s="19">
        <v>10</v>
      </c>
      <c r="E103" s="2" t="s">
        <v>451</v>
      </c>
      <c r="F103" s="11" t="s">
        <v>452</v>
      </c>
      <c r="G103" s="36" t="s">
        <v>213</v>
      </c>
      <c r="H103" s="36" t="s">
        <v>222</v>
      </c>
      <c r="I103" s="36" t="s">
        <v>367</v>
      </c>
      <c r="J103" s="39">
        <v>0.53030303030303005</v>
      </c>
      <c r="K103" s="43">
        <f t="shared" si="6"/>
        <v>17.499999999999993</v>
      </c>
      <c r="L103" s="10">
        <v>0.5</v>
      </c>
    </row>
    <row r="104" spans="2:12" ht="15" customHeight="1">
      <c r="B104" s="19">
        <v>5</v>
      </c>
      <c r="C104" s="11" t="s">
        <v>444</v>
      </c>
      <c r="D104" s="19">
        <v>11</v>
      </c>
      <c r="E104" s="2" t="s">
        <v>451</v>
      </c>
      <c r="F104" s="11" t="s">
        <v>452</v>
      </c>
      <c r="G104" s="68" t="s">
        <v>214</v>
      </c>
      <c r="H104" s="36" t="s">
        <v>222</v>
      </c>
      <c r="I104" s="36" t="s">
        <v>367</v>
      </c>
      <c r="J104" s="39">
        <v>0.39</v>
      </c>
      <c r="K104" s="43">
        <f t="shared" si="6"/>
        <v>12.870000000000001</v>
      </c>
      <c r="L104" s="10">
        <v>0.5</v>
      </c>
    </row>
    <row r="105" spans="2:12" ht="15" customHeight="1">
      <c r="B105" s="19">
        <v>5</v>
      </c>
      <c r="C105" s="11" t="s">
        <v>444</v>
      </c>
      <c r="D105" s="19">
        <v>12</v>
      </c>
      <c r="E105" s="2" t="s">
        <v>453</v>
      </c>
      <c r="F105" s="11" t="s">
        <v>454</v>
      </c>
      <c r="G105" s="36" t="s">
        <v>211</v>
      </c>
      <c r="H105" s="36" t="s">
        <v>222</v>
      </c>
      <c r="I105" s="36" t="s">
        <v>367</v>
      </c>
      <c r="J105" s="39">
        <v>0.15</v>
      </c>
      <c r="K105" s="43">
        <f t="shared" si="6"/>
        <v>4.95</v>
      </c>
      <c r="L105" s="10">
        <v>0.05</v>
      </c>
    </row>
    <row r="106" spans="2:12" ht="15" customHeight="1">
      <c r="B106" s="19">
        <v>5</v>
      </c>
      <c r="C106" s="11" t="s">
        <v>444</v>
      </c>
      <c r="D106" s="19">
        <v>13</v>
      </c>
      <c r="E106" s="2" t="s">
        <v>453</v>
      </c>
      <c r="F106" s="11" t="s">
        <v>454</v>
      </c>
      <c r="G106" s="36" t="s">
        <v>212</v>
      </c>
      <c r="H106" s="36" t="s">
        <v>222</v>
      </c>
      <c r="I106" s="36" t="s">
        <v>367</v>
      </c>
      <c r="J106" s="39">
        <v>0.05</v>
      </c>
      <c r="K106" s="43">
        <f t="shared" si="6"/>
        <v>1.6500000000000001</v>
      </c>
      <c r="L106" s="10">
        <v>0.05</v>
      </c>
    </row>
    <row r="107" spans="2:12" ht="34.5" customHeight="1">
      <c r="D107" s="14" t="s">
        <v>475</v>
      </c>
      <c r="J107" s="15">
        <f>SUM(J94:J106)</f>
        <v>5.8551515151515163</v>
      </c>
    </row>
    <row r="109" spans="2:12" ht="54.75" customHeight="1">
      <c r="B109" s="3" t="s">
        <v>476</v>
      </c>
    </row>
    <row r="111" spans="2:12" ht="39.75" customHeight="1">
      <c r="B111" s="66" t="s">
        <v>477</v>
      </c>
      <c r="C111" s="66"/>
      <c r="D111" s="66"/>
      <c r="E111" s="66"/>
      <c r="F111" s="66"/>
      <c r="G111" s="66"/>
      <c r="H111" s="66"/>
      <c r="I111" s="66"/>
      <c r="J111" s="66"/>
      <c r="K111" s="66"/>
    </row>
  </sheetData>
  <mergeCells count="3">
    <mergeCell ref="A1:J1"/>
    <mergeCell ref="A2:J2"/>
    <mergeCell ref="B111:K11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3"/>
  <sheetViews>
    <sheetView zoomScaleNormal="100" workbookViewId="0">
      <selection sqref="A1:I1"/>
    </sheetView>
  </sheetViews>
  <sheetFormatPr defaultColWidth="8.6328125" defaultRowHeight="14.5"/>
  <cols>
    <col min="1" max="1" width="2.453125" customWidth="1"/>
    <col min="2" max="3" width="7" customWidth="1"/>
    <col min="4" max="4" width="40" customWidth="1"/>
    <col min="5" max="6" width="10" customWidth="1"/>
    <col min="7" max="7" width="9" customWidth="1"/>
    <col min="8" max="9" width="10" customWidth="1"/>
  </cols>
  <sheetData>
    <row r="1" spans="1:9" ht="25.5" customHeight="1">
      <c r="A1" s="61" t="s">
        <v>478</v>
      </c>
      <c r="B1" s="61"/>
      <c r="C1" s="61"/>
      <c r="D1" s="61"/>
      <c r="E1" s="61"/>
      <c r="F1" s="61"/>
      <c r="G1" s="61"/>
      <c r="H1" s="61"/>
      <c r="I1" s="61"/>
    </row>
    <row r="2" spans="1:9" ht="15" customHeight="1">
      <c r="A2" s="62" t="s">
        <v>479</v>
      </c>
      <c r="B2" s="62"/>
      <c r="C2" s="62"/>
      <c r="D2" s="62"/>
      <c r="E2" s="62"/>
      <c r="F2" s="62"/>
      <c r="G2" s="62"/>
      <c r="H2" s="62"/>
      <c r="I2" s="62"/>
    </row>
    <row r="4" spans="1:9" ht="15" customHeight="1">
      <c r="B4" s="5" t="s">
        <v>434</v>
      </c>
      <c r="C4" s="5" t="s">
        <v>480</v>
      </c>
      <c r="D4" s="5" t="s">
        <v>292</v>
      </c>
      <c r="E4" s="5" t="s">
        <v>481</v>
      </c>
      <c r="F4" s="5" t="s">
        <v>482</v>
      </c>
      <c r="G4" s="5" t="s">
        <v>483</v>
      </c>
      <c r="H4" s="5" t="s">
        <v>484</v>
      </c>
    </row>
    <row r="5" spans="1:9" ht="15" customHeight="1">
      <c r="B5" s="19">
        <v>1</v>
      </c>
      <c r="C5" s="11" t="s">
        <v>313</v>
      </c>
      <c r="D5" s="2" t="s">
        <v>418</v>
      </c>
      <c r="E5" s="16">
        <v>5</v>
      </c>
      <c r="F5" s="16">
        <v>13</v>
      </c>
      <c r="G5" s="13">
        <f>E5+F5</f>
        <v>18</v>
      </c>
      <c r="H5" s="9">
        <f>E5*SUM('Pod Library'!$J$5:$J$17)+F5*SUM('Pod Library'!$J$20:$J$33)</f>
        <v>204.01785714285714</v>
      </c>
    </row>
    <row r="6" spans="1:9" ht="15" customHeight="1">
      <c r="B6" s="19">
        <v>1</v>
      </c>
      <c r="C6" s="11" t="s">
        <v>314</v>
      </c>
      <c r="D6" s="2" t="s">
        <v>421</v>
      </c>
      <c r="E6" s="16">
        <v>0</v>
      </c>
      <c r="F6" s="16">
        <v>12</v>
      </c>
      <c r="G6" s="13">
        <f>E6+F6</f>
        <v>12</v>
      </c>
      <c r="H6" s="9">
        <f>E6*SUM('Pod Library'!$J$5:$J$17)+F6*SUM('Pod Library'!$J$20:$J$33)</f>
        <v>142.50000000000003</v>
      </c>
    </row>
    <row r="7" spans="1:9" ht="15" customHeight="1">
      <c r="B7" s="19">
        <v>1</v>
      </c>
      <c r="C7" s="11" t="s">
        <v>315</v>
      </c>
      <c r="D7" s="2" t="s">
        <v>425</v>
      </c>
      <c r="E7" s="16">
        <v>1</v>
      </c>
      <c r="F7" s="16">
        <v>2</v>
      </c>
      <c r="G7" s="13">
        <f>E7+F7</f>
        <v>3</v>
      </c>
      <c r="H7" s="9">
        <f>E7*SUM('Pod Library'!$J$5:$J$17)+F7*SUM('Pod Library'!$J$20:$J$33)</f>
        <v>33.678571428571423</v>
      </c>
    </row>
    <row r="8" spans="1:9" ht="15" customHeight="1">
      <c r="B8" s="19">
        <v>1</v>
      </c>
      <c r="C8" s="11" t="s">
        <v>316</v>
      </c>
      <c r="D8" s="2" t="s">
        <v>428</v>
      </c>
      <c r="E8" s="16">
        <v>1</v>
      </c>
      <c r="F8" s="16">
        <v>1</v>
      </c>
      <c r="G8" s="13">
        <f>E8+F8</f>
        <v>2</v>
      </c>
      <c r="H8" s="9">
        <f>E8*SUM('Pod Library'!$J$5:$J$17)+F8*SUM('Pod Library'!$J$20:$J$33)</f>
        <v>21.803571428571423</v>
      </c>
    </row>
    <row r="9" spans="1:9" ht="15" customHeight="1">
      <c r="D9" s="14" t="s">
        <v>485</v>
      </c>
      <c r="E9" s="21">
        <f>SUM(E5:E8)</f>
        <v>7</v>
      </c>
      <c r="F9" s="21">
        <f>SUM(F5:F8)</f>
        <v>28</v>
      </c>
      <c r="G9" s="21">
        <f>SUM(G5:G8)</f>
        <v>35</v>
      </c>
      <c r="H9" s="15">
        <f>SUM(H5:H8)</f>
        <v>402.00000000000006</v>
      </c>
    </row>
    <row r="11" spans="1:9" ht="15" customHeight="1">
      <c r="B11" s="19">
        <v>2</v>
      </c>
      <c r="C11" s="11" t="s">
        <v>313</v>
      </c>
      <c r="D11" s="2" t="s">
        <v>418</v>
      </c>
      <c r="E11" s="16">
        <v>19</v>
      </c>
      <c r="F11" s="16">
        <v>0</v>
      </c>
      <c r="G11" s="13">
        <f>E11+F11</f>
        <v>19</v>
      </c>
      <c r="H11" s="9">
        <f>E11*SUM('Pod Library'!$J$36:$J$47)+F11*SUM('Pod Library'!$J$50:$J$60)</f>
        <v>151.78285714285715</v>
      </c>
    </row>
    <row r="12" spans="1:9" ht="15" customHeight="1">
      <c r="B12" s="19">
        <v>2</v>
      </c>
      <c r="C12" s="11" t="s">
        <v>314</v>
      </c>
      <c r="D12" s="2" t="s">
        <v>421</v>
      </c>
      <c r="E12" s="16">
        <v>10</v>
      </c>
      <c r="F12" s="16">
        <v>3</v>
      </c>
      <c r="G12" s="13">
        <f>E12+F12</f>
        <v>13</v>
      </c>
      <c r="H12" s="9">
        <f>E12*SUM('Pod Library'!$J$36:$J$47)+F12*SUM('Pod Library'!$J$50:$J$60)</f>
        <v>109.8857142857143</v>
      </c>
    </row>
    <row r="13" spans="1:9" ht="15" customHeight="1">
      <c r="B13" s="19">
        <v>2</v>
      </c>
      <c r="C13" s="11" t="s">
        <v>315</v>
      </c>
      <c r="D13" s="2" t="s">
        <v>425</v>
      </c>
      <c r="E13" s="16">
        <v>4</v>
      </c>
      <c r="F13" s="16">
        <v>0</v>
      </c>
      <c r="G13" s="13">
        <f>E13+F13</f>
        <v>4</v>
      </c>
      <c r="H13" s="9">
        <f>E13*SUM('Pod Library'!$J$36:$J$47)+F13*SUM('Pod Library'!$J$50:$J$60)</f>
        <v>31.954285714285714</v>
      </c>
    </row>
    <row r="14" spans="1:9" ht="15" customHeight="1">
      <c r="B14" s="19">
        <v>2</v>
      </c>
      <c r="C14" s="11" t="s">
        <v>316</v>
      </c>
      <c r="D14" s="2" t="s">
        <v>428</v>
      </c>
      <c r="E14" s="16">
        <v>2</v>
      </c>
      <c r="F14" s="16">
        <v>0</v>
      </c>
      <c r="G14" s="13">
        <f>E14+F14</f>
        <v>2</v>
      </c>
      <c r="H14" s="9">
        <f>E14*SUM('Pod Library'!$J$36:$J$47)+F14*SUM('Pod Library'!$J$50:$J$60)</f>
        <v>15.977142857142857</v>
      </c>
    </row>
    <row r="15" spans="1:9" ht="15" customHeight="1">
      <c r="D15" s="14" t="s">
        <v>486</v>
      </c>
      <c r="E15" s="21">
        <f>SUM(E11:E14)</f>
        <v>35</v>
      </c>
      <c r="F15" s="21">
        <f>SUM(F11:F14)</f>
        <v>3</v>
      </c>
      <c r="G15" s="21">
        <f>SUM(G11:G14)</f>
        <v>38</v>
      </c>
      <c r="H15" s="15">
        <f>SUM(H11:H14)</f>
        <v>309.60000000000002</v>
      </c>
    </row>
    <row r="17" spans="2:8" ht="15" customHeight="1">
      <c r="B17" s="19">
        <v>3</v>
      </c>
      <c r="C17" s="11" t="s">
        <v>313</v>
      </c>
      <c r="D17" s="2" t="s">
        <v>418</v>
      </c>
      <c r="E17" s="16">
        <v>18</v>
      </c>
      <c r="F17" s="16">
        <v>0</v>
      </c>
      <c r="G17" s="13">
        <f>E17+F17</f>
        <v>18</v>
      </c>
      <c r="H17" s="9">
        <f>E17*SUM('Pod Library'!$J$63:$J$76)</f>
        <v>125.79000000000003</v>
      </c>
    </row>
    <row r="18" spans="2:8" ht="15" customHeight="1">
      <c r="B18" s="19">
        <v>3</v>
      </c>
      <c r="C18" s="11" t="s">
        <v>314</v>
      </c>
      <c r="D18" s="2" t="s">
        <v>421</v>
      </c>
      <c r="E18" s="16">
        <v>13</v>
      </c>
      <c r="F18" s="16">
        <v>0</v>
      </c>
      <c r="G18" s="13">
        <f>E18+F18</f>
        <v>13</v>
      </c>
      <c r="H18" s="9">
        <f>E18*SUM('Pod Library'!$J$63:$J$76)</f>
        <v>90.848333333333358</v>
      </c>
    </row>
    <row r="19" spans="2:8" ht="15" customHeight="1">
      <c r="B19" s="19">
        <v>3</v>
      </c>
      <c r="C19" s="11" t="s">
        <v>315</v>
      </c>
      <c r="D19" s="2" t="s">
        <v>425</v>
      </c>
      <c r="E19" s="16">
        <v>3</v>
      </c>
      <c r="F19" s="16">
        <v>0</v>
      </c>
      <c r="G19" s="13">
        <f>E19+F19</f>
        <v>3</v>
      </c>
      <c r="H19" s="9">
        <f>E19*SUM('Pod Library'!$J$63:$J$76)</f>
        <v>20.965000000000003</v>
      </c>
    </row>
    <row r="20" spans="2:8" ht="15" customHeight="1">
      <c r="B20" s="19">
        <v>3</v>
      </c>
      <c r="C20" s="11" t="s">
        <v>316</v>
      </c>
      <c r="D20" s="2" t="s">
        <v>428</v>
      </c>
      <c r="E20" s="16">
        <v>2</v>
      </c>
      <c r="F20" s="16">
        <v>0</v>
      </c>
      <c r="G20" s="13">
        <f>E20+F20</f>
        <v>2</v>
      </c>
      <c r="H20" s="9">
        <f>E20*SUM('Pod Library'!$J$63:$J$76)</f>
        <v>13.97666666666667</v>
      </c>
    </row>
    <row r="21" spans="2:8" ht="15" customHeight="1">
      <c r="D21" s="14" t="s">
        <v>487</v>
      </c>
      <c r="E21" s="21">
        <f>SUM(E17:E20)</f>
        <v>36</v>
      </c>
      <c r="F21" s="21">
        <f>SUM(F17:F20)</f>
        <v>0</v>
      </c>
      <c r="G21" s="21">
        <f>SUM(G17:G20)</f>
        <v>36</v>
      </c>
      <c r="H21" s="15">
        <f>SUM(H17:H20)</f>
        <v>251.58000000000004</v>
      </c>
    </row>
    <row r="23" spans="2:8" ht="15" customHeight="1">
      <c r="B23" s="19">
        <v>4</v>
      </c>
      <c r="C23" s="11" t="s">
        <v>313</v>
      </c>
      <c r="D23" s="2" t="s">
        <v>418</v>
      </c>
      <c r="E23" s="16">
        <v>18</v>
      </c>
      <c r="F23" s="16">
        <v>0</v>
      </c>
      <c r="G23" s="13">
        <f>E23+F23</f>
        <v>18</v>
      </c>
      <c r="H23" s="9">
        <f>E23*SUM('Pod Library'!$J$79:$J$91)</f>
        <v>104.68999999999998</v>
      </c>
    </row>
    <row r="24" spans="2:8" ht="15" customHeight="1">
      <c r="B24" s="19">
        <v>4</v>
      </c>
      <c r="C24" s="11" t="s">
        <v>314</v>
      </c>
      <c r="D24" s="2" t="s">
        <v>421</v>
      </c>
      <c r="E24" s="16">
        <v>13</v>
      </c>
      <c r="F24" s="16">
        <v>0</v>
      </c>
      <c r="G24" s="13">
        <f>E24+F24</f>
        <v>13</v>
      </c>
      <c r="H24" s="9">
        <f>E24*SUM('Pod Library'!$J$79:$J$91)</f>
        <v>75.609444444444435</v>
      </c>
    </row>
    <row r="25" spans="2:8" ht="15" customHeight="1">
      <c r="B25" s="19">
        <v>4</v>
      </c>
      <c r="C25" s="11" t="s">
        <v>315</v>
      </c>
      <c r="D25" s="2" t="s">
        <v>425</v>
      </c>
      <c r="E25" s="16">
        <v>3</v>
      </c>
      <c r="F25" s="16">
        <v>0</v>
      </c>
      <c r="G25" s="13">
        <f>E25+F25</f>
        <v>3</v>
      </c>
      <c r="H25" s="9">
        <f>E25*SUM('Pod Library'!$J$79:$J$91)</f>
        <v>17.448333333333331</v>
      </c>
    </row>
    <row r="26" spans="2:8" ht="15" customHeight="1">
      <c r="B26" s="19">
        <v>4</v>
      </c>
      <c r="C26" s="11" t="s">
        <v>316</v>
      </c>
      <c r="D26" s="2" t="s">
        <v>428</v>
      </c>
      <c r="E26" s="16">
        <v>2</v>
      </c>
      <c r="F26" s="16">
        <v>0</v>
      </c>
      <c r="G26" s="13">
        <f>E26+F26</f>
        <v>2</v>
      </c>
      <c r="H26" s="9">
        <f>E26*SUM('Pod Library'!$J$79:$J$91)</f>
        <v>11.63222222222222</v>
      </c>
    </row>
    <row r="27" spans="2:8" ht="15" customHeight="1">
      <c r="D27" s="14" t="s">
        <v>488</v>
      </c>
      <c r="E27" s="21">
        <f>SUM(E23:E26)</f>
        <v>36</v>
      </c>
      <c r="F27" s="21">
        <f>SUM(F23:F26)</f>
        <v>0</v>
      </c>
      <c r="G27" s="21">
        <f>SUM(G23:G26)</f>
        <v>36</v>
      </c>
      <c r="H27" s="15">
        <f>SUM(H23:H26)</f>
        <v>209.37999999999997</v>
      </c>
    </row>
    <row r="29" spans="2:8" ht="15" customHeight="1">
      <c r="B29" s="19">
        <v>5</v>
      </c>
      <c r="C29" s="11" t="s">
        <v>313</v>
      </c>
      <c r="D29" s="2" t="s">
        <v>418</v>
      </c>
      <c r="E29" s="16">
        <v>16</v>
      </c>
      <c r="F29" s="16">
        <v>0</v>
      </c>
      <c r="G29" s="13">
        <f>E29+F29</f>
        <v>16</v>
      </c>
      <c r="H29" s="9">
        <f>E29*SUM('Pod Library'!$J$94:$J$106)</f>
        <v>93.682424242424261</v>
      </c>
    </row>
    <row r="30" spans="2:8" ht="15" customHeight="1">
      <c r="B30" s="19">
        <v>5</v>
      </c>
      <c r="C30" s="11" t="s">
        <v>314</v>
      </c>
      <c r="D30" s="2" t="s">
        <v>421</v>
      </c>
      <c r="E30" s="16">
        <v>12</v>
      </c>
      <c r="F30" s="16">
        <v>0</v>
      </c>
      <c r="G30" s="13">
        <f>E30+F30</f>
        <v>12</v>
      </c>
      <c r="H30" s="9">
        <f>E30*SUM('Pod Library'!$J$94:$J$106)</f>
        <v>70.261818181818199</v>
      </c>
    </row>
    <row r="31" spans="2:8" ht="15" customHeight="1">
      <c r="B31" s="19">
        <v>5</v>
      </c>
      <c r="C31" s="11" t="s">
        <v>315</v>
      </c>
      <c r="D31" s="2" t="s">
        <v>425</v>
      </c>
      <c r="E31" s="16">
        <v>3</v>
      </c>
      <c r="F31" s="16">
        <v>0</v>
      </c>
      <c r="G31" s="13">
        <f>E31+F31</f>
        <v>3</v>
      </c>
      <c r="H31" s="9">
        <f>E31*SUM('Pod Library'!$J$94:$J$106)</f>
        <v>17.56545454545455</v>
      </c>
    </row>
    <row r="32" spans="2:8" ht="15" customHeight="1">
      <c r="B32" s="19">
        <v>5</v>
      </c>
      <c r="C32" s="11" t="s">
        <v>316</v>
      </c>
      <c r="D32" s="2" t="s">
        <v>428</v>
      </c>
      <c r="E32" s="16">
        <v>2</v>
      </c>
      <c r="F32" s="16">
        <v>0</v>
      </c>
      <c r="G32" s="13">
        <f>E32+F32</f>
        <v>2</v>
      </c>
      <c r="H32" s="9">
        <f>E32*SUM('Pod Library'!$J$94:$J$106)</f>
        <v>11.710303030303033</v>
      </c>
    </row>
    <row r="33" spans="4:8" ht="15" customHeight="1">
      <c r="D33" s="14" t="s">
        <v>489</v>
      </c>
      <c r="E33" s="21">
        <f>SUM(E29:E32)</f>
        <v>33</v>
      </c>
      <c r="F33" s="21">
        <f>SUM(F29:F32)</f>
        <v>0</v>
      </c>
      <c r="G33" s="21">
        <f>SUM(G29:G32)</f>
        <v>33</v>
      </c>
      <c r="H33" s="15">
        <f>SUM(H29:H32)</f>
        <v>193.22000000000006</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65"/>
  <sheetViews>
    <sheetView zoomScaleNormal="100" workbookViewId="0">
      <selection activeCell="E16" sqref="E16"/>
    </sheetView>
  </sheetViews>
  <sheetFormatPr defaultColWidth="8.6328125" defaultRowHeight="14.5"/>
  <cols>
    <col min="1" max="1" width="2.453125" customWidth="1"/>
    <col min="2" max="2" width="6" customWidth="1"/>
    <col min="3" max="3" width="7" customWidth="1"/>
    <col min="4" max="4" width="8" customWidth="1"/>
    <col min="5" max="5" width="40" customWidth="1"/>
    <col min="6" max="7" width="7" customWidth="1"/>
    <col min="8" max="9" width="9" customWidth="1"/>
    <col min="10" max="10" width="13" customWidth="1"/>
  </cols>
  <sheetData>
    <row r="1" spans="1:12" ht="25.5" customHeight="1">
      <c r="A1" s="61" t="s">
        <v>490</v>
      </c>
      <c r="B1" s="61"/>
      <c r="C1" s="61"/>
      <c r="D1" s="61"/>
      <c r="E1" s="61"/>
      <c r="F1" s="61"/>
      <c r="G1" s="61"/>
      <c r="H1" s="61"/>
      <c r="I1" s="61"/>
      <c r="J1" s="61"/>
      <c r="K1" s="61"/>
      <c r="L1" s="61"/>
    </row>
    <row r="2" spans="1:12" ht="15" customHeight="1">
      <c r="A2" s="62" t="s">
        <v>491</v>
      </c>
      <c r="B2" s="62"/>
      <c r="C2" s="62"/>
      <c r="D2" s="62"/>
      <c r="E2" s="62"/>
      <c r="F2" s="62"/>
      <c r="G2" s="62"/>
      <c r="H2" s="62"/>
      <c r="I2" s="62"/>
      <c r="J2" s="62"/>
      <c r="K2" s="62"/>
      <c r="L2" s="62"/>
    </row>
    <row r="4" spans="1:12" ht="15" customHeight="1">
      <c r="B4" s="5" t="s">
        <v>434</v>
      </c>
      <c r="C4" s="5" t="s">
        <v>492</v>
      </c>
      <c r="D4" s="5" t="s">
        <v>438</v>
      </c>
      <c r="E4" s="5" t="s">
        <v>437</v>
      </c>
      <c r="F4" s="5" t="s">
        <v>439</v>
      </c>
      <c r="G4" s="5" t="s">
        <v>440</v>
      </c>
      <c r="H4" s="5" t="s">
        <v>441</v>
      </c>
      <c r="I4" s="5" t="s">
        <v>442</v>
      </c>
      <c r="J4" s="5" t="s">
        <v>443</v>
      </c>
    </row>
    <row r="5" spans="1:12" ht="15" customHeight="1">
      <c r="B5" s="19">
        <v>1</v>
      </c>
      <c r="C5" s="11" t="s">
        <v>493</v>
      </c>
      <c r="D5" s="11" t="s">
        <v>454</v>
      </c>
      <c r="E5" s="2" t="s">
        <v>494</v>
      </c>
      <c r="F5" s="36" t="s">
        <v>215</v>
      </c>
      <c r="G5" s="36" t="s">
        <v>221</v>
      </c>
      <c r="H5" s="36" t="s">
        <v>367</v>
      </c>
      <c r="I5" s="39">
        <v>1</v>
      </c>
      <c r="J5" s="43">
        <f t="shared" ref="J5:J34" si="0">I5</f>
        <v>1</v>
      </c>
    </row>
    <row r="6" spans="1:12" ht="15" customHeight="1">
      <c r="B6" s="19">
        <v>1</v>
      </c>
      <c r="C6" s="11" t="s">
        <v>493</v>
      </c>
      <c r="D6" s="11" t="s">
        <v>454</v>
      </c>
      <c r="E6" s="2" t="s">
        <v>495</v>
      </c>
      <c r="F6" s="36" t="s">
        <v>214</v>
      </c>
      <c r="G6" s="36" t="s">
        <v>221</v>
      </c>
      <c r="H6" s="36" t="s">
        <v>367</v>
      </c>
      <c r="I6" s="39">
        <v>2.5</v>
      </c>
      <c r="J6" s="43">
        <f t="shared" si="0"/>
        <v>2.5</v>
      </c>
    </row>
    <row r="7" spans="1:12" ht="15" customHeight="1">
      <c r="B7" s="19">
        <v>1</v>
      </c>
      <c r="C7" s="11" t="s">
        <v>493</v>
      </c>
      <c r="D7" s="11" t="s">
        <v>454</v>
      </c>
      <c r="E7" s="2" t="s">
        <v>496</v>
      </c>
      <c r="F7" s="36" t="s">
        <v>211</v>
      </c>
      <c r="G7" s="36" t="s">
        <v>222</v>
      </c>
      <c r="H7" s="36" t="s">
        <v>367</v>
      </c>
      <c r="I7" s="39">
        <v>2</v>
      </c>
      <c r="J7" s="43">
        <f t="shared" si="0"/>
        <v>2</v>
      </c>
    </row>
    <row r="8" spans="1:12" ht="15" customHeight="1">
      <c r="B8" s="19">
        <v>1</v>
      </c>
      <c r="C8" s="11" t="s">
        <v>493</v>
      </c>
      <c r="D8" s="11" t="s">
        <v>454</v>
      </c>
      <c r="E8" s="2" t="s">
        <v>496</v>
      </c>
      <c r="F8" s="36" t="s">
        <v>212</v>
      </c>
      <c r="G8" s="36" t="s">
        <v>222</v>
      </c>
      <c r="H8" s="36" t="s">
        <v>367</v>
      </c>
      <c r="I8" s="39">
        <v>1</v>
      </c>
      <c r="J8" s="43">
        <f t="shared" si="0"/>
        <v>1</v>
      </c>
    </row>
    <row r="9" spans="1:12" ht="15" customHeight="1">
      <c r="B9" s="19">
        <v>1</v>
      </c>
      <c r="C9" s="11" t="s">
        <v>493</v>
      </c>
      <c r="D9" s="11" t="s">
        <v>454</v>
      </c>
      <c r="E9" s="2" t="s">
        <v>497</v>
      </c>
      <c r="F9" s="36" t="s">
        <v>213</v>
      </c>
      <c r="G9" s="36" t="s">
        <v>221</v>
      </c>
      <c r="H9" s="36" t="s">
        <v>367</v>
      </c>
      <c r="I9" s="39">
        <v>1</v>
      </c>
      <c r="J9" s="43">
        <f t="shared" si="0"/>
        <v>1</v>
      </c>
    </row>
    <row r="10" spans="1:12" ht="15" customHeight="1">
      <c r="B10" s="19">
        <v>1</v>
      </c>
      <c r="C10" s="11" t="s">
        <v>493</v>
      </c>
      <c r="D10" s="11" t="s">
        <v>466</v>
      </c>
      <c r="E10" s="2" t="s">
        <v>498</v>
      </c>
      <c r="F10" s="36" t="s">
        <v>213</v>
      </c>
      <c r="G10" s="36" t="s">
        <v>222</v>
      </c>
      <c r="H10" s="36" t="s">
        <v>367</v>
      </c>
      <c r="I10" s="39">
        <v>1</v>
      </c>
      <c r="J10" s="43">
        <f t="shared" si="0"/>
        <v>1</v>
      </c>
    </row>
    <row r="11" spans="1:12" ht="15" customHeight="1">
      <c r="B11" s="19">
        <v>1</v>
      </c>
      <c r="C11" s="11" t="s">
        <v>493</v>
      </c>
      <c r="D11" s="11" t="s">
        <v>447</v>
      </c>
      <c r="E11" s="2" t="s">
        <v>499</v>
      </c>
      <c r="F11" s="36" t="s">
        <v>213</v>
      </c>
      <c r="G11" s="36" t="s">
        <v>221</v>
      </c>
      <c r="H11" s="36" t="s">
        <v>367</v>
      </c>
      <c r="I11" s="39">
        <v>3.5</v>
      </c>
      <c r="J11" s="43">
        <f t="shared" si="0"/>
        <v>3.5</v>
      </c>
    </row>
    <row r="12" spans="1:12" ht="15" customHeight="1">
      <c r="B12" s="19">
        <v>1</v>
      </c>
      <c r="C12" s="11" t="s">
        <v>493</v>
      </c>
      <c r="D12" s="11" t="s">
        <v>447</v>
      </c>
      <c r="E12" s="2" t="s">
        <v>499</v>
      </c>
      <c r="F12" s="36" t="s">
        <v>213</v>
      </c>
      <c r="G12" s="36" t="s">
        <v>222</v>
      </c>
      <c r="H12" s="36" t="s">
        <v>367</v>
      </c>
      <c r="I12" s="39">
        <v>3</v>
      </c>
      <c r="J12" s="43">
        <f t="shared" si="0"/>
        <v>3</v>
      </c>
    </row>
    <row r="13" spans="1:12" ht="15" customHeight="1">
      <c r="B13" s="19">
        <v>1</v>
      </c>
      <c r="C13" s="11" t="s">
        <v>493</v>
      </c>
      <c r="D13" s="11" t="s">
        <v>447</v>
      </c>
      <c r="E13" s="2" t="s">
        <v>500</v>
      </c>
      <c r="F13" s="36" t="s">
        <v>215</v>
      </c>
      <c r="G13" s="36" t="s">
        <v>222</v>
      </c>
      <c r="H13" s="36" t="s">
        <v>367</v>
      </c>
      <c r="I13" s="39">
        <v>1</v>
      </c>
      <c r="J13" s="43">
        <f t="shared" si="0"/>
        <v>1</v>
      </c>
    </row>
    <row r="14" spans="1:12" ht="15" customHeight="1">
      <c r="B14" s="19">
        <v>1</v>
      </c>
      <c r="C14" s="11" t="s">
        <v>493</v>
      </c>
      <c r="D14" s="11" t="s">
        <v>447</v>
      </c>
      <c r="E14" s="2" t="s">
        <v>501</v>
      </c>
      <c r="F14" s="36" t="s">
        <v>213</v>
      </c>
      <c r="G14" s="36" t="s">
        <v>222</v>
      </c>
      <c r="H14" s="36" t="s">
        <v>369</v>
      </c>
      <c r="I14" s="39">
        <v>2.5</v>
      </c>
      <c r="J14" s="43">
        <f t="shared" si="0"/>
        <v>2.5</v>
      </c>
    </row>
    <row r="15" spans="1:12" ht="15" customHeight="1">
      <c r="B15" s="19">
        <v>1</v>
      </c>
      <c r="C15" s="11" t="s">
        <v>493</v>
      </c>
      <c r="D15" s="11" t="s">
        <v>375</v>
      </c>
      <c r="E15" s="2" t="s">
        <v>502</v>
      </c>
      <c r="F15" s="36" t="s">
        <v>214</v>
      </c>
      <c r="G15" s="36" t="s">
        <v>221</v>
      </c>
      <c r="H15" s="36" t="s">
        <v>368</v>
      </c>
      <c r="I15" s="39">
        <v>2</v>
      </c>
      <c r="J15" s="43">
        <f t="shared" si="0"/>
        <v>2</v>
      </c>
    </row>
    <row r="16" spans="1:12" ht="15" customHeight="1">
      <c r="B16" s="19">
        <v>1</v>
      </c>
      <c r="C16" s="11" t="s">
        <v>493</v>
      </c>
      <c r="D16" s="11" t="s">
        <v>454</v>
      </c>
      <c r="E16" s="2" t="s">
        <v>503</v>
      </c>
      <c r="F16" s="36" t="s">
        <v>213</v>
      </c>
      <c r="G16" s="36" t="s">
        <v>221</v>
      </c>
      <c r="H16" s="36" t="s">
        <v>368</v>
      </c>
      <c r="I16" s="39">
        <v>5</v>
      </c>
      <c r="J16" s="43">
        <f t="shared" si="0"/>
        <v>5</v>
      </c>
    </row>
    <row r="17" spans="2:10" ht="15" customHeight="1">
      <c r="B17" s="19">
        <v>1</v>
      </c>
      <c r="C17" s="11" t="s">
        <v>504</v>
      </c>
      <c r="D17" s="11" t="s">
        <v>452</v>
      </c>
      <c r="E17" s="2" t="s">
        <v>505</v>
      </c>
      <c r="F17" s="36" t="s">
        <v>215</v>
      </c>
      <c r="G17" s="36" t="s">
        <v>221</v>
      </c>
      <c r="H17" s="36" t="s">
        <v>367</v>
      </c>
      <c r="I17" s="39">
        <v>0.5</v>
      </c>
      <c r="J17" s="43">
        <f t="shared" si="0"/>
        <v>0.5</v>
      </c>
    </row>
    <row r="18" spans="2:10" ht="15" customHeight="1">
      <c r="B18" s="19">
        <v>1</v>
      </c>
      <c r="C18" s="11" t="s">
        <v>504</v>
      </c>
      <c r="D18" s="11" t="s">
        <v>452</v>
      </c>
      <c r="E18" s="2" t="s">
        <v>506</v>
      </c>
      <c r="F18" s="36" t="s">
        <v>214</v>
      </c>
      <c r="G18" s="36" t="s">
        <v>221</v>
      </c>
      <c r="H18" s="36" t="s">
        <v>367</v>
      </c>
      <c r="I18" s="39">
        <v>0.5</v>
      </c>
      <c r="J18" s="43">
        <f t="shared" si="0"/>
        <v>0.5</v>
      </c>
    </row>
    <row r="19" spans="2:10" ht="15" customHeight="1">
      <c r="B19" s="19">
        <v>1</v>
      </c>
      <c r="C19" s="11" t="s">
        <v>504</v>
      </c>
      <c r="D19" s="11" t="s">
        <v>452</v>
      </c>
      <c r="E19" s="2" t="s">
        <v>507</v>
      </c>
      <c r="F19" s="36" t="s">
        <v>213</v>
      </c>
      <c r="G19" s="36" t="s">
        <v>221</v>
      </c>
      <c r="H19" s="36" t="s">
        <v>367</v>
      </c>
      <c r="I19" s="39">
        <v>2.5</v>
      </c>
      <c r="J19" s="43">
        <f t="shared" si="0"/>
        <v>2.5</v>
      </c>
    </row>
    <row r="20" spans="2:10" ht="15" customHeight="1">
      <c r="B20" s="19">
        <v>1</v>
      </c>
      <c r="C20" s="11" t="s">
        <v>504</v>
      </c>
      <c r="D20" s="11" t="s">
        <v>452</v>
      </c>
      <c r="E20" s="2" t="s">
        <v>508</v>
      </c>
      <c r="F20" s="36" t="s">
        <v>213</v>
      </c>
      <c r="G20" s="36" t="s">
        <v>222</v>
      </c>
      <c r="H20" s="36" t="s">
        <v>367</v>
      </c>
      <c r="I20" s="39">
        <v>4</v>
      </c>
      <c r="J20" s="43">
        <f t="shared" si="0"/>
        <v>4</v>
      </c>
    </row>
    <row r="21" spans="2:10" ht="15" customHeight="1">
      <c r="B21" s="19">
        <v>1</v>
      </c>
      <c r="C21" s="11" t="s">
        <v>504</v>
      </c>
      <c r="D21" s="11" t="s">
        <v>452</v>
      </c>
      <c r="E21" s="2" t="s">
        <v>508</v>
      </c>
      <c r="F21" s="36" t="s">
        <v>214</v>
      </c>
      <c r="G21" s="36" t="s">
        <v>222</v>
      </c>
      <c r="H21" s="36" t="s">
        <v>367</v>
      </c>
      <c r="I21" s="39">
        <v>2</v>
      </c>
      <c r="J21" s="43">
        <f t="shared" si="0"/>
        <v>2</v>
      </c>
    </row>
    <row r="22" spans="2:10" ht="15" customHeight="1">
      <c r="B22" s="19">
        <v>1</v>
      </c>
      <c r="C22" s="11" t="s">
        <v>504</v>
      </c>
      <c r="D22" s="11" t="s">
        <v>452</v>
      </c>
      <c r="E22" s="2" t="s">
        <v>509</v>
      </c>
      <c r="F22" s="36" t="s">
        <v>215</v>
      </c>
      <c r="G22" s="36" t="s">
        <v>222</v>
      </c>
      <c r="H22" s="36" t="s">
        <v>367</v>
      </c>
      <c r="I22" s="39">
        <v>1</v>
      </c>
      <c r="J22" s="43">
        <f t="shared" si="0"/>
        <v>1</v>
      </c>
    </row>
    <row r="23" spans="2:10" ht="15" customHeight="1">
      <c r="B23" s="19">
        <v>1</v>
      </c>
      <c r="C23" s="11" t="s">
        <v>504</v>
      </c>
      <c r="D23" s="11" t="s">
        <v>452</v>
      </c>
      <c r="E23" s="2" t="s">
        <v>510</v>
      </c>
      <c r="F23" s="36" t="s">
        <v>211</v>
      </c>
      <c r="G23" s="36" t="s">
        <v>222</v>
      </c>
      <c r="H23" s="36" t="s">
        <v>367</v>
      </c>
      <c r="I23" s="39">
        <v>3</v>
      </c>
      <c r="J23" s="43">
        <f t="shared" si="0"/>
        <v>3</v>
      </c>
    </row>
    <row r="24" spans="2:10" ht="15" customHeight="1">
      <c r="B24" s="19">
        <v>1</v>
      </c>
      <c r="C24" s="11" t="s">
        <v>504</v>
      </c>
      <c r="D24" s="11" t="s">
        <v>452</v>
      </c>
      <c r="E24" s="2" t="s">
        <v>510</v>
      </c>
      <c r="F24" s="36" t="s">
        <v>212</v>
      </c>
      <c r="G24" s="36" t="s">
        <v>222</v>
      </c>
      <c r="H24" s="36" t="s">
        <v>367</v>
      </c>
      <c r="I24" s="39">
        <v>3</v>
      </c>
      <c r="J24" s="43">
        <f t="shared" si="0"/>
        <v>3</v>
      </c>
    </row>
    <row r="25" spans="2:10" ht="15" customHeight="1">
      <c r="B25" s="19">
        <v>1</v>
      </c>
      <c r="C25" s="11" t="s">
        <v>504</v>
      </c>
      <c r="D25" s="11" t="s">
        <v>452</v>
      </c>
      <c r="E25" s="2" t="s">
        <v>511</v>
      </c>
      <c r="F25" s="36" t="s">
        <v>213</v>
      </c>
      <c r="G25" s="36" t="s">
        <v>222</v>
      </c>
      <c r="H25" s="36" t="s">
        <v>369</v>
      </c>
      <c r="I25" s="39">
        <v>3.5</v>
      </c>
      <c r="J25" s="43">
        <f t="shared" si="0"/>
        <v>3.5</v>
      </c>
    </row>
    <row r="26" spans="2:10" ht="15" customHeight="1">
      <c r="B26" s="19">
        <v>1</v>
      </c>
      <c r="C26" s="11" t="s">
        <v>504</v>
      </c>
      <c r="D26" s="11" t="s">
        <v>452</v>
      </c>
      <c r="E26" s="2" t="s">
        <v>512</v>
      </c>
      <c r="F26" s="36" t="s">
        <v>214</v>
      </c>
      <c r="G26" s="36" t="s">
        <v>221</v>
      </c>
      <c r="H26" s="36" t="s">
        <v>368</v>
      </c>
      <c r="I26" s="39">
        <v>2.5</v>
      </c>
      <c r="J26" s="43">
        <f t="shared" si="0"/>
        <v>2.5</v>
      </c>
    </row>
    <row r="27" spans="2:10" ht="15" customHeight="1">
      <c r="B27" s="19">
        <v>1</v>
      </c>
      <c r="C27" s="11" t="s">
        <v>504</v>
      </c>
      <c r="D27" s="11" t="s">
        <v>230</v>
      </c>
      <c r="E27" s="2" t="s">
        <v>513</v>
      </c>
      <c r="F27" s="36" t="s">
        <v>213</v>
      </c>
      <c r="G27" s="36" t="s">
        <v>221</v>
      </c>
      <c r="H27" s="36" t="s">
        <v>368</v>
      </c>
      <c r="I27" s="39">
        <v>2</v>
      </c>
      <c r="J27" s="43">
        <f t="shared" si="0"/>
        <v>2</v>
      </c>
    </row>
    <row r="28" spans="2:10" ht="15" customHeight="1">
      <c r="B28" s="19">
        <v>1</v>
      </c>
      <c r="C28" s="11" t="s">
        <v>514</v>
      </c>
      <c r="D28" s="11" t="s">
        <v>375</v>
      </c>
      <c r="E28" s="2" t="s">
        <v>515</v>
      </c>
      <c r="F28" s="36" t="s">
        <v>215</v>
      </c>
      <c r="G28" s="36" t="s">
        <v>221</v>
      </c>
      <c r="H28" s="36" t="s">
        <v>367</v>
      </c>
      <c r="I28" s="39">
        <v>1</v>
      </c>
      <c r="J28" s="43">
        <f t="shared" si="0"/>
        <v>1</v>
      </c>
    </row>
    <row r="29" spans="2:10" ht="15" customHeight="1">
      <c r="B29" s="19">
        <v>1</v>
      </c>
      <c r="C29" s="11" t="s">
        <v>514</v>
      </c>
      <c r="D29" s="11" t="s">
        <v>375</v>
      </c>
      <c r="E29" s="2" t="s">
        <v>516</v>
      </c>
      <c r="F29" s="36" t="s">
        <v>214</v>
      </c>
      <c r="G29" s="36" t="s">
        <v>221</v>
      </c>
      <c r="H29" s="36" t="s">
        <v>367</v>
      </c>
      <c r="I29" s="39">
        <v>2.5</v>
      </c>
      <c r="J29" s="43">
        <f t="shared" si="0"/>
        <v>2.5</v>
      </c>
    </row>
    <row r="30" spans="2:10" ht="15" customHeight="1">
      <c r="B30" s="19">
        <v>1</v>
      </c>
      <c r="C30" s="11" t="s">
        <v>514</v>
      </c>
      <c r="D30" s="11" t="s">
        <v>375</v>
      </c>
      <c r="E30" s="2" t="s">
        <v>517</v>
      </c>
      <c r="F30" s="36" t="s">
        <v>214</v>
      </c>
      <c r="G30" s="36" t="s">
        <v>221</v>
      </c>
      <c r="H30" s="36" t="s">
        <v>367</v>
      </c>
      <c r="I30" s="39">
        <v>1</v>
      </c>
      <c r="J30" s="43">
        <f t="shared" si="0"/>
        <v>1</v>
      </c>
    </row>
    <row r="31" spans="2:10" ht="15" customHeight="1">
      <c r="B31" s="19">
        <v>1</v>
      </c>
      <c r="C31" s="11" t="s">
        <v>514</v>
      </c>
      <c r="D31" s="11" t="s">
        <v>466</v>
      </c>
      <c r="E31" s="2" t="s">
        <v>518</v>
      </c>
      <c r="F31" s="36" t="s">
        <v>215</v>
      </c>
      <c r="G31" s="36" t="s">
        <v>221</v>
      </c>
      <c r="H31" s="36" t="s">
        <v>367</v>
      </c>
      <c r="I31" s="39">
        <v>1</v>
      </c>
      <c r="J31" s="43">
        <f t="shared" si="0"/>
        <v>1</v>
      </c>
    </row>
    <row r="32" spans="2:10" ht="15" customHeight="1">
      <c r="B32" s="19">
        <v>1</v>
      </c>
      <c r="C32" s="11" t="s">
        <v>514</v>
      </c>
      <c r="D32" s="11" t="s">
        <v>466</v>
      </c>
      <c r="E32" s="2" t="s">
        <v>519</v>
      </c>
      <c r="F32" s="36" t="s">
        <v>215</v>
      </c>
      <c r="G32" s="36" t="s">
        <v>221</v>
      </c>
      <c r="H32" s="36" t="s">
        <v>368</v>
      </c>
      <c r="I32" s="39">
        <v>1.5</v>
      </c>
      <c r="J32" s="43">
        <f t="shared" si="0"/>
        <v>1.5</v>
      </c>
    </row>
    <row r="33" spans="2:10" ht="15" customHeight="1">
      <c r="B33" s="19">
        <v>1</v>
      </c>
      <c r="C33" s="11" t="s">
        <v>514</v>
      </c>
      <c r="D33" s="11" t="s">
        <v>230</v>
      </c>
      <c r="E33" s="2" t="s">
        <v>520</v>
      </c>
      <c r="F33" s="36" t="s">
        <v>214</v>
      </c>
      <c r="G33" s="36" t="s">
        <v>221</v>
      </c>
      <c r="H33" s="36" t="s">
        <v>368</v>
      </c>
      <c r="I33" s="39">
        <v>6</v>
      </c>
      <c r="J33" s="43">
        <f t="shared" si="0"/>
        <v>6</v>
      </c>
    </row>
    <row r="34" spans="2:10" ht="15" customHeight="1">
      <c r="B34" s="19">
        <v>1</v>
      </c>
      <c r="C34" s="11" t="s">
        <v>514</v>
      </c>
      <c r="D34" s="11" t="s">
        <v>375</v>
      </c>
      <c r="E34" s="2" t="s">
        <v>521</v>
      </c>
      <c r="F34" s="36" t="s">
        <v>214</v>
      </c>
      <c r="G34" s="36" t="s">
        <v>221</v>
      </c>
      <c r="H34" s="36" t="s">
        <v>368</v>
      </c>
      <c r="I34" s="39">
        <v>1.5</v>
      </c>
      <c r="J34" s="43">
        <f t="shared" si="0"/>
        <v>1.5</v>
      </c>
    </row>
    <row r="35" spans="2:10" ht="15" customHeight="1">
      <c r="E35" s="14" t="s">
        <v>522</v>
      </c>
      <c r="I35" s="15">
        <f>SUM(I5:I34)</f>
        <v>64.5</v>
      </c>
    </row>
    <row r="37" spans="2:10" ht="15" customHeight="1">
      <c r="B37" s="19">
        <v>2</v>
      </c>
      <c r="C37" s="11" t="s">
        <v>493</v>
      </c>
      <c r="D37" s="11" t="s">
        <v>454</v>
      </c>
      <c r="E37" s="2" t="s">
        <v>494</v>
      </c>
      <c r="F37" s="36" t="s">
        <v>215</v>
      </c>
      <c r="G37" s="36" t="s">
        <v>221</v>
      </c>
      <c r="H37" s="36" t="s">
        <v>367</v>
      </c>
      <c r="I37" s="39">
        <v>1.5</v>
      </c>
      <c r="J37" s="43">
        <f t="shared" ref="J37:J66" si="1">I37</f>
        <v>1.5</v>
      </c>
    </row>
    <row r="38" spans="2:10" ht="15" customHeight="1">
      <c r="B38" s="19">
        <v>2</v>
      </c>
      <c r="C38" s="11" t="s">
        <v>493</v>
      </c>
      <c r="D38" s="11" t="s">
        <v>454</v>
      </c>
      <c r="E38" s="2" t="s">
        <v>495</v>
      </c>
      <c r="F38" s="36" t="s">
        <v>214</v>
      </c>
      <c r="G38" s="36" t="s">
        <v>221</v>
      </c>
      <c r="H38" s="36" t="s">
        <v>367</v>
      </c>
      <c r="I38" s="39">
        <v>2.5</v>
      </c>
      <c r="J38" s="43">
        <f t="shared" si="1"/>
        <v>2.5</v>
      </c>
    </row>
    <row r="39" spans="2:10" ht="15" customHeight="1">
      <c r="B39" s="19">
        <v>2</v>
      </c>
      <c r="C39" s="11" t="s">
        <v>493</v>
      </c>
      <c r="D39" s="11" t="s">
        <v>454</v>
      </c>
      <c r="E39" s="2" t="s">
        <v>496</v>
      </c>
      <c r="F39" s="36" t="s">
        <v>211</v>
      </c>
      <c r="G39" s="36" t="s">
        <v>222</v>
      </c>
      <c r="H39" s="36" t="s">
        <v>367</v>
      </c>
      <c r="I39" s="39">
        <v>1</v>
      </c>
      <c r="J39" s="43">
        <f t="shared" si="1"/>
        <v>1</v>
      </c>
    </row>
    <row r="40" spans="2:10" ht="15" customHeight="1">
      <c r="B40" s="19">
        <v>2</v>
      </c>
      <c r="C40" s="11" t="s">
        <v>493</v>
      </c>
      <c r="D40" s="11" t="s">
        <v>454</v>
      </c>
      <c r="E40" s="2" t="s">
        <v>496</v>
      </c>
      <c r="F40" s="36" t="s">
        <v>212</v>
      </c>
      <c r="G40" s="36" t="s">
        <v>222</v>
      </c>
      <c r="H40" s="36" t="s">
        <v>367</v>
      </c>
      <c r="I40" s="39">
        <v>1</v>
      </c>
      <c r="J40" s="43">
        <f t="shared" si="1"/>
        <v>1</v>
      </c>
    </row>
    <row r="41" spans="2:10" ht="15" customHeight="1">
      <c r="B41" s="19">
        <v>2</v>
      </c>
      <c r="C41" s="11" t="s">
        <v>493</v>
      </c>
      <c r="D41" s="11" t="s">
        <v>454</v>
      </c>
      <c r="E41" s="2" t="s">
        <v>497</v>
      </c>
      <c r="F41" s="36" t="s">
        <v>213</v>
      </c>
      <c r="G41" s="36" t="s">
        <v>221</v>
      </c>
      <c r="H41" s="36" t="s">
        <v>367</v>
      </c>
      <c r="I41" s="39">
        <v>1</v>
      </c>
      <c r="J41" s="43">
        <f t="shared" si="1"/>
        <v>1</v>
      </c>
    </row>
    <row r="42" spans="2:10" ht="15" customHeight="1">
      <c r="B42" s="19">
        <v>2</v>
      </c>
      <c r="C42" s="11" t="s">
        <v>493</v>
      </c>
      <c r="D42" s="11" t="s">
        <v>466</v>
      </c>
      <c r="E42" s="2" t="s">
        <v>498</v>
      </c>
      <c r="F42" s="36" t="s">
        <v>213</v>
      </c>
      <c r="G42" s="36" t="s">
        <v>222</v>
      </c>
      <c r="H42" s="36" t="s">
        <v>367</v>
      </c>
      <c r="I42" s="39">
        <v>2.5</v>
      </c>
      <c r="J42" s="43">
        <f t="shared" si="1"/>
        <v>2.5</v>
      </c>
    </row>
    <row r="43" spans="2:10" ht="15" customHeight="1">
      <c r="B43" s="19">
        <v>2</v>
      </c>
      <c r="C43" s="11" t="s">
        <v>493</v>
      </c>
      <c r="D43" s="11" t="s">
        <v>447</v>
      </c>
      <c r="E43" s="2" t="s">
        <v>499</v>
      </c>
      <c r="F43" s="36" t="s">
        <v>213</v>
      </c>
      <c r="G43" s="36" t="s">
        <v>221</v>
      </c>
      <c r="H43" s="36" t="s">
        <v>367</v>
      </c>
      <c r="I43" s="39">
        <v>2.5</v>
      </c>
      <c r="J43" s="43">
        <f t="shared" si="1"/>
        <v>2.5</v>
      </c>
    </row>
    <row r="44" spans="2:10" ht="15" customHeight="1">
      <c r="B44" s="19">
        <v>2</v>
      </c>
      <c r="C44" s="11" t="s">
        <v>493</v>
      </c>
      <c r="D44" s="11" t="s">
        <v>447</v>
      </c>
      <c r="E44" s="2" t="s">
        <v>499</v>
      </c>
      <c r="F44" s="36" t="s">
        <v>213</v>
      </c>
      <c r="G44" s="36" t="s">
        <v>222</v>
      </c>
      <c r="H44" s="36" t="s">
        <v>367</v>
      </c>
      <c r="I44" s="39">
        <v>0.5</v>
      </c>
      <c r="J44" s="43">
        <f t="shared" si="1"/>
        <v>0.5</v>
      </c>
    </row>
    <row r="45" spans="2:10" ht="15" customHeight="1">
      <c r="B45" s="19">
        <v>2</v>
      </c>
      <c r="C45" s="11" t="s">
        <v>493</v>
      </c>
      <c r="D45" s="11" t="s">
        <v>447</v>
      </c>
      <c r="E45" s="2" t="s">
        <v>500</v>
      </c>
      <c r="F45" s="36" t="s">
        <v>215</v>
      </c>
      <c r="G45" s="36" t="s">
        <v>222</v>
      </c>
      <c r="H45" s="36" t="s">
        <v>367</v>
      </c>
      <c r="I45" s="39">
        <v>0.5</v>
      </c>
      <c r="J45" s="43">
        <f t="shared" si="1"/>
        <v>0.5</v>
      </c>
    </row>
    <row r="46" spans="2:10" ht="15" customHeight="1">
      <c r="B46" s="19">
        <v>2</v>
      </c>
      <c r="C46" s="11" t="s">
        <v>493</v>
      </c>
      <c r="D46" s="11" t="s">
        <v>447</v>
      </c>
      <c r="E46" s="2" t="s">
        <v>501</v>
      </c>
      <c r="F46" s="36" t="s">
        <v>213</v>
      </c>
      <c r="G46" s="36" t="s">
        <v>222</v>
      </c>
      <c r="H46" s="36" t="s">
        <v>369</v>
      </c>
      <c r="I46" s="39">
        <v>3</v>
      </c>
      <c r="J46" s="43">
        <f t="shared" si="1"/>
        <v>3</v>
      </c>
    </row>
    <row r="47" spans="2:10" ht="15" customHeight="1">
      <c r="B47" s="19">
        <v>2</v>
      </c>
      <c r="C47" s="11" t="s">
        <v>493</v>
      </c>
      <c r="D47" s="11" t="s">
        <v>375</v>
      </c>
      <c r="E47" s="2" t="s">
        <v>502</v>
      </c>
      <c r="F47" s="36" t="s">
        <v>214</v>
      </c>
      <c r="G47" s="36" t="s">
        <v>221</v>
      </c>
      <c r="H47" s="36" t="s">
        <v>368</v>
      </c>
      <c r="I47" s="39">
        <v>1.5</v>
      </c>
      <c r="J47" s="43">
        <f t="shared" si="1"/>
        <v>1.5</v>
      </c>
    </row>
    <row r="48" spans="2:10" ht="15" customHeight="1">
      <c r="B48" s="19">
        <v>2</v>
      </c>
      <c r="C48" s="11" t="s">
        <v>493</v>
      </c>
      <c r="D48" s="11" t="s">
        <v>454</v>
      </c>
      <c r="E48" s="2" t="s">
        <v>503</v>
      </c>
      <c r="F48" s="36" t="s">
        <v>213</v>
      </c>
      <c r="G48" s="36" t="s">
        <v>221</v>
      </c>
      <c r="H48" s="36" t="s">
        <v>368</v>
      </c>
      <c r="I48" s="39">
        <v>5</v>
      </c>
      <c r="J48" s="43">
        <f t="shared" si="1"/>
        <v>5</v>
      </c>
    </row>
    <row r="49" spans="2:10" ht="15" customHeight="1">
      <c r="B49" s="19">
        <v>2</v>
      </c>
      <c r="C49" s="11" t="s">
        <v>504</v>
      </c>
      <c r="D49" s="11" t="s">
        <v>452</v>
      </c>
      <c r="E49" s="2" t="s">
        <v>505</v>
      </c>
      <c r="F49" s="36" t="s">
        <v>215</v>
      </c>
      <c r="G49" s="36" t="s">
        <v>221</v>
      </c>
      <c r="H49" s="36" t="s">
        <v>367</v>
      </c>
      <c r="I49" s="39">
        <v>1.5</v>
      </c>
      <c r="J49" s="43">
        <f t="shared" si="1"/>
        <v>1.5</v>
      </c>
    </row>
    <row r="50" spans="2:10" ht="15" customHeight="1">
      <c r="B50" s="19">
        <v>2</v>
      </c>
      <c r="C50" s="11" t="s">
        <v>504</v>
      </c>
      <c r="D50" s="11" t="s">
        <v>452</v>
      </c>
      <c r="E50" s="2" t="s">
        <v>506</v>
      </c>
      <c r="F50" s="36" t="s">
        <v>214</v>
      </c>
      <c r="G50" s="36" t="s">
        <v>221</v>
      </c>
      <c r="H50" s="36" t="s">
        <v>367</v>
      </c>
      <c r="I50" s="39">
        <v>1</v>
      </c>
      <c r="J50" s="43">
        <f t="shared" si="1"/>
        <v>1</v>
      </c>
    </row>
    <row r="51" spans="2:10" ht="15" customHeight="1">
      <c r="B51" s="19">
        <v>2</v>
      </c>
      <c r="C51" s="11" t="s">
        <v>504</v>
      </c>
      <c r="D51" s="11" t="s">
        <v>452</v>
      </c>
      <c r="E51" s="2" t="s">
        <v>507</v>
      </c>
      <c r="F51" s="36" t="s">
        <v>213</v>
      </c>
      <c r="G51" s="36" t="s">
        <v>221</v>
      </c>
      <c r="H51" s="36" t="s">
        <v>367</v>
      </c>
      <c r="I51" s="39">
        <v>1.5</v>
      </c>
      <c r="J51" s="43">
        <f t="shared" si="1"/>
        <v>1.5</v>
      </c>
    </row>
    <row r="52" spans="2:10" ht="15" customHeight="1">
      <c r="B52" s="19">
        <v>2</v>
      </c>
      <c r="C52" s="11" t="s">
        <v>504</v>
      </c>
      <c r="D52" s="11" t="s">
        <v>452</v>
      </c>
      <c r="E52" s="2" t="s">
        <v>508</v>
      </c>
      <c r="F52" s="36" t="s">
        <v>213</v>
      </c>
      <c r="G52" s="36" t="s">
        <v>222</v>
      </c>
      <c r="H52" s="36" t="s">
        <v>367</v>
      </c>
      <c r="I52" s="39">
        <v>4</v>
      </c>
      <c r="J52" s="43">
        <f t="shared" si="1"/>
        <v>4</v>
      </c>
    </row>
    <row r="53" spans="2:10" ht="15" customHeight="1">
      <c r="B53" s="19">
        <v>2</v>
      </c>
      <c r="C53" s="11" t="s">
        <v>504</v>
      </c>
      <c r="D53" s="11" t="s">
        <v>452</v>
      </c>
      <c r="E53" s="2" t="s">
        <v>508</v>
      </c>
      <c r="F53" s="36" t="s">
        <v>214</v>
      </c>
      <c r="G53" s="36" t="s">
        <v>222</v>
      </c>
      <c r="H53" s="36" t="s">
        <v>367</v>
      </c>
      <c r="I53" s="39">
        <v>1</v>
      </c>
      <c r="J53" s="43">
        <f t="shared" si="1"/>
        <v>1</v>
      </c>
    </row>
    <row r="54" spans="2:10" ht="15" customHeight="1">
      <c r="B54" s="19">
        <v>2</v>
      </c>
      <c r="C54" s="11" t="s">
        <v>504</v>
      </c>
      <c r="D54" s="11" t="s">
        <v>452</v>
      </c>
      <c r="E54" s="2" t="s">
        <v>509</v>
      </c>
      <c r="F54" s="36" t="s">
        <v>215</v>
      </c>
      <c r="G54" s="36" t="s">
        <v>222</v>
      </c>
      <c r="H54" s="36" t="s">
        <v>367</v>
      </c>
      <c r="I54" s="39">
        <v>0.5</v>
      </c>
      <c r="J54" s="43">
        <f t="shared" si="1"/>
        <v>0.5</v>
      </c>
    </row>
    <row r="55" spans="2:10" ht="15" customHeight="1">
      <c r="B55" s="19">
        <v>2</v>
      </c>
      <c r="C55" s="11" t="s">
        <v>504</v>
      </c>
      <c r="D55" s="11" t="s">
        <v>452</v>
      </c>
      <c r="E55" s="2" t="s">
        <v>510</v>
      </c>
      <c r="F55" s="36" t="s">
        <v>211</v>
      </c>
      <c r="G55" s="36" t="s">
        <v>222</v>
      </c>
      <c r="H55" s="36" t="s">
        <v>367</v>
      </c>
      <c r="I55" s="39">
        <v>1</v>
      </c>
      <c r="J55" s="43">
        <f t="shared" si="1"/>
        <v>1</v>
      </c>
    </row>
    <row r="56" spans="2:10" ht="15" customHeight="1">
      <c r="B56" s="19">
        <v>2</v>
      </c>
      <c r="C56" s="11" t="s">
        <v>504</v>
      </c>
      <c r="D56" s="11" t="s">
        <v>452</v>
      </c>
      <c r="E56" s="2" t="s">
        <v>510</v>
      </c>
      <c r="F56" s="36" t="s">
        <v>212</v>
      </c>
      <c r="G56" s="36" t="s">
        <v>222</v>
      </c>
      <c r="H56" s="36" t="s">
        <v>367</v>
      </c>
      <c r="I56" s="39">
        <v>2.5</v>
      </c>
      <c r="J56" s="43">
        <f t="shared" si="1"/>
        <v>2.5</v>
      </c>
    </row>
    <row r="57" spans="2:10" ht="15" customHeight="1">
      <c r="B57" s="19">
        <v>2</v>
      </c>
      <c r="C57" s="11" t="s">
        <v>504</v>
      </c>
      <c r="D57" s="11" t="s">
        <v>452</v>
      </c>
      <c r="E57" s="2" t="s">
        <v>511</v>
      </c>
      <c r="F57" s="36" t="s">
        <v>213</v>
      </c>
      <c r="G57" s="36" t="s">
        <v>222</v>
      </c>
      <c r="H57" s="36" t="s">
        <v>369</v>
      </c>
      <c r="I57" s="39">
        <v>1</v>
      </c>
      <c r="J57" s="43">
        <f t="shared" si="1"/>
        <v>1</v>
      </c>
    </row>
    <row r="58" spans="2:10" ht="15" customHeight="1">
      <c r="B58" s="19">
        <v>2</v>
      </c>
      <c r="C58" s="11" t="s">
        <v>504</v>
      </c>
      <c r="D58" s="11" t="s">
        <v>452</v>
      </c>
      <c r="E58" s="2" t="s">
        <v>512</v>
      </c>
      <c r="F58" s="36" t="s">
        <v>214</v>
      </c>
      <c r="G58" s="36" t="s">
        <v>221</v>
      </c>
      <c r="H58" s="36" t="s">
        <v>368</v>
      </c>
      <c r="I58" s="39">
        <v>1</v>
      </c>
      <c r="J58" s="43">
        <f t="shared" si="1"/>
        <v>1</v>
      </c>
    </row>
    <row r="59" spans="2:10" ht="15" customHeight="1">
      <c r="B59" s="19">
        <v>2</v>
      </c>
      <c r="C59" s="11" t="s">
        <v>504</v>
      </c>
      <c r="D59" s="11" t="s">
        <v>230</v>
      </c>
      <c r="E59" s="2" t="s">
        <v>513</v>
      </c>
      <c r="F59" s="36" t="s">
        <v>213</v>
      </c>
      <c r="G59" s="36" t="s">
        <v>221</v>
      </c>
      <c r="H59" s="36" t="s">
        <v>368</v>
      </c>
      <c r="I59" s="39">
        <v>1</v>
      </c>
      <c r="J59" s="43">
        <f t="shared" si="1"/>
        <v>1</v>
      </c>
    </row>
    <row r="60" spans="2:10" ht="15" customHeight="1">
      <c r="B60" s="19">
        <v>2</v>
      </c>
      <c r="C60" s="11" t="s">
        <v>514</v>
      </c>
      <c r="D60" s="11" t="s">
        <v>375</v>
      </c>
      <c r="E60" s="2" t="s">
        <v>515</v>
      </c>
      <c r="F60" s="36" t="s">
        <v>215</v>
      </c>
      <c r="G60" s="36" t="s">
        <v>221</v>
      </c>
      <c r="H60" s="36" t="s">
        <v>367</v>
      </c>
      <c r="I60" s="39">
        <v>1</v>
      </c>
      <c r="J60" s="43">
        <f t="shared" si="1"/>
        <v>1</v>
      </c>
    </row>
    <row r="61" spans="2:10" ht="15" customHeight="1">
      <c r="B61" s="19">
        <v>2</v>
      </c>
      <c r="C61" s="11" t="s">
        <v>514</v>
      </c>
      <c r="D61" s="11" t="s">
        <v>375</v>
      </c>
      <c r="E61" s="2" t="s">
        <v>516</v>
      </c>
      <c r="F61" s="36" t="s">
        <v>214</v>
      </c>
      <c r="G61" s="36" t="s">
        <v>221</v>
      </c>
      <c r="H61" s="36" t="s">
        <v>367</v>
      </c>
      <c r="I61" s="39">
        <v>1.5</v>
      </c>
      <c r="J61" s="43">
        <f t="shared" si="1"/>
        <v>1.5</v>
      </c>
    </row>
    <row r="62" spans="2:10" ht="15" customHeight="1">
      <c r="B62" s="19">
        <v>2</v>
      </c>
      <c r="C62" s="11" t="s">
        <v>514</v>
      </c>
      <c r="D62" s="11" t="s">
        <v>375</v>
      </c>
      <c r="E62" s="2" t="s">
        <v>517</v>
      </c>
      <c r="F62" s="36" t="s">
        <v>214</v>
      </c>
      <c r="G62" s="36" t="s">
        <v>221</v>
      </c>
      <c r="H62" s="36" t="s">
        <v>367</v>
      </c>
      <c r="I62" s="39">
        <v>1</v>
      </c>
      <c r="J62" s="43">
        <f t="shared" si="1"/>
        <v>1</v>
      </c>
    </row>
    <row r="63" spans="2:10" ht="15" customHeight="1">
      <c r="B63" s="19">
        <v>2</v>
      </c>
      <c r="C63" s="11" t="s">
        <v>514</v>
      </c>
      <c r="D63" s="11" t="s">
        <v>466</v>
      </c>
      <c r="E63" s="2" t="s">
        <v>518</v>
      </c>
      <c r="F63" s="36" t="s">
        <v>215</v>
      </c>
      <c r="G63" s="36" t="s">
        <v>221</v>
      </c>
      <c r="H63" s="36" t="s">
        <v>367</v>
      </c>
      <c r="I63" s="39">
        <v>1.5</v>
      </c>
      <c r="J63" s="43">
        <f t="shared" si="1"/>
        <v>1.5</v>
      </c>
    </row>
    <row r="64" spans="2:10" ht="15" customHeight="1">
      <c r="B64" s="19">
        <v>2</v>
      </c>
      <c r="C64" s="11" t="s">
        <v>514</v>
      </c>
      <c r="D64" s="11" t="s">
        <v>466</v>
      </c>
      <c r="E64" s="2" t="s">
        <v>519</v>
      </c>
      <c r="F64" s="36" t="s">
        <v>215</v>
      </c>
      <c r="G64" s="36" t="s">
        <v>221</v>
      </c>
      <c r="H64" s="36" t="s">
        <v>368</v>
      </c>
      <c r="I64" s="39">
        <v>1</v>
      </c>
      <c r="J64" s="43">
        <f t="shared" si="1"/>
        <v>1</v>
      </c>
    </row>
    <row r="65" spans="2:10" ht="15" customHeight="1">
      <c r="B65" s="19">
        <v>2</v>
      </c>
      <c r="C65" s="11" t="s">
        <v>514</v>
      </c>
      <c r="D65" s="11" t="s">
        <v>230</v>
      </c>
      <c r="E65" s="2" t="s">
        <v>520</v>
      </c>
      <c r="F65" s="36" t="s">
        <v>214</v>
      </c>
      <c r="G65" s="36" t="s">
        <v>221</v>
      </c>
      <c r="H65" s="36" t="s">
        <v>368</v>
      </c>
      <c r="I65" s="39">
        <v>4</v>
      </c>
      <c r="J65" s="43">
        <f t="shared" si="1"/>
        <v>4</v>
      </c>
    </row>
    <row r="66" spans="2:10" ht="15" customHeight="1">
      <c r="B66" s="19">
        <v>2</v>
      </c>
      <c r="C66" s="11" t="s">
        <v>514</v>
      </c>
      <c r="D66" s="11" t="s">
        <v>375</v>
      </c>
      <c r="E66" s="2" t="s">
        <v>521</v>
      </c>
      <c r="F66" s="36" t="s">
        <v>214</v>
      </c>
      <c r="G66" s="36" t="s">
        <v>221</v>
      </c>
      <c r="H66" s="36" t="s">
        <v>368</v>
      </c>
      <c r="I66" s="39">
        <v>1.5</v>
      </c>
      <c r="J66" s="43">
        <f t="shared" si="1"/>
        <v>1.5</v>
      </c>
    </row>
    <row r="67" spans="2:10" ht="15" customHeight="1">
      <c r="E67" s="14" t="s">
        <v>523</v>
      </c>
      <c r="I67" s="15">
        <f>SUM(I37:I66)</f>
        <v>50</v>
      </c>
    </row>
    <row r="69" spans="2:10" ht="15" customHeight="1">
      <c r="B69" s="19">
        <v>3</v>
      </c>
      <c r="C69" s="11" t="s">
        <v>493</v>
      </c>
      <c r="D69" s="11" t="s">
        <v>454</v>
      </c>
      <c r="E69" s="2" t="s">
        <v>494</v>
      </c>
      <c r="F69" s="36" t="s">
        <v>215</v>
      </c>
      <c r="G69" s="36" t="s">
        <v>221</v>
      </c>
      <c r="H69" s="36" t="s">
        <v>367</v>
      </c>
      <c r="I69" s="39">
        <v>1</v>
      </c>
      <c r="J69" s="43">
        <f t="shared" ref="J69:J98" si="2">I69</f>
        <v>1</v>
      </c>
    </row>
    <row r="70" spans="2:10" ht="15" customHeight="1">
      <c r="B70" s="19">
        <v>3</v>
      </c>
      <c r="C70" s="11" t="s">
        <v>493</v>
      </c>
      <c r="D70" s="11" t="s">
        <v>454</v>
      </c>
      <c r="E70" s="2" t="s">
        <v>495</v>
      </c>
      <c r="F70" s="36" t="s">
        <v>214</v>
      </c>
      <c r="G70" s="36" t="s">
        <v>221</v>
      </c>
      <c r="H70" s="36" t="s">
        <v>367</v>
      </c>
      <c r="I70" s="39">
        <v>1</v>
      </c>
      <c r="J70" s="43">
        <f t="shared" si="2"/>
        <v>1</v>
      </c>
    </row>
    <row r="71" spans="2:10" ht="15" customHeight="1">
      <c r="B71" s="19">
        <v>3</v>
      </c>
      <c r="C71" s="11" t="s">
        <v>493</v>
      </c>
      <c r="D71" s="11" t="s">
        <v>454</v>
      </c>
      <c r="E71" s="2" t="s">
        <v>496</v>
      </c>
      <c r="F71" s="36" t="s">
        <v>211</v>
      </c>
      <c r="G71" s="36" t="s">
        <v>222</v>
      </c>
      <c r="H71" s="36" t="s">
        <v>367</v>
      </c>
      <c r="I71" s="39">
        <v>0.5</v>
      </c>
      <c r="J71" s="43">
        <f t="shared" si="2"/>
        <v>0.5</v>
      </c>
    </row>
    <row r="72" spans="2:10" ht="15" customHeight="1">
      <c r="B72" s="19">
        <v>3</v>
      </c>
      <c r="C72" s="11" t="s">
        <v>493</v>
      </c>
      <c r="D72" s="11" t="s">
        <v>454</v>
      </c>
      <c r="E72" s="2" t="s">
        <v>496</v>
      </c>
      <c r="F72" s="36" t="s">
        <v>212</v>
      </c>
      <c r="G72" s="36" t="s">
        <v>222</v>
      </c>
      <c r="H72" s="36" t="s">
        <v>367</v>
      </c>
      <c r="I72" s="39">
        <v>0.5</v>
      </c>
      <c r="J72" s="43">
        <f t="shared" si="2"/>
        <v>0.5</v>
      </c>
    </row>
    <row r="73" spans="2:10" ht="15" customHeight="1">
      <c r="B73" s="19">
        <v>3</v>
      </c>
      <c r="C73" s="11" t="s">
        <v>493</v>
      </c>
      <c r="D73" s="11" t="s">
        <v>454</v>
      </c>
      <c r="E73" s="2" t="s">
        <v>497</v>
      </c>
      <c r="F73" s="36" t="s">
        <v>213</v>
      </c>
      <c r="G73" s="36" t="s">
        <v>221</v>
      </c>
      <c r="H73" s="36" t="s">
        <v>367</v>
      </c>
      <c r="I73" s="39">
        <v>1</v>
      </c>
      <c r="J73" s="43">
        <f t="shared" si="2"/>
        <v>1</v>
      </c>
    </row>
    <row r="74" spans="2:10" ht="15" customHeight="1">
      <c r="B74" s="19">
        <v>3</v>
      </c>
      <c r="C74" s="11" t="s">
        <v>493</v>
      </c>
      <c r="D74" s="11" t="s">
        <v>466</v>
      </c>
      <c r="E74" s="2" t="s">
        <v>498</v>
      </c>
      <c r="F74" s="36" t="s">
        <v>213</v>
      </c>
      <c r="G74" s="36" t="s">
        <v>222</v>
      </c>
      <c r="H74" s="36" t="s">
        <v>367</v>
      </c>
      <c r="I74" s="39">
        <v>0.5</v>
      </c>
      <c r="J74" s="43">
        <f t="shared" si="2"/>
        <v>0.5</v>
      </c>
    </row>
    <row r="75" spans="2:10" ht="15" customHeight="1">
      <c r="B75" s="19">
        <v>3</v>
      </c>
      <c r="C75" s="11" t="s">
        <v>493</v>
      </c>
      <c r="D75" s="11" t="s">
        <v>447</v>
      </c>
      <c r="E75" s="2" t="s">
        <v>499</v>
      </c>
      <c r="F75" s="36" t="s">
        <v>213</v>
      </c>
      <c r="G75" s="36" t="s">
        <v>221</v>
      </c>
      <c r="H75" s="36" t="s">
        <v>367</v>
      </c>
      <c r="I75" s="39">
        <v>1.5</v>
      </c>
      <c r="J75" s="43">
        <f t="shared" si="2"/>
        <v>1.5</v>
      </c>
    </row>
    <row r="76" spans="2:10" ht="15" customHeight="1">
      <c r="B76" s="19">
        <v>3</v>
      </c>
      <c r="C76" s="11" t="s">
        <v>493</v>
      </c>
      <c r="D76" s="11" t="s">
        <v>447</v>
      </c>
      <c r="E76" s="2" t="s">
        <v>499</v>
      </c>
      <c r="F76" s="36" t="s">
        <v>213</v>
      </c>
      <c r="G76" s="36" t="s">
        <v>222</v>
      </c>
      <c r="H76" s="36" t="s">
        <v>367</v>
      </c>
      <c r="I76" s="39">
        <v>0.5</v>
      </c>
      <c r="J76" s="43">
        <f t="shared" si="2"/>
        <v>0.5</v>
      </c>
    </row>
    <row r="77" spans="2:10" ht="15" customHeight="1">
      <c r="B77" s="19">
        <v>3</v>
      </c>
      <c r="C77" s="11" t="s">
        <v>493</v>
      </c>
      <c r="D77" s="11" t="s">
        <v>447</v>
      </c>
      <c r="E77" s="2" t="s">
        <v>500</v>
      </c>
      <c r="F77" s="36" t="s">
        <v>215</v>
      </c>
      <c r="G77" s="36" t="s">
        <v>222</v>
      </c>
      <c r="H77" s="36" t="s">
        <v>367</v>
      </c>
      <c r="I77" s="39">
        <v>0.5</v>
      </c>
      <c r="J77" s="43">
        <f t="shared" si="2"/>
        <v>0.5</v>
      </c>
    </row>
    <row r="78" spans="2:10" ht="15" customHeight="1">
      <c r="B78" s="19">
        <v>3</v>
      </c>
      <c r="C78" s="11" t="s">
        <v>493</v>
      </c>
      <c r="D78" s="11" t="s">
        <v>447</v>
      </c>
      <c r="E78" s="2" t="s">
        <v>501</v>
      </c>
      <c r="F78" s="36" t="s">
        <v>213</v>
      </c>
      <c r="G78" s="36" t="s">
        <v>222</v>
      </c>
      <c r="H78" s="36" t="s">
        <v>369</v>
      </c>
      <c r="I78" s="39">
        <v>4.5</v>
      </c>
      <c r="J78" s="43">
        <f t="shared" si="2"/>
        <v>4.5</v>
      </c>
    </row>
    <row r="79" spans="2:10" ht="15" customHeight="1">
      <c r="B79" s="19">
        <v>3</v>
      </c>
      <c r="C79" s="11" t="s">
        <v>493</v>
      </c>
      <c r="D79" s="11" t="s">
        <v>375</v>
      </c>
      <c r="E79" s="2" t="s">
        <v>502</v>
      </c>
      <c r="F79" s="36" t="s">
        <v>214</v>
      </c>
      <c r="G79" s="36" t="s">
        <v>221</v>
      </c>
      <c r="H79" s="36" t="s">
        <v>368</v>
      </c>
      <c r="I79" s="39">
        <v>1</v>
      </c>
      <c r="J79" s="43">
        <f t="shared" si="2"/>
        <v>1</v>
      </c>
    </row>
    <row r="80" spans="2:10" ht="15" customHeight="1">
      <c r="B80" s="19">
        <v>3</v>
      </c>
      <c r="C80" s="11" t="s">
        <v>493</v>
      </c>
      <c r="D80" s="11" t="s">
        <v>454</v>
      </c>
      <c r="E80" s="2" t="s">
        <v>503</v>
      </c>
      <c r="F80" s="36" t="s">
        <v>213</v>
      </c>
      <c r="G80" s="36" t="s">
        <v>221</v>
      </c>
      <c r="H80" s="36" t="s">
        <v>368</v>
      </c>
      <c r="I80" s="39">
        <v>4.5</v>
      </c>
      <c r="J80" s="43">
        <f t="shared" si="2"/>
        <v>4.5</v>
      </c>
    </row>
    <row r="81" spans="2:10" ht="15" customHeight="1">
      <c r="B81" s="19">
        <v>3</v>
      </c>
      <c r="C81" s="11" t="s">
        <v>504</v>
      </c>
      <c r="D81" s="11" t="s">
        <v>452</v>
      </c>
      <c r="E81" s="2" t="s">
        <v>505</v>
      </c>
      <c r="F81" s="36" t="s">
        <v>215</v>
      </c>
      <c r="G81" s="36" t="s">
        <v>221</v>
      </c>
      <c r="H81" s="36" t="s">
        <v>367</v>
      </c>
      <c r="I81" s="39">
        <v>1</v>
      </c>
      <c r="J81" s="43">
        <f t="shared" si="2"/>
        <v>1</v>
      </c>
    </row>
    <row r="82" spans="2:10" ht="15" customHeight="1">
      <c r="B82" s="19">
        <v>3</v>
      </c>
      <c r="C82" s="11" t="s">
        <v>504</v>
      </c>
      <c r="D82" s="11" t="s">
        <v>452</v>
      </c>
      <c r="E82" s="2" t="s">
        <v>506</v>
      </c>
      <c r="F82" s="36" t="s">
        <v>214</v>
      </c>
      <c r="G82" s="36" t="s">
        <v>221</v>
      </c>
      <c r="H82" s="36" t="s">
        <v>367</v>
      </c>
      <c r="I82" s="39">
        <v>2</v>
      </c>
      <c r="J82" s="43">
        <f t="shared" si="2"/>
        <v>2</v>
      </c>
    </row>
    <row r="83" spans="2:10" ht="15" customHeight="1">
      <c r="B83" s="19">
        <v>3</v>
      </c>
      <c r="C83" s="11" t="s">
        <v>504</v>
      </c>
      <c r="D83" s="11" t="s">
        <v>452</v>
      </c>
      <c r="E83" s="2" t="s">
        <v>507</v>
      </c>
      <c r="F83" s="36" t="s">
        <v>213</v>
      </c>
      <c r="G83" s="36" t="s">
        <v>221</v>
      </c>
      <c r="H83" s="36" t="s">
        <v>367</v>
      </c>
      <c r="I83" s="39">
        <v>1</v>
      </c>
      <c r="J83" s="43">
        <f t="shared" si="2"/>
        <v>1</v>
      </c>
    </row>
    <row r="84" spans="2:10" ht="15" customHeight="1">
      <c r="B84" s="19">
        <v>3</v>
      </c>
      <c r="C84" s="11" t="s">
        <v>504</v>
      </c>
      <c r="D84" s="11" t="s">
        <v>452</v>
      </c>
      <c r="E84" s="2" t="s">
        <v>508</v>
      </c>
      <c r="F84" s="36" t="s">
        <v>213</v>
      </c>
      <c r="G84" s="36" t="s">
        <v>222</v>
      </c>
      <c r="H84" s="36" t="s">
        <v>367</v>
      </c>
      <c r="I84" s="39">
        <v>3</v>
      </c>
      <c r="J84" s="43">
        <f t="shared" si="2"/>
        <v>3</v>
      </c>
    </row>
    <row r="85" spans="2:10" ht="15" customHeight="1">
      <c r="B85" s="19">
        <v>3</v>
      </c>
      <c r="C85" s="11" t="s">
        <v>504</v>
      </c>
      <c r="D85" s="11" t="s">
        <v>452</v>
      </c>
      <c r="E85" s="2" t="s">
        <v>508</v>
      </c>
      <c r="F85" s="36" t="s">
        <v>214</v>
      </c>
      <c r="G85" s="36" t="s">
        <v>222</v>
      </c>
      <c r="H85" s="36" t="s">
        <v>367</v>
      </c>
      <c r="I85" s="39">
        <v>3</v>
      </c>
      <c r="J85" s="43">
        <f t="shared" si="2"/>
        <v>3</v>
      </c>
    </row>
    <row r="86" spans="2:10" ht="15" customHeight="1">
      <c r="B86" s="19">
        <v>3</v>
      </c>
      <c r="C86" s="11" t="s">
        <v>504</v>
      </c>
      <c r="D86" s="11" t="s">
        <v>452</v>
      </c>
      <c r="E86" s="2" t="s">
        <v>509</v>
      </c>
      <c r="F86" s="36" t="s">
        <v>215</v>
      </c>
      <c r="G86" s="36" t="s">
        <v>222</v>
      </c>
      <c r="H86" s="36" t="s">
        <v>367</v>
      </c>
      <c r="I86" s="39">
        <v>0.5</v>
      </c>
      <c r="J86" s="43">
        <f t="shared" si="2"/>
        <v>0.5</v>
      </c>
    </row>
    <row r="87" spans="2:10" ht="15" customHeight="1">
      <c r="B87" s="19">
        <v>3</v>
      </c>
      <c r="C87" s="11" t="s">
        <v>504</v>
      </c>
      <c r="D87" s="11" t="s">
        <v>452</v>
      </c>
      <c r="E87" s="2" t="s">
        <v>510</v>
      </c>
      <c r="F87" s="36" t="s">
        <v>211</v>
      </c>
      <c r="G87" s="36" t="s">
        <v>222</v>
      </c>
      <c r="H87" s="36" t="s">
        <v>367</v>
      </c>
      <c r="I87" s="39">
        <v>0.5</v>
      </c>
      <c r="J87" s="43">
        <f t="shared" si="2"/>
        <v>0.5</v>
      </c>
    </row>
    <row r="88" spans="2:10" ht="15" customHeight="1">
      <c r="B88" s="19">
        <v>3</v>
      </c>
      <c r="C88" s="11" t="s">
        <v>504</v>
      </c>
      <c r="D88" s="11" t="s">
        <v>452</v>
      </c>
      <c r="E88" s="2" t="s">
        <v>510</v>
      </c>
      <c r="F88" s="36" t="s">
        <v>212</v>
      </c>
      <c r="G88" s="36" t="s">
        <v>222</v>
      </c>
      <c r="H88" s="36" t="s">
        <v>367</v>
      </c>
      <c r="I88" s="39">
        <v>0.5</v>
      </c>
      <c r="J88" s="43">
        <f t="shared" si="2"/>
        <v>0.5</v>
      </c>
    </row>
    <row r="89" spans="2:10" ht="15" customHeight="1">
      <c r="B89" s="19">
        <v>3</v>
      </c>
      <c r="C89" s="11" t="s">
        <v>504</v>
      </c>
      <c r="D89" s="11" t="s">
        <v>452</v>
      </c>
      <c r="E89" s="2" t="s">
        <v>511</v>
      </c>
      <c r="F89" s="36" t="s">
        <v>213</v>
      </c>
      <c r="G89" s="36" t="s">
        <v>222</v>
      </c>
      <c r="H89" s="36" t="s">
        <v>369</v>
      </c>
      <c r="I89" s="39">
        <v>2.5</v>
      </c>
      <c r="J89" s="43">
        <f t="shared" si="2"/>
        <v>2.5</v>
      </c>
    </row>
    <row r="90" spans="2:10" ht="15" customHeight="1">
      <c r="B90" s="19">
        <v>3</v>
      </c>
      <c r="C90" s="11" t="s">
        <v>504</v>
      </c>
      <c r="D90" s="11" t="s">
        <v>452</v>
      </c>
      <c r="E90" s="2" t="s">
        <v>512</v>
      </c>
      <c r="F90" s="36" t="s">
        <v>214</v>
      </c>
      <c r="G90" s="36" t="s">
        <v>221</v>
      </c>
      <c r="H90" s="36" t="s">
        <v>368</v>
      </c>
      <c r="I90" s="39">
        <v>0.5</v>
      </c>
      <c r="J90" s="43">
        <f t="shared" si="2"/>
        <v>0.5</v>
      </c>
    </row>
    <row r="91" spans="2:10" ht="15" customHeight="1">
      <c r="B91" s="19">
        <v>3</v>
      </c>
      <c r="C91" s="11" t="s">
        <v>504</v>
      </c>
      <c r="D91" s="11" t="s">
        <v>230</v>
      </c>
      <c r="E91" s="2" t="s">
        <v>513</v>
      </c>
      <c r="F91" s="36" t="s">
        <v>213</v>
      </c>
      <c r="G91" s="36" t="s">
        <v>221</v>
      </c>
      <c r="H91" s="36" t="s">
        <v>368</v>
      </c>
      <c r="I91" s="39">
        <v>1.5</v>
      </c>
      <c r="J91" s="43">
        <f t="shared" si="2"/>
        <v>1.5</v>
      </c>
    </row>
    <row r="92" spans="2:10" ht="15" customHeight="1">
      <c r="B92" s="19">
        <v>3</v>
      </c>
      <c r="C92" s="11" t="s">
        <v>514</v>
      </c>
      <c r="D92" s="11" t="s">
        <v>375</v>
      </c>
      <c r="E92" s="2" t="s">
        <v>515</v>
      </c>
      <c r="F92" s="36" t="s">
        <v>215</v>
      </c>
      <c r="G92" s="36" t="s">
        <v>221</v>
      </c>
      <c r="H92" s="36" t="s">
        <v>367</v>
      </c>
      <c r="I92" s="39">
        <v>0.5</v>
      </c>
      <c r="J92" s="43">
        <f t="shared" si="2"/>
        <v>0.5</v>
      </c>
    </row>
    <row r="93" spans="2:10" ht="15" customHeight="1">
      <c r="B93" s="19">
        <v>3</v>
      </c>
      <c r="C93" s="11" t="s">
        <v>514</v>
      </c>
      <c r="D93" s="11" t="s">
        <v>375</v>
      </c>
      <c r="E93" s="2" t="s">
        <v>516</v>
      </c>
      <c r="F93" s="36" t="s">
        <v>214</v>
      </c>
      <c r="G93" s="36" t="s">
        <v>221</v>
      </c>
      <c r="H93" s="36" t="s">
        <v>367</v>
      </c>
      <c r="I93" s="39">
        <v>0.5</v>
      </c>
      <c r="J93" s="43">
        <f t="shared" si="2"/>
        <v>0.5</v>
      </c>
    </row>
    <row r="94" spans="2:10" ht="15" customHeight="1">
      <c r="B94" s="19">
        <v>3</v>
      </c>
      <c r="C94" s="11" t="s">
        <v>514</v>
      </c>
      <c r="D94" s="11" t="s">
        <v>375</v>
      </c>
      <c r="E94" s="2" t="s">
        <v>517</v>
      </c>
      <c r="F94" s="36" t="s">
        <v>214</v>
      </c>
      <c r="G94" s="36" t="s">
        <v>221</v>
      </c>
      <c r="H94" s="36" t="s">
        <v>367</v>
      </c>
      <c r="I94" s="39">
        <v>0.5</v>
      </c>
      <c r="J94" s="43">
        <f t="shared" si="2"/>
        <v>0.5</v>
      </c>
    </row>
    <row r="95" spans="2:10" ht="15" customHeight="1">
      <c r="B95" s="19">
        <v>3</v>
      </c>
      <c r="C95" s="11" t="s">
        <v>514</v>
      </c>
      <c r="D95" s="11" t="s">
        <v>466</v>
      </c>
      <c r="E95" s="2" t="s">
        <v>518</v>
      </c>
      <c r="F95" s="36" t="s">
        <v>215</v>
      </c>
      <c r="G95" s="36" t="s">
        <v>221</v>
      </c>
      <c r="H95" s="36" t="s">
        <v>367</v>
      </c>
      <c r="I95" s="39">
        <v>0.5</v>
      </c>
      <c r="J95" s="43">
        <f t="shared" si="2"/>
        <v>0.5</v>
      </c>
    </row>
    <row r="96" spans="2:10" ht="15" customHeight="1">
      <c r="B96" s="19">
        <v>3</v>
      </c>
      <c r="C96" s="11" t="s">
        <v>514</v>
      </c>
      <c r="D96" s="11" t="s">
        <v>466</v>
      </c>
      <c r="E96" s="2" t="s">
        <v>519</v>
      </c>
      <c r="F96" s="36" t="s">
        <v>215</v>
      </c>
      <c r="G96" s="36" t="s">
        <v>221</v>
      </c>
      <c r="H96" s="36" t="s">
        <v>368</v>
      </c>
      <c r="I96" s="39">
        <v>0.5</v>
      </c>
      <c r="J96" s="43">
        <f t="shared" si="2"/>
        <v>0.5</v>
      </c>
    </row>
    <row r="97" spans="2:10" ht="15" customHeight="1">
      <c r="B97" s="19">
        <v>3</v>
      </c>
      <c r="C97" s="11" t="s">
        <v>514</v>
      </c>
      <c r="D97" s="11" t="s">
        <v>230</v>
      </c>
      <c r="E97" s="2" t="s">
        <v>520</v>
      </c>
      <c r="F97" s="36" t="s">
        <v>214</v>
      </c>
      <c r="G97" s="36" t="s">
        <v>221</v>
      </c>
      <c r="H97" s="36" t="s">
        <v>368</v>
      </c>
      <c r="I97" s="39">
        <v>2.5</v>
      </c>
      <c r="J97" s="43">
        <f t="shared" si="2"/>
        <v>2.5</v>
      </c>
    </row>
    <row r="98" spans="2:10" ht="15" customHeight="1">
      <c r="B98" s="19">
        <v>3</v>
      </c>
      <c r="C98" s="11" t="s">
        <v>514</v>
      </c>
      <c r="D98" s="11" t="s">
        <v>375</v>
      </c>
      <c r="E98" s="2" t="s">
        <v>521</v>
      </c>
      <c r="F98" s="36" t="s">
        <v>214</v>
      </c>
      <c r="G98" s="36" t="s">
        <v>221</v>
      </c>
      <c r="H98" s="36" t="s">
        <v>368</v>
      </c>
      <c r="I98" s="39">
        <v>0.5</v>
      </c>
      <c r="J98" s="43">
        <f t="shared" si="2"/>
        <v>0.5</v>
      </c>
    </row>
    <row r="99" spans="2:10" ht="15" customHeight="1">
      <c r="E99" s="14" t="s">
        <v>524</v>
      </c>
      <c r="I99" s="15">
        <f>SUM(I69:I98)</f>
        <v>38.5</v>
      </c>
    </row>
    <row r="101" spans="2:10" ht="15" customHeight="1">
      <c r="B101" s="19">
        <v>4</v>
      </c>
      <c r="C101" s="11" t="s">
        <v>493</v>
      </c>
      <c r="D101" s="11" t="s">
        <v>454</v>
      </c>
      <c r="E101" s="2" t="s">
        <v>494</v>
      </c>
      <c r="F101" s="36" t="s">
        <v>215</v>
      </c>
      <c r="G101" s="36" t="s">
        <v>221</v>
      </c>
      <c r="H101" s="36" t="s">
        <v>367</v>
      </c>
      <c r="I101" s="39">
        <v>0.5</v>
      </c>
      <c r="J101" s="43">
        <f t="shared" ref="J101:J130" si="3">I101</f>
        <v>0.5</v>
      </c>
    </row>
    <row r="102" spans="2:10" ht="15" customHeight="1">
      <c r="B102" s="19">
        <v>4</v>
      </c>
      <c r="C102" s="11" t="s">
        <v>493</v>
      </c>
      <c r="D102" s="11" t="s">
        <v>454</v>
      </c>
      <c r="E102" s="2" t="s">
        <v>495</v>
      </c>
      <c r="F102" s="36" t="s">
        <v>214</v>
      </c>
      <c r="G102" s="36" t="s">
        <v>221</v>
      </c>
      <c r="H102" s="36" t="s">
        <v>367</v>
      </c>
      <c r="I102" s="39">
        <v>0.5</v>
      </c>
      <c r="J102" s="43">
        <f t="shared" si="3"/>
        <v>0.5</v>
      </c>
    </row>
    <row r="103" spans="2:10" ht="15" customHeight="1">
      <c r="B103" s="19">
        <v>4</v>
      </c>
      <c r="C103" s="11" t="s">
        <v>493</v>
      </c>
      <c r="D103" s="11" t="s">
        <v>454</v>
      </c>
      <c r="E103" s="2" t="s">
        <v>496</v>
      </c>
      <c r="F103" s="36" t="s">
        <v>211</v>
      </c>
      <c r="G103" s="36" t="s">
        <v>222</v>
      </c>
      <c r="H103" s="36" t="s">
        <v>367</v>
      </c>
      <c r="I103" s="39">
        <v>0.5</v>
      </c>
      <c r="J103" s="43">
        <f t="shared" si="3"/>
        <v>0.5</v>
      </c>
    </row>
    <row r="104" spans="2:10" ht="15" customHeight="1">
      <c r="B104" s="19">
        <v>4</v>
      </c>
      <c r="C104" s="11" t="s">
        <v>493</v>
      </c>
      <c r="D104" s="11" t="s">
        <v>454</v>
      </c>
      <c r="E104" s="2" t="s">
        <v>496</v>
      </c>
      <c r="F104" s="36" t="s">
        <v>212</v>
      </c>
      <c r="G104" s="36" t="s">
        <v>222</v>
      </c>
      <c r="H104" s="36" t="s">
        <v>367</v>
      </c>
      <c r="I104" s="39">
        <v>0.5</v>
      </c>
      <c r="J104" s="43">
        <f t="shared" si="3"/>
        <v>0.5</v>
      </c>
    </row>
    <row r="105" spans="2:10" ht="15" customHeight="1">
      <c r="B105" s="19">
        <v>4</v>
      </c>
      <c r="C105" s="11" t="s">
        <v>493</v>
      </c>
      <c r="D105" s="11" t="s">
        <v>454</v>
      </c>
      <c r="E105" s="2" t="s">
        <v>497</v>
      </c>
      <c r="F105" s="36" t="s">
        <v>213</v>
      </c>
      <c r="G105" s="36" t="s">
        <v>221</v>
      </c>
      <c r="H105" s="36" t="s">
        <v>367</v>
      </c>
      <c r="I105" s="39">
        <v>0.5</v>
      </c>
      <c r="J105" s="43">
        <f t="shared" si="3"/>
        <v>0.5</v>
      </c>
    </row>
    <row r="106" spans="2:10" ht="15" customHeight="1">
      <c r="B106" s="19">
        <v>4</v>
      </c>
      <c r="C106" s="11" t="s">
        <v>493</v>
      </c>
      <c r="D106" s="11" t="s">
        <v>466</v>
      </c>
      <c r="E106" s="2" t="s">
        <v>498</v>
      </c>
      <c r="F106" s="36" t="s">
        <v>213</v>
      </c>
      <c r="G106" s="36" t="s">
        <v>222</v>
      </c>
      <c r="H106" s="36" t="s">
        <v>367</v>
      </c>
      <c r="I106" s="39">
        <v>0.5</v>
      </c>
      <c r="J106" s="43">
        <f t="shared" si="3"/>
        <v>0.5</v>
      </c>
    </row>
    <row r="107" spans="2:10" ht="15" customHeight="1">
      <c r="B107" s="19">
        <v>4</v>
      </c>
      <c r="C107" s="11" t="s">
        <v>493</v>
      </c>
      <c r="D107" s="11" t="s">
        <v>447</v>
      </c>
      <c r="E107" s="2" t="s">
        <v>499</v>
      </c>
      <c r="F107" s="36" t="s">
        <v>213</v>
      </c>
      <c r="G107" s="36" t="s">
        <v>221</v>
      </c>
      <c r="H107" s="36" t="s">
        <v>367</v>
      </c>
      <c r="I107" s="39">
        <v>0.5</v>
      </c>
      <c r="J107" s="43">
        <f t="shared" si="3"/>
        <v>0.5</v>
      </c>
    </row>
    <row r="108" spans="2:10" ht="15" customHeight="1">
      <c r="B108" s="19">
        <v>4</v>
      </c>
      <c r="C108" s="11" t="s">
        <v>493</v>
      </c>
      <c r="D108" s="11" t="s">
        <v>447</v>
      </c>
      <c r="E108" s="2" t="s">
        <v>499</v>
      </c>
      <c r="F108" s="36" t="s">
        <v>213</v>
      </c>
      <c r="G108" s="36" t="s">
        <v>222</v>
      </c>
      <c r="H108" s="36" t="s">
        <v>367</v>
      </c>
      <c r="I108" s="39">
        <v>0.5</v>
      </c>
      <c r="J108" s="43">
        <f t="shared" si="3"/>
        <v>0.5</v>
      </c>
    </row>
    <row r="109" spans="2:10" ht="15" customHeight="1">
      <c r="B109" s="19">
        <v>4</v>
      </c>
      <c r="C109" s="11" t="s">
        <v>493</v>
      </c>
      <c r="D109" s="11" t="s">
        <v>447</v>
      </c>
      <c r="E109" s="2" t="s">
        <v>500</v>
      </c>
      <c r="F109" s="36" t="s">
        <v>215</v>
      </c>
      <c r="G109" s="36" t="s">
        <v>222</v>
      </c>
      <c r="H109" s="36" t="s">
        <v>367</v>
      </c>
      <c r="I109" s="39">
        <v>0.5</v>
      </c>
      <c r="J109" s="43">
        <f t="shared" si="3"/>
        <v>0.5</v>
      </c>
    </row>
    <row r="110" spans="2:10" ht="15" customHeight="1">
      <c r="B110" s="19">
        <v>4</v>
      </c>
      <c r="C110" s="11" t="s">
        <v>493</v>
      </c>
      <c r="D110" s="11" t="s">
        <v>447</v>
      </c>
      <c r="E110" s="2" t="s">
        <v>501</v>
      </c>
      <c r="F110" s="36" t="s">
        <v>213</v>
      </c>
      <c r="G110" s="36" t="s">
        <v>222</v>
      </c>
      <c r="H110" s="36" t="s">
        <v>369</v>
      </c>
      <c r="I110" s="39">
        <v>4.5</v>
      </c>
      <c r="J110" s="43">
        <f t="shared" si="3"/>
        <v>4.5</v>
      </c>
    </row>
    <row r="111" spans="2:10" ht="15" customHeight="1">
      <c r="B111" s="19">
        <v>4</v>
      </c>
      <c r="C111" s="11" t="s">
        <v>493</v>
      </c>
      <c r="D111" s="11" t="s">
        <v>375</v>
      </c>
      <c r="E111" s="2" t="s">
        <v>502</v>
      </c>
      <c r="F111" s="36" t="s">
        <v>214</v>
      </c>
      <c r="G111" s="36" t="s">
        <v>221</v>
      </c>
      <c r="H111" s="36" t="s">
        <v>368</v>
      </c>
      <c r="I111" s="39">
        <v>2.5</v>
      </c>
      <c r="J111" s="43">
        <f t="shared" si="3"/>
        <v>2.5</v>
      </c>
    </row>
    <row r="112" spans="2:10" ht="15" customHeight="1">
      <c r="B112" s="19">
        <v>4</v>
      </c>
      <c r="C112" s="11" t="s">
        <v>493</v>
      </c>
      <c r="D112" s="11" t="s">
        <v>454</v>
      </c>
      <c r="E112" s="2" t="s">
        <v>503</v>
      </c>
      <c r="F112" s="36" t="s">
        <v>213</v>
      </c>
      <c r="G112" s="36" t="s">
        <v>221</v>
      </c>
      <c r="H112" s="36" t="s">
        <v>368</v>
      </c>
      <c r="I112" s="39">
        <v>5</v>
      </c>
      <c r="J112" s="43">
        <f t="shared" si="3"/>
        <v>5</v>
      </c>
    </row>
    <row r="113" spans="2:10" ht="15" customHeight="1">
      <c r="B113" s="19">
        <v>4</v>
      </c>
      <c r="C113" s="11" t="s">
        <v>504</v>
      </c>
      <c r="D113" s="11" t="s">
        <v>452</v>
      </c>
      <c r="E113" s="2" t="s">
        <v>505</v>
      </c>
      <c r="F113" s="36" t="s">
        <v>215</v>
      </c>
      <c r="G113" s="36" t="s">
        <v>221</v>
      </c>
      <c r="H113" s="36" t="s">
        <v>367</v>
      </c>
      <c r="I113" s="39">
        <v>0.5</v>
      </c>
      <c r="J113" s="43">
        <f t="shared" si="3"/>
        <v>0.5</v>
      </c>
    </row>
    <row r="114" spans="2:10" ht="15" customHeight="1">
      <c r="B114" s="19">
        <v>4</v>
      </c>
      <c r="C114" s="11" t="s">
        <v>504</v>
      </c>
      <c r="D114" s="11" t="s">
        <v>452</v>
      </c>
      <c r="E114" s="2" t="s">
        <v>506</v>
      </c>
      <c r="F114" s="36" t="s">
        <v>214</v>
      </c>
      <c r="G114" s="36" t="s">
        <v>221</v>
      </c>
      <c r="H114" s="36" t="s">
        <v>367</v>
      </c>
      <c r="I114" s="39">
        <v>0.5</v>
      </c>
      <c r="J114" s="43">
        <f t="shared" si="3"/>
        <v>0.5</v>
      </c>
    </row>
    <row r="115" spans="2:10" ht="15" customHeight="1">
      <c r="B115" s="19">
        <v>4</v>
      </c>
      <c r="C115" s="11" t="s">
        <v>504</v>
      </c>
      <c r="D115" s="11" t="s">
        <v>452</v>
      </c>
      <c r="E115" s="2" t="s">
        <v>507</v>
      </c>
      <c r="F115" s="36" t="s">
        <v>213</v>
      </c>
      <c r="G115" s="36" t="s">
        <v>221</v>
      </c>
      <c r="H115" s="36" t="s">
        <v>367</v>
      </c>
      <c r="I115" s="39">
        <v>0.5</v>
      </c>
      <c r="J115" s="43">
        <f t="shared" si="3"/>
        <v>0.5</v>
      </c>
    </row>
    <row r="116" spans="2:10" ht="15" customHeight="1">
      <c r="B116" s="19">
        <v>4</v>
      </c>
      <c r="C116" s="11" t="s">
        <v>504</v>
      </c>
      <c r="D116" s="11" t="s">
        <v>452</v>
      </c>
      <c r="E116" s="2" t="s">
        <v>508</v>
      </c>
      <c r="F116" s="36" t="s">
        <v>213</v>
      </c>
      <c r="G116" s="36" t="s">
        <v>222</v>
      </c>
      <c r="H116" s="36" t="s">
        <v>367</v>
      </c>
      <c r="I116" s="39">
        <v>0.5</v>
      </c>
      <c r="J116" s="43">
        <f t="shared" si="3"/>
        <v>0.5</v>
      </c>
    </row>
    <row r="117" spans="2:10" ht="15" customHeight="1">
      <c r="B117" s="19">
        <v>4</v>
      </c>
      <c r="C117" s="11" t="s">
        <v>504</v>
      </c>
      <c r="D117" s="11" t="s">
        <v>452</v>
      </c>
      <c r="E117" s="2" t="s">
        <v>508</v>
      </c>
      <c r="F117" s="36" t="s">
        <v>214</v>
      </c>
      <c r="G117" s="36" t="s">
        <v>222</v>
      </c>
      <c r="H117" s="36" t="s">
        <v>367</v>
      </c>
      <c r="I117" s="39">
        <v>0.5</v>
      </c>
      <c r="J117" s="43">
        <f t="shared" si="3"/>
        <v>0.5</v>
      </c>
    </row>
    <row r="118" spans="2:10" ht="15" customHeight="1">
      <c r="B118" s="19">
        <v>4</v>
      </c>
      <c r="C118" s="11" t="s">
        <v>504</v>
      </c>
      <c r="D118" s="11" t="s">
        <v>452</v>
      </c>
      <c r="E118" s="2" t="s">
        <v>509</v>
      </c>
      <c r="F118" s="36" t="s">
        <v>215</v>
      </c>
      <c r="G118" s="36" t="s">
        <v>222</v>
      </c>
      <c r="H118" s="36" t="s">
        <v>367</v>
      </c>
      <c r="I118" s="39">
        <v>0.5</v>
      </c>
      <c r="J118" s="43">
        <f t="shared" si="3"/>
        <v>0.5</v>
      </c>
    </row>
    <row r="119" spans="2:10" ht="15" customHeight="1">
      <c r="B119" s="19">
        <v>4</v>
      </c>
      <c r="C119" s="11" t="s">
        <v>504</v>
      </c>
      <c r="D119" s="11" t="s">
        <v>452</v>
      </c>
      <c r="E119" s="2" t="s">
        <v>510</v>
      </c>
      <c r="F119" s="36" t="s">
        <v>211</v>
      </c>
      <c r="G119" s="36" t="s">
        <v>222</v>
      </c>
      <c r="H119" s="36" t="s">
        <v>367</v>
      </c>
      <c r="I119" s="39">
        <v>0.5</v>
      </c>
      <c r="J119" s="43">
        <f t="shared" si="3"/>
        <v>0.5</v>
      </c>
    </row>
    <row r="120" spans="2:10" ht="15" customHeight="1">
      <c r="B120" s="19">
        <v>4</v>
      </c>
      <c r="C120" s="11" t="s">
        <v>504</v>
      </c>
      <c r="D120" s="11" t="s">
        <v>452</v>
      </c>
      <c r="E120" s="2" t="s">
        <v>510</v>
      </c>
      <c r="F120" s="36" t="s">
        <v>212</v>
      </c>
      <c r="G120" s="36" t="s">
        <v>222</v>
      </c>
      <c r="H120" s="36" t="s">
        <v>367</v>
      </c>
      <c r="I120" s="39">
        <v>0.5</v>
      </c>
      <c r="J120" s="43">
        <f t="shared" si="3"/>
        <v>0.5</v>
      </c>
    </row>
    <row r="121" spans="2:10" ht="15" customHeight="1">
      <c r="B121" s="19">
        <v>4</v>
      </c>
      <c r="C121" s="11" t="s">
        <v>504</v>
      </c>
      <c r="D121" s="11" t="s">
        <v>452</v>
      </c>
      <c r="E121" s="2" t="s">
        <v>511</v>
      </c>
      <c r="F121" s="36" t="s">
        <v>213</v>
      </c>
      <c r="G121" s="36" t="s">
        <v>222</v>
      </c>
      <c r="H121" s="36" t="s">
        <v>369</v>
      </c>
      <c r="I121" s="39">
        <v>5</v>
      </c>
      <c r="J121" s="43">
        <f t="shared" si="3"/>
        <v>5</v>
      </c>
    </row>
    <row r="122" spans="2:10" ht="15" customHeight="1">
      <c r="B122" s="19">
        <v>4</v>
      </c>
      <c r="C122" s="11" t="s">
        <v>504</v>
      </c>
      <c r="D122" s="11" t="s">
        <v>452</v>
      </c>
      <c r="E122" s="2" t="s">
        <v>512</v>
      </c>
      <c r="F122" s="36" t="s">
        <v>214</v>
      </c>
      <c r="G122" s="36" t="s">
        <v>221</v>
      </c>
      <c r="H122" s="36" t="s">
        <v>368</v>
      </c>
      <c r="I122" s="39">
        <v>3.5</v>
      </c>
      <c r="J122" s="43">
        <f t="shared" si="3"/>
        <v>3.5</v>
      </c>
    </row>
    <row r="123" spans="2:10" ht="15" customHeight="1">
      <c r="B123" s="19">
        <v>4</v>
      </c>
      <c r="C123" s="11" t="s">
        <v>504</v>
      </c>
      <c r="D123" s="11" t="s">
        <v>230</v>
      </c>
      <c r="E123" s="2" t="s">
        <v>513</v>
      </c>
      <c r="F123" s="36" t="s">
        <v>213</v>
      </c>
      <c r="G123" s="36" t="s">
        <v>221</v>
      </c>
      <c r="H123" s="36" t="s">
        <v>368</v>
      </c>
      <c r="I123" s="39">
        <v>2</v>
      </c>
      <c r="J123" s="43">
        <f t="shared" si="3"/>
        <v>2</v>
      </c>
    </row>
    <row r="124" spans="2:10" ht="15" customHeight="1">
      <c r="B124" s="19">
        <v>4</v>
      </c>
      <c r="C124" s="11" t="s">
        <v>514</v>
      </c>
      <c r="D124" s="11" t="s">
        <v>375</v>
      </c>
      <c r="E124" s="2" t="s">
        <v>515</v>
      </c>
      <c r="F124" s="36" t="s">
        <v>215</v>
      </c>
      <c r="G124" s="36" t="s">
        <v>221</v>
      </c>
      <c r="H124" s="36" t="s">
        <v>367</v>
      </c>
      <c r="I124" s="39">
        <v>0.5</v>
      </c>
      <c r="J124" s="43">
        <f t="shared" si="3"/>
        <v>0.5</v>
      </c>
    </row>
    <row r="125" spans="2:10" ht="15" customHeight="1">
      <c r="B125" s="19">
        <v>4</v>
      </c>
      <c r="C125" s="11" t="s">
        <v>514</v>
      </c>
      <c r="D125" s="11" t="s">
        <v>375</v>
      </c>
      <c r="E125" s="2" t="s">
        <v>516</v>
      </c>
      <c r="F125" s="36" t="s">
        <v>214</v>
      </c>
      <c r="G125" s="36" t="s">
        <v>221</v>
      </c>
      <c r="H125" s="36" t="s">
        <v>367</v>
      </c>
      <c r="I125" s="39">
        <v>0.5</v>
      </c>
      <c r="J125" s="43">
        <f t="shared" si="3"/>
        <v>0.5</v>
      </c>
    </row>
    <row r="126" spans="2:10" ht="15" customHeight="1">
      <c r="B126" s="19">
        <v>4</v>
      </c>
      <c r="C126" s="11" t="s">
        <v>514</v>
      </c>
      <c r="D126" s="11" t="s">
        <v>375</v>
      </c>
      <c r="E126" s="2" t="s">
        <v>517</v>
      </c>
      <c r="F126" s="36" t="s">
        <v>214</v>
      </c>
      <c r="G126" s="36" t="s">
        <v>221</v>
      </c>
      <c r="H126" s="36" t="s">
        <v>367</v>
      </c>
      <c r="I126" s="39">
        <v>0.5</v>
      </c>
      <c r="J126" s="43">
        <f t="shared" si="3"/>
        <v>0.5</v>
      </c>
    </row>
    <row r="127" spans="2:10" ht="15" customHeight="1">
      <c r="B127" s="19">
        <v>4</v>
      </c>
      <c r="C127" s="11" t="s">
        <v>514</v>
      </c>
      <c r="D127" s="11" t="s">
        <v>466</v>
      </c>
      <c r="E127" s="2" t="s">
        <v>518</v>
      </c>
      <c r="F127" s="36" t="s">
        <v>215</v>
      </c>
      <c r="G127" s="36" t="s">
        <v>221</v>
      </c>
      <c r="H127" s="36" t="s">
        <v>367</v>
      </c>
      <c r="I127" s="39">
        <v>0.5</v>
      </c>
      <c r="J127" s="43">
        <f t="shared" si="3"/>
        <v>0.5</v>
      </c>
    </row>
    <row r="128" spans="2:10" ht="15" customHeight="1">
      <c r="B128" s="19">
        <v>4</v>
      </c>
      <c r="C128" s="11" t="s">
        <v>514</v>
      </c>
      <c r="D128" s="11" t="s">
        <v>466</v>
      </c>
      <c r="E128" s="2" t="s">
        <v>519</v>
      </c>
      <c r="F128" s="36" t="s">
        <v>215</v>
      </c>
      <c r="G128" s="36" t="s">
        <v>221</v>
      </c>
      <c r="H128" s="36" t="s">
        <v>368</v>
      </c>
      <c r="I128" s="39">
        <v>3.5</v>
      </c>
      <c r="J128" s="43">
        <f t="shared" si="3"/>
        <v>3.5</v>
      </c>
    </row>
    <row r="129" spans="2:10" ht="15" customHeight="1">
      <c r="B129" s="19">
        <v>4</v>
      </c>
      <c r="C129" s="11" t="s">
        <v>514</v>
      </c>
      <c r="D129" s="11" t="s">
        <v>230</v>
      </c>
      <c r="E129" s="2" t="s">
        <v>520</v>
      </c>
      <c r="F129" s="36" t="s">
        <v>214</v>
      </c>
      <c r="G129" s="36" t="s">
        <v>221</v>
      </c>
      <c r="H129" s="36" t="s">
        <v>368</v>
      </c>
      <c r="I129" s="39">
        <v>2.5</v>
      </c>
      <c r="J129" s="43">
        <f t="shared" si="3"/>
        <v>2.5</v>
      </c>
    </row>
    <row r="130" spans="2:10" ht="15" customHeight="1">
      <c r="B130" s="19">
        <v>4</v>
      </c>
      <c r="C130" s="11" t="s">
        <v>514</v>
      </c>
      <c r="D130" s="11" t="s">
        <v>375</v>
      </c>
      <c r="E130" s="2" t="s">
        <v>521</v>
      </c>
      <c r="F130" s="36" t="s">
        <v>214</v>
      </c>
      <c r="G130" s="36" t="s">
        <v>221</v>
      </c>
      <c r="H130" s="36" t="s">
        <v>368</v>
      </c>
      <c r="I130" s="39">
        <v>2</v>
      </c>
      <c r="J130" s="43">
        <f t="shared" si="3"/>
        <v>2</v>
      </c>
    </row>
    <row r="131" spans="2:10" ht="15" customHeight="1">
      <c r="E131" s="14" t="s">
        <v>525</v>
      </c>
      <c r="I131" s="15">
        <f>SUM(I101:I130)</f>
        <v>41</v>
      </c>
    </row>
    <row r="133" spans="2:10" ht="15" customHeight="1">
      <c r="B133" s="19">
        <v>5</v>
      </c>
      <c r="C133" s="11" t="s">
        <v>493</v>
      </c>
      <c r="D133" s="11" t="s">
        <v>454</v>
      </c>
      <c r="E133" s="2" t="s">
        <v>494</v>
      </c>
      <c r="F133" s="36" t="s">
        <v>215</v>
      </c>
      <c r="G133" s="36" t="s">
        <v>221</v>
      </c>
      <c r="H133" s="36" t="s">
        <v>367</v>
      </c>
      <c r="I133" s="39">
        <v>0.5</v>
      </c>
      <c r="J133" s="43">
        <f t="shared" ref="J133:J162" si="4">I133</f>
        <v>0.5</v>
      </c>
    </row>
    <row r="134" spans="2:10" ht="15" customHeight="1">
      <c r="B134" s="19">
        <v>5</v>
      </c>
      <c r="C134" s="11" t="s">
        <v>493</v>
      </c>
      <c r="D134" s="11" t="s">
        <v>454</v>
      </c>
      <c r="E134" s="2" t="s">
        <v>495</v>
      </c>
      <c r="F134" s="36" t="s">
        <v>214</v>
      </c>
      <c r="G134" s="36" t="s">
        <v>221</v>
      </c>
      <c r="H134" s="36" t="s">
        <v>367</v>
      </c>
      <c r="I134" s="39">
        <v>0.5</v>
      </c>
      <c r="J134" s="43">
        <f t="shared" si="4"/>
        <v>0.5</v>
      </c>
    </row>
    <row r="135" spans="2:10" ht="15" customHeight="1">
      <c r="B135" s="19">
        <v>5</v>
      </c>
      <c r="C135" s="11" t="s">
        <v>493</v>
      </c>
      <c r="D135" s="11" t="s">
        <v>454</v>
      </c>
      <c r="E135" s="2" t="s">
        <v>496</v>
      </c>
      <c r="F135" s="36" t="s">
        <v>211</v>
      </c>
      <c r="G135" s="36" t="s">
        <v>222</v>
      </c>
      <c r="H135" s="36" t="s">
        <v>367</v>
      </c>
      <c r="I135" s="39">
        <v>0.5</v>
      </c>
      <c r="J135" s="43">
        <f t="shared" si="4"/>
        <v>0.5</v>
      </c>
    </row>
    <row r="136" spans="2:10" ht="15" customHeight="1">
      <c r="B136" s="19">
        <v>5</v>
      </c>
      <c r="C136" s="11" t="s">
        <v>493</v>
      </c>
      <c r="D136" s="11" t="s">
        <v>454</v>
      </c>
      <c r="E136" s="2" t="s">
        <v>496</v>
      </c>
      <c r="F136" s="36" t="s">
        <v>212</v>
      </c>
      <c r="G136" s="36" t="s">
        <v>222</v>
      </c>
      <c r="H136" s="36" t="s">
        <v>367</v>
      </c>
      <c r="I136" s="39">
        <v>0.5</v>
      </c>
      <c r="J136" s="43">
        <f t="shared" si="4"/>
        <v>0.5</v>
      </c>
    </row>
    <row r="137" spans="2:10" ht="15" customHeight="1">
      <c r="B137" s="19">
        <v>5</v>
      </c>
      <c r="C137" s="11" t="s">
        <v>493</v>
      </c>
      <c r="D137" s="11" t="s">
        <v>454</v>
      </c>
      <c r="E137" s="2" t="s">
        <v>497</v>
      </c>
      <c r="F137" s="36" t="s">
        <v>213</v>
      </c>
      <c r="G137" s="36" t="s">
        <v>221</v>
      </c>
      <c r="H137" s="36" t="s">
        <v>367</v>
      </c>
      <c r="I137" s="39">
        <v>0.5</v>
      </c>
      <c r="J137" s="43">
        <f t="shared" si="4"/>
        <v>0.5</v>
      </c>
    </row>
    <row r="138" spans="2:10" ht="15" customHeight="1">
      <c r="B138" s="19">
        <v>5</v>
      </c>
      <c r="C138" s="11" t="s">
        <v>493</v>
      </c>
      <c r="D138" s="11" t="s">
        <v>466</v>
      </c>
      <c r="E138" s="2" t="s">
        <v>498</v>
      </c>
      <c r="F138" s="36" t="s">
        <v>213</v>
      </c>
      <c r="G138" s="36" t="s">
        <v>222</v>
      </c>
      <c r="H138" s="36" t="s">
        <v>367</v>
      </c>
      <c r="I138" s="39">
        <v>0.5</v>
      </c>
      <c r="J138" s="43">
        <f t="shared" si="4"/>
        <v>0.5</v>
      </c>
    </row>
    <row r="139" spans="2:10" ht="15" customHeight="1">
      <c r="B139" s="19">
        <v>5</v>
      </c>
      <c r="C139" s="11" t="s">
        <v>493</v>
      </c>
      <c r="D139" s="11" t="s">
        <v>447</v>
      </c>
      <c r="E139" s="2" t="s">
        <v>499</v>
      </c>
      <c r="F139" s="36" t="s">
        <v>213</v>
      </c>
      <c r="G139" s="36" t="s">
        <v>221</v>
      </c>
      <c r="H139" s="36" t="s">
        <v>367</v>
      </c>
      <c r="I139" s="39">
        <v>0.5</v>
      </c>
      <c r="J139" s="43">
        <f t="shared" si="4"/>
        <v>0.5</v>
      </c>
    </row>
    <row r="140" spans="2:10" ht="15" customHeight="1">
      <c r="B140" s="19">
        <v>5</v>
      </c>
      <c r="C140" s="11" t="s">
        <v>493</v>
      </c>
      <c r="D140" s="11" t="s">
        <v>447</v>
      </c>
      <c r="E140" s="2" t="s">
        <v>499</v>
      </c>
      <c r="F140" s="36" t="s">
        <v>213</v>
      </c>
      <c r="G140" s="36" t="s">
        <v>222</v>
      </c>
      <c r="H140" s="36" t="s">
        <v>367</v>
      </c>
      <c r="I140" s="39">
        <v>0.5</v>
      </c>
      <c r="J140" s="43">
        <f t="shared" si="4"/>
        <v>0.5</v>
      </c>
    </row>
    <row r="141" spans="2:10" ht="15" customHeight="1">
      <c r="B141" s="19">
        <v>5</v>
      </c>
      <c r="C141" s="11" t="s">
        <v>493</v>
      </c>
      <c r="D141" s="11" t="s">
        <v>447</v>
      </c>
      <c r="E141" s="2" t="s">
        <v>500</v>
      </c>
      <c r="F141" s="36" t="s">
        <v>215</v>
      </c>
      <c r="G141" s="36" t="s">
        <v>222</v>
      </c>
      <c r="H141" s="36" t="s">
        <v>367</v>
      </c>
      <c r="I141" s="39">
        <v>0.5</v>
      </c>
      <c r="J141" s="43">
        <f t="shared" si="4"/>
        <v>0.5</v>
      </c>
    </row>
    <row r="142" spans="2:10" ht="15" customHeight="1">
      <c r="B142" s="19">
        <v>5</v>
      </c>
      <c r="C142" s="11" t="s">
        <v>493</v>
      </c>
      <c r="D142" s="11" t="s">
        <v>447</v>
      </c>
      <c r="E142" s="2" t="s">
        <v>501</v>
      </c>
      <c r="F142" s="36" t="s">
        <v>213</v>
      </c>
      <c r="G142" s="36" t="s">
        <v>222</v>
      </c>
      <c r="H142" s="36" t="s">
        <v>369</v>
      </c>
      <c r="I142" s="39">
        <v>4.5</v>
      </c>
      <c r="J142" s="43">
        <f t="shared" si="4"/>
        <v>4.5</v>
      </c>
    </row>
    <row r="143" spans="2:10" ht="15" customHeight="1">
      <c r="B143" s="19">
        <v>5</v>
      </c>
      <c r="C143" s="11" t="s">
        <v>493</v>
      </c>
      <c r="D143" s="11" t="s">
        <v>375</v>
      </c>
      <c r="E143" s="2" t="s">
        <v>502</v>
      </c>
      <c r="F143" s="36" t="s">
        <v>214</v>
      </c>
      <c r="G143" s="36" t="s">
        <v>221</v>
      </c>
      <c r="H143" s="36" t="s">
        <v>368</v>
      </c>
      <c r="I143" s="39">
        <v>2</v>
      </c>
      <c r="J143" s="43">
        <f t="shared" si="4"/>
        <v>2</v>
      </c>
    </row>
    <row r="144" spans="2:10" ht="15" customHeight="1">
      <c r="B144" s="19">
        <v>5</v>
      </c>
      <c r="C144" s="11" t="s">
        <v>493</v>
      </c>
      <c r="D144" s="11" t="s">
        <v>454</v>
      </c>
      <c r="E144" s="2" t="s">
        <v>503</v>
      </c>
      <c r="F144" s="36" t="s">
        <v>213</v>
      </c>
      <c r="G144" s="36" t="s">
        <v>221</v>
      </c>
      <c r="H144" s="36" t="s">
        <v>368</v>
      </c>
      <c r="I144" s="39">
        <v>4.5</v>
      </c>
      <c r="J144" s="43">
        <f t="shared" si="4"/>
        <v>4.5</v>
      </c>
    </row>
    <row r="145" spans="2:10" ht="15" customHeight="1">
      <c r="B145" s="19">
        <v>5</v>
      </c>
      <c r="C145" s="11" t="s">
        <v>504</v>
      </c>
      <c r="D145" s="11" t="s">
        <v>452</v>
      </c>
      <c r="E145" s="2" t="s">
        <v>505</v>
      </c>
      <c r="F145" s="36" t="s">
        <v>215</v>
      </c>
      <c r="G145" s="36" t="s">
        <v>221</v>
      </c>
      <c r="H145" s="36" t="s">
        <v>367</v>
      </c>
      <c r="I145" s="39">
        <v>0.5</v>
      </c>
      <c r="J145" s="43">
        <f t="shared" si="4"/>
        <v>0.5</v>
      </c>
    </row>
    <row r="146" spans="2:10" ht="15" customHeight="1">
      <c r="B146" s="19">
        <v>5</v>
      </c>
      <c r="C146" s="11" t="s">
        <v>504</v>
      </c>
      <c r="D146" s="11" t="s">
        <v>452</v>
      </c>
      <c r="E146" s="2" t="s">
        <v>506</v>
      </c>
      <c r="F146" s="36" t="s">
        <v>214</v>
      </c>
      <c r="G146" s="36" t="s">
        <v>221</v>
      </c>
      <c r="H146" s="36" t="s">
        <v>367</v>
      </c>
      <c r="I146" s="39">
        <v>0.5</v>
      </c>
      <c r="J146" s="43">
        <f t="shared" si="4"/>
        <v>0.5</v>
      </c>
    </row>
    <row r="147" spans="2:10" ht="15" customHeight="1">
      <c r="B147" s="19">
        <v>5</v>
      </c>
      <c r="C147" s="11" t="s">
        <v>504</v>
      </c>
      <c r="D147" s="11" t="s">
        <v>452</v>
      </c>
      <c r="E147" s="2" t="s">
        <v>507</v>
      </c>
      <c r="F147" s="36" t="s">
        <v>213</v>
      </c>
      <c r="G147" s="36" t="s">
        <v>221</v>
      </c>
      <c r="H147" s="36" t="s">
        <v>367</v>
      </c>
      <c r="I147" s="39">
        <v>0.5</v>
      </c>
      <c r="J147" s="43">
        <f t="shared" si="4"/>
        <v>0.5</v>
      </c>
    </row>
    <row r="148" spans="2:10" ht="15" customHeight="1">
      <c r="B148" s="19">
        <v>5</v>
      </c>
      <c r="C148" s="11" t="s">
        <v>504</v>
      </c>
      <c r="D148" s="11" t="s">
        <v>452</v>
      </c>
      <c r="E148" s="2" t="s">
        <v>508</v>
      </c>
      <c r="F148" s="36" t="s">
        <v>213</v>
      </c>
      <c r="G148" s="36" t="s">
        <v>222</v>
      </c>
      <c r="H148" s="36" t="s">
        <v>367</v>
      </c>
      <c r="I148" s="39">
        <v>0.5</v>
      </c>
      <c r="J148" s="43">
        <f t="shared" si="4"/>
        <v>0.5</v>
      </c>
    </row>
    <row r="149" spans="2:10" ht="15" customHeight="1">
      <c r="B149" s="19">
        <v>5</v>
      </c>
      <c r="C149" s="11" t="s">
        <v>504</v>
      </c>
      <c r="D149" s="11" t="s">
        <v>452</v>
      </c>
      <c r="E149" s="2" t="s">
        <v>508</v>
      </c>
      <c r="F149" s="36" t="s">
        <v>214</v>
      </c>
      <c r="G149" s="36" t="s">
        <v>222</v>
      </c>
      <c r="H149" s="36" t="s">
        <v>367</v>
      </c>
      <c r="I149" s="39">
        <v>0.5</v>
      </c>
      <c r="J149" s="43">
        <f t="shared" si="4"/>
        <v>0.5</v>
      </c>
    </row>
    <row r="150" spans="2:10" ht="15" customHeight="1">
      <c r="B150" s="19">
        <v>5</v>
      </c>
      <c r="C150" s="11" t="s">
        <v>504</v>
      </c>
      <c r="D150" s="11" t="s">
        <v>452</v>
      </c>
      <c r="E150" s="2" t="s">
        <v>509</v>
      </c>
      <c r="F150" s="36" t="s">
        <v>215</v>
      </c>
      <c r="G150" s="36" t="s">
        <v>222</v>
      </c>
      <c r="H150" s="36" t="s">
        <v>367</v>
      </c>
      <c r="I150" s="39">
        <v>0.5</v>
      </c>
      <c r="J150" s="43">
        <f t="shared" si="4"/>
        <v>0.5</v>
      </c>
    </row>
    <row r="151" spans="2:10" ht="15" customHeight="1">
      <c r="B151" s="19">
        <v>5</v>
      </c>
      <c r="C151" s="11" t="s">
        <v>504</v>
      </c>
      <c r="D151" s="11" t="s">
        <v>452</v>
      </c>
      <c r="E151" s="2" t="s">
        <v>510</v>
      </c>
      <c r="F151" s="36" t="s">
        <v>211</v>
      </c>
      <c r="G151" s="36" t="s">
        <v>222</v>
      </c>
      <c r="H151" s="36" t="s">
        <v>367</v>
      </c>
      <c r="I151" s="39">
        <v>0.5</v>
      </c>
      <c r="J151" s="43">
        <f t="shared" si="4"/>
        <v>0.5</v>
      </c>
    </row>
    <row r="152" spans="2:10" ht="15" customHeight="1">
      <c r="B152" s="19">
        <v>5</v>
      </c>
      <c r="C152" s="11" t="s">
        <v>504</v>
      </c>
      <c r="D152" s="11" t="s">
        <v>452</v>
      </c>
      <c r="E152" s="2" t="s">
        <v>510</v>
      </c>
      <c r="F152" s="36" t="s">
        <v>212</v>
      </c>
      <c r="G152" s="36" t="s">
        <v>222</v>
      </c>
      <c r="H152" s="36" t="s">
        <v>367</v>
      </c>
      <c r="I152" s="39">
        <v>0.5</v>
      </c>
      <c r="J152" s="43">
        <f t="shared" si="4"/>
        <v>0.5</v>
      </c>
    </row>
    <row r="153" spans="2:10" ht="15" customHeight="1">
      <c r="B153" s="19">
        <v>5</v>
      </c>
      <c r="C153" s="11" t="s">
        <v>504</v>
      </c>
      <c r="D153" s="11" t="s">
        <v>452</v>
      </c>
      <c r="E153" s="2" t="s">
        <v>511</v>
      </c>
      <c r="F153" s="36" t="s">
        <v>213</v>
      </c>
      <c r="G153" s="36" t="s">
        <v>222</v>
      </c>
      <c r="H153" s="36" t="s">
        <v>369</v>
      </c>
      <c r="I153" s="39">
        <v>1.5</v>
      </c>
      <c r="J153" s="43">
        <f t="shared" si="4"/>
        <v>1.5</v>
      </c>
    </row>
    <row r="154" spans="2:10" ht="15" customHeight="1">
      <c r="B154" s="19">
        <v>5</v>
      </c>
      <c r="C154" s="11" t="s">
        <v>504</v>
      </c>
      <c r="D154" s="11" t="s">
        <v>452</v>
      </c>
      <c r="E154" s="2" t="s">
        <v>512</v>
      </c>
      <c r="F154" s="36" t="s">
        <v>214</v>
      </c>
      <c r="G154" s="36" t="s">
        <v>221</v>
      </c>
      <c r="H154" s="36" t="s">
        <v>368</v>
      </c>
      <c r="I154" s="39">
        <v>0.5</v>
      </c>
      <c r="J154" s="43">
        <f t="shared" si="4"/>
        <v>0.5</v>
      </c>
    </row>
    <row r="155" spans="2:10" ht="15" customHeight="1">
      <c r="B155" s="19">
        <v>5</v>
      </c>
      <c r="C155" s="11" t="s">
        <v>504</v>
      </c>
      <c r="D155" s="11" t="s">
        <v>230</v>
      </c>
      <c r="E155" s="2" t="s">
        <v>513</v>
      </c>
      <c r="F155" s="36" t="s">
        <v>213</v>
      </c>
      <c r="G155" s="36" t="s">
        <v>221</v>
      </c>
      <c r="H155" s="36" t="s">
        <v>368</v>
      </c>
      <c r="I155" s="39">
        <v>2.5</v>
      </c>
      <c r="J155" s="43">
        <f t="shared" si="4"/>
        <v>2.5</v>
      </c>
    </row>
    <row r="156" spans="2:10" ht="15" customHeight="1">
      <c r="B156" s="19">
        <v>5</v>
      </c>
      <c r="C156" s="11" t="s">
        <v>514</v>
      </c>
      <c r="D156" s="11" t="s">
        <v>375</v>
      </c>
      <c r="E156" s="2" t="s">
        <v>515</v>
      </c>
      <c r="F156" s="36" t="s">
        <v>215</v>
      </c>
      <c r="G156" s="36" t="s">
        <v>221</v>
      </c>
      <c r="H156" s="36" t="s">
        <v>367</v>
      </c>
      <c r="I156" s="39">
        <v>0.5</v>
      </c>
      <c r="J156" s="43">
        <f t="shared" si="4"/>
        <v>0.5</v>
      </c>
    </row>
    <row r="157" spans="2:10" ht="15" customHeight="1">
      <c r="B157" s="19">
        <v>5</v>
      </c>
      <c r="C157" s="11" t="s">
        <v>514</v>
      </c>
      <c r="D157" s="11" t="s">
        <v>375</v>
      </c>
      <c r="E157" s="2" t="s">
        <v>516</v>
      </c>
      <c r="F157" s="36" t="s">
        <v>214</v>
      </c>
      <c r="G157" s="36" t="s">
        <v>221</v>
      </c>
      <c r="H157" s="36" t="s">
        <v>367</v>
      </c>
      <c r="I157" s="39">
        <v>0.5</v>
      </c>
      <c r="J157" s="43">
        <f t="shared" si="4"/>
        <v>0.5</v>
      </c>
    </row>
    <row r="158" spans="2:10" ht="15" customHeight="1">
      <c r="B158" s="19">
        <v>5</v>
      </c>
      <c r="C158" s="11" t="s">
        <v>514</v>
      </c>
      <c r="D158" s="11" t="s">
        <v>375</v>
      </c>
      <c r="E158" s="2" t="s">
        <v>517</v>
      </c>
      <c r="F158" s="36" t="s">
        <v>214</v>
      </c>
      <c r="G158" s="36" t="s">
        <v>221</v>
      </c>
      <c r="H158" s="36" t="s">
        <v>367</v>
      </c>
      <c r="I158" s="39">
        <v>0.5</v>
      </c>
      <c r="J158" s="43">
        <f t="shared" si="4"/>
        <v>0.5</v>
      </c>
    </row>
    <row r="159" spans="2:10" ht="15" customHeight="1">
      <c r="B159" s="19">
        <v>5</v>
      </c>
      <c r="C159" s="11" t="s">
        <v>514</v>
      </c>
      <c r="D159" s="11" t="s">
        <v>466</v>
      </c>
      <c r="E159" s="2" t="s">
        <v>518</v>
      </c>
      <c r="F159" s="36" t="s">
        <v>215</v>
      </c>
      <c r="G159" s="36" t="s">
        <v>221</v>
      </c>
      <c r="H159" s="36" t="s">
        <v>367</v>
      </c>
      <c r="I159" s="39">
        <v>0.5</v>
      </c>
      <c r="J159" s="43">
        <f t="shared" si="4"/>
        <v>0.5</v>
      </c>
    </row>
    <row r="160" spans="2:10" ht="15" customHeight="1">
      <c r="B160" s="19">
        <v>5</v>
      </c>
      <c r="C160" s="11" t="s">
        <v>514</v>
      </c>
      <c r="D160" s="11" t="s">
        <v>466</v>
      </c>
      <c r="E160" s="2" t="s">
        <v>519</v>
      </c>
      <c r="F160" s="36" t="s">
        <v>215</v>
      </c>
      <c r="G160" s="36" t="s">
        <v>221</v>
      </c>
      <c r="H160" s="36" t="s">
        <v>368</v>
      </c>
      <c r="I160" s="39">
        <v>3.5</v>
      </c>
      <c r="J160" s="43">
        <f t="shared" si="4"/>
        <v>3.5</v>
      </c>
    </row>
    <row r="161" spans="2:10" ht="15" customHeight="1">
      <c r="B161" s="19">
        <v>5</v>
      </c>
      <c r="C161" s="11" t="s">
        <v>514</v>
      </c>
      <c r="D161" s="11" t="s">
        <v>230</v>
      </c>
      <c r="E161" s="2" t="s">
        <v>520</v>
      </c>
      <c r="F161" s="36" t="s">
        <v>214</v>
      </c>
      <c r="G161" s="36" t="s">
        <v>221</v>
      </c>
      <c r="H161" s="36" t="s">
        <v>368</v>
      </c>
      <c r="I161" s="39">
        <v>3.5</v>
      </c>
      <c r="J161" s="43">
        <f t="shared" si="4"/>
        <v>3.5</v>
      </c>
    </row>
    <row r="162" spans="2:10" ht="15" customHeight="1">
      <c r="B162" s="19">
        <v>5</v>
      </c>
      <c r="C162" s="11" t="s">
        <v>514</v>
      </c>
      <c r="D162" s="11" t="s">
        <v>375</v>
      </c>
      <c r="E162" s="2" t="s">
        <v>521</v>
      </c>
      <c r="F162" s="36" t="s">
        <v>214</v>
      </c>
      <c r="G162" s="36" t="s">
        <v>221</v>
      </c>
      <c r="H162" s="36" t="s">
        <v>368</v>
      </c>
      <c r="I162" s="39">
        <v>0.5</v>
      </c>
      <c r="J162" s="43">
        <f t="shared" si="4"/>
        <v>0.5</v>
      </c>
    </row>
    <row r="163" spans="2:10" ht="15" customHeight="1">
      <c r="E163" s="14" t="s">
        <v>526</v>
      </c>
      <c r="I163" s="15">
        <f>SUM(I133:I162)</f>
        <v>33.5</v>
      </c>
    </row>
    <row r="165" spans="2:10" ht="30" customHeight="1">
      <c r="B165" s="64" t="s">
        <v>527</v>
      </c>
      <c r="C165" s="64"/>
      <c r="D165" s="64"/>
      <c r="E165" s="64"/>
      <c r="F165" s="64"/>
      <c r="G165" s="64"/>
      <c r="H165" s="64"/>
      <c r="I165" s="64"/>
    </row>
  </sheetData>
  <mergeCells count="3">
    <mergeCell ref="A1:L1"/>
    <mergeCell ref="A2:L2"/>
    <mergeCell ref="B165:I165"/>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60"/>
  <sheetViews>
    <sheetView zoomScaleNormal="100" workbookViewId="0">
      <selection activeCell="N23" sqref="N23"/>
    </sheetView>
  </sheetViews>
  <sheetFormatPr defaultColWidth="8.6328125" defaultRowHeight="14.5"/>
  <cols>
    <col min="1" max="1" width="2.453125" customWidth="1"/>
    <col min="2" max="2" width="44" customWidth="1"/>
    <col min="3" max="7" width="13" customWidth="1"/>
    <col min="8" max="8" width="3" customWidth="1"/>
    <col min="9" max="10" width="13" customWidth="1"/>
    <col min="11" max="11" width="11" customWidth="1"/>
  </cols>
  <sheetData>
    <row r="1" spans="1:10" ht="25.5" customHeight="1">
      <c r="A1" s="61" t="s">
        <v>528</v>
      </c>
      <c r="B1" s="61"/>
      <c r="C1" s="61"/>
      <c r="D1" s="61"/>
      <c r="E1" s="61"/>
      <c r="F1" s="61"/>
      <c r="G1" s="61"/>
      <c r="H1" s="61"/>
      <c r="I1" s="61"/>
      <c r="J1" s="61"/>
    </row>
    <row r="2" spans="1:10" ht="15" customHeight="1">
      <c r="A2" s="62" t="s">
        <v>529</v>
      </c>
      <c r="B2" s="62"/>
      <c r="C2" s="62"/>
      <c r="D2" s="62"/>
      <c r="E2" s="62"/>
      <c r="F2" s="62"/>
      <c r="G2" s="62"/>
      <c r="H2" s="62"/>
      <c r="I2" s="62"/>
      <c r="J2" s="62"/>
    </row>
    <row r="4" spans="1:10" ht="15" customHeight="1">
      <c r="A4" s="60" t="s">
        <v>530</v>
      </c>
      <c r="B4" s="60"/>
      <c r="C4" s="60"/>
      <c r="D4" s="60"/>
      <c r="E4" s="60"/>
      <c r="F4" s="60"/>
      <c r="G4" s="60"/>
      <c r="H4" s="60"/>
      <c r="I4" s="60"/>
      <c r="J4" s="60"/>
    </row>
    <row r="5" spans="1:10" ht="15" customHeight="1">
      <c r="B5" s="5" t="s">
        <v>258</v>
      </c>
      <c r="C5" s="5" t="s">
        <v>172</v>
      </c>
      <c r="D5" s="5" t="s">
        <v>173</v>
      </c>
      <c r="E5" s="5" t="s">
        <v>174</v>
      </c>
      <c r="F5" s="5" t="s">
        <v>175</v>
      </c>
      <c r="G5" s="5" t="s">
        <v>176</v>
      </c>
    </row>
    <row r="6" spans="1:10" ht="15" customHeight="1">
      <c r="B6" s="2" t="s">
        <v>531</v>
      </c>
      <c r="C6" s="9">
        <f>SUMIFS('Seat Ledger'!$M$5:$M$468,'Seat Ledger'!$B$5:$B$468,1,'Seat Ledger'!$C$5:$C$468,"POD")</f>
        <v>69.499999999999957</v>
      </c>
      <c r="D6" s="9">
        <f>SUMIFS('Seat Ledger'!$M$5:$M$468,'Seat Ledger'!$B$5:$B$468,2,'Seat Ledger'!$C$5:$C$468,"POD")</f>
        <v>279.60000000000014</v>
      </c>
      <c r="E6" s="9">
        <f>SUMIFS('Seat Ledger'!$M$5:$M$468,'Seat Ledger'!$B$5:$B$468,3,'Seat Ledger'!$C$5:$C$468,"POD")</f>
        <v>251.58000000000013</v>
      </c>
      <c r="F6" s="9">
        <f>SUMIFS('Seat Ledger'!$M$5:$M$468,'Seat Ledger'!$B$5:$B$468,4,'Seat Ledger'!$C$5:$C$468,"POD")</f>
        <v>209.37999999999997</v>
      </c>
      <c r="G6" s="9">
        <f>SUMIFS('Seat Ledger'!$M$5:$M$468,'Seat Ledger'!$B$5:$B$468,5,'Seat Ledger'!$C$5:$C$468,"POD")</f>
        <v>193.22000000000008</v>
      </c>
    </row>
    <row r="7" spans="1:10" ht="15" customHeight="1">
      <c r="B7" s="2" t="s">
        <v>532</v>
      </c>
      <c r="C7" s="9">
        <f>SUMIFS('Seat Ledger'!$M$5:$M$468,'Seat Ledger'!$B$5:$B$468,1,'Seat Ledger'!$C$5:$C$468,"TEAM")</f>
        <v>332.50000000000011</v>
      </c>
      <c r="D7" s="9">
        <f>SUMIFS('Seat Ledger'!$M$5:$M$468,'Seat Ledger'!$B$5:$B$468,2,'Seat Ledger'!$C$5:$C$468,"TEAM")</f>
        <v>30.000000000000021</v>
      </c>
      <c r="E7" s="9">
        <f>SUMIFS('Seat Ledger'!$M$5:$M$468,'Seat Ledger'!$B$5:$B$468,3,'Seat Ledger'!$C$5:$C$468,"TEAM")</f>
        <v>0</v>
      </c>
      <c r="F7" s="9">
        <f>SUMIFS('Seat Ledger'!$M$5:$M$468,'Seat Ledger'!$B$5:$B$468,4,'Seat Ledger'!$C$5:$C$468,"TEAM")</f>
        <v>0</v>
      </c>
      <c r="G7" s="9">
        <f>SUMIFS('Seat Ledger'!$M$5:$M$468,'Seat Ledger'!$B$5:$B$468,5,'Seat Ledger'!$C$5:$C$468,"TEAM")</f>
        <v>0</v>
      </c>
    </row>
    <row r="8" spans="1:10" ht="15" customHeight="1">
      <c r="B8" s="2" t="s">
        <v>533</v>
      </c>
      <c r="C8" s="9">
        <f>SUMIFS('Seat Ledger'!$M$5:$M$468,'Seat Ledger'!$B$5:$B$468,1,'Seat Ledger'!$C$5:$C$468,"HZ")</f>
        <v>64.5</v>
      </c>
      <c r="D8" s="9">
        <f>SUMIFS('Seat Ledger'!$M$5:$M$468,'Seat Ledger'!$B$5:$B$468,2,'Seat Ledger'!$C$5:$C$468,"HZ")</f>
        <v>50</v>
      </c>
      <c r="E8" s="9">
        <f>SUMIFS('Seat Ledger'!$M$5:$M$468,'Seat Ledger'!$B$5:$B$468,3,'Seat Ledger'!$C$5:$C$468,"HZ")</f>
        <v>38.5</v>
      </c>
      <c r="F8" s="9">
        <f>SUMIFS('Seat Ledger'!$M$5:$M$468,'Seat Ledger'!$B$5:$B$468,4,'Seat Ledger'!$C$5:$C$468,"HZ")</f>
        <v>41</v>
      </c>
      <c r="G8" s="9">
        <f>SUMIFS('Seat Ledger'!$M$5:$M$468,'Seat Ledger'!$B$5:$B$468,5,'Seat Ledger'!$C$5:$C$468,"HZ")</f>
        <v>33.5</v>
      </c>
    </row>
    <row r="9" spans="1:10" ht="15" customHeight="1">
      <c r="B9" s="14" t="s">
        <v>534</v>
      </c>
      <c r="C9" s="15">
        <f>SUM(C6:C8)</f>
        <v>466.50000000000006</v>
      </c>
      <c r="D9" s="15">
        <f>SUM(D6:D8)</f>
        <v>359.60000000000014</v>
      </c>
      <c r="E9" s="15">
        <f>SUM(E6:E8)</f>
        <v>290.08000000000015</v>
      </c>
      <c r="F9" s="15">
        <f>SUM(F6:F8)</f>
        <v>250.37999999999997</v>
      </c>
      <c r="G9" s="15">
        <f>SUM(G6:G8)</f>
        <v>226.72000000000008</v>
      </c>
    </row>
    <row r="10" spans="1:10" ht="15" customHeight="1">
      <c r="B10" s="2" t="s">
        <v>535</v>
      </c>
      <c r="C10" s="44" t="str">
        <f>'Delivery Mode'!C21&amp;" / "&amp;'Delivery Mode'!C23</f>
        <v>7 / 28</v>
      </c>
      <c r="D10" s="44" t="str">
        <f>'Delivery Mode'!D21&amp;" / "&amp;'Delivery Mode'!D23</f>
        <v>35 / 3</v>
      </c>
      <c r="E10" s="44" t="str">
        <f>'Delivery Mode'!E21&amp;" / "&amp;'Delivery Mode'!E23</f>
        <v>36 / 0</v>
      </c>
      <c r="F10" s="44" t="str">
        <f>'Delivery Mode'!F21&amp;" / "&amp;'Delivery Mode'!F23</f>
        <v>36 / 0</v>
      </c>
      <c r="G10" s="44" t="str">
        <f>'Delivery Mode'!G21&amp;" / "&amp;'Delivery Mode'!G23</f>
        <v>33 / 0</v>
      </c>
    </row>
    <row r="11" spans="1:10" ht="15" customHeight="1">
      <c r="B11" s="2" t="s">
        <v>536</v>
      </c>
      <c r="C11" s="9">
        <f>'Logic Tree'!C53</f>
        <v>466.47230000000002</v>
      </c>
      <c r="D11" s="9">
        <f>'Logic Tree'!D53</f>
        <v>359.39753770863291</v>
      </c>
      <c r="E11" s="9">
        <f>'Logic Tree'!E53</f>
        <v>289.88187080028962</v>
      </c>
      <c r="F11" s="9">
        <f>'Logic Tree'!F53</f>
        <v>250.20767940473624</v>
      </c>
      <c r="G11" s="9">
        <f>'Logic Tree'!G53</f>
        <v>226.69242531160774</v>
      </c>
    </row>
    <row r="12" spans="1:10" ht="15" customHeight="1">
      <c r="B12" s="4" t="s">
        <v>537</v>
      </c>
      <c r="C12" s="45">
        <f>C9-C11</f>
        <v>2.7700000000038472E-2</v>
      </c>
      <c r="D12" s="45">
        <f>D9-D11</f>
        <v>0.20246229136722604</v>
      </c>
      <c r="E12" s="45">
        <f>E9-E11</f>
        <v>0.19812919971053589</v>
      </c>
      <c r="F12" s="45">
        <f>F9-F11</f>
        <v>0.17232059526372723</v>
      </c>
      <c r="G12" s="45">
        <f>G9-G11</f>
        <v>2.7574688392348889E-2</v>
      </c>
    </row>
    <row r="14" spans="1:10" ht="15" customHeight="1">
      <c r="A14" s="60" t="s">
        <v>538</v>
      </c>
      <c r="B14" s="60"/>
      <c r="C14" s="60"/>
      <c r="D14" s="60"/>
      <c r="E14" s="60"/>
      <c r="F14" s="60"/>
      <c r="G14" s="60"/>
      <c r="H14" s="60"/>
      <c r="I14" s="60"/>
      <c r="J14" s="60"/>
    </row>
    <row r="15" spans="1:10" ht="27.75" customHeight="1">
      <c r="B15" s="5" t="s">
        <v>258</v>
      </c>
      <c r="C15" s="5" t="s">
        <v>539</v>
      </c>
      <c r="D15" s="5" t="s">
        <v>42</v>
      </c>
      <c r="E15" s="5" t="s">
        <v>540</v>
      </c>
      <c r="F15" s="5"/>
      <c r="G15" s="5"/>
      <c r="H15" s="5" t="s">
        <v>347</v>
      </c>
    </row>
    <row r="16" spans="1:10" ht="15" customHeight="1">
      <c r="B16" s="4" t="s">
        <v>541</v>
      </c>
      <c r="C16" s="9">
        <f>C9</f>
        <v>466.50000000000006</v>
      </c>
      <c r="D16" s="9">
        <f>'Logic Tree'!C7</f>
        <v>466.47230000000002</v>
      </c>
      <c r="E16" s="15">
        <f t="shared" ref="E16:E27" si="0">C16-D16</f>
        <v>2.7700000000038472E-2</v>
      </c>
      <c r="H16" s="3" t="s">
        <v>542</v>
      </c>
    </row>
    <row r="17" spans="1:14" ht="15" customHeight="1">
      <c r="B17" s="4" t="s">
        <v>543</v>
      </c>
      <c r="C17" s="9">
        <f>SUMIFS('Seat Ledger'!$M$5:$M$468,'Seat Ledger'!$B$5:$B$468,1,'Seat Ledger'!$J$5:$J$468,"FTC")</f>
        <v>284.50000000000011</v>
      </c>
      <c r="D17" s="9">
        <f>'Logic Tree'!C8</f>
        <v>284.54300000000001</v>
      </c>
      <c r="E17" s="15">
        <f t="shared" si="0"/>
        <v>-4.299999999989268E-2</v>
      </c>
      <c r="H17" s="3" t="s">
        <v>544</v>
      </c>
    </row>
    <row r="18" spans="1:14" ht="15" customHeight="1">
      <c r="B18" s="4" t="s">
        <v>545</v>
      </c>
      <c r="C18" s="9">
        <f>SUMIFS('Seat Ledger'!$M$5:$M$468,'Seat Ledger'!$B$5:$B$468,1,'Seat Ledger'!$J$5:$J$468,"FTE")</f>
        <v>88.499999999999986</v>
      </c>
      <c r="D18" s="9">
        <f>'Logic Tree'!C9</f>
        <v>88.129199999999997</v>
      </c>
      <c r="E18" s="15">
        <f t="shared" si="0"/>
        <v>0.37079999999998847</v>
      </c>
      <c r="H18" s="3" t="s">
        <v>546</v>
      </c>
    </row>
    <row r="19" spans="1:14" ht="15" customHeight="1">
      <c r="B19" s="4" t="s">
        <v>547</v>
      </c>
      <c r="C19" s="9">
        <f>SUMIFS('Seat Ledger'!$M$5:$M$468,'Seat Ledger'!$B$5:$B$468,1,'Seat Ledger'!$J$5:$J$468,"MGCC")</f>
        <v>93.499999999999972</v>
      </c>
      <c r="D19" s="9">
        <f>'Logic Tree'!C10</f>
        <v>93.8</v>
      </c>
      <c r="E19" s="15">
        <f t="shared" si="0"/>
        <v>-0.30000000000002558</v>
      </c>
      <c r="H19" s="3" t="s">
        <v>548</v>
      </c>
    </row>
    <row r="20" spans="1:14" ht="15" customHeight="1">
      <c r="B20" s="4" t="s">
        <v>549</v>
      </c>
      <c r="C20" s="9">
        <f>SUMIFS('Seat Ledger'!$M$5:$M$468,'Seat Ledger'!$B$5:$B$468,1,'Seat Ledger'!$J$5:$J$468,"FTC",'Seat Ledger'!$I$5:$I$468,"ON")</f>
        <v>177.00000000000009</v>
      </c>
      <c r="D20" s="9">
        <f>'Logic Tree'!C11</f>
        <v>177.3681</v>
      </c>
      <c r="E20" s="15">
        <f t="shared" si="0"/>
        <v>-0.36809999999991305</v>
      </c>
      <c r="H20" s="3" t="s">
        <v>550</v>
      </c>
    </row>
    <row r="21" spans="1:14" ht="15" customHeight="1">
      <c r="B21" s="4" t="s">
        <v>551</v>
      </c>
      <c r="C21" s="9">
        <f>SUMIFS('Seat Ledger'!$M$5:$M$468,'Seat Ledger'!$B$5:$B$468,1,'Seat Ledger'!$J$5:$J$468,"FTC",'Seat Ledger'!$I$5:$I$468,"OFF")</f>
        <v>107.49999999999999</v>
      </c>
      <c r="D21" s="9">
        <f>'Logic Tree'!C12</f>
        <v>107.0916</v>
      </c>
      <c r="E21" s="15">
        <f t="shared" si="0"/>
        <v>0.40839999999998611</v>
      </c>
      <c r="H21" s="3" t="s">
        <v>552</v>
      </c>
    </row>
    <row r="22" spans="1:14" ht="15" customHeight="1">
      <c r="B22" s="4" t="s">
        <v>553</v>
      </c>
      <c r="C22" s="9">
        <f>SUMIFS('Seat Ledger'!$M$5:$M$468,'Seat Ledger'!$B$5:$B$468,1,'Seat Ledger'!$J$5:$J$468,"FTC",'Seat Ledger'!$G$5:$G$468,"BSA")</f>
        <v>46.500000000000128</v>
      </c>
      <c r="D22" s="9">
        <f>'Logic Tree'!C15</f>
        <v>47.708300000000001</v>
      </c>
      <c r="E22" s="15">
        <f t="shared" si="0"/>
        <v>-1.2082999999998734</v>
      </c>
      <c r="H22" s="3" t="s">
        <v>554</v>
      </c>
    </row>
    <row r="23" spans="1:14" ht="15" customHeight="1">
      <c r="B23" s="4" t="s">
        <v>555</v>
      </c>
      <c r="C23" s="9">
        <f>SUMIFS('Seat Ledger'!$M$5:$M$468,'Seat Ledger'!$B$5:$B$468,1,'Seat Ledger'!$J$5:$J$468,"FTC",'Seat Ledger'!$G$5:$G$468,"DEV")</f>
        <v>114.99999999999987</v>
      </c>
      <c r="D23" s="9">
        <f>'Logic Tree'!C16</f>
        <v>114.2306</v>
      </c>
      <c r="E23" s="15">
        <f t="shared" si="0"/>
        <v>0.76939999999987663</v>
      </c>
      <c r="H23" s="3" t="s">
        <v>556</v>
      </c>
      <c r="N23" t="s">
        <v>781</v>
      </c>
    </row>
    <row r="24" spans="1:14" ht="15" customHeight="1">
      <c r="B24" s="4" t="s">
        <v>557</v>
      </c>
      <c r="C24" s="9">
        <f>SUMIFS('Seat Ledger'!$M$5:$M$468,'Seat Ledger'!$B$5:$B$468,1,'Seat Ledger'!$J$5:$J$468,"FTC",'Seat Ledger'!$G$5:$G$468,"TEST")</f>
        <v>103.0000000000001</v>
      </c>
      <c r="D24" s="9">
        <f>'Logic Tree'!C17</f>
        <v>103.9166</v>
      </c>
      <c r="E24" s="15">
        <f t="shared" si="0"/>
        <v>-0.91659999999990305</v>
      </c>
      <c r="H24" s="3" t="s">
        <v>558</v>
      </c>
    </row>
    <row r="25" spans="1:14" ht="15" customHeight="1">
      <c r="B25" s="4" t="s">
        <v>559</v>
      </c>
      <c r="C25" s="9">
        <f>SUMIFS('Seat Ledger'!$M$5:$M$468,'Seat Ledger'!$B$5:$B$468,1,'Seat Ledger'!$J$5:$J$468,"FTC",'Seat Ledger'!$G$5:$G$468,"MNT")</f>
        <v>13.5</v>
      </c>
      <c r="D25" s="9">
        <f>'Logic Tree'!C18</f>
        <v>13.145799999999999</v>
      </c>
      <c r="E25" s="15">
        <f t="shared" si="0"/>
        <v>0.35420000000000051</v>
      </c>
      <c r="H25" s="3" t="s">
        <v>560</v>
      </c>
    </row>
    <row r="26" spans="1:14" ht="15" customHeight="1">
      <c r="B26" s="4" t="s">
        <v>561</v>
      </c>
      <c r="C26" s="9">
        <f>SUMIFS('Seat Ledger'!$M$5:$M$468,'Seat Ledger'!$B$5:$B$468,1,'Seat Ledger'!$J$5:$J$468,"FTC",'Seat Ledger'!$G$5:$G$468,"PM")</f>
        <v>4.5</v>
      </c>
      <c r="D26" s="9">
        <f>'Logic Tree'!C19</f>
        <v>3.7917000000000001</v>
      </c>
      <c r="E26" s="15">
        <f t="shared" si="0"/>
        <v>0.70829999999999993</v>
      </c>
      <c r="H26" s="3" t="s">
        <v>562</v>
      </c>
    </row>
    <row r="27" spans="1:14" ht="15" customHeight="1">
      <c r="B27" s="4" t="s">
        <v>563</v>
      </c>
      <c r="C27" s="9">
        <f>SUMIFS('Seat Ledger'!$M$5:$M$468,'Seat Ledger'!$B$5:$B$468,1,'Seat Ledger'!$J$5:$J$468,"FTC",'Seat Ledger'!$G$5:$G$468,"OTH")</f>
        <v>2</v>
      </c>
      <c r="D27" s="9">
        <f>'Logic Tree'!C20</f>
        <v>1.75</v>
      </c>
      <c r="E27" s="15">
        <f t="shared" si="0"/>
        <v>0.25</v>
      </c>
      <c r="H27" s="3" t="s">
        <v>564</v>
      </c>
    </row>
    <row r="28" spans="1:14" ht="15" customHeight="1">
      <c r="B28" s="24" t="s">
        <v>565</v>
      </c>
      <c r="E28" s="26">
        <f>MAX(ABS(E16),ABS(E17),ABS(E18),ABS(E19),ABS(E20),ABS(E21),ABS(E22),ABS(E23),ABS(E24),ABS(E25),ABS(E26),ABS(E27))</f>
        <v>1.2082999999998734</v>
      </c>
      <c r="H28" s="3" t="s">
        <v>566</v>
      </c>
    </row>
    <row r="30" spans="1:14" ht="15" customHeight="1">
      <c r="A30" s="60" t="s">
        <v>567</v>
      </c>
      <c r="B30" s="60"/>
      <c r="C30" s="60"/>
      <c r="D30" s="60"/>
      <c r="E30" s="60"/>
      <c r="F30" s="60"/>
      <c r="G30" s="60"/>
      <c r="H30" s="60"/>
      <c r="I30" s="60"/>
      <c r="J30" s="60"/>
    </row>
    <row r="31" spans="1:14" ht="15" customHeight="1">
      <c r="B31" s="5" t="s">
        <v>258</v>
      </c>
      <c r="C31" s="5" t="s">
        <v>172</v>
      </c>
      <c r="D31" s="5" t="s">
        <v>173</v>
      </c>
      <c r="E31" s="5" t="s">
        <v>174</v>
      </c>
      <c r="F31" s="5" t="s">
        <v>175</v>
      </c>
      <c r="G31" s="5" t="s">
        <v>176</v>
      </c>
    </row>
    <row r="32" spans="1:14" ht="15" customHeight="1">
      <c r="B32" s="2" t="s">
        <v>568</v>
      </c>
      <c r="C32" s="9">
        <f>SUMIFS('Seat Ledger'!$M$5:$M$468,'Seat Ledger'!$B$5:$B$468,1,'Seat Ledger'!$J$5:$J$468,"FTC")</f>
        <v>284.50000000000011</v>
      </c>
      <c r="D32" s="9">
        <f>SUMIFS('Seat Ledger'!$M$5:$M$468,'Seat Ledger'!$B$5:$B$468,2,'Seat Ledger'!$J$5:$J$468,"FTC")</f>
        <v>209.59999999999994</v>
      </c>
      <c r="E32" s="9">
        <f>SUMIFS('Seat Ledger'!$M$5:$M$468,'Seat Ledger'!$B$5:$B$468,3,'Seat Ledger'!$J$5:$J$468,"FTC")</f>
        <v>161.58000000000001</v>
      </c>
      <c r="F32" s="9">
        <f>SUMIFS('Seat Ledger'!$M$5:$M$468,'Seat Ledger'!$B$5:$B$468,4,'Seat Ledger'!$J$5:$J$468,"FTC")</f>
        <v>127.88000000000001</v>
      </c>
      <c r="G32" s="9">
        <f>SUMIFS('Seat Ledger'!$M$5:$M$468,'Seat Ledger'!$B$5:$B$468,5,'Seat Ledger'!$J$5:$J$468,"FTC")</f>
        <v>118.71999999999998</v>
      </c>
    </row>
    <row r="33" spans="1:10" ht="15" customHeight="1">
      <c r="B33" s="2" t="s">
        <v>569</v>
      </c>
      <c r="C33" s="9">
        <f>SUMIFS('Seat Ledger'!$M$5:$M$468,'Seat Ledger'!$B$5:$B$468,1,'Seat Ledger'!$J$5:$J$468,"FTE")</f>
        <v>88.499999999999986</v>
      </c>
      <c r="D33" s="9">
        <f>SUMIFS('Seat Ledger'!$M$5:$M$468,'Seat Ledger'!$B$5:$B$468,2,'Seat Ledger'!$J$5:$J$468,"FTE")</f>
        <v>75.5</v>
      </c>
      <c r="E33" s="9">
        <f>SUMIFS('Seat Ledger'!$M$5:$M$468,'Seat Ledger'!$B$5:$B$468,3,'Seat Ledger'!$J$5:$J$468,"FTE")</f>
        <v>66.500000000000014</v>
      </c>
      <c r="F33" s="9">
        <f>SUMIFS('Seat Ledger'!$M$5:$M$468,'Seat Ledger'!$B$5:$B$468,4,'Seat Ledger'!$J$5:$J$468,"FTE")</f>
        <v>63.999999999999979</v>
      </c>
      <c r="G33" s="9">
        <f>SUMIFS('Seat Ledger'!$M$5:$M$468,'Seat Ledger'!$B$5:$B$468,5,'Seat Ledger'!$J$5:$J$468,"FTE")</f>
        <v>57.499999999999993</v>
      </c>
    </row>
    <row r="34" spans="1:10" ht="15" customHeight="1">
      <c r="B34" s="2" t="s">
        <v>547</v>
      </c>
      <c r="C34" s="9">
        <f>SUMIFS('Seat Ledger'!$M$5:$M$468,'Seat Ledger'!$B$5:$B$468,1,'Seat Ledger'!$J$5:$J$468,"MGCC")</f>
        <v>93.499999999999972</v>
      </c>
      <c r="D34" s="9">
        <f>SUMIFS('Seat Ledger'!$M$5:$M$468,'Seat Ledger'!$B$5:$B$468,2,'Seat Ledger'!$J$5:$J$468,"MGCC")</f>
        <v>74.500000000000014</v>
      </c>
      <c r="E34" s="9">
        <f>SUMIFS('Seat Ledger'!$M$5:$M$468,'Seat Ledger'!$B$5:$B$468,3,'Seat Ledger'!$J$5:$J$468,"MGCC")</f>
        <v>62.000000000000071</v>
      </c>
      <c r="F34" s="9">
        <f>SUMIFS('Seat Ledger'!$M$5:$M$468,'Seat Ledger'!$B$5:$B$468,4,'Seat Ledger'!$J$5:$J$468,"MGCC")</f>
        <v>58.499999999999964</v>
      </c>
      <c r="G34" s="9">
        <f>SUMIFS('Seat Ledger'!$M$5:$M$468,'Seat Ledger'!$B$5:$B$468,5,'Seat Ledger'!$J$5:$J$468,"MGCC")</f>
        <v>50.500000000000057</v>
      </c>
    </row>
    <row r="35" spans="1:10" ht="15" customHeight="1">
      <c r="B35" s="14" t="s">
        <v>265</v>
      </c>
      <c r="C35" s="18">
        <f>IF(C9=0,0,C32/C9)</f>
        <v>0.6098606645230441</v>
      </c>
      <c r="D35" s="18">
        <f>IF(D9=0,0,D32/D9)</f>
        <v>0.58286985539488279</v>
      </c>
      <c r="E35" s="18">
        <f>IF(E9=0,0,E32/E9)</f>
        <v>0.55701875344732465</v>
      </c>
      <c r="F35" s="18">
        <f>IF(F9=0,0,F32/F9)</f>
        <v>0.51074366962217443</v>
      </c>
      <c r="G35" s="18">
        <f>IF(G9=0,0,G32/G9)</f>
        <v>0.52364149611856003</v>
      </c>
    </row>
    <row r="36" spans="1:10" ht="15" customHeight="1">
      <c r="B36" s="2" t="s">
        <v>216</v>
      </c>
      <c r="C36" s="9">
        <f>SUMIFS('Seat Ledger'!$M$5:$M$468,'Seat Ledger'!$B$5:$B$468,1,'Seat Ledger'!$I$5:$I$468,"ON")</f>
        <v>265.50000000000006</v>
      </c>
      <c r="D36" s="9">
        <f>SUMIFS('Seat Ledger'!$M$5:$M$468,'Seat Ledger'!$B$5:$B$468,2,'Seat Ledger'!$I$5:$I$468,"ON")</f>
        <v>140.60000000000002</v>
      </c>
      <c r="E36" s="9">
        <f>SUMIFS('Seat Ledger'!$M$5:$M$468,'Seat Ledger'!$B$5:$B$468,3,'Seat Ledger'!$I$5:$I$468,"ON")</f>
        <v>95.700000000000017</v>
      </c>
      <c r="F36" s="9">
        <f>SUMIFS('Seat Ledger'!$M$5:$M$468,'Seat Ledger'!$B$5:$B$468,4,'Seat Ledger'!$I$5:$I$468,"ON")</f>
        <v>76.699999999999989</v>
      </c>
      <c r="G36" s="9">
        <f>SUMIFS('Seat Ledger'!$M$5:$M$468,'Seat Ledger'!$B$5:$B$468,5,'Seat Ledger'!$I$5:$I$468,"ON")</f>
        <v>66.64</v>
      </c>
    </row>
    <row r="37" spans="1:10" ht="15" customHeight="1">
      <c r="B37" s="2" t="s">
        <v>371</v>
      </c>
      <c r="C37" s="9">
        <f>SUMIFS('Seat Ledger'!$M$5:$M$468,'Seat Ledger'!$B$5:$B$468,1,'Seat Ledger'!$I$5:$I$468,"OFF")</f>
        <v>201.00000000000003</v>
      </c>
      <c r="D37" s="9">
        <f>SUMIFS('Seat Ledger'!$M$5:$M$468,'Seat Ledger'!$B$5:$B$468,2,'Seat Ledger'!$I$5:$I$468,"OFF")</f>
        <v>218.99999999999997</v>
      </c>
      <c r="E37" s="9">
        <f>SUMIFS('Seat Ledger'!$M$5:$M$468,'Seat Ledger'!$B$5:$B$468,3,'Seat Ledger'!$I$5:$I$468,"OFF")</f>
        <v>194.38000000000011</v>
      </c>
      <c r="F37" s="9">
        <f>SUMIFS('Seat Ledger'!$M$5:$M$468,'Seat Ledger'!$B$5:$B$468,4,'Seat Ledger'!$I$5:$I$468,"OFF")</f>
        <v>173.67999999999998</v>
      </c>
      <c r="G37" s="9">
        <f>SUMIFS('Seat Ledger'!$M$5:$M$468,'Seat Ledger'!$B$5:$B$468,5,'Seat Ledger'!$I$5:$I$468,"OFF")</f>
        <v>160.07999999999998</v>
      </c>
    </row>
    <row r="38" spans="1:10" ht="15" customHeight="1">
      <c r="B38" s="2" t="s">
        <v>218</v>
      </c>
      <c r="C38" s="9">
        <f>SUMIFS('Seat Ledger'!$M$5:$M$468,'Seat Ledger'!$B$5:$B$468,1,'Seat Ledger'!$I$5:$I$468,"NEAR")</f>
        <v>0</v>
      </c>
      <c r="D38" s="9">
        <f>SUMIFS('Seat Ledger'!$M$5:$M$468,'Seat Ledger'!$B$5:$B$468,2,'Seat Ledger'!$I$5:$I$468,"NEAR")</f>
        <v>0</v>
      </c>
      <c r="E38" s="9">
        <f>SUMIFS('Seat Ledger'!$M$5:$M$468,'Seat Ledger'!$B$5:$B$468,3,'Seat Ledger'!$I$5:$I$468,"NEAR")</f>
        <v>0</v>
      </c>
      <c r="F38" s="9">
        <f>SUMIFS('Seat Ledger'!$M$5:$M$468,'Seat Ledger'!$B$5:$B$468,4,'Seat Ledger'!$I$5:$I$468,"NEAR")</f>
        <v>0</v>
      </c>
      <c r="G38" s="9">
        <f>SUMIFS('Seat Ledger'!$M$5:$M$468,'Seat Ledger'!$B$5:$B$468,5,'Seat Ledger'!$I$5:$I$468,"NEAR")</f>
        <v>0</v>
      </c>
    </row>
    <row r="39" spans="1:10" ht="15" customHeight="1">
      <c r="B39" s="14" t="s">
        <v>570</v>
      </c>
      <c r="C39" s="18">
        <f>IF(C9=0,0,(C37+C38)/C9)</f>
        <v>0.43086816720257237</v>
      </c>
      <c r="D39" s="18">
        <f>IF(D9=0,0,(D37+D38)/D9)</f>
        <v>0.6090100111234702</v>
      </c>
      <c r="E39" s="18">
        <f>IF(E9=0,0,(E37+E38)/E9)</f>
        <v>0.67009100937672372</v>
      </c>
      <c r="F39" s="18">
        <f>IF(F9=0,0,(F37+F38)/F9)</f>
        <v>0.6936656282450675</v>
      </c>
      <c r="G39" s="18">
        <f>IF(G9=0,0,(G37+G38)/G9)</f>
        <v>0.70606916019760024</v>
      </c>
    </row>
    <row r="40" spans="1:10" ht="15" customHeight="1">
      <c r="B40" s="2" t="s">
        <v>571</v>
      </c>
      <c r="C40" s="12">
        <f>'Logic Tree'!C60</f>
        <v>0.43826673022170876</v>
      </c>
      <c r="D40" s="12">
        <f>'Logic Tree'!D60</f>
        <v>0.56375516627675415</v>
      </c>
      <c r="E40" s="12">
        <f>'Logic Tree'!E60</f>
        <v>0.66642752304906416</v>
      </c>
      <c r="F40" s="12">
        <f>'Logic Tree'!F60</f>
        <v>0.7348757608972708</v>
      </c>
      <c r="G40" s="12">
        <f>'Logic Tree'!G60</f>
        <v>0.78050791946274189</v>
      </c>
    </row>
    <row r="41" spans="1:10" ht="15" customHeight="1">
      <c r="B41" s="2" t="s">
        <v>572</v>
      </c>
      <c r="C41" s="12">
        <f>IF(C9=0,0,1-SUMIFS('Seat Ledger'!$M$5:$M$468,'Seat Ledger'!$B$5:$B$468,1,'Seat Ledger'!$I$5:$I$468,"ON",'Seat Ledger'!$J$5:$J$468,"FTE")/C9)</f>
        <v>0.81028938906752423</v>
      </c>
      <c r="D41" s="12">
        <f>IF(D9=0,0,1-SUMIFS('Seat Ledger'!$M$5:$M$468,'Seat Ledger'!$B$5:$B$468,2,'Seat Ledger'!$I$5:$I$468,"ON",'Seat Ledger'!$J$5:$J$468,"FTE")/D9)</f>
        <v>0.7900444938820913</v>
      </c>
      <c r="E41" s="12">
        <f>IF(E9=0,0,1-SUMIFS('Seat Ledger'!$M$5:$M$468,'Seat Ledger'!$B$5:$B$468,3,'Seat Ledger'!$I$5:$I$468,"ON",'Seat Ledger'!$J$5:$J$468,"FTE")/E9)</f>
        <v>0.77075289575289585</v>
      </c>
      <c r="F41" s="12">
        <f>IF(F9=0,0,1-SUMIFS('Seat Ledger'!$M$5:$M$468,'Seat Ledger'!$B$5:$B$468,4,'Seat Ledger'!$I$5:$I$468,"ON",'Seat Ledger'!$J$5:$J$468,"FTE")/F9)</f>
        <v>0.74438852943525846</v>
      </c>
      <c r="G41" s="12">
        <f>IF(G9=0,0,1-SUMIFS('Seat Ledger'!$M$5:$M$468,'Seat Ledger'!$B$5:$B$468,5,'Seat Ledger'!$I$5:$I$468,"ON",'Seat Ledger'!$J$5:$J$468,"FTE")/G9)</f>
        <v>0.74638320395201141</v>
      </c>
    </row>
    <row r="43" spans="1:10" ht="15" customHeight="1">
      <c r="A43" s="60" t="s">
        <v>573</v>
      </c>
      <c r="B43" s="60"/>
      <c r="C43" s="60"/>
      <c r="D43" s="60"/>
      <c r="E43" s="60"/>
      <c r="F43" s="60"/>
      <c r="G43" s="60"/>
      <c r="H43" s="60"/>
      <c r="I43" s="60"/>
      <c r="J43" s="60"/>
    </row>
    <row r="44" spans="1:10" ht="15" customHeight="1">
      <c r="B44" s="5" t="s">
        <v>438</v>
      </c>
      <c r="C44" s="5" t="s">
        <v>172</v>
      </c>
      <c r="D44" s="5" t="s">
        <v>173</v>
      </c>
      <c r="E44" s="5" t="s">
        <v>174</v>
      </c>
      <c r="F44" s="5" t="s">
        <v>175</v>
      </c>
      <c r="G44" s="5" t="s">
        <v>176</v>
      </c>
    </row>
    <row r="45" spans="1:10" ht="15" customHeight="1">
      <c r="B45" s="2" t="s">
        <v>574</v>
      </c>
      <c r="C45" s="9">
        <f>SUMIFS('Seat Ledger'!$M$5:$M$468,'Seat Ledger'!$B$5:$B$468,1,'Seat Ledger'!$G$5:$G$468,"BSA")</f>
        <v>82.000000000000114</v>
      </c>
      <c r="D45" s="9">
        <f>SUMIFS('Seat Ledger'!$M$5:$M$468,'Seat Ledger'!$B$5:$B$468,2,'Seat Ledger'!$G$5:$G$468,"BSA")</f>
        <v>51.249999999999986</v>
      </c>
      <c r="E45" s="9">
        <f>SUMIFS('Seat Ledger'!$M$5:$M$468,'Seat Ledger'!$B$5:$B$468,3,'Seat Ledger'!$G$5:$G$468,"BSA")</f>
        <v>42.199999999999996</v>
      </c>
      <c r="F45" s="9">
        <f>SUMIFS('Seat Ledger'!$M$5:$M$468,'Seat Ledger'!$B$5:$B$468,4,'Seat Ledger'!$G$5:$G$468,"BSA")</f>
        <v>28.699999999999989</v>
      </c>
      <c r="G45" s="9">
        <f>SUMIFS('Seat Ledger'!$M$5:$M$468,'Seat Ledger'!$B$5:$B$468,5,'Seat Ledger'!$G$5:$G$468,"BSA")</f>
        <v>25.139999999999997</v>
      </c>
    </row>
    <row r="46" spans="1:10" ht="15" customHeight="1">
      <c r="B46" s="2" t="s">
        <v>231</v>
      </c>
      <c r="C46" s="9">
        <f>SUMIFS('Seat Ledger'!$M$5:$M$468,'Seat Ledger'!$B$5:$B$468,1,'Seat Ledger'!$G$5:$G$468,"DEV")</f>
        <v>177.99999999999989</v>
      </c>
      <c r="D46" s="9">
        <f>SUMIFS('Seat Ledger'!$M$5:$M$468,'Seat Ledger'!$B$5:$B$468,2,'Seat Ledger'!$G$5:$G$468,"DEV")</f>
        <v>137.85</v>
      </c>
      <c r="E46" s="9">
        <f>SUMIFS('Seat Ledger'!$M$5:$M$468,'Seat Ledger'!$B$5:$B$468,3,'Seat Ledger'!$G$5:$G$468,"DEV")</f>
        <v>113.80000000000005</v>
      </c>
      <c r="F46" s="9">
        <f>SUMIFS('Seat Ledger'!$M$5:$M$468,'Seat Ledger'!$B$5:$B$468,4,'Seat Ledger'!$G$5:$G$468,"DEV")</f>
        <v>101.07999999999994</v>
      </c>
      <c r="G46" s="9">
        <f>SUMIFS('Seat Ledger'!$M$5:$M$468,'Seat Ledger'!$B$5:$B$468,5,'Seat Ledger'!$G$5:$G$468,"DEV")</f>
        <v>93.740000000000038</v>
      </c>
    </row>
    <row r="47" spans="1:10" ht="15" customHeight="1">
      <c r="B47" s="2" t="s">
        <v>232</v>
      </c>
      <c r="C47" s="9">
        <f>SUMIFS('Seat Ledger'!$M$5:$M$468,'Seat Ledger'!$B$5:$B$468,1,'Seat Ledger'!$G$5:$G$468,"TEST")</f>
        <v>136.00000000000011</v>
      </c>
      <c r="D47" s="9">
        <f>SUMIFS('Seat Ledger'!$M$5:$M$468,'Seat Ledger'!$B$5:$B$468,2,'Seat Ledger'!$G$5:$G$468,"TEST")</f>
        <v>94.000000000000014</v>
      </c>
      <c r="E47" s="9">
        <f>SUMIFS('Seat Ledger'!$M$5:$M$468,'Seat Ledger'!$B$5:$B$468,3,'Seat Ledger'!$G$5:$G$468,"TEST")</f>
        <v>73.180000000000007</v>
      </c>
      <c r="F47" s="9">
        <f>SUMIFS('Seat Ledger'!$M$5:$M$468,'Seat Ledger'!$B$5:$B$468,4,'Seat Ledger'!$G$5:$G$468,"TEST")</f>
        <v>60.40000000000002</v>
      </c>
      <c r="G47" s="9">
        <f>SUMIFS('Seat Ledger'!$M$5:$M$468,'Seat Ledger'!$B$5:$B$468,5,'Seat Ledger'!$G$5:$G$468,"TEST")</f>
        <v>49.24</v>
      </c>
    </row>
    <row r="48" spans="1:10" ht="15" customHeight="1">
      <c r="B48" s="2" t="s">
        <v>575</v>
      </c>
      <c r="C48" s="9">
        <f>SUMIFS('Seat Ledger'!$M$5:$M$468,'Seat Ledger'!$B$5:$B$468,1,'Seat Ledger'!$G$5:$G$468,"MNT")</f>
        <v>31.499999999999993</v>
      </c>
      <c r="D48" s="9">
        <f>SUMIFS('Seat Ledger'!$M$5:$M$468,'Seat Ledger'!$B$5:$B$468,2,'Seat Ledger'!$G$5:$G$468,"MNT")</f>
        <v>22.500000000000014</v>
      </c>
      <c r="E48" s="9">
        <f>SUMIFS('Seat Ledger'!$M$5:$M$468,'Seat Ledger'!$B$5:$B$468,3,'Seat Ledger'!$G$5:$G$468,"MNT")</f>
        <v>13.9</v>
      </c>
      <c r="F48" s="9">
        <f>SUMIFS('Seat Ledger'!$M$5:$M$468,'Seat Ledger'!$B$5:$B$468,4,'Seat Ledger'!$G$5:$G$468,"MNT")</f>
        <v>14.7</v>
      </c>
      <c r="G48" s="9">
        <f>SUMIFS('Seat Ledger'!$M$5:$M$468,'Seat Ledger'!$B$5:$B$468,5,'Seat Ledger'!$G$5:$G$468,"MNT")</f>
        <v>13.6</v>
      </c>
    </row>
    <row r="49" spans="1:10" ht="15" customHeight="1">
      <c r="B49" s="2" t="s">
        <v>576</v>
      </c>
      <c r="C49" s="9">
        <f>SUMIFS('Seat Ledger'!$M$5:$M$468,'Seat Ledger'!$B$5:$B$468,1,'Seat Ledger'!$G$5:$G$468,"PM")</f>
        <v>35.5</v>
      </c>
      <c r="D49" s="9">
        <f>SUMIFS('Seat Ledger'!$M$5:$M$468,'Seat Ledger'!$B$5:$B$468,2,'Seat Ledger'!$G$5:$G$468,"PM")</f>
        <v>41.500000000000021</v>
      </c>
      <c r="E49" s="9">
        <f>SUMIFS('Seat Ledger'!$M$5:$M$468,'Seat Ledger'!$B$5:$B$468,3,'Seat Ledger'!$G$5:$G$468,"PM")</f>
        <v>36.500000000000014</v>
      </c>
      <c r="F49" s="9">
        <f>SUMIFS('Seat Ledger'!$M$5:$M$468,'Seat Ledger'!$B$5:$B$468,4,'Seat Ledger'!$G$5:$G$468,"PM")</f>
        <v>31.999999999999993</v>
      </c>
      <c r="G49" s="9">
        <f>SUMIFS('Seat Ledger'!$M$5:$M$468,'Seat Ledger'!$B$5:$B$468,5,'Seat Ledger'!$G$5:$G$468,"PM")</f>
        <v>27.999999999999986</v>
      </c>
    </row>
    <row r="50" spans="1:10" ht="15" customHeight="1">
      <c r="B50" s="2" t="s">
        <v>577</v>
      </c>
      <c r="C50" s="9">
        <f>SUMIFS('Seat Ledger'!$M$5:$M$468,'Seat Ledger'!$B$5:$B$468,1,'Seat Ledger'!$G$5:$G$468,"OTH")</f>
        <v>3.5</v>
      </c>
      <c r="D50" s="9">
        <f>SUMIFS('Seat Ledger'!$M$5:$M$468,'Seat Ledger'!$B$5:$B$468,2,'Seat Ledger'!$G$5:$G$468,"OTH")</f>
        <v>12.499999999999989</v>
      </c>
      <c r="E50" s="9">
        <f>SUMIFS('Seat Ledger'!$M$5:$M$468,'Seat Ledger'!$B$5:$B$468,3,'Seat Ledger'!$G$5:$G$468,"OTH")</f>
        <v>10.5</v>
      </c>
      <c r="F50" s="9">
        <f>SUMIFS('Seat Ledger'!$M$5:$M$468,'Seat Ledger'!$B$5:$B$468,4,'Seat Ledger'!$G$5:$G$468,"OTH")</f>
        <v>13.5</v>
      </c>
      <c r="G50" s="9">
        <f>SUMIFS('Seat Ledger'!$M$5:$M$468,'Seat Ledger'!$B$5:$B$468,5,'Seat Ledger'!$G$5:$G$468,"OTH")</f>
        <v>17.000000000000007</v>
      </c>
    </row>
    <row r="51" spans="1:10" ht="54.75" customHeight="1">
      <c r="B51" s="14" t="s">
        <v>578</v>
      </c>
      <c r="C51" s="18">
        <f>IF(C9=0,0,C47/C9)</f>
        <v>0.29153269024651685</v>
      </c>
      <c r="D51" s="18">
        <f>IF(D9=0,0,D47/D9)</f>
        <v>0.26140155728587311</v>
      </c>
      <c r="E51" s="18">
        <f>IF(E9=0,0,E47/E9)</f>
        <v>0.25227523441809147</v>
      </c>
      <c r="F51" s="18">
        <f>IF(F9=0,0,F47/F9)</f>
        <v>0.24123332534547498</v>
      </c>
      <c r="G51" s="18">
        <f>IF(G9=0,0,G47/G9)</f>
        <v>0.21718419195483407</v>
      </c>
      <c r="I51" s="3" t="s">
        <v>579</v>
      </c>
    </row>
    <row r="53" spans="1:10" ht="15" customHeight="1">
      <c r="A53" s="60" t="s">
        <v>580</v>
      </c>
      <c r="B53" s="60"/>
      <c r="C53" s="60"/>
      <c r="D53" s="60"/>
      <c r="E53" s="60"/>
      <c r="F53" s="60"/>
      <c r="G53" s="60"/>
      <c r="H53" s="60"/>
      <c r="I53" s="60"/>
      <c r="J53" s="60"/>
    </row>
    <row r="54" spans="1:10" ht="15" customHeight="1">
      <c r="B54" s="5" t="s">
        <v>581</v>
      </c>
      <c r="C54" s="5" t="s">
        <v>172</v>
      </c>
      <c r="D54" s="5" t="s">
        <v>173</v>
      </c>
      <c r="E54" s="5" t="s">
        <v>174</v>
      </c>
      <c r="F54" s="5" t="s">
        <v>175</v>
      </c>
      <c r="G54" s="5" t="s">
        <v>176</v>
      </c>
    </row>
    <row r="55" spans="1:10" ht="15" customHeight="1">
      <c r="B55" s="2" t="s">
        <v>211</v>
      </c>
      <c r="C55" s="9">
        <f>SUMIFS('Seat Ledger'!$M$5:$M$468,'Seat Ledger'!$B$5:$B$468,1,'Seat Ledger'!$H$5:$H$468,"E1")</f>
        <v>11.499999999999989</v>
      </c>
      <c r="D55" s="9">
        <f>SUMIFS('Seat Ledger'!$M$5:$M$468,'Seat Ledger'!$B$5:$B$468,2,'Seat Ledger'!$H$5:$H$468,"E1")</f>
        <v>8.500000000000016</v>
      </c>
      <c r="E55" s="9">
        <f>SUMIFS('Seat Ledger'!$M$5:$M$468,'Seat Ledger'!$B$5:$B$468,3,'Seat Ledger'!$H$5:$H$468,"E1")</f>
        <v>4.6000000000000005</v>
      </c>
      <c r="F55" s="9">
        <f>SUMIFS('Seat Ledger'!$M$5:$M$468,'Seat Ledger'!$B$5:$B$468,4,'Seat Ledger'!$H$5:$H$468,"E1")</f>
        <v>6.3999999999999995</v>
      </c>
      <c r="G55" s="9">
        <f>SUMIFS('Seat Ledger'!$M$5:$M$468,'Seat Ledger'!$B$5:$B$468,5,'Seat Ledger'!$H$5:$H$468,"E1")</f>
        <v>5.9499999999999993</v>
      </c>
    </row>
    <row r="56" spans="1:10" ht="15" customHeight="1">
      <c r="B56" s="2" t="s">
        <v>212</v>
      </c>
      <c r="C56" s="9">
        <f>SUMIFS('Seat Ledger'!$M$5:$M$468,'Seat Ledger'!$B$5:$B$468,1,'Seat Ledger'!$H$5:$H$468,"E2")</f>
        <v>72.5</v>
      </c>
      <c r="D56" s="9">
        <f>SUMIFS('Seat Ledger'!$M$5:$M$468,'Seat Ledger'!$B$5:$B$468,2,'Seat Ledger'!$H$5:$H$468,"E2")</f>
        <v>19.5</v>
      </c>
      <c r="E56" s="9">
        <f>SUMIFS('Seat Ledger'!$M$5:$M$468,'Seat Ledger'!$B$5:$B$468,3,'Seat Ledger'!$H$5:$H$468,"E2")</f>
        <v>27.279999999999998</v>
      </c>
      <c r="F56" s="9">
        <f>SUMIFS('Seat Ledger'!$M$5:$M$468,'Seat Ledger'!$B$5:$B$468,4,'Seat Ledger'!$H$5:$H$468,"E2")</f>
        <v>17.300000000000011</v>
      </c>
      <c r="G56" s="9">
        <f>SUMIFS('Seat Ledger'!$M$5:$M$468,'Seat Ledger'!$B$5:$B$468,5,'Seat Ledger'!$H$5:$H$468,"E2")</f>
        <v>15.519999999999998</v>
      </c>
    </row>
    <row r="57" spans="1:10" ht="15" customHeight="1">
      <c r="B57" s="2" t="s">
        <v>213</v>
      </c>
      <c r="C57" s="9">
        <f>SUMIFS('Seat Ledger'!$M$5:$M$468,'Seat Ledger'!$B$5:$B$468,1,'Seat Ledger'!$H$5:$H$468,"E3")</f>
        <v>286</v>
      </c>
      <c r="D57" s="9">
        <f>SUMIFS('Seat Ledger'!$M$5:$M$468,'Seat Ledger'!$B$5:$B$468,2,'Seat Ledger'!$H$5:$H$468,"E3")</f>
        <v>198.74999999999997</v>
      </c>
      <c r="E57" s="9">
        <f>SUMIFS('Seat Ledger'!$M$5:$M$468,'Seat Ledger'!$B$5:$B$468,3,'Seat Ledger'!$H$5:$H$468,"E3")</f>
        <v>136.70000000000007</v>
      </c>
      <c r="F57" s="9">
        <f>SUMIFS('Seat Ledger'!$M$5:$M$468,'Seat Ledger'!$B$5:$B$468,4,'Seat Ledger'!$H$5:$H$468,"E3")</f>
        <v>94.69999999999996</v>
      </c>
      <c r="G57" s="9">
        <f>SUMIFS('Seat Ledger'!$M$5:$M$468,'Seat Ledger'!$B$5:$B$468,5,'Seat Ledger'!$H$5:$H$468,"E3")</f>
        <v>80.640000000000043</v>
      </c>
    </row>
    <row r="58" spans="1:10" ht="15" customHeight="1">
      <c r="B58" s="2" t="s">
        <v>214</v>
      </c>
      <c r="C58" s="9">
        <f>SUMIFS('Seat Ledger'!$M$5:$M$468,'Seat Ledger'!$B$5:$B$468,1,'Seat Ledger'!$H$5:$H$468,"E4")</f>
        <v>89.5</v>
      </c>
      <c r="D58" s="9">
        <f>SUMIFS('Seat Ledger'!$M$5:$M$468,'Seat Ledger'!$B$5:$B$468,2,'Seat Ledger'!$H$5:$H$468,"E4")</f>
        <v>125.35000000000001</v>
      </c>
      <c r="E58" s="9">
        <f>SUMIFS('Seat Ledger'!$M$5:$M$468,'Seat Ledger'!$B$5:$B$468,3,'Seat Ledger'!$H$5:$H$468,"E4")</f>
        <v>117</v>
      </c>
      <c r="F58" s="9">
        <f>SUMIFS('Seat Ledger'!$M$5:$M$468,'Seat Ledger'!$B$5:$B$468,4,'Seat Ledger'!$H$5:$H$468,"E4")</f>
        <v>125.47999999999999</v>
      </c>
      <c r="G58" s="9">
        <f>SUMIFS('Seat Ledger'!$M$5:$M$468,'Seat Ledger'!$B$5:$B$468,5,'Seat Ledger'!$H$5:$H$468,"E4")</f>
        <v>118.11</v>
      </c>
    </row>
    <row r="59" spans="1:10" ht="15" customHeight="1">
      <c r="B59" s="2" t="s">
        <v>215</v>
      </c>
      <c r="C59" s="9">
        <f>SUMIFS('Seat Ledger'!$M$5:$M$468,'Seat Ledger'!$B$5:$B$468,1,'Seat Ledger'!$H$5:$H$468,"E5")</f>
        <v>7</v>
      </c>
      <c r="D59" s="9">
        <f>SUMIFS('Seat Ledger'!$M$5:$M$468,'Seat Ledger'!$B$5:$B$468,2,'Seat Ledger'!$H$5:$H$468,"E5")</f>
        <v>7.5</v>
      </c>
      <c r="E59" s="9">
        <f>SUMIFS('Seat Ledger'!$M$5:$M$468,'Seat Ledger'!$B$5:$B$468,3,'Seat Ledger'!$H$5:$H$468,"E5")</f>
        <v>4.5</v>
      </c>
      <c r="F59" s="9">
        <f>SUMIFS('Seat Ledger'!$M$5:$M$468,'Seat Ledger'!$B$5:$B$468,4,'Seat Ledger'!$H$5:$H$468,"E5")</f>
        <v>6.5</v>
      </c>
      <c r="G59" s="9">
        <f>SUMIFS('Seat Ledger'!$M$5:$M$468,'Seat Ledger'!$B$5:$B$468,5,'Seat Ledger'!$H$5:$H$468,"E5")</f>
        <v>6.5</v>
      </c>
    </row>
    <row r="60" spans="1:10" ht="15" customHeight="1">
      <c r="B60" s="14" t="s">
        <v>582</v>
      </c>
      <c r="C60" s="18">
        <f>IF(C9=0,0,(C58+C59)/C9)</f>
        <v>0.20685959271168272</v>
      </c>
      <c r="D60" s="18">
        <f>IF(D9=0,0,(D58+D59)/D9)</f>
        <v>0.36943826473859837</v>
      </c>
      <c r="E60" s="18">
        <f>IF(E9=0,0,(E58+E59)/E9)</f>
        <v>0.41884997242140076</v>
      </c>
      <c r="F60" s="18">
        <f>IF(F9=0,0,(F58+F59)/F9)</f>
        <v>0.52711877945522811</v>
      </c>
      <c r="G60" s="18">
        <f>IF(G9=0,0,(G58+G59)/G9)</f>
        <v>0.54962067748764976</v>
      </c>
    </row>
  </sheetData>
  <mergeCells count="7">
    <mergeCell ref="A43:J43"/>
    <mergeCell ref="A53:J53"/>
    <mergeCell ref="A1:J1"/>
    <mergeCell ref="A2:J2"/>
    <mergeCell ref="A4:J4"/>
    <mergeCell ref="A14:J14"/>
    <mergeCell ref="A30:J30"/>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82"/>
  <sheetViews>
    <sheetView zoomScaleNormal="100" workbookViewId="0">
      <selection sqref="A1:K1"/>
    </sheetView>
  </sheetViews>
  <sheetFormatPr defaultColWidth="8.6328125" defaultRowHeight="14.5"/>
  <cols>
    <col min="1" max="1" width="2.453125" customWidth="1"/>
    <col min="2" max="2" width="44" customWidth="1"/>
    <col min="3" max="8" width="12" customWidth="1"/>
    <col min="9" max="9" width="3" customWidth="1"/>
    <col min="10" max="10" width="52" customWidth="1"/>
  </cols>
  <sheetData>
    <row r="1" spans="1:11" ht="25.5" customHeight="1">
      <c r="A1" s="61" t="s">
        <v>583</v>
      </c>
      <c r="B1" s="61"/>
      <c r="C1" s="61"/>
      <c r="D1" s="61"/>
      <c r="E1" s="61"/>
      <c r="F1" s="61"/>
      <c r="G1" s="61"/>
      <c r="H1" s="61"/>
      <c r="I1" s="61"/>
      <c r="J1" s="61"/>
      <c r="K1" s="61"/>
    </row>
    <row r="2" spans="1:11" ht="15" customHeight="1">
      <c r="A2" s="62" t="s">
        <v>584</v>
      </c>
      <c r="B2" s="62"/>
      <c r="C2" s="62"/>
      <c r="D2" s="62"/>
      <c r="E2" s="62"/>
      <c r="F2" s="62"/>
      <c r="G2" s="62"/>
      <c r="H2" s="62"/>
      <c r="I2" s="62"/>
      <c r="J2" s="62"/>
      <c r="K2" s="62"/>
    </row>
    <row r="4" spans="1:11" ht="15" customHeight="1">
      <c r="A4" s="60" t="s">
        <v>585</v>
      </c>
      <c r="B4" s="60"/>
      <c r="C4" s="60"/>
      <c r="D4" s="60"/>
      <c r="E4" s="60"/>
      <c r="F4" s="60"/>
      <c r="G4" s="60"/>
      <c r="H4" s="60"/>
    </row>
    <row r="5" spans="1:11" ht="18.75" customHeight="1">
      <c r="B5" s="5" t="s">
        <v>586</v>
      </c>
      <c r="C5" s="5" t="s">
        <v>442</v>
      </c>
      <c r="D5" s="5" t="s">
        <v>587</v>
      </c>
    </row>
    <row r="6" spans="1:11" ht="37.5" customHeight="1">
      <c r="B6" s="2" t="s">
        <v>588</v>
      </c>
      <c r="C6" s="13">
        <v>277</v>
      </c>
      <c r="D6" s="65" t="s">
        <v>589</v>
      </c>
      <c r="E6" s="65"/>
      <c r="F6" s="65"/>
      <c r="G6" s="65"/>
      <c r="H6" s="65"/>
    </row>
    <row r="7" spans="1:11" ht="37.5" customHeight="1">
      <c r="B7" s="2" t="s">
        <v>590</v>
      </c>
      <c r="C7" s="13">
        <v>283</v>
      </c>
      <c r="D7" s="65" t="s">
        <v>591</v>
      </c>
      <c r="E7" s="65"/>
      <c r="F7" s="65"/>
      <c r="G7" s="65"/>
      <c r="H7" s="65"/>
    </row>
    <row r="8" spans="1:11" ht="37.5" customHeight="1">
      <c r="B8" s="2" t="s">
        <v>592</v>
      </c>
      <c r="C8" s="13">
        <v>450</v>
      </c>
      <c r="D8" s="65" t="s">
        <v>593</v>
      </c>
      <c r="E8" s="65"/>
      <c r="F8" s="65"/>
      <c r="G8" s="65"/>
      <c r="H8" s="65"/>
    </row>
    <row r="9" spans="1:11" ht="37.5" customHeight="1">
      <c r="B9" s="2" t="s">
        <v>594</v>
      </c>
      <c r="C9" s="13">
        <v>528</v>
      </c>
      <c r="D9" s="65" t="s">
        <v>595</v>
      </c>
      <c r="E9" s="65"/>
      <c r="F9" s="65"/>
      <c r="G9" s="65"/>
      <c r="H9" s="65"/>
    </row>
    <row r="10" spans="1:11" ht="37.5" customHeight="1">
      <c r="B10" s="24" t="s">
        <v>596</v>
      </c>
      <c r="C10" s="38">
        <v>99</v>
      </c>
      <c r="D10" s="65" t="s">
        <v>597</v>
      </c>
      <c r="E10" s="65"/>
      <c r="F10" s="65"/>
      <c r="G10" s="65"/>
      <c r="H10" s="65"/>
    </row>
    <row r="12" spans="1:11" ht="15" customHeight="1">
      <c r="B12" s="64" t="s">
        <v>598</v>
      </c>
      <c r="C12" s="64"/>
      <c r="D12" s="64"/>
      <c r="E12" s="64"/>
      <c r="F12" s="64"/>
      <c r="G12" s="64"/>
      <c r="H12" s="64"/>
      <c r="I12" s="64"/>
      <c r="J12" s="64"/>
    </row>
    <row r="14" spans="1:11" ht="15" customHeight="1">
      <c r="A14" s="60" t="s">
        <v>599</v>
      </c>
      <c r="B14" s="60"/>
      <c r="C14" s="60"/>
      <c r="D14" s="60"/>
      <c r="E14" s="60"/>
      <c r="F14" s="60"/>
      <c r="G14" s="60"/>
      <c r="H14" s="60"/>
    </row>
    <row r="15" spans="1:11" ht="18.75" customHeight="1">
      <c r="B15" s="5" t="s">
        <v>365</v>
      </c>
      <c r="C15" s="5" t="s">
        <v>149</v>
      </c>
      <c r="D15" s="5" t="s">
        <v>292</v>
      </c>
      <c r="E15" s="5" t="s">
        <v>417</v>
      </c>
    </row>
    <row r="16" spans="1:11" ht="27.75" customHeight="1">
      <c r="B16" s="4" t="s">
        <v>384</v>
      </c>
      <c r="C16" s="36" t="s">
        <v>156</v>
      </c>
      <c r="D16" s="2" t="s">
        <v>418</v>
      </c>
      <c r="E16" s="27">
        <v>55.51</v>
      </c>
      <c r="J16" s="3" t="s">
        <v>600</v>
      </c>
    </row>
    <row r="17" spans="1:10" ht="23.25" customHeight="1">
      <c r="B17" s="4" t="s">
        <v>391</v>
      </c>
      <c r="C17" s="36" t="s">
        <v>158</v>
      </c>
      <c r="D17" s="2" t="s">
        <v>421</v>
      </c>
      <c r="E17" s="27">
        <v>31.69</v>
      </c>
    </row>
    <row r="18" spans="1:10" ht="23.25" customHeight="1">
      <c r="B18" s="4" t="s">
        <v>393</v>
      </c>
      <c r="C18" s="36" t="s">
        <v>156</v>
      </c>
      <c r="D18" s="2" t="s">
        <v>425</v>
      </c>
      <c r="E18" s="27">
        <v>8.81</v>
      </c>
    </row>
    <row r="19" spans="1:10" ht="23.25" customHeight="1">
      <c r="B19" s="4" t="s">
        <v>398</v>
      </c>
      <c r="C19" s="36" t="s">
        <v>156</v>
      </c>
      <c r="D19" s="2" t="s">
        <v>428</v>
      </c>
      <c r="E19" s="27">
        <v>2.68</v>
      </c>
    </row>
    <row r="20" spans="1:10" ht="23.25" customHeight="1">
      <c r="B20" s="4" t="s">
        <v>395</v>
      </c>
      <c r="C20" s="36" t="s">
        <v>160</v>
      </c>
      <c r="D20" s="2" t="s">
        <v>421</v>
      </c>
      <c r="E20" s="27">
        <v>0.28999999999999998</v>
      </c>
    </row>
    <row r="21" spans="1:10" ht="23.25" customHeight="1">
      <c r="B21" s="4" t="s">
        <v>402</v>
      </c>
      <c r="C21" s="36" t="s">
        <v>164</v>
      </c>
      <c r="D21" s="2" t="s">
        <v>421</v>
      </c>
      <c r="E21" s="27">
        <v>0.02</v>
      </c>
    </row>
    <row r="22" spans="1:10" ht="15" customHeight="1">
      <c r="B22" s="14" t="s">
        <v>410</v>
      </c>
      <c r="E22" s="37">
        <f>SUM(E16:E21)</f>
        <v>99.000000000000014</v>
      </c>
    </row>
    <row r="24" spans="1:10" ht="15" customHeight="1">
      <c r="A24" s="60" t="s">
        <v>601</v>
      </c>
      <c r="B24" s="60"/>
      <c r="C24" s="60"/>
      <c r="D24" s="60"/>
      <c r="E24" s="60"/>
      <c r="F24" s="60"/>
      <c r="G24" s="60"/>
      <c r="H24" s="60"/>
    </row>
    <row r="25" spans="1:10" ht="18.75" customHeight="1">
      <c r="B25" s="5" t="s">
        <v>581</v>
      </c>
      <c r="C25" s="5" t="s">
        <v>602</v>
      </c>
      <c r="D25" s="5" t="s">
        <v>603</v>
      </c>
      <c r="E25" s="5" t="s">
        <v>604</v>
      </c>
    </row>
    <row r="26" spans="1:10" ht="36.75" customHeight="1">
      <c r="B26" s="11" t="s">
        <v>211</v>
      </c>
      <c r="C26" s="20">
        <v>0.22</v>
      </c>
      <c r="D26" s="20">
        <v>0.1</v>
      </c>
      <c r="E26" s="20">
        <v>0.2</v>
      </c>
      <c r="J26" s="3" t="s">
        <v>605</v>
      </c>
    </row>
    <row r="27" spans="1:10" ht="15" customHeight="1">
      <c r="B27" s="11" t="s">
        <v>212</v>
      </c>
      <c r="C27" s="20">
        <v>0.18</v>
      </c>
      <c r="D27" s="20">
        <v>0.09</v>
      </c>
      <c r="E27" s="20">
        <v>0.16</v>
      </c>
    </row>
    <row r="28" spans="1:10" ht="15" customHeight="1">
      <c r="B28" s="11" t="s">
        <v>213</v>
      </c>
      <c r="C28" s="20">
        <v>0.13</v>
      </c>
      <c r="D28" s="20">
        <v>7.0000000000000007E-2</v>
      </c>
      <c r="E28" s="20">
        <v>0.12</v>
      </c>
    </row>
    <row r="29" spans="1:10" ht="15" customHeight="1">
      <c r="B29" s="11" t="s">
        <v>214</v>
      </c>
      <c r="C29" s="20">
        <v>0.09</v>
      </c>
      <c r="D29" s="20">
        <v>0.05</v>
      </c>
      <c r="E29" s="20">
        <v>7.0000000000000007E-2</v>
      </c>
    </row>
    <row r="30" spans="1:10" ht="15" customHeight="1">
      <c r="B30" s="11" t="s">
        <v>215</v>
      </c>
      <c r="C30" s="20">
        <v>0.06</v>
      </c>
      <c r="D30" s="20">
        <v>0.04</v>
      </c>
      <c r="E30" s="20">
        <v>0</v>
      </c>
    </row>
    <row r="32" spans="1:10" ht="15" customHeight="1">
      <c r="A32" s="60" t="s">
        <v>606</v>
      </c>
      <c r="B32" s="60"/>
      <c r="C32" s="60"/>
      <c r="D32" s="60"/>
      <c r="E32" s="60"/>
      <c r="F32" s="60"/>
      <c r="G32" s="60"/>
      <c r="H32" s="60"/>
    </row>
    <row r="33" spans="1:10" ht="15" customHeight="1">
      <c r="B33" s="5" t="s">
        <v>258</v>
      </c>
      <c r="C33" s="5" t="s">
        <v>172</v>
      </c>
      <c r="D33" s="5" t="s">
        <v>173</v>
      </c>
      <c r="E33" s="5" t="s">
        <v>174</v>
      </c>
      <c r="F33" s="5" t="s">
        <v>175</v>
      </c>
      <c r="G33" s="5" t="s">
        <v>176</v>
      </c>
    </row>
    <row r="34" spans="1:10" ht="15" customHeight="1">
      <c r="B34" s="14" t="s">
        <v>607</v>
      </c>
      <c r="C34" s="37">
        <v>99</v>
      </c>
      <c r="D34" s="37">
        <v>83.78</v>
      </c>
      <c r="E34" s="37">
        <v>71.550409999999999</v>
      </c>
      <c r="F34" s="37">
        <v>61.635578370200001</v>
      </c>
      <c r="G34" s="37">
        <v>53.525795501082001</v>
      </c>
    </row>
    <row r="35" spans="1:10" ht="15" customHeight="1">
      <c r="B35" s="2" t="s">
        <v>608</v>
      </c>
      <c r="C35" s="27">
        <v>10</v>
      </c>
      <c r="D35" s="27">
        <v>6.24</v>
      </c>
      <c r="E35" s="27">
        <v>3.8937599999999999</v>
      </c>
      <c r="F35" s="27">
        <v>2.4297062399999998</v>
      </c>
      <c r="G35" s="27">
        <v>1.51613669376</v>
      </c>
    </row>
    <row r="36" spans="1:10" ht="15" customHeight="1">
      <c r="B36" s="2" t="s">
        <v>609</v>
      </c>
      <c r="C36" s="27">
        <v>39</v>
      </c>
      <c r="D36" s="27">
        <v>28.423200000000001</v>
      </c>
      <c r="E36" s="27">
        <v>20.551340159999999</v>
      </c>
      <c r="F36" s="27">
        <v>14.763189662207999</v>
      </c>
      <c r="G36" s="27">
        <v>10.5479192127689</v>
      </c>
    </row>
    <row r="37" spans="1:10" ht="15" customHeight="1">
      <c r="B37" s="2" t="s">
        <v>610</v>
      </c>
      <c r="C37" s="27">
        <v>42</v>
      </c>
      <c r="D37" s="27">
        <v>37.377600000000001</v>
      </c>
      <c r="E37" s="27">
        <v>32.431837440000002</v>
      </c>
      <c r="F37" s="27">
        <v>27.596879188991998</v>
      </c>
      <c r="G37" s="27">
        <v>23.122985490055999</v>
      </c>
    </row>
    <row r="38" spans="1:10" ht="15" customHeight="1">
      <c r="B38" s="2" t="s">
        <v>611</v>
      </c>
      <c r="C38" s="27">
        <v>6</v>
      </c>
      <c r="D38" s="27">
        <v>9.4770000000000003</v>
      </c>
      <c r="E38" s="27">
        <v>11.94269454</v>
      </c>
      <c r="F38" s="27">
        <v>13.516761972977999</v>
      </c>
      <c r="G38" s="27">
        <v>14.346289045601401</v>
      </c>
    </row>
    <row r="39" spans="1:10" ht="15" customHeight="1">
      <c r="B39" s="2" t="s">
        <v>612</v>
      </c>
      <c r="C39" s="27">
        <v>2</v>
      </c>
      <c r="D39" s="27">
        <v>2.2622</v>
      </c>
      <c r="E39" s="27">
        <v>2.7307778599999999</v>
      </c>
      <c r="F39" s="27">
        <v>3.3290413060219999</v>
      </c>
      <c r="G39" s="27">
        <v>3.99246505889574</v>
      </c>
    </row>
    <row r="40" spans="1:10" ht="36.75" customHeight="1">
      <c r="B40" s="14" t="s">
        <v>613</v>
      </c>
      <c r="C40" s="18">
        <v>8.0808080808080801E-2</v>
      </c>
      <c r="D40" s="18">
        <v>0.14011936022917201</v>
      </c>
      <c r="E40" s="18">
        <v>0.20507880248345201</v>
      </c>
      <c r="F40" s="18">
        <v>0.27331297481820499</v>
      </c>
      <c r="G40" s="18">
        <v>0.34261525555704198</v>
      </c>
      <c r="J40" s="3" t="s">
        <v>614</v>
      </c>
    </row>
    <row r="41" spans="1:10" ht="15" customHeight="1">
      <c r="B41" s="2" t="s">
        <v>615</v>
      </c>
      <c r="C41" s="9">
        <v>2</v>
      </c>
      <c r="D41" s="9">
        <v>1.86</v>
      </c>
      <c r="E41" s="9">
        <v>1.734264</v>
      </c>
      <c r="F41" s="9">
        <v>1.6209080856</v>
      </c>
      <c r="G41" s="9">
        <v>1.51833191087304</v>
      </c>
    </row>
    <row r="42" spans="1:10" ht="15" customHeight="1">
      <c r="B42" s="2" t="s">
        <v>616</v>
      </c>
      <c r="C42" s="27">
        <v>97</v>
      </c>
      <c r="D42" s="27">
        <v>81.92</v>
      </c>
      <c r="E42" s="27">
        <v>69.816146000000003</v>
      </c>
      <c r="F42" s="27">
        <v>60.014670284600001</v>
      </c>
      <c r="G42" s="27">
        <v>52.007463590208999</v>
      </c>
    </row>
    <row r="43" spans="1:10" ht="15" customHeight="1">
      <c r="A43" s="60" t="s">
        <v>617</v>
      </c>
      <c r="B43" s="60"/>
      <c r="C43" s="60"/>
      <c r="D43" s="60"/>
      <c r="E43" s="60"/>
      <c r="F43" s="60"/>
      <c r="G43" s="60"/>
      <c r="H43" s="60"/>
    </row>
    <row r="44" spans="1:10" ht="15" customHeight="1">
      <c r="B44" s="5" t="s">
        <v>258</v>
      </c>
      <c r="C44" s="5" t="s">
        <v>172</v>
      </c>
      <c r="D44" s="5" t="s">
        <v>173</v>
      </c>
      <c r="E44" s="5" t="s">
        <v>174</v>
      </c>
      <c r="F44" s="5" t="s">
        <v>175</v>
      </c>
      <c r="G44" s="5" t="s">
        <v>176</v>
      </c>
    </row>
    <row r="45" spans="1:10" ht="15" customHeight="1">
      <c r="B45" s="14" t="s">
        <v>618</v>
      </c>
      <c r="C45" s="15">
        <f>SUMIFS('Seat Ledger'!$M$5:$M$468,'Seat Ledger'!$B$5:$B$468,1,'Seat Ledger'!$J$5:$J$468,"FTC",'Seat Ledger'!$I$5:$I$468,"OFF")</f>
        <v>107.49999999999999</v>
      </c>
      <c r="D45" s="15">
        <f>SUMIFS('Seat Ledger'!$M$5:$M$468,'Seat Ledger'!$B$5:$B$468,2,'Seat Ledger'!$J$5:$J$468,"FTC",'Seat Ledger'!$I$5:$I$468,"OFF")</f>
        <v>144.50000000000006</v>
      </c>
      <c r="E45" s="15">
        <f>SUMIFS('Seat Ledger'!$M$5:$M$468,'Seat Ledger'!$B$5:$B$468,3,'Seat Ledger'!$J$5:$J$468,"FTC",'Seat Ledger'!$I$5:$I$468,"OFF")</f>
        <v>132.38</v>
      </c>
      <c r="F45" s="15">
        <f>SUMIFS('Seat Ledger'!$M$5:$M$468,'Seat Ledger'!$B$5:$B$468,4,'Seat Ledger'!$J$5:$J$468,"FTC",'Seat Ledger'!$I$5:$I$468,"OFF")</f>
        <v>115.18000000000002</v>
      </c>
      <c r="G45" s="15">
        <f>SUMIFS('Seat Ledger'!$M$5:$M$468,'Seat Ledger'!$B$5:$B$468,5,'Seat Ledger'!$J$5:$J$468,"FTC",'Seat Ledger'!$I$5:$I$468,"OFF")</f>
        <v>109.57999999999998</v>
      </c>
    </row>
    <row r="46" spans="1:10" ht="15" customHeight="1">
      <c r="B46" s="2" t="s">
        <v>619</v>
      </c>
      <c r="C46" s="9">
        <v>97</v>
      </c>
      <c r="D46" s="9">
        <v>81.92</v>
      </c>
      <c r="E46" s="9">
        <v>69.816146000000003</v>
      </c>
      <c r="F46" s="9">
        <v>60.014670284600001</v>
      </c>
      <c r="G46" s="9">
        <v>52.007463590208999</v>
      </c>
    </row>
    <row r="47" spans="1:10" ht="15" customHeight="1">
      <c r="B47" s="14" t="s">
        <v>620</v>
      </c>
      <c r="C47" s="18">
        <f>C46/C45</f>
        <v>0.90232558139534891</v>
      </c>
      <c r="D47" s="18">
        <f>D46/D45</f>
        <v>0.56692041522491332</v>
      </c>
      <c r="E47" s="18">
        <f>E46/E45</f>
        <v>0.52739194742408224</v>
      </c>
      <c r="F47" s="18">
        <f>F46/F45</f>
        <v>0.52105113982114937</v>
      </c>
      <c r="G47" s="18">
        <f>G46/G45</f>
        <v>0.47460726035963685</v>
      </c>
    </row>
    <row r="48" spans="1:10" ht="15" customHeight="1">
      <c r="B48" s="2" t="s">
        <v>621</v>
      </c>
      <c r="C48" s="9">
        <f>C45-C46</f>
        <v>10.499999999999986</v>
      </c>
      <c r="D48" s="9">
        <f>D45-D46</f>
        <v>62.580000000000055</v>
      </c>
      <c r="E48" s="9">
        <f>E45-E46</f>
        <v>62.563853999999992</v>
      </c>
      <c r="F48" s="9">
        <f>F45-F46</f>
        <v>55.16532971540002</v>
      </c>
      <c r="G48" s="9">
        <f>G45-G46</f>
        <v>57.572536409790985</v>
      </c>
    </row>
    <row r="50" spans="1:8" ht="15" customHeight="1">
      <c r="A50" s="60" t="s">
        <v>622</v>
      </c>
      <c r="B50" s="60"/>
      <c r="C50" s="60"/>
      <c r="D50" s="60"/>
      <c r="E50" s="60"/>
      <c r="F50" s="60"/>
      <c r="G50" s="60"/>
      <c r="H50" s="60"/>
    </row>
    <row r="51" spans="1:8" ht="15" customHeight="1">
      <c r="B51" s="5" t="s">
        <v>172</v>
      </c>
      <c r="C51" s="5" t="s">
        <v>211</v>
      </c>
      <c r="D51" s="5" t="s">
        <v>212</v>
      </c>
      <c r="E51" s="5" t="s">
        <v>213</v>
      </c>
      <c r="F51" s="5" t="s">
        <v>214</v>
      </c>
      <c r="G51" s="5" t="s">
        <v>215</v>
      </c>
      <c r="H51" s="5" t="s">
        <v>166</v>
      </c>
    </row>
    <row r="52" spans="1:8" ht="15" customHeight="1">
      <c r="B52" s="2" t="s">
        <v>623</v>
      </c>
      <c r="C52" s="9">
        <f>SUMIFS('Seat Ledger'!$M$5:$M$468,'Seat Ledger'!$B$5:$B$468,1,'Seat Ledger'!$J$5:$J$468,"FTC",'Seat Ledger'!$I$5:$I$468,"OFF",'Seat Ledger'!$H$5:$H$468,"E1")</f>
        <v>11.499999999999989</v>
      </c>
      <c r="D52" s="9">
        <f>SUMIFS('Seat Ledger'!$M$5:$M$468,'Seat Ledger'!$B$5:$B$468,1,'Seat Ledger'!$J$5:$J$468,"FTC",'Seat Ledger'!$I$5:$I$468,"OFF",'Seat Ledger'!$H$5:$H$468,"E2")</f>
        <v>45.500000000000007</v>
      </c>
      <c r="E52" s="9">
        <f>SUMIFS('Seat Ledger'!$M$5:$M$468,'Seat Ledger'!$B$5:$B$468,1,'Seat Ledger'!$J$5:$J$468,"FTC",'Seat Ledger'!$I$5:$I$468,"OFF",'Seat Ledger'!$H$5:$H$468,"E3")</f>
        <v>43</v>
      </c>
      <c r="F52" s="9">
        <f>SUMIFS('Seat Ledger'!$M$5:$M$468,'Seat Ledger'!$B$5:$B$468,1,'Seat Ledger'!$J$5:$J$468,"FTC",'Seat Ledger'!$I$5:$I$468,"OFF",'Seat Ledger'!$H$5:$H$468,"E4")</f>
        <v>5.5</v>
      </c>
      <c r="G52" s="9">
        <f>SUMIFS('Seat Ledger'!$M$5:$M$468,'Seat Ledger'!$B$5:$B$468,1,'Seat Ledger'!$J$5:$J$468,"FTC",'Seat Ledger'!$I$5:$I$468,"OFF",'Seat Ledger'!$H$5:$H$468,"E5")</f>
        <v>2</v>
      </c>
      <c r="H52" s="15">
        <f>SUM(C52:G52)</f>
        <v>107.5</v>
      </c>
    </row>
    <row r="53" spans="1:8" ht="15" customHeight="1">
      <c r="B53" s="2" t="s">
        <v>624</v>
      </c>
      <c r="C53" s="9">
        <v>10</v>
      </c>
      <c r="D53" s="9">
        <v>39</v>
      </c>
      <c r="E53" s="9">
        <v>40</v>
      </c>
      <c r="F53" s="9">
        <v>6</v>
      </c>
      <c r="G53" s="9">
        <v>2</v>
      </c>
      <c r="H53" s="15">
        <f>SUM(C53:G53)</f>
        <v>97</v>
      </c>
    </row>
    <row r="54" spans="1:8" ht="15" customHeight="1">
      <c r="B54" s="14" t="s">
        <v>625</v>
      </c>
      <c r="C54" s="15">
        <f>C52-C53</f>
        <v>1.4999999999999893</v>
      </c>
      <c r="D54" s="15">
        <f>D52-D53</f>
        <v>6.5000000000000071</v>
      </c>
      <c r="E54" s="15">
        <f>E52-E53</f>
        <v>3</v>
      </c>
      <c r="F54" s="15">
        <f>F52-F53</f>
        <v>-0.5</v>
      </c>
      <c r="G54" s="15">
        <f>G52-G53</f>
        <v>0</v>
      </c>
      <c r="H54" s="15">
        <f>SUM(C54:G54)</f>
        <v>10.499999999999996</v>
      </c>
    </row>
    <row r="56" spans="1:8" ht="15" customHeight="1">
      <c r="B56" s="5" t="s">
        <v>173</v>
      </c>
      <c r="C56" s="5" t="s">
        <v>211</v>
      </c>
      <c r="D56" s="5" t="s">
        <v>212</v>
      </c>
      <c r="E56" s="5" t="s">
        <v>213</v>
      </c>
      <c r="F56" s="5" t="s">
        <v>214</v>
      </c>
      <c r="G56" s="5" t="s">
        <v>215</v>
      </c>
      <c r="H56" s="5" t="s">
        <v>166</v>
      </c>
    </row>
    <row r="57" spans="1:8" ht="15" customHeight="1">
      <c r="B57" s="2" t="s">
        <v>623</v>
      </c>
      <c r="C57" s="9">
        <f>SUMIFS('Seat Ledger'!$M$5:$M$468,'Seat Ledger'!$B$5:$B$468,2,'Seat Ledger'!$J$5:$J$468,"FTC",'Seat Ledger'!$I$5:$I$468,"OFF",'Seat Ledger'!$H$5:$H$468,"E1")</f>
        <v>8.500000000000016</v>
      </c>
      <c r="D57" s="9">
        <f>SUMIFS('Seat Ledger'!$M$5:$M$468,'Seat Ledger'!$B$5:$B$468,2,'Seat Ledger'!$J$5:$J$468,"FTC",'Seat Ledger'!$I$5:$I$468,"OFF",'Seat Ledger'!$H$5:$H$468,"E2")</f>
        <v>19.5</v>
      </c>
      <c r="E57" s="9">
        <f>SUMIFS('Seat Ledger'!$M$5:$M$468,'Seat Ledger'!$B$5:$B$468,2,'Seat Ledger'!$J$5:$J$468,"FTC",'Seat Ledger'!$I$5:$I$468,"OFF",'Seat Ledger'!$H$5:$H$468,"E3")</f>
        <v>89.500000000000014</v>
      </c>
      <c r="F57" s="9">
        <f>SUMIFS('Seat Ledger'!$M$5:$M$468,'Seat Ledger'!$B$5:$B$468,2,'Seat Ledger'!$J$5:$J$468,"FTC",'Seat Ledger'!$I$5:$I$468,"OFF",'Seat Ledger'!$H$5:$H$468,"E4")</f>
        <v>25.999999999999993</v>
      </c>
      <c r="G57" s="9">
        <f>SUMIFS('Seat Ledger'!$M$5:$M$468,'Seat Ledger'!$B$5:$B$468,2,'Seat Ledger'!$J$5:$J$468,"FTC",'Seat Ledger'!$I$5:$I$468,"OFF",'Seat Ledger'!$H$5:$H$468,"E5")</f>
        <v>1</v>
      </c>
      <c r="H57" s="15">
        <f>SUM(C57:G57)</f>
        <v>144.50000000000003</v>
      </c>
    </row>
    <row r="58" spans="1:8" ht="15" customHeight="1">
      <c r="B58" s="2" t="s">
        <v>624</v>
      </c>
      <c r="C58" s="9">
        <v>6.24</v>
      </c>
      <c r="D58" s="9">
        <v>28.423200000000001</v>
      </c>
      <c r="E58" s="9">
        <v>35.7408</v>
      </c>
      <c r="F58" s="9">
        <v>9.2538</v>
      </c>
      <c r="G58" s="9">
        <v>2.2622</v>
      </c>
      <c r="H58" s="15">
        <f>SUM(C58:G58)</f>
        <v>81.919999999999987</v>
      </c>
    </row>
    <row r="59" spans="1:8" ht="15" customHeight="1">
      <c r="B59" s="14" t="s">
        <v>625</v>
      </c>
      <c r="C59" s="15">
        <f>C57-C58</f>
        <v>2.2600000000000158</v>
      </c>
      <c r="D59" s="15">
        <f>D57-D58</f>
        <v>-8.9232000000000014</v>
      </c>
      <c r="E59" s="15">
        <f>E57-E58</f>
        <v>53.759200000000014</v>
      </c>
      <c r="F59" s="15">
        <f>F57-F58</f>
        <v>16.746199999999995</v>
      </c>
      <c r="G59" s="15">
        <f>G57-G58</f>
        <v>-1.2622</v>
      </c>
      <c r="H59" s="15">
        <f>SUM(C59:G59)</f>
        <v>62.580000000000027</v>
      </c>
    </row>
    <row r="61" spans="1:8" ht="15" customHeight="1">
      <c r="B61" s="5" t="s">
        <v>174</v>
      </c>
      <c r="C61" s="5" t="s">
        <v>211</v>
      </c>
      <c r="D61" s="5" t="s">
        <v>212</v>
      </c>
      <c r="E61" s="5" t="s">
        <v>213</v>
      </c>
      <c r="F61" s="5" t="s">
        <v>214</v>
      </c>
      <c r="G61" s="5" t="s">
        <v>215</v>
      </c>
      <c r="H61" s="5" t="s">
        <v>166</v>
      </c>
    </row>
    <row r="62" spans="1:8" ht="15" customHeight="1">
      <c r="B62" s="2" t="s">
        <v>623</v>
      </c>
      <c r="C62" s="9">
        <f>SUMIFS('Seat Ledger'!$M$5:$M$468,'Seat Ledger'!$B$5:$B$468,3,'Seat Ledger'!$J$5:$J$468,"FTC",'Seat Ledger'!$I$5:$I$468,"OFF",'Seat Ledger'!$H$5:$H$468,"E1")</f>
        <v>4.6000000000000005</v>
      </c>
      <c r="D62" s="9">
        <f>SUMIFS('Seat Ledger'!$M$5:$M$468,'Seat Ledger'!$B$5:$B$468,3,'Seat Ledger'!$J$5:$J$468,"FTC",'Seat Ledger'!$I$5:$I$468,"OFF",'Seat Ledger'!$H$5:$H$468,"E2")</f>
        <v>27.279999999999998</v>
      </c>
      <c r="E62" s="9">
        <f>SUMIFS('Seat Ledger'!$M$5:$M$468,'Seat Ledger'!$B$5:$B$468,3,'Seat Ledger'!$J$5:$J$468,"FTC",'Seat Ledger'!$I$5:$I$468,"OFF",'Seat Ledger'!$H$5:$H$468,"E3")</f>
        <v>49</v>
      </c>
      <c r="F62" s="9">
        <f>SUMIFS('Seat Ledger'!$M$5:$M$468,'Seat Ledger'!$B$5:$B$468,3,'Seat Ledger'!$J$5:$J$468,"FTC",'Seat Ledger'!$I$5:$I$468,"OFF",'Seat Ledger'!$H$5:$H$468,"E4")</f>
        <v>50.499999999999979</v>
      </c>
      <c r="G62" s="9">
        <f>SUMIFS('Seat Ledger'!$M$5:$M$468,'Seat Ledger'!$B$5:$B$468,3,'Seat Ledger'!$J$5:$J$468,"FTC",'Seat Ledger'!$I$5:$I$468,"OFF",'Seat Ledger'!$H$5:$H$468,"E5")</f>
        <v>1</v>
      </c>
      <c r="H62" s="15">
        <f>SUM(C62:G62)</f>
        <v>132.37999999999997</v>
      </c>
    </row>
    <row r="63" spans="1:8" ht="15" customHeight="1">
      <c r="B63" s="2" t="s">
        <v>624</v>
      </c>
      <c r="C63" s="9">
        <v>3.8937599999999999</v>
      </c>
      <c r="D63" s="9">
        <v>20.551340159999999</v>
      </c>
      <c r="E63" s="9">
        <v>31.09228032</v>
      </c>
      <c r="F63" s="9">
        <v>11.562830460000001</v>
      </c>
      <c r="G63" s="9">
        <v>2.7159350600000001</v>
      </c>
      <c r="H63" s="15">
        <f>SUM(C63:G63)</f>
        <v>69.816146000000003</v>
      </c>
    </row>
    <row r="64" spans="1:8" ht="15" customHeight="1">
      <c r="B64" s="14" t="s">
        <v>625</v>
      </c>
      <c r="C64" s="15">
        <f>C62-C63</f>
        <v>0.70624000000000065</v>
      </c>
      <c r="D64" s="15">
        <f>D62-D63</f>
        <v>6.7286598399999988</v>
      </c>
      <c r="E64" s="15">
        <f>E62-E63</f>
        <v>17.90771968</v>
      </c>
      <c r="F64" s="15">
        <f>F62-F63</f>
        <v>38.937169539999978</v>
      </c>
      <c r="G64" s="15">
        <f>G62-G63</f>
        <v>-1.7159350600000001</v>
      </c>
      <c r="H64" s="15">
        <f>SUM(C64:G64)</f>
        <v>62.563853999999985</v>
      </c>
    </row>
    <row r="66" spans="1:10" ht="15" customHeight="1">
      <c r="B66" s="5" t="s">
        <v>175</v>
      </c>
      <c r="C66" s="5" t="s">
        <v>211</v>
      </c>
      <c r="D66" s="5" t="s">
        <v>212</v>
      </c>
      <c r="E66" s="5" t="s">
        <v>213</v>
      </c>
      <c r="F66" s="5" t="s">
        <v>214</v>
      </c>
      <c r="G66" s="5" t="s">
        <v>215</v>
      </c>
      <c r="H66" s="5" t="s">
        <v>166</v>
      </c>
    </row>
    <row r="67" spans="1:10" ht="15" customHeight="1">
      <c r="B67" s="2" t="s">
        <v>623</v>
      </c>
      <c r="C67" s="9">
        <f>SUMIFS('Seat Ledger'!$M$5:$M$468,'Seat Ledger'!$B$5:$B$468,4,'Seat Ledger'!$J$5:$J$468,"FTC",'Seat Ledger'!$I$5:$I$468,"OFF",'Seat Ledger'!$H$5:$H$468,"E1")</f>
        <v>6.3999999999999995</v>
      </c>
      <c r="D67" s="9">
        <f>SUMIFS('Seat Ledger'!$M$5:$M$468,'Seat Ledger'!$B$5:$B$468,4,'Seat Ledger'!$J$5:$J$468,"FTC",'Seat Ledger'!$I$5:$I$468,"OFF",'Seat Ledger'!$H$5:$H$468,"E2")</f>
        <v>17.300000000000011</v>
      </c>
      <c r="E67" s="9">
        <f>SUMIFS('Seat Ledger'!$M$5:$M$468,'Seat Ledger'!$B$5:$B$468,4,'Seat Ledger'!$J$5:$J$468,"FTC",'Seat Ledger'!$I$5:$I$468,"OFF",'Seat Ledger'!$H$5:$H$468,"E3")</f>
        <v>20.500000000000007</v>
      </c>
      <c r="F67" s="9">
        <f>SUMIFS('Seat Ledger'!$M$5:$M$468,'Seat Ledger'!$B$5:$B$468,4,'Seat Ledger'!$J$5:$J$468,"FTC",'Seat Ledger'!$I$5:$I$468,"OFF",'Seat Ledger'!$H$5:$H$468,"E4")</f>
        <v>69.98</v>
      </c>
      <c r="G67" s="9">
        <f>SUMIFS('Seat Ledger'!$M$5:$M$468,'Seat Ledger'!$B$5:$B$468,4,'Seat Ledger'!$J$5:$J$468,"FTC",'Seat Ledger'!$I$5:$I$468,"OFF",'Seat Ledger'!$H$5:$H$468,"E5")</f>
        <v>1</v>
      </c>
      <c r="H67" s="15">
        <f>SUM(C67:G67)</f>
        <v>115.18000000000002</v>
      </c>
    </row>
    <row r="68" spans="1:10" ht="15" customHeight="1">
      <c r="B68" s="2" t="s">
        <v>624</v>
      </c>
      <c r="C68" s="9">
        <v>2.4297062399999998</v>
      </c>
      <c r="D68" s="9">
        <v>14.763189662207999</v>
      </c>
      <c r="E68" s="9">
        <v>26.500585641983999</v>
      </c>
      <c r="F68" s="9">
        <v>13.031657483706001</v>
      </c>
      <c r="G68" s="9">
        <v>3.2895312567019999</v>
      </c>
      <c r="H68" s="15">
        <f>SUM(C68:G68)</f>
        <v>60.014670284599994</v>
      </c>
    </row>
    <row r="69" spans="1:10" ht="15" customHeight="1">
      <c r="B69" s="14" t="s">
        <v>625</v>
      </c>
      <c r="C69" s="15">
        <f>C67-C68</f>
        <v>3.9702937599999997</v>
      </c>
      <c r="D69" s="15">
        <f>D67-D68</f>
        <v>2.5368103377920121</v>
      </c>
      <c r="E69" s="15">
        <f>E67-E68</f>
        <v>-6.0005856419839922</v>
      </c>
      <c r="F69" s="15">
        <f>F67-F68</f>
        <v>56.948342516294005</v>
      </c>
      <c r="G69" s="15">
        <f>G67-G68</f>
        <v>-2.2895312567019999</v>
      </c>
      <c r="H69" s="15">
        <f>SUM(C69:G69)</f>
        <v>55.165329715400027</v>
      </c>
    </row>
    <row r="71" spans="1:10" ht="15" customHeight="1">
      <c r="B71" s="5" t="s">
        <v>176</v>
      </c>
      <c r="C71" s="5" t="s">
        <v>211</v>
      </c>
      <c r="D71" s="5" t="s">
        <v>212</v>
      </c>
      <c r="E71" s="5" t="s">
        <v>213</v>
      </c>
      <c r="F71" s="5" t="s">
        <v>214</v>
      </c>
      <c r="G71" s="5" t="s">
        <v>215</v>
      </c>
      <c r="H71" s="5" t="s">
        <v>166</v>
      </c>
    </row>
    <row r="72" spans="1:10" ht="15" customHeight="1">
      <c r="B72" s="2" t="s">
        <v>623</v>
      </c>
      <c r="C72" s="9">
        <f>SUMIFS('Seat Ledger'!$M$5:$M$468,'Seat Ledger'!$B$5:$B$468,5,'Seat Ledger'!$J$5:$J$468,"FTC",'Seat Ledger'!$I$5:$I$468,"OFF",'Seat Ledger'!$H$5:$H$468,"E1")</f>
        <v>5.9499999999999993</v>
      </c>
      <c r="D72" s="9">
        <f>SUMIFS('Seat Ledger'!$M$5:$M$468,'Seat Ledger'!$B$5:$B$468,5,'Seat Ledger'!$J$5:$J$468,"FTC",'Seat Ledger'!$I$5:$I$468,"OFF",'Seat Ledger'!$H$5:$H$468,"E2")</f>
        <v>15.519999999999998</v>
      </c>
      <c r="E72" s="9">
        <f>SUMIFS('Seat Ledger'!$M$5:$M$468,'Seat Ledger'!$B$5:$B$468,5,'Seat Ledger'!$J$5:$J$468,"FTC",'Seat Ledger'!$I$5:$I$468,"OFF",'Seat Ledger'!$H$5:$H$468,"E3")</f>
        <v>18.999999999999989</v>
      </c>
      <c r="F72" s="9">
        <f>SUMIFS('Seat Ledger'!$M$5:$M$468,'Seat Ledger'!$B$5:$B$468,5,'Seat Ledger'!$J$5:$J$468,"FTC",'Seat Ledger'!$I$5:$I$468,"OFF",'Seat Ledger'!$H$5:$H$468,"E4")</f>
        <v>68.110000000000028</v>
      </c>
      <c r="G72" s="9">
        <f>SUMIFS('Seat Ledger'!$M$5:$M$468,'Seat Ledger'!$B$5:$B$468,5,'Seat Ledger'!$J$5:$J$468,"FTC",'Seat Ledger'!$I$5:$I$468,"OFF",'Seat Ledger'!$H$5:$H$468,"E5")</f>
        <v>1</v>
      </c>
      <c r="H72" s="15">
        <f>SUM(C72:G72)</f>
        <v>109.58000000000001</v>
      </c>
    </row>
    <row r="73" spans="1:10" ht="15" customHeight="1">
      <c r="B73" s="2" t="s">
        <v>624</v>
      </c>
      <c r="C73" s="9">
        <v>1.51613669376</v>
      </c>
      <c r="D73" s="9">
        <v>10.5479192127689</v>
      </c>
      <c r="E73" s="9">
        <v>22.2257788511846</v>
      </c>
      <c r="F73" s="9">
        <v>13.7953528694835</v>
      </c>
      <c r="G73" s="9">
        <v>3.9222759630119501</v>
      </c>
      <c r="H73" s="15">
        <f>SUM(C73:G73)</f>
        <v>52.00746359020895</v>
      </c>
    </row>
    <row r="74" spans="1:10" ht="15" customHeight="1">
      <c r="B74" s="14" t="s">
        <v>625</v>
      </c>
      <c r="C74" s="15">
        <f>C72-C73</f>
        <v>4.4338633062399992</v>
      </c>
      <c r="D74" s="15">
        <f>D72-D73</f>
        <v>4.9720807872310981</v>
      </c>
      <c r="E74" s="15">
        <f>E72-E73</f>
        <v>-3.2257788511846108</v>
      </c>
      <c r="F74" s="15">
        <f>F72-F73</f>
        <v>54.314647130516526</v>
      </c>
      <c r="G74" s="15">
        <f>G72-G73</f>
        <v>-2.9222759630119501</v>
      </c>
      <c r="H74" s="15">
        <f>SUM(C74:G74)</f>
        <v>57.572536409791063</v>
      </c>
    </row>
    <row r="76" spans="1:10" ht="45.75" customHeight="1">
      <c r="B76" s="64" t="s">
        <v>626</v>
      </c>
      <c r="C76" s="64"/>
      <c r="D76" s="64"/>
      <c r="E76" s="64"/>
      <c r="F76" s="64"/>
      <c r="G76" s="64"/>
      <c r="H76" s="64"/>
      <c r="I76" s="64"/>
      <c r="J76" s="64"/>
    </row>
    <row r="78" spans="1:10" ht="15" customHeight="1">
      <c r="A78" s="60" t="s">
        <v>627</v>
      </c>
      <c r="B78" s="60"/>
      <c r="C78" s="60"/>
      <c r="D78" s="60"/>
      <c r="E78" s="60"/>
      <c r="F78" s="60"/>
      <c r="G78" s="60"/>
      <c r="H78" s="60"/>
    </row>
    <row r="79" spans="1:10" ht="43.5" customHeight="1">
      <c r="B79" s="63" t="s">
        <v>628</v>
      </c>
      <c r="C79" s="63"/>
      <c r="D79" s="63"/>
      <c r="E79" s="63"/>
      <c r="F79" s="63"/>
      <c r="G79" s="63"/>
      <c r="H79" s="63"/>
      <c r="I79" s="63"/>
      <c r="J79" s="63"/>
    </row>
    <row r="80" spans="1:10" ht="43.5" customHeight="1">
      <c r="B80" s="63" t="s">
        <v>629</v>
      </c>
      <c r="C80" s="63"/>
      <c r="D80" s="63"/>
      <c r="E80" s="63"/>
      <c r="F80" s="63"/>
      <c r="G80" s="63"/>
      <c r="H80" s="63"/>
      <c r="I80" s="63"/>
      <c r="J80" s="63"/>
    </row>
    <row r="81" spans="2:10" ht="43.5" customHeight="1">
      <c r="B81" s="63" t="s">
        <v>630</v>
      </c>
      <c r="C81" s="63"/>
      <c r="D81" s="63"/>
      <c r="E81" s="63"/>
      <c r="F81" s="63"/>
      <c r="G81" s="63"/>
      <c r="H81" s="63"/>
      <c r="I81" s="63"/>
      <c r="J81" s="63"/>
    </row>
    <row r="82" spans="2:10" ht="43.5" customHeight="1">
      <c r="B82" s="63" t="s">
        <v>631</v>
      </c>
      <c r="C82" s="63"/>
      <c r="D82" s="63"/>
      <c r="E82" s="63"/>
      <c r="F82" s="63"/>
      <c r="G82" s="63"/>
      <c r="H82" s="63"/>
      <c r="I82" s="63"/>
      <c r="J82" s="63"/>
    </row>
  </sheetData>
  <mergeCells count="20">
    <mergeCell ref="A1:K1"/>
    <mergeCell ref="A2:K2"/>
    <mergeCell ref="A4:H4"/>
    <mergeCell ref="D6:H6"/>
    <mergeCell ref="D7:H7"/>
    <mergeCell ref="D8:H8"/>
    <mergeCell ref="D9:H9"/>
    <mergeCell ref="D10:H10"/>
    <mergeCell ref="B12:J12"/>
    <mergeCell ref="A14:H14"/>
    <mergeCell ref="A24:H24"/>
    <mergeCell ref="A32:H32"/>
    <mergeCell ref="A43:H43"/>
    <mergeCell ref="A50:H50"/>
    <mergeCell ref="B76:J76"/>
    <mergeCell ref="A78:H78"/>
    <mergeCell ref="B79:J79"/>
    <mergeCell ref="B80:J80"/>
    <mergeCell ref="B81:J81"/>
    <mergeCell ref="B82:J8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61"/>
  <sheetViews>
    <sheetView zoomScaleNormal="100" workbookViewId="0"/>
  </sheetViews>
  <sheetFormatPr defaultColWidth="8.6328125" defaultRowHeight="14.5"/>
  <cols>
    <col min="1" max="1" width="2.453125" customWidth="1"/>
    <col min="2" max="2" width="48" customWidth="1"/>
    <col min="3" max="7" width="13" customWidth="1"/>
    <col min="8" max="8" width="3" customWidth="1"/>
    <col min="9" max="9" width="52" customWidth="1"/>
  </cols>
  <sheetData>
    <row r="1" spans="1:10" ht="25.5" customHeight="1">
      <c r="A1" s="61" t="s">
        <v>632</v>
      </c>
      <c r="B1" s="61"/>
      <c r="C1" s="61"/>
      <c r="D1" s="61"/>
      <c r="E1" s="61"/>
      <c r="F1" s="61"/>
      <c r="G1" s="61"/>
      <c r="H1" s="61"/>
      <c r="I1" s="61"/>
      <c r="J1" s="61"/>
    </row>
    <row r="2" spans="1:10" ht="15" customHeight="1">
      <c r="A2" s="62" t="s">
        <v>633</v>
      </c>
      <c r="B2" s="62"/>
      <c r="C2" s="62"/>
      <c r="D2" s="62"/>
      <c r="E2" s="62"/>
      <c r="F2" s="62"/>
      <c r="G2" s="62"/>
      <c r="H2" s="62"/>
      <c r="I2" s="62"/>
      <c r="J2" s="62"/>
    </row>
    <row r="4" spans="1:10" ht="15" customHeight="1">
      <c r="A4" s="60" t="s">
        <v>634</v>
      </c>
      <c r="B4" s="60"/>
      <c r="C4" s="60"/>
      <c r="D4" s="60"/>
      <c r="E4" s="60"/>
      <c r="F4" s="60"/>
      <c r="G4" s="60"/>
      <c r="H4" s="60"/>
      <c r="I4" s="60"/>
    </row>
    <row r="5" spans="1:10" ht="15" customHeight="1">
      <c r="B5" s="5" t="s">
        <v>258</v>
      </c>
      <c r="C5" s="5" t="s">
        <v>277</v>
      </c>
    </row>
    <row r="6" spans="1:10" ht="15" customHeight="1">
      <c r="B6" s="2" t="s">
        <v>127</v>
      </c>
      <c r="C6" s="13">
        <f>'Logic Tree'!C6</f>
        <v>13</v>
      </c>
    </row>
    <row r="7" spans="1:10" ht="15" customHeight="1">
      <c r="B7" s="2" t="s">
        <v>128</v>
      </c>
      <c r="C7" s="46">
        <f>'Logic Tree'!C7</f>
        <v>466.47230000000002</v>
      </c>
    </row>
    <row r="8" spans="1:10" ht="15" customHeight="1">
      <c r="B8" s="2" t="s">
        <v>543</v>
      </c>
      <c r="C8" s="46">
        <f>'Logic Tree'!C8</f>
        <v>284.54300000000001</v>
      </c>
    </row>
    <row r="9" spans="1:10" ht="15" customHeight="1">
      <c r="B9" s="2" t="s">
        <v>635</v>
      </c>
      <c r="C9" s="46">
        <f>'Logic Tree'!C9</f>
        <v>88.129199999999997</v>
      </c>
    </row>
    <row r="10" spans="1:10" ht="15" customHeight="1">
      <c r="B10" s="2" t="s">
        <v>547</v>
      </c>
      <c r="C10" s="46">
        <f>'Logic Tree'!C10</f>
        <v>93.8</v>
      </c>
    </row>
    <row r="11" spans="1:10" ht="15" customHeight="1">
      <c r="B11" s="2" t="s">
        <v>145</v>
      </c>
      <c r="C11" s="12">
        <f>'Logic Tree'!C23</f>
        <v>0.60998919121010864</v>
      </c>
    </row>
    <row r="12" spans="1:10" ht="18.75" customHeight="1">
      <c r="B12" s="2" t="s">
        <v>636</v>
      </c>
      <c r="C12" s="12">
        <f>'Logic Tree'!C24</f>
        <v>0.43066137046079689</v>
      </c>
      <c r="I12" s="3" t="s">
        <v>637</v>
      </c>
    </row>
    <row r="13" spans="1:10" ht="15" customHeight="1">
      <c r="B13" s="2" t="s">
        <v>144</v>
      </c>
      <c r="C13" s="46">
        <f>'Logic Tree'!C22</f>
        <v>233.2362</v>
      </c>
    </row>
    <row r="15" spans="1:10" ht="15" customHeight="1">
      <c r="A15" s="60" t="s">
        <v>638</v>
      </c>
      <c r="B15" s="60"/>
      <c r="C15" s="60"/>
      <c r="D15" s="60"/>
      <c r="E15" s="60"/>
      <c r="F15" s="60"/>
      <c r="G15" s="60"/>
      <c r="H15" s="60"/>
      <c r="I15" s="60"/>
    </row>
    <row r="16" spans="1:10" ht="15" customHeight="1">
      <c r="B16" s="5" t="s">
        <v>258</v>
      </c>
      <c r="C16" s="5" t="s">
        <v>172</v>
      </c>
      <c r="D16" s="5" t="s">
        <v>173</v>
      </c>
      <c r="E16" s="5" t="s">
        <v>174</v>
      </c>
      <c r="F16" s="5" t="s">
        <v>175</v>
      </c>
      <c r="G16" s="5" t="s">
        <v>176</v>
      </c>
    </row>
    <row r="17" spans="1:9" ht="15" customHeight="1">
      <c r="B17" s="2" t="s">
        <v>639</v>
      </c>
      <c r="C17" s="12">
        <f>'Delivery Mode'!C22</f>
        <v>0.18425542095425601</v>
      </c>
      <c r="D17" s="12">
        <f>'Delivery Mode'!D22</f>
        <v>0.9094712054713644</v>
      </c>
      <c r="E17" s="12">
        <f>'Delivery Mode'!E22</f>
        <v>1</v>
      </c>
      <c r="F17" s="12">
        <f>'Delivery Mode'!F22</f>
        <v>1</v>
      </c>
      <c r="G17" s="12">
        <f>'Delivery Mode'!G22</f>
        <v>1</v>
      </c>
    </row>
    <row r="18" spans="1:9" ht="15" customHeight="1">
      <c r="B18" s="2" t="s">
        <v>640</v>
      </c>
      <c r="C18" s="12">
        <f>'Logic Tree'!C45</f>
        <v>0.13502163756619301</v>
      </c>
      <c r="D18" s="12">
        <f>'Logic Tree'!D45</f>
        <v>0.3240614089142394</v>
      </c>
      <c r="E18" s="12">
        <f>'Logic Tree'!E45</f>
        <v>0.43307006148479776</v>
      </c>
      <c r="F18" s="12">
        <f>'Logic Tree'!F45</f>
        <v>0.49416450569213322</v>
      </c>
      <c r="G18" s="12">
        <f>'Logic Tree'!G45</f>
        <v>0.53389171410223502</v>
      </c>
    </row>
    <row r="19" spans="1:9" ht="15" customHeight="1">
      <c r="B19" s="2" t="s">
        <v>641</v>
      </c>
      <c r="C19" s="12">
        <f>'Logic Tree'!C50</f>
        <v>0</v>
      </c>
      <c r="D19" s="12">
        <f>'Logic Tree'!D50</f>
        <v>0.13502163756619301</v>
      </c>
      <c r="E19" s="12">
        <f>'Logic Tree'!E50</f>
        <v>0.3240614089142394</v>
      </c>
      <c r="F19" s="12">
        <f>'Logic Tree'!F50</f>
        <v>0.43307006148479776</v>
      </c>
      <c r="G19" s="12">
        <f>'Logic Tree'!G50</f>
        <v>0.49416450569213322</v>
      </c>
    </row>
    <row r="20" spans="1:9" ht="15" customHeight="1">
      <c r="B20" s="2" t="s">
        <v>192</v>
      </c>
      <c r="C20" s="12">
        <f>'Logic Tree'!C51</f>
        <v>0</v>
      </c>
      <c r="D20" s="12">
        <f>'Logic Tree'!D51</f>
        <v>9.4519885674023196E-2</v>
      </c>
      <c r="E20" s="12">
        <f>'Logic Tree'!E51</f>
        <v>5.4504326285279181E-2</v>
      </c>
      <c r="F20" s="12">
        <f>'Logic Tree'!F51</f>
        <v>3.0547222103667726E-2</v>
      </c>
      <c r="G20" s="12">
        <f>'Logic Tree'!G51</f>
        <v>1.98636042050509E-2</v>
      </c>
    </row>
    <row r="21" spans="1:9" ht="18.75" customHeight="1">
      <c r="B21" s="14" t="s">
        <v>193</v>
      </c>
      <c r="C21" s="18">
        <f>'Logic Tree'!C52</f>
        <v>0</v>
      </c>
      <c r="D21" s="18">
        <f>'Logic Tree'!D52</f>
        <v>0.22954152324021621</v>
      </c>
      <c r="E21" s="18">
        <f>'Logic Tree'!E52</f>
        <v>0.37856573519951858</v>
      </c>
      <c r="F21" s="18">
        <f>'Logic Tree'!F52</f>
        <v>0.46361728358846549</v>
      </c>
      <c r="G21" s="18">
        <f>'Logic Tree'!G52</f>
        <v>0.51402810989718417</v>
      </c>
      <c r="I21" s="3" t="s">
        <v>642</v>
      </c>
    </row>
    <row r="22" spans="1:9" ht="15" customHeight="1">
      <c r="B22" s="2" t="s">
        <v>643</v>
      </c>
      <c r="C22" s="9">
        <f>'Logic Tree'!C53</f>
        <v>466.47230000000002</v>
      </c>
      <c r="D22" s="9">
        <f>'Logic Tree'!D53</f>
        <v>359.39753770863291</v>
      </c>
      <c r="E22" s="9">
        <f>'Logic Tree'!E53</f>
        <v>289.88187080028962</v>
      </c>
      <c r="F22" s="9">
        <f>'Logic Tree'!F53</f>
        <v>250.20767940473624</v>
      </c>
      <c r="G22" s="9">
        <f>'Logic Tree'!G53</f>
        <v>226.69242531160774</v>
      </c>
    </row>
    <row r="23" spans="1:9" ht="15" customHeight="1">
      <c r="B23" s="2" t="s">
        <v>644</v>
      </c>
      <c r="C23" s="9">
        <f>'Team Build-Up'!C9</f>
        <v>466.50000000000006</v>
      </c>
      <c r="D23" s="9">
        <f>'Team Build-Up'!D9</f>
        <v>359.60000000000014</v>
      </c>
      <c r="E23" s="9">
        <f>'Team Build-Up'!E9</f>
        <v>290.08000000000015</v>
      </c>
      <c r="F23" s="9">
        <f>'Team Build-Up'!F9</f>
        <v>250.37999999999997</v>
      </c>
      <c r="G23" s="9">
        <f>'Team Build-Up'!G9</f>
        <v>226.72000000000008</v>
      </c>
    </row>
    <row r="24" spans="1:9" ht="15" customHeight="1">
      <c r="B24" s="2" t="s">
        <v>540</v>
      </c>
      <c r="C24" s="9">
        <f>'Team Build-Up'!C12</f>
        <v>2.7700000000038472E-2</v>
      </c>
      <c r="D24" s="9">
        <f>'Team Build-Up'!D12</f>
        <v>0.20246229136722604</v>
      </c>
      <c r="E24" s="9">
        <f>'Team Build-Up'!E12</f>
        <v>0.19812919971053589</v>
      </c>
      <c r="F24" s="9">
        <f>'Team Build-Up'!F12</f>
        <v>0.17232059526372723</v>
      </c>
      <c r="G24" s="9">
        <f>'Team Build-Up'!G12</f>
        <v>2.7574688392348889E-2</v>
      </c>
    </row>
    <row r="25" spans="1:9" ht="15" customHeight="1">
      <c r="B25" s="14" t="s">
        <v>645</v>
      </c>
      <c r="C25" s="18">
        <f>1-C23/$C$7</f>
        <v>-5.9381875408437423E-5</v>
      </c>
      <c r="D25" s="18">
        <f>1-D23/$C$7</f>
        <v>0.22910749470011371</v>
      </c>
      <c r="E25" s="18">
        <f>1-E23/$C$7</f>
        <v>0.37814099572471904</v>
      </c>
      <c r="F25" s="18">
        <f>1-F23/$C$7</f>
        <v>0.46324787130982925</v>
      </c>
      <c r="G25" s="18">
        <f>1-G23/$C$7</f>
        <v>0.51396899665853668</v>
      </c>
    </row>
    <row r="26" spans="1:9" ht="23.25" customHeight="1">
      <c r="B26" s="24" t="s">
        <v>195</v>
      </c>
      <c r="E26" s="26">
        <f>'Logic Tree'!E54</f>
        <v>264.45711235804498</v>
      </c>
    </row>
    <row r="28" spans="1:9" ht="15" customHeight="1">
      <c r="A28" s="60" t="s">
        <v>646</v>
      </c>
      <c r="B28" s="60"/>
      <c r="C28" s="60"/>
      <c r="D28" s="60"/>
      <c r="E28" s="60"/>
      <c r="F28" s="60"/>
      <c r="G28" s="60"/>
      <c r="H28" s="60"/>
      <c r="I28" s="60"/>
    </row>
    <row r="29" spans="1:9" ht="15" customHeight="1">
      <c r="B29" s="5" t="s">
        <v>258</v>
      </c>
      <c r="C29" s="5" t="s">
        <v>172</v>
      </c>
      <c r="D29" s="5" t="s">
        <v>173</v>
      </c>
      <c r="E29" s="5" t="s">
        <v>174</v>
      </c>
      <c r="F29" s="5" t="s">
        <v>175</v>
      </c>
      <c r="G29" s="5" t="s">
        <v>176</v>
      </c>
    </row>
    <row r="30" spans="1:9" ht="15" customHeight="1">
      <c r="B30" s="14" t="s">
        <v>647</v>
      </c>
      <c r="C30" s="47">
        <f>'Team Build-Up'!C39</f>
        <v>0.43086816720257237</v>
      </c>
      <c r="D30" s="47">
        <f>'Team Build-Up'!D39</f>
        <v>0.6090100111234702</v>
      </c>
      <c r="E30" s="47">
        <f>'Team Build-Up'!E39</f>
        <v>0.67009100937672372</v>
      </c>
      <c r="F30" s="47">
        <f>'Team Build-Up'!F39</f>
        <v>0.6936656282450675</v>
      </c>
      <c r="G30" s="47">
        <f>'Team Build-Up'!G39</f>
        <v>0.70606916019760024</v>
      </c>
    </row>
    <row r="31" spans="1:9" ht="15" customHeight="1">
      <c r="B31" s="2" t="s">
        <v>648</v>
      </c>
      <c r="C31" s="12">
        <f>'Logic Tree'!C60</f>
        <v>0.43826673022170876</v>
      </c>
      <c r="D31" s="12">
        <f>'Logic Tree'!D60</f>
        <v>0.56375516627675415</v>
      </c>
      <c r="E31" s="12">
        <f>'Logic Tree'!E60</f>
        <v>0.66642752304906416</v>
      </c>
      <c r="F31" s="12">
        <f>'Logic Tree'!F60</f>
        <v>0.7348757608972708</v>
      </c>
      <c r="G31" s="12">
        <f>'Logic Tree'!G60</f>
        <v>0.78050791946274189</v>
      </c>
    </row>
    <row r="32" spans="1:9" ht="15" customHeight="1">
      <c r="B32" s="2" t="s">
        <v>649</v>
      </c>
      <c r="C32" s="12">
        <f>'Team Build-Up'!C41</f>
        <v>0.81028938906752423</v>
      </c>
      <c r="D32" s="12">
        <f>'Team Build-Up'!D41</f>
        <v>0.7900444938820913</v>
      </c>
      <c r="E32" s="12">
        <f>'Team Build-Up'!E41</f>
        <v>0.77075289575289585</v>
      </c>
      <c r="F32" s="12">
        <f>'Team Build-Up'!F41</f>
        <v>0.74438852943525846</v>
      </c>
      <c r="G32" s="12">
        <f>'Team Build-Up'!G41</f>
        <v>0.74638320395201141</v>
      </c>
    </row>
    <row r="33" spans="1:9" ht="18.75" customHeight="1">
      <c r="B33" s="2" t="s">
        <v>650</v>
      </c>
      <c r="C33" s="27">
        <f>C30*'Team Build-Up'!C9-$C$12*$C$7</f>
        <v>0.10840000000004579</v>
      </c>
      <c r="D33" s="27">
        <f>D30*'Team Build-Up'!D9-$C$12*$C$7</f>
        <v>18.108399999999989</v>
      </c>
      <c r="E33" s="27">
        <f>E30*'Team Build-Up'!E9-$C$12*$C$7</f>
        <v>-6.5115999999998735</v>
      </c>
      <c r="F33" s="27">
        <f>F30*'Team Build-Up'!F9-$C$12*$C$7</f>
        <v>-27.211600000000004</v>
      </c>
      <c r="G33" s="27">
        <f>G30*'Team Build-Up'!G9-$C$12*$C$7</f>
        <v>-40.811599999999999</v>
      </c>
      <c r="I33" s="3" t="s">
        <v>651</v>
      </c>
    </row>
    <row r="35" spans="1:9" ht="15" customHeight="1">
      <c r="A35" s="60" t="s">
        <v>652</v>
      </c>
      <c r="B35" s="60"/>
      <c r="C35" s="60"/>
      <c r="D35" s="60"/>
      <c r="E35" s="60"/>
      <c r="F35" s="60"/>
      <c r="G35" s="60"/>
      <c r="H35" s="60"/>
      <c r="I35" s="60"/>
    </row>
    <row r="36" spans="1:9" ht="15" customHeight="1">
      <c r="B36" s="5" t="s">
        <v>258</v>
      </c>
      <c r="C36" s="5" t="s">
        <v>172</v>
      </c>
      <c r="D36" s="5" t="s">
        <v>173</v>
      </c>
      <c r="E36" s="5" t="s">
        <v>174</v>
      </c>
      <c r="F36" s="5" t="s">
        <v>175</v>
      </c>
      <c r="G36" s="5" t="s">
        <v>176</v>
      </c>
    </row>
    <row r="37" spans="1:9" ht="15" customHeight="1">
      <c r="B37" s="2" t="s">
        <v>653</v>
      </c>
      <c r="C37" s="9">
        <f>'Team Build-Up'!C9</f>
        <v>466.50000000000006</v>
      </c>
      <c r="D37" s="9">
        <f>'Team Build-Up'!D9</f>
        <v>359.60000000000014</v>
      </c>
      <c r="E37" s="9">
        <f>'Team Build-Up'!E9</f>
        <v>290.08000000000015</v>
      </c>
      <c r="F37" s="9">
        <f>'Team Build-Up'!F9</f>
        <v>250.37999999999997</v>
      </c>
      <c r="G37" s="9">
        <f>'Team Build-Up'!G9</f>
        <v>226.72000000000008</v>
      </c>
    </row>
    <row r="38" spans="1:9" ht="15" customHeight="1">
      <c r="B38" s="2" t="s">
        <v>543</v>
      </c>
      <c r="C38" s="9">
        <f>'Team Build-Up'!C32</f>
        <v>284.50000000000011</v>
      </c>
      <c r="D38" s="9">
        <f>'Team Build-Up'!D32</f>
        <v>209.59999999999994</v>
      </c>
      <c r="E38" s="9">
        <f>'Team Build-Up'!E32</f>
        <v>161.58000000000001</v>
      </c>
      <c r="F38" s="9">
        <f>'Team Build-Up'!F32</f>
        <v>127.88000000000001</v>
      </c>
      <c r="G38" s="9">
        <f>'Team Build-Up'!G32</f>
        <v>118.71999999999998</v>
      </c>
    </row>
    <row r="39" spans="1:9" ht="15" customHeight="1">
      <c r="B39" s="2" t="s">
        <v>635</v>
      </c>
      <c r="C39" s="9">
        <f>'Team Build-Up'!C33</f>
        <v>88.499999999999986</v>
      </c>
      <c r="D39" s="9">
        <f>'Team Build-Up'!D33</f>
        <v>75.5</v>
      </c>
      <c r="E39" s="9">
        <f>'Team Build-Up'!E33</f>
        <v>66.500000000000014</v>
      </c>
      <c r="F39" s="9">
        <f>'Team Build-Up'!F33</f>
        <v>63.999999999999979</v>
      </c>
      <c r="G39" s="9">
        <f>'Team Build-Up'!G33</f>
        <v>57.499999999999993</v>
      </c>
    </row>
    <row r="40" spans="1:9" ht="15" customHeight="1">
      <c r="B40" s="2" t="s">
        <v>547</v>
      </c>
      <c r="C40" s="9">
        <f>'Team Build-Up'!C34</f>
        <v>93.499999999999972</v>
      </c>
      <c r="D40" s="9">
        <f>'Team Build-Up'!D34</f>
        <v>74.500000000000014</v>
      </c>
      <c r="E40" s="9">
        <f>'Team Build-Up'!E34</f>
        <v>62.000000000000071</v>
      </c>
      <c r="F40" s="9">
        <f>'Team Build-Up'!F34</f>
        <v>58.499999999999964</v>
      </c>
      <c r="G40" s="9">
        <f>'Team Build-Up'!G34</f>
        <v>50.500000000000057</v>
      </c>
    </row>
    <row r="41" spans="1:9" ht="15" customHeight="1">
      <c r="B41" s="2" t="s">
        <v>654</v>
      </c>
      <c r="C41" s="9">
        <f>C39+C40</f>
        <v>181.99999999999994</v>
      </c>
      <c r="D41" s="9">
        <f>D39+D40</f>
        <v>150</v>
      </c>
      <c r="E41" s="9">
        <f>E39+E40</f>
        <v>128.50000000000009</v>
      </c>
      <c r="F41" s="9">
        <f>F39+F40</f>
        <v>122.49999999999994</v>
      </c>
      <c r="G41" s="9">
        <f>G39+G40</f>
        <v>108.00000000000006</v>
      </c>
    </row>
    <row r="42" spans="1:9" ht="15" customHeight="1">
      <c r="B42" s="2" t="s">
        <v>655</v>
      </c>
      <c r="C42" s="13">
        <f>'Logic Tree'!C65+'Logic Tree'!C66</f>
        <v>0</v>
      </c>
      <c r="D42" s="13">
        <f>'Logic Tree'!D65+'Logic Tree'!D66</f>
        <v>0</v>
      </c>
      <c r="E42" s="13">
        <f>'Logic Tree'!E65+'Logic Tree'!E66</f>
        <v>15</v>
      </c>
      <c r="F42" s="13">
        <f>'Logic Tree'!F65+'Logic Tree'!F66</f>
        <v>0</v>
      </c>
      <c r="G42" s="13">
        <f>'Logic Tree'!G65+'Logic Tree'!G66</f>
        <v>0</v>
      </c>
    </row>
    <row r="43" spans="1:9" ht="15" customHeight="1">
      <c r="B43" s="14" t="s">
        <v>265</v>
      </c>
      <c r="C43" s="18">
        <f>IF(C37=0,0,C38/C37)</f>
        <v>0.6098606645230441</v>
      </c>
      <c r="D43" s="18">
        <f>IF(D37=0,0,D38/D37)</f>
        <v>0.58286985539488279</v>
      </c>
      <c r="E43" s="18">
        <f>IF(E37=0,0,E38/E37)</f>
        <v>0.55701875344732465</v>
      </c>
      <c r="F43" s="18">
        <f>IF(F37=0,0,F38/F37)</f>
        <v>0.51074366962217443</v>
      </c>
      <c r="G43" s="18">
        <f>IF(G37=0,0,G38/G37)</f>
        <v>0.52364149611856003</v>
      </c>
    </row>
    <row r="44" spans="1:9" ht="18.75" customHeight="1">
      <c r="I44" s="3" t="s">
        <v>656</v>
      </c>
    </row>
    <row r="46" spans="1:9" ht="15" customHeight="1">
      <c r="A46" s="60" t="s">
        <v>657</v>
      </c>
      <c r="B46" s="60"/>
      <c r="C46" s="60"/>
      <c r="D46" s="60"/>
      <c r="E46" s="60"/>
      <c r="F46" s="60"/>
      <c r="G46" s="60"/>
      <c r="H46" s="60"/>
      <c r="I46" s="60"/>
    </row>
    <row r="47" spans="1:9" ht="15" customHeight="1">
      <c r="B47" s="5"/>
      <c r="C47" s="5" t="s">
        <v>277</v>
      </c>
    </row>
    <row r="48" spans="1:9" ht="36.75" customHeight="1">
      <c r="B48" s="2" t="s">
        <v>278</v>
      </c>
      <c r="C48" s="9">
        <f>E26</f>
        <v>264.45711235804498</v>
      </c>
      <c r="I48" s="3" t="s">
        <v>658</v>
      </c>
    </row>
    <row r="49" spans="1:9" ht="15" customHeight="1">
      <c r="B49" s="2" t="s">
        <v>659</v>
      </c>
      <c r="C49" s="12">
        <f>E43</f>
        <v>0.55701875344732465</v>
      </c>
    </row>
    <row r="50" spans="1:9" ht="15" customHeight="1">
      <c r="B50" s="2" t="s">
        <v>660</v>
      </c>
      <c r="C50" s="9">
        <f>C48*C49</f>
        <v>147.30757106595729</v>
      </c>
    </row>
    <row r="51" spans="1:9" ht="15" customHeight="1">
      <c r="B51" s="2" t="s">
        <v>281</v>
      </c>
      <c r="C51" s="9">
        <f>C48/2</f>
        <v>132.22855617902249</v>
      </c>
    </row>
    <row r="52" spans="1:9" ht="15" customHeight="1">
      <c r="B52" s="24" t="s">
        <v>282</v>
      </c>
      <c r="C52" s="26">
        <f>C50-C51</f>
        <v>15.0790148869348</v>
      </c>
      <c r="I52" s="3" t="s">
        <v>661</v>
      </c>
    </row>
    <row r="53" spans="1:9" ht="15" customHeight="1">
      <c r="B53" s="2" t="s">
        <v>662</v>
      </c>
      <c r="C53" s="13">
        <f>'Logic Tree'!E67</f>
        <v>15</v>
      </c>
    </row>
    <row r="54" spans="1:9" ht="15" customHeight="1">
      <c r="B54" s="2" t="s">
        <v>540</v>
      </c>
      <c r="C54" s="9">
        <f>C53-C52</f>
        <v>-7.9014886934800188E-2</v>
      </c>
    </row>
    <row r="57" spans="1:9" ht="15" customHeight="1">
      <c r="A57" s="60" t="s">
        <v>663</v>
      </c>
      <c r="B57" s="60"/>
      <c r="C57" s="60"/>
      <c r="D57" s="60"/>
      <c r="E57" s="60"/>
      <c r="F57" s="60"/>
      <c r="G57" s="60"/>
      <c r="H57" s="60"/>
      <c r="I57" s="60"/>
    </row>
    <row r="58" spans="1:9" ht="39.75" customHeight="1">
      <c r="B58" s="63" t="s">
        <v>664</v>
      </c>
      <c r="C58" s="63"/>
      <c r="D58" s="63"/>
      <c r="E58" s="63"/>
      <c r="F58" s="63"/>
      <c r="G58" s="63"/>
      <c r="H58" s="63"/>
      <c r="I58" s="63"/>
    </row>
    <row r="59" spans="1:9" ht="39.75" customHeight="1">
      <c r="B59" s="63" t="s">
        <v>665</v>
      </c>
      <c r="C59" s="63"/>
      <c r="D59" s="63"/>
      <c r="E59" s="63"/>
      <c r="F59" s="63"/>
      <c r="G59" s="63"/>
      <c r="H59" s="63"/>
      <c r="I59" s="63"/>
    </row>
    <row r="60" spans="1:9" ht="39.75" customHeight="1">
      <c r="B60" s="63" t="s">
        <v>666</v>
      </c>
      <c r="C60" s="63"/>
      <c r="D60" s="63"/>
      <c r="E60" s="63"/>
      <c r="F60" s="63"/>
      <c r="G60" s="63"/>
      <c r="H60" s="63"/>
      <c r="I60" s="63"/>
    </row>
    <row r="61" spans="1:9" ht="39.75" customHeight="1">
      <c r="B61" s="63" t="s">
        <v>667</v>
      </c>
      <c r="C61" s="63"/>
      <c r="D61" s="63"/>
      <c r="E61" s="63"/>
      <c r="F61" s="63"/>
      <c r="G61" s="63"/>
      <c r="H61" s="63"/>
      <c r="I61" s="63"/>
    </row>
  </sheetData>
  <mergeCells count="12">
    <mergeCell ref="A1:J1"/>
    <mergeCell ref="A2:J2"/>
    <mergeCell ref="A4:I4"/>
    <mergeCell ref="A15:I15"/>
    <mergeCell ref="A28:I28"/>
    <mergeCell ref="B60:I60"/>
    <mergeCell ref="B61:I61"/>
    <mergeCell ref="A35:I35"/>
    <mergeCell ref="A46:I46"/>
    <mergeCell ref="A57:I57"/>
    <mergeCell ref="B58:I58"/>
    <mergeCell ref="B59:I59"/>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2"/>
  <sheetViews>
    <sheetView zoomScaleNormal="100" workbookViewId="0"/>
  </sheetViews>
  <sheetFormatPr defaultColWidth="8.6328125" defaultRowHeight="14.5"/>
  <cols>
    <col min="1" max="1" width="2.453125" customWidth="1"/>
    <col min="2" max="2" width="46" customWidth="1"/>
    <col min="3" max="7" width="13" customWidth="1"/>
    <col min="8" max="8" width="3" customWidth="1"/>
    <col min="9" max="9" width="50" customWidth="1"/>
  </cols>
  <sheetData>
    <row r="1" spans="1:10" ht="25.5" customHeight="1">
      <c r="A1" s="61" t="s">
        <v>668</v>
      </c>
      <c r="B1" s="61"/>
      <c r="C1" s="61"/>
      <c r="D1" s="61"/>
      <c r="E1" s="61"/>
      <c r="F1" s="61"/>
      <c r="G1" s="61"/>
      <c r="H1" s="61"/>
      <c r="I1" s="61"/>
      <c r="J1" s="61"/>
    </row>
    <row r="2" spans="1:10" ht="15" customHeight="1">
      <c r="A2" s="62" t="s">
        <v>669</v>
      </c>
      <c r="B2" s="62"/>
      <c r="C2" s="62"/>
      <c r="D2" s="62"/>
      <c r="E2" s="62"/>
      <c r="F2" s="62"/>
      <c r="G2" s="62"/>
      <c r="H2" s="62"/>
      <c r="I2" s="62"/>
      <c r="J2" s="62"/>
    </row>
    <row r="4" spans="1:10" ht="15" customHeight="1">
      <c r="A4" s="60" t="s">
        <v>670</v>
      </c>
      <c r="B4" s="60"/>
      <c r="C4" s="60"/>
      <c r="D4" s="60"/>
      <c r="E4" s="60"/>
      <c r="F4" s="60"/>
      <c r="G4" s="60"/>
      <c r="H4" s="60"/>
      <c r="I4" s="60"/>
    </row>
    <row r="5" spans="1:10" ht="15" customHeight="1">
      <c r="B5" s="5" t="s">
        <v>258</v>
      </c>
      <c r="C5" s="5" t="s">
        <v>172</v>
      </c>
      <c r="D5" s="5" t="s">
        <v>173</v>
      </c>
      <c r="E5" s="5" t="s">
        <v>174</v>
      </c>
      <c r="F5" s="5" t="s">
        <v>175</v>
      </c>
      <c r="G5" s="5" t="s">
        <v>176</v>
      </c>
    </row>
    <row r="6" spans="1:10" ht="15" customHeight="1">
      <c r="B6" s="2" t="s">
        <v>671</v>
      </c>
      <c r="C6" s="27">
        <f>SUMIFS('Seat Ledger'!$N$5:$N$468,'Seat Ledger'!$B$5:$B$468,1)</f>
        <v>481.69500000000022</v>
      </c>
      <c r="D6" s="27">
        <f>SUMIFS('Seat Ledger'!$N$5:$N$468,'Seat Ledger'!$B$5:$B$468,2)</f>
        <v>340.33500000000021</v>
      </c>
      <c r="E6" s="27">
        <f>SUMIFS('Seat Ledger'!$N$5:$N$468,'Seat Ledger'!$B$5:$B$468,3)</f>
        <v>253.61100000000022</v>
      </c>
      <c r="F6" s="27">
        <f>SUMIFS('Seat Ledger'!$N$5:$N$468,'Seat Ledger'!$B$5:$B$468,4)</f>
        <v>220.51100000000008</v>
      </c>
      <c r="G6" s="27">
        <f>SUMIFS('Seat Ledger'!$N$5:$N$468,'Seat Ledger'!$B$5:$B$468,5)</f>
        <v>198.43500000000017</v>
      </c>
    </row>
    <row r="7" spans="1:10" ht="15" customHeight="1">
      <c r="B7" s="2" t="s">
        <v>672</v>
      </c>
      <c r="C7" s="9">
        <f>'Team Build-Up'!C9</f>
        <v>466.50000000000006</v>
      </c>
      <c r="D7" s="9">
        <f>'Team Build-Up'!D9</f>
        <v>359.60000000000014</v>
      </c>
      <c r="E7" s="9">
        <f>'Team Build-Up'!E9</f>
        <v>290.08000000000015</v>
      </c>
      <c r="F7" s="9">
        <f>'Team Build-Up'!F9</f>
        <v>250.37999999999997</v>
      </c>
      <c r="G7" s="9">
        <f>'Team Build-Up'!G9</f>
        <v>226.72000000000008</v>
      </c>
    </row>
    <row r="8" spans="1:10" ht="15" customHeight="1">
      <c r="B8" s="2" t="s">
        <v>673</v>
      </c>
      <c r="C8" s="46">
        <f>IF(C7=0,0,C6/C7)</f>
        <v>1.0325723472668813</v>
      </c>
      <c r="D8" s="46">
        <f>IF(D7=0,0,D6/D7)</f>
        <v>0.94642658509454969</v>
      </c>
      <c r="E8" s="46">
        <f>IF(E7=0,0,E6/E7)</f>
        <v>0.87427950910093799</v>
      </c>
      <c r="F8" s="46">
        <f>IF(F7=0,0,F6/F7)</f>
        <v>0.88070532790159006</v>
      </c>
      <c r="G8" s="46">
        <f>IF(G7=0,0,G6/G7)</f>
        <v>0.87524258997882898</v>
      </c>
    </row>
    <row r="9" spans="1:10" ht="15" customHeight="1">
      <c r="B9" s="2" t="s">
        <v>674</v>
      </c>
      <c r="C9" s="48">
        <f>IF('Glidepath &amp; 50-50'!$C$7=0,0,C6/'Glidepath &amp; 50-50'!$C$7)</f>
        <v>1.0326336633493569</v>
      </c>
      <c r="D9" s="48">
        <f>IF('Glidepath &amp; 50-50'!$C$7=0,0,D6/'Glidepath &amp; 50-50'!$C$7)</f>
        <v>0.72959316126595342</v>
      </c>
      <c r="E9" s="48">
        <f>IF('Glidepath &amp; 50-50'!$C$7=0,0,E6/'Glidepath &amp; 50-50'!$C$7)</f>
        <v>0.54367858498779076</v>
      </c>
      <c r="F9" s="48">
        <f>IF('Glidepath &amp; 50-50'!$C$7=0,0,F6/'Glidepath &amp; 50-50'!$C$7)</f>
        <v>0.47272045949995334</v>
      </c>
      <c r="G9" s="48">
        <f>IF('Glidepath &amp; 50-50'!$C$7=0,0,G6/'Glidepath &amp; 50-50'!$C$7)</f>
        <v>0.42539503417459124</v>
      </c>
    </row>
    <row r="10" spans="1:10" ht="15" customHeight="1">
      <c r="B10" s="14" t="s">
        <v>675</v>
      </c>
      <c r="C10" s="18">
        <f>IF($C$9=0,0,1-C9/$C$9)</f>
        <v>0</v>
      </c>
      <c r="D10" s="18">
        <f>IF($C$9=0,0,1-D9/$C$9)</f>
        <v>0.29346370628717333</v>
      </c>
      <c r="E10" s="18">
        <f>IF($C$9=0,0,1-E9/$C$9)</f>
        <v>0.47350294273347215</v>
      </c>
      <c r="F10" s="18">
        <f>IF($C$9=0,0,1-F9/$C$9)</f>
        <v>0.54221862381797614</v>
      </c>
      <c r="G10" s="18">
        <f>IF($C$9=0,0,1-G9/$C$9)</f>
        <v>0.58804845389717542</v>
      </c>
    </row>
    <row r="12" spans="1:10" ht="15" customHeight="1">
      <c r="A12" s="60" t="s">
        <v>676</v>
      </c>
      <c r="B12" s="60"/>
      <c r="C12" s="60"/>
      <c r="D12" s="60"/>
      <c r="E12" s="60"/>
      <c r="F12" s="60"/>
      <c r="G12" s="60"/>
      <c r="H12" s="60"/>
      <c r="I12" s="60"/>
    </row>
    <row r="13" spans="1:10" ht="15" customHeight="1">
      <c r="B13" s="5" t="s">
        <v>258</v>
      </c>
      <c r="C13" s="5" t="s">
        <v>172</v>
      </c>
      <c r="D13" s="5" t="s">
        <v>173</v>
      </c>
      <c r="E13" s="5" t="s">
        <v>174</v>
      </c>
      <c r="F13" s="5" t="s">
        <v>175</v>
      </c>
      <c r="G13" s="5" t="s">
        <v>176</v>
      </c>
    </row>
    <row r="14" spans="1:10" ht="15" customHeight="1">
      <c r="B14" s="2" t="s">
        <v>677</v>
      </c>
      <c r="C14" s="9">
        <f>'Team Build-Up'!C32</f>
        <v>284.50000000000011</v>
      </c>
      <c r="D14" s="9">
        <f>'Team Build-Up'!D32</f>
        <v>209.59999999999994</v>
      </c>
      <c r="E14" s="9">
        <f>'Team Build-Up'!E32</f>
        <v>161.58000000000001</v>
      </c>
      <c r="F14" s="9">
        <f>'Team Build-Up'!F32</f>
        <v>127.88000000000001</v>
      </c>
      <c r="G14" s="9">
        <f>'Team Build-Up'!G32</f>
        <v>118.71999999999998</v>
      </c>
    </row>
    <row r="15" spans="1:10" ht="15" customHeight="1">
      <c r="B15" s="2" t="s">
        <v>678</v>
      </c>
      <c r="C15" s="27">
        <f>SUMIFS('Seat Ledger'!$N$5:$N$468,'Seat Ledger'!$B$5:$B$468,1,'Seat Ledger'!$J$5:$J$468,"FTC")</f>
        <v>290.89000000000038</v>
      </c>
      <c r="D15" s="27">
        <f>SUMIFS('Seat Ledger'!$N$5:$N$468,'Seat Ledger'!$B$5:$B$468,2,'Seat Ledger'!$J$5:$J$468,"FTC")</f>
        <v>171.67000000000004</v>
      </c>
      <c r="E15" s="27">
        <f>SUMIFS('Seat Ledger'!$N$5:$N$468,'Seat Ledger'!$B$5:$B$468,3,'Seat Ledger'!$J$5:$J$468,"FTC")</f>
        <v>107.19600000000001</v>
      </c>
      <c r="F15" s="27">
        <f>SUMIFS('Seat Ledger'!$N$5:$N$468,'Seat Ledger'!$B$5:$B$468,4,'Seat Ledger'!$J$5:$J$468,"FTC")</f>
        <v>78.59099999999998</v>
      </c>
      <c r="G15" s="27">
        <f>SUMIFS('Seat Ledger'!$N$5:$N$468,'Seat Ledger'!$B$5:$B$468,5,'Seat Ledger'!$J$5:$J$468,"FTC")</f>
        <v>71.899999999999977</v>
      </c>
    </row>
    <row r="16" spans="1:10" ht="15" customHeight="1">
      <c r="B16" s="14" t="s">
        <v>679</v>
      </c>
      <c r="C16" s="18">
        <f>IF($C$15=0,0,C15/$C$15-1)</f>
        <v>0</v>
      </c>
      <c r="D16" s="18">
        <f>IF($C$15=0,0,D15/$C$15-1)</f>
        <v>-0.40984564612052732</v>
      </c>
      <c r="E16" s="18">
        <f>IF($C$15=0,0,E15/$C$15-1)</f>
        <v>-0.63148956650280219</v>
      </c>
      <c r="F16" s="18">
        <f>IF($C$15=0,0,F15/$C$15-1)</f>
        <v>-0.72982570731204277</v>
      </c>
      <c r="G16" s="18">
        <f>IF($C$15=0,0,G15/$C$15-1)</f>
        <v>-0.75282752930661112</v>
      </c>
    </row>
    <row r="18" spans="1:9" ht="15" customHeight="1">
      <c r="A18" s="60" t="s">
        <v>680</v>
      </c>
      <c r="B18" s="60"/>
      <c r="C18" s="60"/>
      <c r="D18" s="60"/>
      <c r="E18" s="60"/>
      <c r="F18" s="60"/>
      <c r="G18" s="60"/>
      <c r="H18" s="60"/>
      <c r="I18" s="60"/>
    </row>
    <row r="19" spans="1:9" ht="15" customHeight="1">
      <c r="B19" s="5" t="s">
        <v>681</v>
      </c>
      <c r="C19" s="5" t="s">
        <v>172</v>
      </c>
      <c r="D19" s="5" t="s">
        <v>173</v>
      </c>
      <c r="E19" s="5" t="s">
        <v>174</v>
      </c>
      <c r="F19" s="5" t="s">
        <v>175</v>
      </c>
      <c r="G19" s="5" t="s">
        <v>176</v>
      </c>
    </row>
    <row r="20" spans="1:9" ht="15" customHeight="1">
      <c r="B20" s="2" t="s">
        <v>682</v>
      </c>
      <c r="C20" s="27">
        <f>SUMIFS('Seat Ledger'!$N$5:$N$468,'Seat Ledger'!$B$5:$B$468,1,'Seat Ledger'!$I$5:$I$468,"ON")</f>
        <v>406.42500000000018</v>
      </c>
      <c r="D20" s="27">
        <f>SUMIFS('Seat Ledger'!$N$5:$N$468,'Seat Ledger'!$B$5:$B$468,2,'Seat Ledger'!$I$5:$I$468,"ON")</f>
        <v>247.285</v>
      </c>
      <c r="E20" s="27">
        <f>SUMIFS('Seat Ledger'!$N$5:$N$468,'Seat Ledger'!$B$5:$B$468,3,'Seat Ledger'!$I$5:$I$468,"ON")</f>
        <v>166.6450000000001</v>
      </c>
      <c r="F20" s="27">
        <f>SUMIFS('Seat Ledger'!$N$5:$N$468,'Seat Ledger'!$B$5:$B$468,4,'Seat Ledger'!$I$5:$I$468,"ON")</f>
        <v>137.89499999999998</v>
      </c>
      <c r="G20" s="27">
        <f>SUMIFS('Seat Ledger'!$N$5:$N$468,'Seat Ledger'!$B$5:$B$468,5,'Seat Ledger'!$I$5:$I$468,"ON")</f>
        <v>121.56399999999996</v>
      </c>
    </row>
    <row r="21" spans="1:9" ht="15" customHeight="1">
      <c r="B21" s="2" t="s">
        <v>683</v>
      </c>
      <c r="C21" s="27">
        <f>SUMIFS('Seat Ledger'!$N$5:$N$468,'Seat Ledger'!$B$5:$B$468,1,'Seat Ledger'!$I$5:$I$468,"OFF")</f>
        <v>75.27</v>
      </c>
      <c r="D21" s="27">
        <f>SUMIFS('Seat Ledger'!$N$5:$N$468,'Seat Ledger'!$B$5:$B$468,2,'Seat Ledger'!$I$5:$I$468,"OFF")</f>
        <v>93.050000000000011</v>
      </c>
      <c r="E21" s="27">
        <f>SUMIFS('Seat Ledger'!$N$5:$N$468,'Seat Ledger'!$B$5:$B$468,3,'Seat Ledger'!$I$5:$I$468,"OFF")</f>
        <v>86.966000000000022</v>
      </c>
      <c r="F21" s="27">
        <f>SUMIFS('Seat Ledger'!$N$5:$N$468,'Seat Ledger'!$B$5:$B$468,4,'Seat Ledger'!$I$5:$I$468,"OFF")</f>
        <v>82.615999999999971</v>
      </c>
      <c r="G21" s="27">
        <f>SUMIFS('Seat Ledger'!$N$5:$N$468,'Seat Ledger'!$B$5:$B$468,5,'Seat Ledger'!$I$5:$I$468,"OFF")</f>
        <v>76.871000000000024</v>
      </c>
    </row>
    <row r="22" spans="1:9" ht="15" customHeight="1">
      <c r="B22" s="2" t="s">
        <v>684</v>
      </c>
      <c r="C22" s="27">
        <f>SUMIFS('Seat Ledger'!$N$5:$N$468,'Seat Ledger'!$B$5:$B$468,1,'Seat Ledger'!$I$5:$I$468,"NEAR")</f>
        <v>0</v>
      </c>
      <c r="D22" s="27">
        <f>SUMIFS('Seat Ledger'!$N$5:$N$468,'Seat Ledger'!$B$5:$B$468,2,'Seat Ledger'!$I$5:$I$468,"NEAR")</f>
        <v>0</v>
      </c>
      <c r="E22" s="27">
        <f>SUMIFS('Seat Ledger'!$N$5:$N$468,'Seat Ledger'!$B$5:$B$468,3,'Seat Ledger'!$I$5:$I$468,"NEAR")</f>
        <v>0</v>
      </c>
      <c r="F22" s="27">
        <f>SUMIFS('Seat Ledger'!$N$5:$N$468,'Seat Ledger'!$B$5:$B$468,4,'Seat Ledger'!$I$5:$I$468,"NEAR")</f>
        <v>0</v>
      </c>
      <c r="G22" s="27">
        <f>SUMIFS('Seat Ledger'!$N$5:$N$468,'Seat Ledger'!$B$5:$B$468,5,'Seat Ledger'!$I$5:$I$468,"NEAR")</f>
        <v>0</v>
      </c>
    </row>
    <row r="23" spans="1:9" ht="15" customHeight="1">
      <c r="B23" s="14" t="s">
        <v>685</v>
      </c>
      <c r="C23" s="18">
        <f>IF(SUM(C20:C22)=0,0,C20/SUM(C20:C22))</f>
        <v>0.84373929561236893</v>
      </c>
      <c r="D23" s="18">
        <f>IF(SUM(D20:D22)=0,0,D20/SUM(D20:D22))</f>
        <v>0.72659291580354646</v>
      </c>
      <c r="E23" s="18">
        <f>IF(SUM(E20:E22)=0,0,E20/SUM(E20:E22))</f>
        <v>0.65708900639167866</v>
      </c>
      <c r="F23" s="18">
        <f>IF(SUM(F20:F22)=0,0,F20/SUM(F20:F22))</f>
        <v>0.62534295341275492</v>
      </c>
      <c r="G23" s="18">
        <f>IF(SUM(G20:G22)=0,0,G20/SUM(G20:G22))</f>
        <v>0.61261370221987033</v>
      </c>
    </row>
    <row r="25" spans="1:9" ht="15" customHeight="1">
      <c r="B25" s="2" t="s">
        <v>686</v>
      </c>
      <c r="C25" s="27">
        <f>SUMIFS('Seat Ledger'!$N$5:$N$468,'Seat Ledger'!$B$5:$B$468,1,'Seat Ledger'!$G$5:$G$468,"BSA")</f>
        <v>127.45000000000016</v>
      </c>
      <c r="D25" s="27">
        <f>SUMIFS('Seat Ledger'!$N$5:$N$468,'Seat Ledger'!$B$5:$B$468,2,'Seat Ledger'!$G$5:$G$468,"BSA")</f>
        <v>83.937499999999986</v>
      </c>
      <c r="E25" s="27">
        <f>SUMIFS('Seat Ledger'!$N$5:$N$468,'Seat Ledger'!$B$5:$B$468,3,'Seat Ledger'!$G$5:$G$468,"BSA")</f>
        <v>69.22</v>
      </c>
      <c r="F25" s="27">
        <f>SUMIFS('Seat Ledger'!$N$5:$N$468,'Seat Ledger'!$B$5:$B$468,4,'Seat Ledger'!$G$5:$G$468,"BSA")</f>
        <v>48.494999999999983</v>
      </c>
      <c r="G25" s="27">
        <f>SUMIFS('Seat Ledger'!$N$5:$N$468,'Seat Ledger'!$B$5:$B$468,5,'Seat Ledger'!$G$5:$G$468,"BSA")</f>
        <v>43.939000000000007</v>
      </c>
    </row>
    <row r="26" spans="1:9" ht="15" customHeight="1">
      <c r="B26" s="2" t="s">
        <v>687</v>
      </c>
      <c r="C26" s="27">
        <f>SUMIFS('Seat Ledger'!$N$5:$N$468,'Seat Ledger'!$B$5:$B$468,1,'Seat Ledger'!$G$5:$G$468,"DEV")</f>
        <v>137.59999999999982</v>
      </c>
      <c r="D26" s="27">
        <f>SUMIFS('Seat Ledger'!$N$5:$N$468,'Seat Ledger'!$B$5:$B$468,2,'Seat Ledger'!$G$5:$G$468,"DEV")</f>
        <v>97.322500000000019</v>
      </c>
      <c r="E26" s="27">
        <f>SUMIFS('Seat Ledger'!$N$5:$N$468,'Seat Ledger'!$B$5:$B$468,3,'Seat Ledger'!$G$5:$G$468,"DEV")</f>
        <v>55.591000000000022</v>
      </c>
      <c r="F26" s="27">
        <f>SUMIFS('Seat Ledger'!$N$5:$N$468,'Seat Ledger'!$B$5:$B$468,4,'Seat Ledger'!$G$5:$G$468,"DEV")</f>
        <v>51.427999999999976</v>
      </c>
      <c r="G26" s="27">
        <f>SUMIFS('Seat Ledger'!$N$5:$N$468,'Seat Ledger'!$B$5:$B$468,5,'Seat Ledger'!$G$5:$G$468,"DEV")</f>
        <v>49.084000000000017</v>
      </c>
    </row>
    <row r="27" spans="1:9" ht="15" customHeight="1">
      <c r="B27" s="2" t="s">
        <v>688</v>
      </c>
      <c r="C27" s="27">
        <f>SUMIFS('Seat Ledger'!$N$5:$N$468,'Seat Ledger'!$B$5:$B$468,1,'Seat Ledger'!$G$5:$G$468,"TEST")</f>
        <v>108.19000000000014</v>
      </c>
      <c r="D27" s="27">
        <f>SUMIFS('Seat Ledger'!$N$5:$N$468,'Seat Ledger'!$B$5:$B$468,2,'Seat Ledger'!$G$5:$G$468,"TEST")</f>
        <v>49.975000000000009</v>
      </c>
      <c r="E27" s="27">
        <f>SUMIFS('Seat Ledger'!$N$5:$N$468,'Seat Ledger'!$B$5:$B$468,3,'Seat Ledger'!$G$5:$G$468,"TEST")</f>
        <v>39.347999999999985</v>
      </c>
      <c r="F27" s="27">
        <f>SUMIFS('Seat Ledger'!$N$5:$N$468,'Seat Ledger'!$B$5:$B$468,4,'Seat Ledger'!$G$5:$G$468,"TEST")</f>
        <v>33.615000000000009</v>
      </c>
      <c r="G27" s="27">
        <f>SUMIFS('Seat Ledger'!$N$5:$N$468,'Seat Ledger'!$B$5:$B$468,5,'Seat Ledger'!$G$5:$G$468,"TEST")</f>
        <v>24.557999999999996</v>
      </c>
    </row>
    <row r="28" spans="1:9" ht="15" customHeight="1">
      <c r="B28" s="2" t="s">
        <v>689</v>
      </c>
      <c r="C28" s="27">
        <f>SUMIFS('Seat Ledger'!$N$5:$N$468,'Seat Ledger'!$B$5:$B$468,1,'Seat Ledger'!$G$5:$G$468,"MNT")</f>
        <v>35.284999999999989</v>
      </c>
      <c r="D28" s="27">
        <f>SUMIFS('Seat Ledger'!$N$5:$N$468,'Seat Ledger'!$B$5:$B$468,2,'Seat Ledger'!$G$5:$G$468,"MNT")</f>
        <v>19.700000000000003</v>
      </c>
      <c r="E28" s="27">
        <f>SUMIFS('Seat Ledger'!$N$5:$N$468,'Seat Ledger'!$B$5:$B$468,3,'Seat Ledger'!$G$5:$G$468,"MNT")</f>
        <v>13.417000000000002</v>
      </c>
      <c r="F28" s="27">
        <f>SUMIFS('Seat Ledger'!$N$5:$N$468,'Seat Ledger'!$B$5:$B$468,4,'Seat Ledger'!$G$5:$G$468,"MNT")</f>
        <v>11.613</v>
      </c>
      <c r="G28" s="27">
        <f>SUMIFS('Seat Ledger'!$N$5:$N$468,'Seat Ledger'!$B$5:$B$468,5,'Seat Ledger'!$G$5:$G$468,"MNT")</f>
        <v>10.794</v>
      </c>
    </row>
    <row r="29" spans="1:9" ht="15" customHeight="1">
      <c r="B29" s="2" t="s">
        <v>690</v>
      </c>
      <c r="C29" s="27">
        <f>SUMIFS('Seat Ledger'!$N$5:$N$468,'Seat Ledger'!$B$5:$B$468,1,'Seat Ledger'!$G$5:$G$468,"PM")</f>
        <v>66.375</v>
      </c>
      <c r="D29" s="27">
        <f>SUMIFS('Seat Ledger'!$N$5:$N$468,'Seat Ledger'!$B$5:$B$468,2,'Seat Ledger'!$G$5:$G$468,"PM")</f>
        <v>77.475000000000037</v>
      </c>
      <c r="E29" s="27">
        <f>SUMIFS('Seat Ledger'!$N$5:$N$468,'Seat Ledger'!$B$5:$B$468,3,'Seat Ledger'!$G$5:$G$468,"PM")</f>
        <v>67.875000000000028</v>
      </c>
      <c r="F29" s="27">
        <f>SUMIFS('Seat Ledger'!$N$5:$N$468,'Seat Ledger'!$B$5:$B$468,4,'Seat Ledger'!$G$5:$G$468,"PM")</f>
        <v>59.54999999999999</v>
      </c>
      <c r="G29" s="27">
        <f>SUMIFS('Seat Ledger'!$N$5:$N$468,'Seat Ledger'!$B$5:$B$468,5,'Seat Ledger'!$G$5:$G$468,"PM")</f>
        <v>52.14999999999997</v>
      </c>
    </row>
    <row r="30" spans="1:9" ht="15" customHeight="1">
      <c r="B30" s="2" t="s">
        <v>691</v>
      </c>
      <c r="C30" s="27">
        <f>SUMIFS('Seat Ledger'!$N$5:$N$468,'Seat Ledger'!$B$5:$B$468,1,'Seat Ledger'!$G$5:$G$468,"OTH")</f>
        <v>6.7949999999999999</v>
      </c>
      <c r="D30" s="27">
        <f>SUMIFS('Seat Ledger'!$N$5:$N$468,'Seat Ledger'!$B$5:$B$468,2,'Seat Ledger'!$G$5:$G$468,"OTH")</f>
        <v>11.924999999999994</v>
      </c>
      <c r="E30" s="27">
        <f>SUMIFS('Seat Ledger'!$N$5:$N$468,'Seat Ledger'!$B$5:$B$468,3,'Seat Ledger'!$G$5:$G$468,"OTH")</f>
        <v>8.16</v>
      </c>
      <c r="F30" s="27">
        <f>SUMIFS('Seat Ledger'!$N$5:$N$468,'Seat Ledger'!$B$5:$B$468,4,'Seat Ledger'!$G$5:$G$468,"OTH")</f>
        <v>15.809999999999999</v>
      </c>
      <c r="G30" s="27">
        <f>SUMIFS('Seat Ledger'!$N$5:$N$468,'Seat Ledger'!$B$5:$B$468,5,'Seat Ledger'!$G$5:$G$468,"OTH")</f>
        <v>17.910000000000004</v>
      </c>
    </row>
    <row r="32" spans="1:9" ht="15" customHeight="1">
      <c r="B32" s="64" t="s">
        <v>692</v>
      </c>
      <c r="C32" s="64"/>
      <c r="D32" s="64"/>
      <c r="E32" s="64"/>
      <c r="F32" s="64"/>
      <c r="G32" s="64"/>
      <c r="H32" s="64"/>
      <c r="I32" s="64"/>
    </row>
  </sheetData>
  <mergeCells count="6">
    <mergeCell ref="B32:I32"/>
    <mergeCell ref="A1:J1"/>
    <mergeCell ref="A2:J2"/>
    <mergeCell ref="A4:I4"/>
    <mergeCell ref="A12:I12"/>
    <mergeCell ref="A18:I18"/>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468"/>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cols>
    <col min="1" max="1" width="2.453125" customWidth="1"/>
    <col min="2" max="2" width="6" customWidth="1"/>
    <col min="3" max="3" width="8" customWidth="1"/>
    <col min="4" max="4" width="7" customWidth="1"/>
    <col min="5" max="5" width="8" customWidth="1"/>
    <col min="6" max="6" width="34" customWidth="1"/>
    <col min="7" max="9" width="7" customWidth="1"/>
    <col min="10" max="10" width="9" customWidth="1"/>
    <col min="11" max="11" width="10" customWidth="1"/>
    <col min="12" max="12" width="8" customWidth="1"/>
    <col min="13" max="13" width="10" customWidth="1"/>
    <col min="14" max="14" width="11" customWidth="1"/>
  </cols>
  <sheetData>
    <row r="1" spans="1:14" ht="25.5" customHeight="1">
      <c r="A1" s="61" t="s">
        <v>693</v>
      </c>
      <c r="B1" s="61"/>
      <c r="C1" s="61"/>
      <c r="D1" s="61"/>
      <c r="E1" s="61"/>
      <c r="F1" s="61"/>
      <c r="G1" s="61"/>
      <c r="H1" s="61"/>
      <c r="I1" s="61"/>
      <c r="J1" s="61"/>
      <c r="K1" s="61"/>
      <c r="L1" s="61"/>
      <c r="M1" s="61"/>
      <c r="N1" s="61"/>
    </row>
    <row r="2" spans="1:14" ht="15" customHeight="1">
      <c r="A2" s="62" t="s">
        <v>694</v>
      </c>
      <c r="B2" s="62"/>
      <c r="C2" s="62"/>
      <c r="D2" s="62"/>
      <c r="E2" s="62"/>
      <c r="F2" s="62"/>
      <c r="G2" s="62"/>
      <c r="H2" s="62"/>
      <c r="I2" s="62"/>
      <c r="J2" s="62"/>
      <c r="K2" s="62"/>
      <c r="L2" s="62"/>
      <c r="M2" s="62"/>
      <c r="N2" s="62"/>
    </row>
    <row r="4" spans="1:14" ht="15" customHeight="1">
      <c r="B4" s="5" t="s">
        <v>434</v>
      </c>
      <c r="C4" s="5" t="s">
        <v>695</v>
      </c>
      <c r="D4" s="5" t="s">
        <v>435</v>
      </c>
      <c r="E4" s="5" t="s">
        <v>696</v>
      </c>
      <c r="F4" s="5" t="s">
        <v>437</v>
      </c>
      <c r="G4" s="5" t="s">
        <v>438</v>
      </c>
      <c r="H4" s="5" t="s">
        <v>439</v>
      </c>
      <c r="I4" s="5" t="s">
        <v>440</v>
      </c>
      <c r="J4" s="5" t="s">
        <v>441</v>
      </c>
      <c r="K4" s="5" t="s">
        <v>697</v>
      </c>
      <c r="L4" s="5" t="s">
        <v>483</v>
      </c>
      <c r="M4" s="5" t="s">
        <v>698</v>
      </c>
      <c r="N4" s="5" t="s">
        <v>699</v>
      </c>
    </row>
    <row r="5" spans="1:14" ht="15" customHeight="1">
      <c r="B5" s="19">
        <v>1</v>
      </c>
      <c r="C5" s="11" t="s">
        <v>444</v>
      </c>
      <c r="D5" s="36" t="s">
        <v>313</v>
      </c>
      <c r="E5" s="36" t="s">
        <v>444</v>
      </c>
      <c r="F5" s="49" t="str">
        <f>'Pod Library'!E5</f>
        <v>MetLife Product Owner</v>
      </c>
      <c r="G5" s="44" t="str">
        <f>'Pod Library'!F5</f>
        <v>PM</v>
      </c>
      <c r="H5" s="44" t="str">
        <f>'Pod Library'!G5</f>
        <v>E4</v>
      </c>
      <c r="I5" s="44" t="str">
        <f>'Pod Library'!H5</f>
        <v>ON</v>
      </c>
      <c r="J5" s="44" t="str">
        <f>'Pod Library'!I5</f>
        <v>FTE</v>
      </c>
      <c r="K5" s="9">
        <f>'Pod Library'!J5</f>
        <v>1</v>
      </c>
      <c r="L5" s="13">
        <f>'Pod Plan'!E5</f>
        <v>5</v>
      </c>
      <c r="M5" s="46">
        <f t="shared" ref="M5:M68" si="0">K5*L5</f>
        <v>5</v>
      </c>
      <c r="N5" s="46">
        <f>M5*INDEX('Logic Tree'!$J$75:$N$77,MATCH(I5,'Logic Tree'!$I$75:$I$77,0),MATCH(H5,'Logic Tree'!$J$74:$N$74,0))</f>
        <v>9.25</v>
      </c>
    </row>
    <row r="6" spans="1:14" ht="15" customHeight="1">
      <c r="B6" s="19">
        <v>1</v>
      </c>
      <c r="C6" s="11" t="s">
        <v>444</v>
      </c>
      <c r="D6" s="36" t="s">
        <v>313</v>
      </c>
      <c r="E6" s="36" t="s">
        <v>444</v>
      </c>
      <c r="F6" s="49" t="str">
        <f>'Pod Library'!E6</f>
        <v>MGCC Engineer</v>
      </c>
      <c r="G6" s="44" t="str">
        <f>'Pod Library'!F6</f>
        <v>DEV</v>
      </c>
      <c r="H6" s="44" t="str">
        <f>'Pod Library'!G6</f>
        <v>E3</v>
      </c>
      <c r="I6" s="44" t="str">
        <f>'Pod Library'!H6</f>
        <v>OFF</v>
      </c>
      <c r="J6" s="44" t="str">
        <f>'Pod Library'!I6</f>
        <v>MGCC</v>
      </c>
      <c r="K6" s="9">
        <f>'Pod Library'!J6</f>
        <v>1.6428571428571399</v>
      </c>
      <c r="L6" s="13">
        <f>'Pod Plan'!E5</f>
        <v>5</v>
      </c>
      <c r="M6" s="46">
        <f t="shared" si="0"/>
        <v>8.2142857142856993</v>
      </c>
      <c r="N6" s="46">
        <f>M6*INDEX('Logic Tree'!$J$75:$N$77,MATCH(I6,'Logic Tree'!$I$75:$I$77,0),MATCH(H6,'Logic Tree'!$J$74:$N$74,0))</f>
        <v>3.4499999999999935</v>
      </c>
    </row>
    <row r="7" spans="1:14" ht="15" customHeight="1">
      <c r="B7" s="19">
        <v>1</v>
      </c>
      <c r="C7" s="11" t="s">
        <v>444</v>
      </c>
      <c r="D7" s="36" t="s">
        <v>313</v>
      </c>
      <c r="E7" s="36" t="s">
        <v>444</v>
      </c>
      <c r="F7" s="49" t="str">
        <f>'Pod Library'!E7</f>
        <v>Business Analyst (bilingual)</v>
      </c>
      <c r="G7" s="44" t="str">
        <f>'Pod Library'!F7</f>
        <v>BSA</v>
      </c>
      <c r="H7" s="44" t="str">
        <f>'Pod Library'!G7</f>
        <v>E3</v>
      </c>
      <c r="I7" s="44" t="str">
        <f>'Pod Library'!H7</f>
        <v>ON</v>
      </c>
      <c r="J7" s="44" t="str">
        <f>'Pod Library'!I7</f>
        <v>FTC</v>
      </c>
      <c r="K7" s="9">
        <f>'Pod Library'!J7</f>
        <v>1</v>
      </c>
      <c r="L7" s="13">
        <f>'Pod Plan'!E5</f>
        <v>5</v>
      </c>
      <c r="M7" s="46">
        <f t="shared" si="0"/>
        <v>5</v>
      </c>
      <c r="N7" s="46">
        <f>M7*INDEX('Logic Tree'!$J$75:$N$77,MATCH(I7,'Logic Tree'!$I$75:$I$77,0),MATCH(H7,'Logic Tree'!$J$74:$N$74,0))</f>
        <v>6.75</v>
      </c>
    </row>
    <row r="8" spans="1:14" ht="15" customHeight="1">
      <c r="B8" s="19">
        <v>1</v>
      </c>
      <c r="C8" s="11" t="s">
        <v>444</v>
      </c>
      <c r="D8" s="36" t="s">
        <v>313</v>
      </c>
      <c r="E8" s="36" t="s">
        <v>444</v>
      </c>
      <c r="F8" s="49" t="str">
        <f>'Pod Library'!E8</f>
        <v>Pod lead / senior engineer</v>
      </c>
      <c r="G8" s="44" t="str">
        <f>'Pod Library'!F8</f>
        <v>DEV</v>
      </c>
      <c r="H8" s="44" t="str">
        <f>'Pod Library'!G8</f>
        <v>E4</v>
      </c>
      <c r="I8" s="44" t="str">
        <f>'Pod Library'!H8</f>
        <v>ON</v>
      </c>
      <c r="J8" s="44" t="str">
        <f>'Pod Library'!I8</f>
        <v>FTC</v>
      </c>
      <c r="K8" s="9">
        <f>'Pod Library'!J8</f>
        <v>1.5</v>
      </c>
      <c r="L8" s="13">
        <f>'Pod Plan'!E5</f>
        <v>5</v>
      </c>
      <c r="M8" s="46">
        <f t="shared" si="0"/>
        <v>7.5</v>
      </c>
      <c r="N8" s="46">
        <f>M8*INDEX('Logic Tree'!$J$75:$N$77,MATCH(I8,'Logic Tree'!$I$75:$I$77,0),MATCH(H8,'Logic Tree'!$J$74:$N$74,0))</f>
        <v>13.875</v>
      </c>
    </row>
    <row r="9" spans="1:14" ht="15" customHeight="1">
      <c r="B9" s="19">
        <v>1</v>
      </c>
      <c r="C9" s="11" t="s">
        <v>444</v>
      </c>
      <c r="D9" s="36" t="s">
        <v>313</v>
      </c>
      <c r="E9" s="36" t="s">
        <v>444</v>
      </c>
      <c r="F9" s="49" t="str">
        <f>'Pod Library'!E9</f>
        <v>Engineer</v>
      </c>
      <c r="G9" s="44" t="str">
        <f>'Pod Library'!F9</f>
        <v>DEV</v>
      </c>
      <c r="H9" s="44" t="str">
        <f>'Pod Library'!G9</f>
        <v>E3</v>
      </c>
      <c r="I9" s="44" t="str">
        <f>'Pod Library'!H9</f>
        <v>ON</v>
      </c>
      <c r="J9" s="44" t="str">
        <f>'Pod Library'!I9</f>
        <v>FTC</v>
      </c>
      <c r="K9" s="9">
        <f>'Pod Library'!J9</f>
        <v>0.42857142857142899</v>
      </c>
      <c r="L9" s="13">
        <f>'Pod Plan'!E5</f>
        <v>5</v>
      </c>
      <c r="M9" s="46">
        <f t="shared" si="0"/>
        <v>2.142857142857145</v>
      </c>
      <c r="N9" s="46">
        <f>M9*INDEX('Logic Tree'!$J$75:$N$77,MATCH(I9,'Logic Tree'!$I$75:$I$77,0),MATCH(H9,'Logic Tree'!$J$74:$N$74,0))</f>
        <v>2.8928571428571459</v>
      </c>
    </row>
    <row r="10" spans="1:14" ht="15" customHeight="1">
      <c r="B10" s="19">
        <v>1</v>
      </c>
      <c r="C10" s="11" t="s">
        <v>444</v>
      </c>
      <c r="D10" s="36" t="s">
        <v>313</v>
      </c>
      <c r="E10" s="36" t="s">
        <v>444</v>
      </c>
      <c r="F10" s="49" t="str">
        <f>'Pod Library'!E10</f>
        <v>Engineer</v>
      </c>
      <c r="G10" s="44" t="str">
        <f>'Pod Library'!F10</f>
        <v>DEV</v>
      </c>
      <c r="H10" s="44" t="str">
        <f>'Pod Library'!G10</f>
        <v>E2</v>
      </c>
      <c r="I10" s="44" t="str">
        <f>'Pod Library'!H10</f>
        <v>OFF</v>
      </c>
      <c r="J10" s="44" t="str">
        <f>'Pod Library'!I10</f>
        <v>FTC</v>
      </c>
      <c r="K10" s="9">
        <f>'Pod Library'!J10</f>
        <v>0.78571428571428603</v>
      </c>
      <c r="L10" s="13">
        <f>'Pod Plan'!E5</f>
        <v>5</v>
      </c>
      <c r="M10" s="46">
        <f t="shared" si="0"/>
        <v>3.9285714285714302</v>
      </c>
      <c r="N10" s="46">
        <f>M10*INDEX('Logic Tree'!$J$75:$N$77,MATCH(I10,'Logic Tree'!$I$75:$I$77,0),MATCH(H10,'Logic Tree'!$J$74:$N$74,0))</f>
        <v>1.178571428571429</v>
      </c>
    </row>
    <row r="11" spans="1:14" ht="15" customHeight="1">
      <c r="B11" s="19">
        <v>1</v>
      </c>
      <c r="C11" s="11" t="s">
        <v>444</v>
      </c>
      <c r="D11" s="36" t="s">
        <v>313</v>
      </c>
      <c r="E11" s="36" t="s">
        <v>444</v>
      </c>
      <c r="F11" s="49" t="str">
        <f>'Pod Library'!E11</f>
        <v>Engineer</v>
      </c>
      <c r="G11" s="44" t="str">
        <f>'Pod Library'!F11</f>
        <v>DEV</v>
      </c>
      <c r="H11" s="44" t="str">
        <f>'Pod Library'!G11</f>
        <v>E3</v>
      </c>
      <c r="I11" s="44" t="str">
        <f>'Pod Library'!H11</f>
        <v>OFF</v>
      </c>
      <c r="J11" s="44" t="str">
        <f>'Pod Library'!I11</f>
        <v>FTC</v>
      </c>
      <c r="K11" s="9">
        <f>'Pod Library'!J11</f>
        <v>0.57142857142857095</v>
      </c>
      <c r="L11" s="13">
        <f>'Pod Plan'!E5</f>
        <v>5</v>
      </c>
      <c r="M11" s="46">
        <f t="shared" si="0"/>
        <v>2.857142857142855</v>
      </c>
      <c r="N11" s="46">
        <f>M11*INDEX('Logic Tree'!$J$75:$N$77,MATCH(I11,'Logic Tree'!$I$75:$I$77,0),MATCH(H11,'Logic Tree'!$J$74:$N$74,0))</f>
        <v>1.1999999999999991</v>
      </c>
    </row>
    <row r="12" spans="1:14" ht="15" customHeight="1">
      <c r="B12" s="19">
        <v>1</v>
      </c>
      <c r="C12" s="11" t="s">
        <v>444</v>
      </c>
      <c r="D12" s="36" t="s">
        <v>313</v>
      </c>
      <c r="E12" s="36" t="s">
        <v>444</v>
      </c>
      <c r="F12" s="49" t="str">
        <f>'Pod Library'!E12</f>
        <v>Engineer</v>
      </c>
      <c r="G12" s="44" t="str">
        <f>'Pod Library'!F12</f>
        <v>DEV</v>
      </c>
      <c r="H12" s="44" t="str">
        <f>'Pod Library'!G12</f>
        <v>E4</v>
      </c>
      <c r="I12" s="44" t="str">
        <f>'Pod Library'!H12</f>
        <v>OFF</v>
      </c>
      <c r="J12" s="44" t="str">
        <f>'Pod Library'!I12</f>
        <v>FTC</v>
      </c>
      <c r="K12" s="9">
        <f>'Pod Library'!J12</f>
        <v>0.214285714285714</v>
      </c>
      <c r="L12" s="13">
        <f>'Pod Plan'!E5</f>
        <v>5</v>
      </c>
      <c r="M12" s="46">
        <f t="shared" si="0"/>
        <v>1.0714285714285701</v>
      </c>
      <c r="N12" s="46">
        <f>M12*INDEX('Logic Tree'!$J$75:$N$77,MATCH(I12,'Logic Tree'!$I$75:$I$77,0),MATCH(H12,'Logic Tree'!$J$74:$N$74,0))</f>
        <v>0.64285714285714202</v>
      </c>
    </row>
    <row r="13" spans="1:14" ht="15" customHeight="1">
      <c r="B13" s="19">
        <v>1</v>
      </c>
      <c r="C13" s="11" t="s">
        <v>444</v>
      </c>
      <c r="D13" s="36" t="s">
        <v>313</v>
      </c>
      <c r="E13" s="36" t="s">
        <v>444</v>
      </c>
      <c r="F13" s="49" t="str">
        <f>'Pod Library'!E13</f>
        <v>Quality Engineer (SDET)</v>
      </c>
      <c r="G13" s="44" t="str">
        <f>'Pod Library'!F13</f>
        <v>TEST</v>
      </c>
      <c r="H13" s="44" t="str">
        <f>'Pod Library'!G13</f>
        <v>E2</v>
      </c>
      <c r="I13" s="44" t="str">
        <f>'Pod Library'!H13</f>
        <v>OFF</v>
      </c>
      <c r="J13" s="44" t="str">
        <f>'Pod Library'!I13</f>
        <v>FTC</v>
      </c>
      <c r="K13" s="9">
        <f>'Pod Library'!J13</f>
        <v>1.0714285714285701</v>
      </c>
      <c r="L13" s="13">
        <f>'Pod Plan'!E5</f>
        <v>5</v>
      </c>
      <c r="M13" s="46">
        <f t="shared" si="0"/>
        <v>5.3571428571428505</v>
      </c>
      <c r="N13" s="46">
        <f>M13*INDEX('Logic Tree'!$J$75:$N$77,MATCH(I13,'Logic Tree'!$I$75:$I$77,0),MATCH(H13,'Logic Tree'!$J$74:$N$74,0))</f>
        <v>1.6071428571428552</v>
      </c>
    </row>
    <row r="14" spans="1:14" ht="15" customHeight="1">
      <c r="B14" s="19">
        <v>1</v>
      </c>
      <c r="C14" s="11" t="s">
        <v>444</v>
      </c>
      <c r="D14" s="36" t="s">
        <v>313</v>
      </c>
      <c r="E14" s="36" t="s">
        <v>444</v>
      </c>
      <c r="F14" s="49" t="str">
        <f>'Pod Library'!E14</f>
        <v>Quality Engineer (SDET)</v>
      </c>
      <c r="G14" s="44" t="str">
        <f>'Pod Library'!F14</f>
        <v>TEST</v>
      </c>
      <c r="H14" s="44" t="str">
        <f>'Pod Library'!G14</f>
        <v>E3</v>
      </c>
      <c r="I14" s="44" t="str">
        <f>'Pod Library'!H14</f>
        <v>OFF</v>
      </c>
      <c r="J14" s="44" t="str">
        <f>'Pod Library'!I14</f>
        <v>FTC</v>
      </c>
      <c r="K14" s="9">
        <f>'Pod Library'!J14</f>
        <v>1.0714285714285701</v>
      </c>
      <c r="L14" s="13">
        <f>'Pod Plan'!E5</f>
        <v>5</v>
      </c>
      <c r="M14" s="46">
        <f t="shared" si="0"/>
        <v>5.3571428571428505</v>
      </c>
      <c r="N14" s="46">
        <f>M14*INDEX('Logic Tree'!$J$75:$N$77,MATCH(I14,'Logic Tree'!$I$75:$I$77,0),MATCH(H14,'Logic Tree'!$J$74:$N$74,0))</f>
        <v>2.2499999999999973</v>
      </c>
    </row>
    <row r="15" spans="1:14" ht="15" customHeight="1">
      <c r="B15" s="19">
        <v>1</v>
      </c>
      <c r="C15" s="11" t="s">
        <v>444</v>
      </c>
      <c r="D15" s="36" t="s">
        <v>313</v>
      </c>
      <c r="E15" s="36" t="s">
        <v>444</v>
      </c>
      <c r="F15" s="49" t="str">
        <f>'Pod Library'!E15</f>
        <v>Quality Engineer (SDET)</v>
      </c>
      <c r="G15" s="44" t="str">
        <f>'Pod Library'!F15</f>
        <v>TEST</v>
      </c>
      <c r="H15" s="44" t="str">
        <f>'Pod Library'!G15</f>
        <v>E4</v>
      </c>
      <c r="I15" s="44" t="str">
        <f>'Pod Library'!H15</f>
        <v>OFF</v>
      </c>
      <c r="J15" s="44" t="str">
        <f>'Pod Library'!I15</f>
        <v>FTC</v>
      </c>
      <c r="K15" s="9">
        <f>'Pod Library'!J15</f>
        <v>0.28571428571428598</v>
      </c>
      <c r="L15" s="13">
        <f>'Pod Plan'!E5</f>
        <v>5</v>
      </c>
      <c r="M15" s="46">
        <f t="shared" si="0"/>
        <v>1.4285714285714299</v>
      </c>
      <c r="N15" s="46">
        <f>M15*INDEX('Logic Tree'!$J$75:$N$77,MATCH(I15,'Logic Tree'!$I$75:$I$77,0),MATCH(H15,'Logic Tree'!$J$74:$N$74,0))</f>
        <v>0.85714285714285798</v>
      </c>
    </row>
    <row r="16" spans="1:14" ht="15" customHeight="1">
      <c r="B16" s="19">
        <v>1</v>
      </c>
      <c r="C16" s="11" t="s">
        <v>444</v>
      </c>
      <c r="D16" s="36" t="s">
        <v>313</v>
      </c>
      <c r="E16" s="36" t="s">
        <v>444</v>
      </c>
      <c r="F16" s="49" t="str">
        <f>'Pod Library'!E16</f>
        <v>Application Support</v>
      </c>
      <c r="G16" s="44" t="str">
        <f>'Pod Library'!F16</f>
        <v>MNT</v>
      </c>
      <c r="H16" s="44" t="str">
        <f>'Pod Library'!G16</f>
        <v>E1</v>
      </c>
      <c r="I16" s="44" t="str">
        <f>'Pod Library'!H16</f>
        <v>OFF</v>
      </c>
      <c r="J16" s="44" t="str">
        <f>'Pod Library'!I16</f>
        <v>FTC</v>
      </c>
      <c r="K16" s="9">
        <f>'Pod Library'!J16</f>
        <v>0.14285714285714299</v>
      </c>
      <c r="L16" s="13">
        <f>'Pod Plan'!E5</f>
        <v>5</v>
      </c>
      <c r="M16" s="46">
        <f t="shared" si="0"/>
        <v>0.71428571428571497</v>
      </c>
      <c r="N16" s="46">
        <f>M16*INDEX('Logic Tree'!$J$75:$N$77,MATCH(I16,'Logic Tree'!$I$75:$I$77,0),MATCH(H16,'Logic Tree'!$J$74:$N$74,0))</f>
        <v>0.15714285714285731</v>
      </c>
    </row>
    <row r="17" spans="2:14" ht="15" customHeight="1">
      <c r="B17" s="19">
        <v>1</v>
      </c>
      <c r="C17" s="11" t="s">
        <v>444</v>
      </c>
      <c r="D17" s="36" t="s">
        <v>313</v>
      </c>
      <c r="E17" s="36" t="s">
        <v>444</v>
      </c>
      <c r="F17" s="49" t="str">
        <f>'Pod Library'!E17</f>
        <v>Application Support</v>
      </c>
      <c r="G17" s="44" t="str">
        <f>'Pod Library'!F17</f>
        <v>MNT</v>
      </c>
      <c r="H17" s="44" t="str">
        <f>'Pod Library'!G17</f>
        <v>E2</v>
      </c>
      <c r="I17" s="44" t="str">
        <f>'Pod Library'!H17</f>
        <v>OFF</v>
      </c>
      <c r="J17" s="44" t="str">
        <f>'Pod Library'!I17</f>
        <v>FTC</v>
      </c>
      <c r="K17" s="9">
        <f>'Pod Library'!J17</f>
        <v>0.214285714285714</v>
      </c>
      <c r="L17" s="13">
        <f>'Pod Plan'!E5</f>
        <v>5</v>
      </c>
      <c r="M17" s="46">
        <f t="shared" si="0"/>
        <v>1.0714285714285701</v>
      </c>
      <c r="N17" s="46">
        <f>M17*INDEX('Logic Tree'!$J$75:$N$77,MATCH(I17,'Logic Tree'!$I$75:$I$77,0),MATCH(H17,'Logic Tree'!$J$74:$N$74,0))</f>
        <v>0.32142857142857101</v>
      </c>
    </row>
    <row r="18" spans="2:14" ht="15" customHeight="1">
      <c r="B18" s="19">
        <v>1</v>
      </c>
      <c r="C18" s="11" t="s">
        <v>456</v>
      </c>
      <c r="D18" s="36" t="s">
        <v>313</v>
      </c>
      <c r="E18" s="36" t="s">
        <v>456</v>
      </c>
      <c r="F18" s="49" t="str">
        <f>'Pod Library'!E20</f>
        <v>MetLife Product Owner</v>
      </c>
      <c r="G18" s="44" t="str">
        <f>'Pod Library'!F20</f>
        <v>PM</v>
      </c>
      <c r="H18" s="44" t="str">
        <f>'Pod Library'!G20</f>
        <v>E4</v>
      </c>
      <c r="I18" s="44" t="str">
        <f>'Pod Library'!H20</f>
        <v>ON</v>
      </c>
      <c r="J18" s="44" t="str">
        <f>'Pod Library'!I20</f>
        <v>FTE</v>
      </c>
      <c r="K18" s="9">
        <f>'Pod Library'!J20</f>
        <v>0.73214285714285698</v>
      </c>
      <c r="L18" s="13">
        <f>'Pod Plan'!F5</f>
        <v>13</v>
      </c>
      <c r="M18" s="46">
        <f t="shared" si="0"/>
        <v>9.5178571428571406</v>
      </c>
      <c r="N18" s="46">
        <f>M18*INDEX('Logic Tree'!$J$75:$N$77,MATCH(I18,'Logic Tree'!$I$75:$I$77,0),MATCH(H18,'Logic Tree'!$J$74:$N$74,0))</f>
        <v>17.608035714285712</v>
      </c>
    </row>
    <row r="19" spans="2:14" ht="15" customHeight="1">
      <c r="B19" s="19">
        <v>1</v>
      </c>
      <c r="C19" s="11" t="s">
        <v>456</v>
      </c>
      <c r="D19" s="36" t="s">
        <v>313</v>
      </c>
      <c r="E19" s="36" t="s">
        <v>456</v>
      </c>
      <c r="F19" s="49" t="str">
        <f>'Pod Library'!E21</f>
        <v>MetLife Domain SME</v>
      </c>
      <c r="G19" s="44" t="str">
        <f>'Pod Library'!F21</f>
        <v>BSA</v>
      </c>
      <c r="H19" s="44" t="str">
        <f>'Pod Library'!G21</f>
        <v>E4</v>
      </c>
      <c r="I19" s="44" t="str">
        <f>'Pod Library'!H21</f>
        <v>ON</v>
      </c>
      <c r="J19" s="44" t="str">
        <f>'Pod Library'!I21</f>
        <v>FTE</v>
      </c>
      <c r="K19" s="9">
        <f>'Pod Library'!J21</f>
        <v>0.98214285714285698</v>
      </c>
      <c r="L19" s="13">
        <f>'Pod Plan'!F5</f>
        <v>13</v>
      </c>
      <c r="M19" s="46">
        <f t="shared" si="0"/>
        <v>12.767857142857141</v>
      </c>
      <c r="N19" s="46">
        <f>M19*INDEX('Logic Tree'!$J$75:$N$77,MATCH(I19,'Logic Tree'!$I$75:$I$77,0),MATCH(H19,'Logic Tree'!$J$74:$N$74,0))</f>
        <v>23.620535714285712</v>
      </c>
    </row>
    <row r="20" spans="2:14" ht="15" customHeight="1">
      <c r="B20" s="19">
        <v>1</v>
      </c>
      <c r="C20" s="11" t="s">
        <v>456</v>
      </c>
      <c r="D20" s="36" t="s">
        <v>313</v>
      </c>
      <c r="E20" s="36" t="s">
        <v>456</v>
      </c>
      <c r="F20" s="49" t="str">
        <f>'Pod Library'!E22</f>
        <v>MetLife Operations Analyst</v>
      </c>
      <c r="G20" s="44" t="str">
        <f>'Pod Library'!F22</f>
        <v>MNT</v>
      </c>
      <c r="H20" s="44" t="str">
        <f>'Pod Library'!G22</f>
        <v>E3</v>
      </c>
      <c r="I20" s="44" t="str">
        <f>'Pod Library'!H22</f>
        <v>ON</v>
      </c>
      <c r="J20" s="44" t="str">
        <f>'Pod Library'!I22</f>
        <v>FTE</v>
      </c>
      <c r="K20" s="9">
        <f>'Pod Library'!J22</f>
        <v>0.46428571428571402</v>
      </c>
      <c r="L20" s="13">
        <f>'Pod Plan'!F5</f>
        <v>13</v>
      </c>
      <c r="M20" s="46">
        <f t="shared" si="0"/>
        <v>6.035714285714282</v>
      </c>
      <c r="N20" s="46">
        <f>M20*INDEX('Logic Tree'!$J$75:$N$77,MATCH(I20,'Logic Tree'!$I$75:$I$77,0),MATCH(H20,'Logic Tree'!$J$74:$N$74,0))</f>
        <v>8.1482142857142819</v>
      </c>
    </row>
    <row r="21" spans="2:14" ht="15" customHeight="1">
      <c r="B21" s="19">
        <v>1</v>
      </c>
      <c r="C21" s="11" t="s">
        <v>456</v>
      </c>
      <c r="D21" s="36" t="s">
        <v>313</v>
      </c>
      <c r="E21" s="36" t="s">
        <v>456</v>
      </c>
      <c r="F21" s="49" t="str">
        <f>'Pod Library'!E23</f>
        <v>MGCC Developer</v>
      </c>
      <c r="G21" s="44" t="str">
        <f>'Pod Library'!F23</f>
        <v>DEV</v>
      </c>
      <c r="H21" s="44" t="str">
        <f>'Pod Library'!G23</f>
        <v>E3</v>
      </c>
      <c r="I21" s="44" t="str">
        <f>'Pod Library'!H23</f>
        <v>OFF</v>
      </c>
      <c r="J21" s="44" t="str">
        <f>'Pod Library'!I23</f>
        <v>MGCC</v>
      </c>
      <c r="K21" s="9">
        <f>'Pod Library'!J23</f>
        <v>1.75</v>
      </c>
      <c r="L21" s="13">
        <f>'Pod Plan'!F5</f>
        <v>13</v>
      </c>
      <c r="M21" s="46">
        <f t="shared" si="0"/>
        <v>22.75</v>
      </c>
      <c r="N21" s="46">
        <f>M21*INDEX('Logic Tree'!$J$75:$N$77,MATCH(I21,'Logic Tree'!$I$75:$I$77,0),MATCH(H21,'Logic Tree'!$J$74:$N$74,0))</f>
        <v>9.5549999999999997</v>
      </c>
    </row>
    <row r="22" spans="2:14" ht="15" customHeight="1">
      <c r="B22" s="19">
        <v>1</v>
      </c>
      <c r="C22" s="11" t="s">
        <v>456</v>
      </c>
      <c r="D22" s="36" t="s">
        <v>313</v>
      </c>
      <c r="E22" s="36" t="s">
        <v>456</v>
      </c>
      <c r="F22" s="49" t="str">
        <f>'Pod Library'!E24</f>
        <v>MGCC Test Engineer</v>
      </c>
      <c r="G22" s="44" t="str">
        <f>'Pod Library'!F24</f>
        <v>TEST</v>
      </c>
      <c r="H22" s="44" t="str">
        <f>'Pod Library'!G24</f>
        <v>E2</v>
      </c>
      <c r="I22" s="44" t="str">
        <f>'Pod Library'!H24</f>
        <v>OFF</v>
      </c>
      <c r="J22" s="44" t="str">
        <f>'Pod Library'!I24</f>
        <v>MGCC</v>
      </c>
      <c r="K22" s="9">
        <f>'Pod Library'!J24</f>
        <v>0.96428571428571397</v>
      </c>
      <c r="L22" s="13">
        <f>'Pod Plan'!F5</f>
        <v>13</v>
      </c>
      <c r="M22" s="46">
        <f t="shared" si="0"/>
        <v>12.535714285714281</v>
      </c>
      <c r="N22" s="46">
        <f>M22*INDEX('Logic Tree'!$J$75:$N$77,MATCH(I22,'Logic Tree'!$I$75:$I$77,0),MATCH(H22,'Logic Tree'!$J$74:$N$74,0))</f>
        <v>3.7607142857142843</v>
      </c>
    </row>
    <row r="23" spans="2:14" ht="15" customHeight="1">
      <c r="B23" s="19">
        <v>1</v>
      </c>
      <c r="C23" s="11" t="s">
        <v>456</v>
      </c>
      <c r="D23" s="36" t="s">
        <v>313</v>
      </c>
      <c r="E23" s="36" t="s">
        <v>456</v>
      </c>
      <c r="F23" s="49" t="str">
        <f>'Pod Library'!E25</f>
        <v>Business Analyst (bilingual)</v>
      </c>
      <c r="G23" s="44" t="str">
        <f>'Pod Library'!F25</f>
        <v>BSA</v>
      </c>
      <c r="H23" s="44" t="str">
        <f>'Pod Library'!G25</f>
        <v>E3</v>
      </c>
      <c r="I23" s="44" t="str">
        <f>'Pod Library'!H25</f>
        <v>ON</v>
      </c>
      <c r="J23" s="44" t="str">
        <f>'Pod Library'!I25</f>
        <v>FTC</v>
      </c>
      <c r="K23" s="9">
        <f>'Pod Library'!J25</f>
        <v>1.41071428571429</v>
      </c>
      <c r="L23" s="13">
        <f>'Pod Plan'!F5</f>
        <v>13</v>
      </c>
      <c r="M23" s="46">
        <f t="shared" si="0"/>
        <v>18.339285714285772</v>
      </c>
      <c r="N23" s="46">
        <f>M23*INDEX('Logic Tree'!$J$75:$N$77,MATCH(I23,'Logic Tree'!$I$75:$I$77,0),MATCH(H23,'Logic Tree'!$J$74:$N$74,0))</f>
        <v>24.758035714285793</v>
      </c>
    </row>
    <row r="24" spans="2:14" ht="15" customHeight="1">
      <c r="B24" s="19">
        <v>1</v>
      </c>
      <c r="C24" s="11" t="s">
        <v>456</v>
      </c>
      <c r="D24" s="36" t="s">
        <v>313</v>
      </c>
      <c r="E24" s="36" t="s">
        <v>456</v>
      </c>
      <c r="F24" s="49" t="str">
        <f>'Pod Library'!E26</f>
        <v>Developer / technical lead</v>
      </c>
      <c r="G24" s="44" t="str">
        <f>'Pod Library'!F26</f>
        <v>DEV</v>
      </c>
      <c r="H24" s="44" t="str">
        <f>'Pod Library'!G26</f>
        <v>E3</v>
      </c>
      <c r="I24" s="44" t="str">
        <f>'Pod Library'!H26</f>
        <v>ON</v>
      </c>
      <c r="J24" s="44" t="str">
        <f>'Pod Library'!I26</f>
        <v>FTC</v>
      </c>
      <c r="K24" s="9">
        <f>'Pod Library'!J26</f>
        <v>1.71428571428571</v>
      </c>
      <c r="L24" s="13">
        <f>'Pod Plan'!F5</f>
        <v>13</v>
      </c>
      <c r="M24" s="46">
        <f t="shared" si="0"/>
        <v>22.285714285714228</v>
      </c>
      <c r="N24" s="46">
        <f>M24*INDEX('Logic Tree'!$J$75:$N$77,MATCH(I24,'Logic Tree'!$I$75:$I$77,0),MATCH(H24,'Logic Tree'!$J$74:$N$74,0))</f>
        <v>30.085714285714211</v>
      </c>
    </row>
    <row r="25" spans="2:14" ht="15" customHeight="1">
      <c r="B25" s="19">
        <v>1</v>
      </c>
      <c r="C25" s="11" t="s">
        <v>456</v>
      </c>
      <c r="D25" s="36" t="s">
        <v>313</v>
      </c>
      <c r="E25" s="36" t="s">
        <v>456</v>
      </c>
      <c r="F25" s="49" t="str">
        <f>'Pod Library'!E27</f>
        <v>Developer</v>
      </c>
      <c r="G25" s="44" t="str">
        <f>'Pod Library'!F27</f>
        <v>DEV</v>
      </c>
      <c r="H25" s="44" t="str">
        <f>'Pod Library'!G27</f>
        <v>E1</v>
      </c>
      <c r="I25" s="44" t="str">
        <f>'Pod Library'!H27</f>
        <v>OFF</v>
      </c>
      <c r="J25" s="44" t="str">
        <f>'Pod Library'!I27</f>
        <v>FTC</v>
      </c>
      <c r="K25" s="9">
        <f>'Pod Library'!J27</f>
        <v>0.19642857142857101</v>
      </c>
      <c r="L25" s="13">
        <f>'Pod Plan'!F5</f>
        <v>13</v>
      </c>
      <c r="M25" s="46">
        <f t="shared" si="0"/>
        <v>2.5535714285714231</v>
      </c>
      <c r="N25" s="46">
        <f>M25*INDEX('Logic Tree'!$J$75:$N$77,MATCH(I25,'Logic Tree'!$I$75:$I$77,0),MATCH(H25,'Logic Tree'!$J$74:$N$74,0))</f>
        <v>0.56178571428571311</v>
      </c>
    </row>
    <row r="26" spans="2:14" ht="15" customHeight="1">
      <c r="B26" s="19">
        <v>1</v>
      </c>
      <c r="C26" s="11" t="s">
        <v>456</v>
      </c>
      <c r="D26" s="36" t="s">
        <v>313</v>
      </c>
      <c r="E26" s="36" t="s">
        <v>456</v>
      </c>
      <c r="F26" s="49" t="str">
        <f>'Pod Library'!E28</f>
        <v>Developer</v>
      </c>
      <c r="G26" s="44" t="str">
        <f>'Pod Library'!F28</f>
        <v>DEV</v>
      </c>
      <c r="H26" s="44" t="str">
        <f>'Pod Library'!G28</f>
        <v>E2</v>
      </c>
      <c r="I26" s="44" t="str">
        <f>'Pod Library'!H28</f>
        <v>OFF</v>
      </c>
      <c r="J26" s="44" t="str">
        <f>'Pod Library'!I28</f>
        <v>FTC</v>
      </c>
      <c r="K26" s="9">
        <f>'Pod Library'!J28</f>
        <v>0.53571428571428603</v>
      </c>
      <c r="L26" s="13">
        <f>'Pod Plan'!F5</f>
        <v>13</v>
      </c>
      <c r="M26" s="46">
        <f t="shared" si="0"/>
        <v>6.9642857142857189</v>
      </c>
      <c r="N26" s="46">
        <f>M26*INDEX('Logic Tree'!$J$75:$N$77,MATCH(I26,'Logic Tree'!$I$75:$I$77,0),MATCH(H26,'Logic Tree'!$J$74:$N$74,0))</f>
        <v>2.0892857142857157</v>
      </c>
    </row>
    <row r="27" spans="2:14" ht="15" customHeight="1">
      <c r="B27" s="19">
        <v>1</v>
      </c>
      <c r="C27" s="11" t="s">
        <v>456</v>
      </c>
      <c r="D27" s="36" t="s">
        <v>313</v>
      </c>
      <c r="E27" s="36" t="s">
        <v>456</v>
      </c>
      <c r="F27" s="49" t="str">
        <f>'Pod Library'!E29</f>
        <v>Developer</v>
      </c>
      <c r="G27" s="44" t="str">
        <f>'Pod Library'!F29</f>
        <v>DEV</v>
      </c>
      <c r="H27" s="44" t="str">
        <f>'Pod Library'!G29</f>
        <v>E3</v>
      </c>
      <c r="I27" s="44" t="str">
        <f>'Pod Library'!H29</f>
        <v>OFF</v>
      </c>
      <c r="J27" s="44" t="str">
        <f>'Pod Library'!I29</f>
        <v>FTC</v>
      </c>
      <c r="K27" s="9">
        <f>'Pod Library'!J29</f>
        <v>0.51785714285714302</v>
      </c>
      <c r="L27" s="13">
        <f>'Pod Plan'!F5</f>
        <v>13</v>
      </c>
      <c r="M27" s="46">
        <f t="shared" si="0"/>
        <v>6.7321428571428594</v>
      </c>
      <c r="N27" s="46">
        <f>M27*INDEX('Logic Tree'!$J$75:$N$77,MATCH(I27,'Logic Tree'!$I$75:$I$77,0),MATCH(H27,'Logic Tree'!$J$74:$N$74,0))</f>
        <v>2.827500000000001</v>
      </c>
    </row>
    <row r="28" spans="2:14" ht="15" customHeight="1">
      <c r="B28" s="19">
        <v>1</v>
      </c>
      <c r="C28" s="11" t="s">
        <v>456</v>
      </c>
      <c r="D28" s="36" t="s">
        <v>313</v>
      </c>
      <c r="E28" s="36" t="s">
        <v>456</v>
      </c>
      <c r="F28" s="49" t="str">
        <f>'Pod Library'!E30</f>
        <v>Test Lead / onshore tester</v>
      </c>
      <c r="G28" s="44" t="str">
        <f>'Pod Library'!F30</f>
        <v>TEST</v>
      </c>
      <c r="H28" s="44" t="str">
        <f>'Pod Library'!G30</f>
        <v>E3</v>
      </c>
      <c r="I28" s="44" t="str">
        <f>'Pod Library'!H30</f>
        <v>ON</v>
      </c>
      <c r="J28" s="44" t="str">
        <f>'Pod Library'!I30</f>
        <v>FTC</v>
      </c>
      <c r="K28" s="9">
        <f>'Pod Library'!J30</f>
        <v>1.8571428571428601</v>
      </c>
      <c r="L28" s="13">
        <f>'Pod Plan'!F5</f>
        <v>13</v>
      </c>
      <c r="M28" s="46">
        <f t="shared" si="0"/>
        <v>24.142857142857181</v>
      </c>
      <c r="N28" s="46">
        <f>M28*INDEX('Logic Tree'!$J$75:$N$77,MATCH(I28,'Logic Tree'!$I$75:$I$77,0),MATCH(H28,'Logic Tree'!$J$74:$N$74,0))</f>
        <v>32.592857142857198</v>
      </c>
    </row>
    <row r="29" spans="2:14" ht="15" customHeight="1">
      <c r="B29" s="19">
        <v>1</v>
      </c>
      <c r="C29" s="11" t="s">
        <v>456</v>
      </c>
      <c r="D29" s="36" t="s">
        <v>313</v>
      </c>
      <c r="E29" s="36" t="s">
        <v>456</v>
      </c>
      <c r="F29" s="49" t="str">
        <f>'Pod Library'!E31</f>
        <v>Test Engineer</v>
      </c>
      <c r="G29" s="44" t="str">
        <f>'Pod Library'!F31</f>
        <v>TEST</v>
      </c>
      <c r="H29" s="44" t="str">
        <f>'Pod Library'!G31</f>
        <v>E2</v>
      </c>
      <c r="I29" s="44" t="str">
        <f>'Pod Library'!H31</f>
        <v>OFF</v>
      </c>
      <c r="J29" s="44" t="str">
        <f>'Pod Library'!I31</f>
        <v>FTC</v>
      </c>
      <c r="K29" s="9">
        <f>'Pod Library'!J31</f>
        <v>0.30357142857142899</v>
      </c>
      <c r="L29" s="13">
        <f>'Pod Plan'!F5</f>
        <v>13</v>
      </c>
      <c r="M29" s="46">
        <f t="shared" si="0"/>
        <v>3.9464285714285769</v>
      </c>
      <c r="N29" s="46">
        <f>M29*INDEX('Logic Tree'!$J$75:$N$77,MATCH(I29,'Logic Tree'!$I$75:$I$77,0),MATCH(H29,'Logic Tree'!$J$74:$N$74,0))</f>
        <v>1.183928571428573</v>
      </c>
    </row>
    <row r="30" spans="2:14" ht="15" customHeight="1">
      <c r="B30" s="19">
        <v>1</v>
      </c>
      <c r="C30" s="11" t="s">
        <v>456</v>
      </c>
      <c r="D30" s="36" t="s">
        <v>313</v>
      </c>
      <c r="E30" s="36" t="s">
        <v>456</v>
      </c>
      <c r="F30" s="49" t="str">
        <f>'Pod Library'!E32</f>
        <v>Test Engineer</v>
      </c>
      <c r="G30" s="44" t="str">
        <f>'Pod Library'!F32</f>
        <v>TEST</v>
      </c>
      <c r="H30" s="44" t="str">
        <f>'Pod Library'!G32</f>
        <v>E3</v>
      </c>
      <c r="I30" s="44" t="str">
        <f>'Pod Library'!H32</f>
        <v>OFF</v>
      </c>
      <c r="J30" s="44" t="str">
        <f>'Pod Library'!I32</f>
        <v>FTC</v>
      </c>
      <c r="K30" s="9">
        <f>'Pod Library'!J32</f>
        <v>0.32142857142857201</v>
      </c>
      <c r="L30" s="13">
        <f>'Pod Plan'!F5</f>
        <v>13</v>
      </c>
      <c r="M30" s="46">
        <f t="shared" si="0"/>
        <v>4.1785714285714359</v>
      </c>
      <c r="N30" s="46">
        <f>M30*INDEX('Logic Tree'!$J$75:$N$77,MATCH(I30,'Logic Tree'!$I$75:$I$77,0),MATCH(H30,'Logic Tree'!$J$74:$N$74,0))</f>
        <v>1.755000000000003</v>
      </c>
    </row>
    <row r="31" spans="2:14" ht="15" customHeight="1">
      <c r="B31" s="19">
        <v>1</v>
      </c>
      <c r="C31" s="11" t="s">
        <v>456</v>
      </c>
      <c r="D31" s="36" t="s">
        <v>313</v>
      </c>
      <c r="E31" s="36" t="s">
        <v>456</v>
      </c>
      <c r="F31" s="49" t="str">
        <f>'Pod Library'!E33</f>
        <v>Application Support</v>
      </c>
      <c r="G31" s="44" t="str">
        <f>'Pod Library'!F33</f>
        <v>MNT</v>
      </c>
      <c r="H31" s="44" t="str">
        <f>'Pod Library'!G33</f>
        <v>E2</v>
      </c>
      <c r="I31" s="44" t="str">
        <f>'Pod Library'!H33</f>
        <v>OFF</v>
      </c>
      <c r="J31" s="44" t="str">
        <f>'Pod Library'!I33</f>
        <v>FTC</v>
      </c>
      <c r="K31" s="9">
        <f>'Pod Library'!J33</f>
        <v>0.125</v>
      </c>
      <c r="L31" s="13">
        <f>'Pod Plan'!F5</f>
        <v>13</v>
      </c>
      <c r="M31" s="46">
        <f t="shared" si="0"/>
        <v>1.625</v>
      </c>
      <c r="N31" s="46">
        <f>M31*INDEX('Logic Tree'!$J$75:$N$77,MATCH(I31,'Logic Tree'!$I$75:$I$77,0),MATCH(H31,'Logic Tree'!$J$74:$N$74,0))</f>
        <v>0.48749999999999999</v>
      </c>
    </row>
    <row r="32" spans="2:14" ht="15" customHeight="1">
      <c r="B32" s="19">
        <v>1</v>
      </c>
      <c r="C32" s="11" t="s">
        <v>456</v>
      </c>
      <c r="D32" s="36" t="s">
        <v>314</v>
      </c>
      <c r="E32" s="36" t="s">
        <v>456</v>
      </c>
      <c r="F32" s="49" t="str">
        <f>'Pod Library'!E20</f>
        <v>MetLife Product Owner</v>
      </c>
      <c r="G32" s="44" t="str">
        <f>'Pod Library'!F20</f>
        <v>PM</v>
      </c>
      <c r="H32" s="44" t="str">
        <f>'Pod Library'!G20</f>
        <v>E4</v>
      </c>
      <c r="I32" s="44" t="str">
        <f>'Pod Library'!H20</f>
        <v>ON</v>
      </c>
      <c r="J32" s="44" t="str">
        <f>'Pod Library'!I20</f>
        <v>FTE</v>
      </c>
      <c r="K32" s="9">
        <f>'Pod Library'!J20</f>
        <v>0.73214285714285698</v>
      </c>
      <c r="L32" s="13">
        <f>'Pod Plan'!F6</f>
        <v>12</v>
      </c>
      <c r="M32" s="46">
        <f t="shared" si="0"/>
        <v>8.7857142857142847</v>
      </c>
      <c r="N32" s="46">
        <f>M32*INDEX('Logic Tree'!$J$75:$N$77,MATCH(I32,'Logic Tree'!$I$75:$I$77,0),MATCH(H32,'Logic Tree'!$J$74:$N$74,0))</f>
        <v>16.253571428571426</v>
      </c>
    </row>
    <row r="33" spans="2:14" ht="15" customHeight="1">
      <c r="B33" s="19">
        <v>1</v>
      </c>
      <c r="C33" s="11" t="s">
        <v>456</v>
      </c>
      <c r="D33" s="36" t="s">
        <v>314</v>
      </c>
      <c r="E33" s="36" t="s">
        <v>456</v>
      </c>
      <c r="F33" s="49" t="str">
        <f>'Pod Library'!E21</f>
        <v>MetLife Domain SME</v>
      </c>
      <c r="G33" s="44" t="str">
        <f>'Pod Library'!F21</f>
        <v>BSA</v>
      </c>
      <c r="H33" s="44" t="str">
        <f>'Pod Library'!G21</f>
        <v>E4</v>
      </c>
      <c r="I33" s="44" t="str">
        <f>'Pod Library'!H21</f>
        <v>ON</v>
      </c>
      <c r="J33" s="44" t="str">
        <f>'Pod Library'!I21</f>
        <v>FTE</v>
      </c>
      <c r="K33" s="9">
        <f>'Pod Library'!J21</f>
        <v>0.98214285714285698</v>
      </c>
      <c r="L33" s="13">
        <f>'Pod Plan'!F6</f>
        <v>12</v>
      </c>
      <c r="M33" s="46">
        <f t="shared" si="0"/>
        <v>11.785714285714285</v>
      </c>
      <c r="N33" s="46">
        <f>M33*INDEX('Logic Tree'!$J$75:$N$77,MATCH(I33,'Logic Tree'!$I$75:$I$77,0),MATCH(H33,'Logic Tree'!$J$74:$N$74,0))</f>
        <v>21.803571428571427</v>
      </c>
    </row>
    <row r="34" spans="2:14" ht="15" customHeight="1">
      <c r="B34" s="19">
        <v>1</v>
      </c>
      <c r="C34" s="11" t="s">
        <v>456</v>
      </c>
      <c r="D34" s="36" t="s">
        <v>314</v>
      </c>
      <c r="E34" s="36" t="s">
        <v>456</v>
      </c>
      <c r="F34" s="49" t="str">
        <f>'Pod Library'!E22</f>
        <v>MetLife Operations Analyst</v>
      </c>
      <c r="G34" s="44" t="str">
        <f>'Pod Library'!F22</f>
        <v>MNT</v>
      </c>
      <c r="H34" s="44" t="str">
        <f>'Pod Library'!G22</f>
        <v>E3</v>
      </c>
      <c r="I34" s="44" t="str">
        <f>'Pod Library'!H22</f>
        <v>ON</v>
      </c>
      <c r="J34" s="44" t="str">
        <f>'Pod Library'!I22</f>
        <v>FTE</v>
      </c>
      <c r="K34" s="9">
        <f>'Pod Library'!J22</f>
        <v>0.46428571428571402</v>
      </c>
      <c r="L34" s="13">
        <f>'Pod Plan'!F6</f>
        <v>12</v>
      </c>
      <c r="M34" s="46">
        <f t="shared" si="0"/>
        <v>5.5714285714285685</v>
      </c>
      <c r="N34" s="46">
        <f>M34*INDEX('Logic Tree'!$J$75:$N$77,MATCH(I34,'Logic Tree'!$I$75:$I$77,0),MATCH(H34,'Logic Tree'!$J$74:$N$74,0))</f>
        <v>7.5214285714285678</v>
      </c>
    </row>
    <row r="35" spans="2:14" ht="15" customHeight="1">
      <c r="B35" s="19">
        <v>1</v>
      </c>
      <c r="C35" s="11" t="s">
        <v>456</v>
      </c>
      <c r="D35" s="36" t="s">
        <v>314</v>
      </c>
      <c r="E35" s="36" t="s">
        <v>456</v>
      </c>
      <c r="F35" s="49" t="str">
        <f>'Pod Library'!E23</f>
        <v>MGCC Developer</v>
      </c>
      <c r="G35" s="44" t="str">
        <f>'Pod Library'!F23</f>
        <v>DEV</v>
      </c>
      <c r="H35" s="44" t="str">
        <f>'Pod Library'!G23</f>
        <v>E3</v>
      </c>
      <c r="I35" s="44" t="str">
        <f>'Pod Library'!H23</f>
        <v>OFF</v>
      </c>
      <c r="J35" s="44" t="str">
        <f>'Pod Library'!I23</f>
        <v>MGCC</v>
      </c>
      <c r="K35" s="9">
        <f>'Pod Library'!J23</f>
        <v>1.75</v>
      </c>
      <c r="L35" s="13">
        <f>'Pod Plan'!F6</f>
        <v>12</v>
      </c>
      <c r="M35" s="46">
        <f t="shared" si="0"/>
        <v>21</v>
      </c>
      <c r="N35" s="46">
        <f>M35*INDEX('Logic Tree'!$J$75:$N$77,MATCH(I35,'Logic Tree'!$I$75:$I$77,0),MATCH(H35,'Logic Tree'!$J$74:$N$74,0))</f>
        <v>8.82</v>
      </c>
    </row>
    <row r="36" spans="2:14" ht="15" customHeight="1">
      <c r="B36" s="19">
        <v>1</v>
      </c>
      <c r="C36" s="11" t="s">
        <v>456</v>
      </c>
      <c r="D36" s="36" t="s">
        <v>314</v>
      </c>
      <c r="E36" s="36" t="s">
        <v>456</v>
      </c>
      <c r="F36" s="49" t="str">
        <f>'Pod Library'!E24</f>
        <v>MGCC Test Engineer</v>
      </c>
      <c r="G36" s="44" t="str">
        <f>'Pod Library'!F24</f>
        <v>TEST</v>
      </c>
      <c r="H36" s="44" t="str">
        <f>'Pod Library'!G24</f>
        <v>E2</v>
      </c>
      <c r="I36" s="44" t="str">
        <f>'Pod Library'!H24</f>
        <v>OFF</v>
      </c>
      <c r="J36" s="44" t="str">
        <f>'Pod Library'!I24</f>
        <v>MGCC</v>
      </c>
      <c r="K36" s="9">
        <f>'Pod Library'!J24</f>
        <v>0.96428571428571397</v>
      </c>
      <c r="L36" s="13">
        <f>'Pod Plan'!F6</f>
        <v>12</v>
      </c>
      <c r="M36" s="46">
        <f t="shared" si="0"/>
        <v>11.571428571428568</v>
      </c>
      <c r="N36" s="46">
        <f>M36*INDEX('Logic Tree'!$J$75:$N$77,MATCH(I36,'Logic Tree'!$I$75:$I$77,0),MATCH(H36,'Logic Tree'!$J$74:$N$74,0))</f>
        <v>3.4714285714285702</v>
      </c>
    </row>
    <row r="37" spans="2:14" ht="15" customHeight="1">
      <c r="B37" s="19">
        <v>1</v>
      </c>
      <c r="C37" s="11" t="s">
        <v>456</v>
      </c>
      <c r="D37" s="36" t="s">
        <v>314</v>
      </c>
      <c r="E37" s="36" t="s">
        <v>456</v>
      </c>
      <c r="F37" s="49" t="str">
        <f>'Pod Library'!E25</f>
        <v>Business Analyst (bilingual)</v>
      </c>
      <c r="G37" s="44" t="str">
        <f>'Pod Library'!F25</f>
        <v>BSA</v>
      </c>
      <c r="H37" s="44" t="str">
        <f>'Pod Library'!G25</f>
        <v>E3</v>
      </c>
      <c r="I37" s="44" t="str">
        <f>'Pod Library'!H25</f>
        <v>ON</v>
      </c>
      <c r="J37" s="44" t="str">
        <f>'Pod Library'!I25</f>
        <v>FTC</v>
      </c>
      <c r="K37" s="9">
        <f>'Pod Library'!J25</f>
        <v>1.41071428571429</v>
      </c>
      <c r="L37" s="13">
        <f>'Pod Plan'!F6</f>
        <v>12</v>
      </c>
      <c r="M37" s="46">
        <f t="shared" si="0"/>
        <v>16.92857142857148</v>
      </c>
      <c r="N37" s="46">
        <f>M37*INDEX('Logic Tree'!$J$75:$N$77,MATCH(I37,'Logic Tree'!$I$75:$I$77,0),MATCH(H37,'Logic Tree'!$J$74:$N$74,0))</f>
        <v>22.853571428571499</v>
      </c>
    </row>
    <row r="38" spans="2:14" ht="15" customHeight="1">
      <c r="B38" s="19">
        <v>1</v>
      </c>
      <c r="C38" s="11" t="s">
        <v>456</v>
      </c>
      <c r="D38" s="36" t="s">
        <v>314</v>
      </c>
      <c r="E38" s="36" t="s">
        <v>456</v>
      </c>
      <c r="F38" s="49" t="str">
        <f>'Pod Library'!E26</f>
        <v>Developer / technical lead</v>
      </c>
      <c r="G38" s="44" t="str">
        <f>'Pod Library'!F26</f>
        <v>DEV</v>
      </c>
      <c r="H38" s="44" t="str">
        <f>'Pod Library'!G26</f>
        <v>E3</v>
      </c>
      <c r="I38" s="44" t="str">
        <f>'Pod Library'!H26</f>
        <v>ON</v>
      </c>
      <c r="J38" s="44" t="str">
        <f>'Pod Library'!I26</f>
        <v>FTC</v>
      </c>
      <c r="K38" s="9">
        <f>'Pod Library'!J26</f>
        <v>1.71428571428571</v>
      </c>
      <c r="L38" s="13">
        <f>'Pod Plan'!F6</f>
        <v>12</v>
      </c>
      <c r="M38" s="46">
        <f t="shared" si="0"/>
        <v>20.57142857142852</v>
      </c>
      <c r="N38" s="46">
        <f>M38*INDEX('Logic Tree'!$J$75:$N$77,MATCH(I38,'Logic Tree'!$I$75:$I$77,0),MATCH(H38,'Logic Tree'!$J$74:$N$74,0))</f>
        <v>27.771428571428505</v>
      </c>
    </row>
    <row r="39" spans="2:14" ht="15" customHeight="1">
      <c r="B39" s="19">
        <v>1</v>
      </c>
      <c r="C39" s="11" t="s">
        <v>456</v>
      </c>
      <c r="D39" s="36" t="s">
        <v>314</v>
      </c>
      <c r="E39" s="36" t="s">
        <v>456</v>
      </c>
      <c r="F39" s="49" t="str">
        <f>'Pod Library'!E27</f>
        <v>Developer</v>
      </c>
      <c r="G39" s="44" t="str">
        <f>'Pod Library'!F27</f>
        <v>DEV</v>
      </c>
      <c r="H39" s="44" t="str">
        <f>'Pod Library'!G27</f>
        <v>E1</v>
      </c>
      <c r="I39" s="44" t="str">
        <f>'Pod Library'!H27</f>
        <v>OFF</v>
      </c>
      <c r="J39" s="44" t="str">
        <f>'Pod Library'!I27</f>
        <v>FTC</v>
      </c>
      <c r="K39" s="9">
        <f>'Pod Library'!J27</f>
        <v>0.19642857142857101</v>
      </c>
      <c r="L39" s="13">
        <f>'Pod Plan'!F6</f>
        <v>12</v>
      </c>
      <c r="M39" s="46">
        <f t="shared" si="0"/>
        <v>2.3571428571428523</v>
      </c>
      <c r="N39" s="46">
        <f>M39*INDEX('Logic Tree'!$J$75:$N$77,MATCH(I39,'Logic Tree'!$I$75:$I$77,0),MATCH(H39,'Logic Tree'!$J$74:$N$74,0))</f>
        <v>0.51857142857142746</v>
      </c>
    </row>
    <row r="40" spans="2:14" ht="15" customHeight="1">
      <c r="B40" s="19">
        <v>1</v>
      </c>
      <c r="C40" s="11" t="s">
        <v>456</v>
      </c>
      <c r="D40" s="36" t="s">
        <v>314</v>
      </c>
      <c r="E40" s="36" t="s">
        <v>456</v>
      </c>
      <c r="F40" s="49" t="str">
        <f>'Pod Library'!E28</f>
        <v>Developer</v>
      </c>
      <c r="G40" s="44" t="str">
        <f>'Pod Library'!F28</f>
        <v>DEV</v>
      </c>
      <c r="H40" s="44" t="str">
        <f>'Pod Library'!G28</f>
        <v>E2</v>
      </c>
      <c r="I40" s="44" t="str">
        <f>'Pod Library'!H28</f>
        <v>OFF</v>
      </c>
      <c r="J40" s="44" t="str">
        <f>'Pod Library'!I28</f>
        <v>FTC</v>
      </c>
      <c r="K40" s="9">
        <f>'Pod Library'!J28</f>
        <v>0.53571428571428603</v>
      </c>
      <c r="L40" s="13">
        <f>'Pod Plan'!F6</f>
        <v>12</v>
      </c>
      <c r="M40" s="46">
        <f t="shared" si="0"/>
        <v>6.4285714285714324</v>
      </c>
      <c r="N40" s="46">
        <f>M40*INDEX('Logic Tree'!$J$75:$N$77,MATCH(I40,'Logic Tree'!$I$75:$I$77,0),MATCH(H40,'Logic Tree'!$J$74:$N$74,0))</f>
        <v>1.9285714285714297</v>
      </c>
    </row>
    <row r="41" spans="2:14" ht="15" customHeight="1">
      <c r="B41" s="19">
        <v>1</v>
      </c>
      <c r="C41" s="11" t="s">
        <v>456</v>
      </c>
      <c r="D41" s="36" t="s">
        <v>314</v>
      </c>
      <c r="E41" s="36" t="s">
        <v>456</v>
      </c>
      <c r="F41" s="49" t="str">
        <f>'Pod Library'!E29</f>
        <v>Developer</v>
      </c>
      <c r="G41" s="44" t="str">
        <f>'Pod Library'!F29</f>
        <v>DEV</v>
      </c>
      <c r="H41" s="44" t="str">
        <f>'Pod Library'!G29</f>
        <v>E3</v>
      </c>
      <c r="I41" s="44" t="str">
        <f>'Pod Library'!H29</f>
        <v>OFF</v>
      </c>
      <c r="J41" s="44" t="str">
        <f>'Pod Library'!I29</f>
        <v>FTC</v>
      </c>
      <c r="K41" s="9">
        <f>'Pod Library'!J29</f>
        <v>0.51785714285714302</v>
      </c>
      <c r="L41" s="13">
        <f>'Pod Plan'!F6</f>
        <v>12</v>
      </c>
      <c r="M41" s="46">
        <f t="shared" si="0"/>
        <v>6.2142857142857162</v>
      </c>
      <c r="N41" s="46">
        <f>M41*INDEX('Logic Tree'!$J$75:$N$77,MATCH(I41,'Logic Tree'!$I$75:$I$77,0),MATCH(H41,'Logic Tree'!$J$74:$N$74,0))</f>
        <v>2.6100000000000008</v>
      </c>
    </row>
    <row r="42" spans="2:14" ht="15" customHeight="1">
      <c r="B42" s="19">
        <v>1</v>
      </c>
      <c r="C42" s="11" t="s">
        <v>456</v>
      </c>
      <c r="D42" s="36" t="s">
        <v>314</v>
      </c>
      <c r="E42" s="36" t="s">
        <v>456</v>
      </c>
      <c r="F42" s="49" t="str">
        <f>'Pod Library'!E30</f>
        <v>Test Lead / onshore tester</v>
      </c>
      <c r="G42" s="44" t="str">
        <f>'Pod Library'!F30</f>
        <v>TEST</v>
      </c>
      <c r="H42" s="44" t="str">
        <f>'Pod Library'!G30</f>
        <v>E3</v>
      </c>
      <c r="I42" s="44" t="str">
        <f>'Pod Library'!H30</f>
        <v>ON</v>
      </c>
      <c r="J42" s="44" t="str">
        <f>'Pod Library'!I30</f>
        <v>FTC</v>
      </c>
      <c r="K42" s="9">
        <f>'Pod Library'!J30</f>
        <v>1.8571428571428601</v>
      </c>
      <c r="L42" s="13">
        <f>'Pod Plan'!F6</f>
        <v>12</v>
      </c>
      <c r="M42" s="46">
        <f t="shared" si="0"/>
        <v>22.28571428571432</v>
      </c>
      <c r="N42" s="46">
        <f>M42*INDEX('Logic Tree'!$J$75:$N$77,MATCH(I42,'Logic Tree'!$I$75:$I$77,0),MATCH(H42,'Logic Tree'!$J$74:$N$74,0))</f>
        <v>30.085714285714335</v>
      </c>
    </row>
    <row r="43" spans="2:14" ht="15" customHeight="1">
      <c r="B43" s="19">
        <v>1</v>
      </c>
      <c r="C43" s="11" t="s">
        <v>456</v>
      </c>
      <c r="D43" s="36" t="s">
        <v>314</v>
      </c>
      <c r="E43" s="36" t="s">
        <v>456</v>
      </c>
      <c r="F43" s="49" t="str">
        <f>'Pod Library'!E31</f>
        <v>Test Engineer</v>
      </c>
      <c r="G43" s="44" t="str">
        <f>'Pod Library'!F31</f>
        <v>TEST</v>
      </c>
      <c r="H43" s="44" t="str">
        <f>'Pod Library'!G31</f>
        <v>E2</v>
      </c>
      <c r="I43" s="44" t="str">
        <f>'Pod Library'!H31</f>
        <v>OFF</v>
      </c>
      <c r="J43" s="44" t="str">
        <f>'Pod Library'!I31</f>
        <v>FTC</v>
      </c>
      <c r="K43" s="9">
        <f>'Pod Library'!J31</f>
        <v>0.30357142857142899</v>
      </c>
      <c r="L43" s="13">
        <f>'Pod Plan'!F6</f>
        <v>12</v>
      </c>
      <c r="M43" s="46">
        <f t="shared" si="0"/>
        <v>3.6428571428571477</v>
      </c>
      <c r="N43" s="46">
        <f>M43*INDEX('Logic Tree'!$J$75:$N$77,MATCH(I43,'Logic Tree'!$I$75:$I$77,0),MATCH(H43,'Logic Tree'!$J$74:$N$74,0))</f>
        <v>1.0928571428571443</v>
      </c>
    </row>
    <row r="44" spans="2:14" ht="15" customHeight="1">
      <c r="B44" s="19">
        <v>1</v>
      </c>
      <c r="C44" s="11" t="s">
        <v>456</v>
      </c>
      <c r="D44" s="36" t="s">
        <v>314</v>
      </c>
      <c r="E44" s="36" t="s">
        <v>456</v>
      </c>
      <c r="F44" s="49" t="str">
        <f>'Pod Library'!E32</f>
        <v>Test Engineer</v>
      </c>
      <c r="G44" s="44" t="str">
        <f>'Pod Library'!F32</f>
        <v>TEST</v>
      </c>
      <c r="H44" s="44" t="str">
        <f>'Pod Library'!G32</f>
        <v>E3</v>
      </c>
      <c r="I44" s="44" t="str">
        <f>'Pod Library'!H32</f>
        <v>OFF</v>
      </c>
      <c r="J44" s="44" t="str">
        <f>'Pod Library'!I32</f>
        <v>FTC</v>
      </c>
      <c r="K44" s="9">
        <f>'Pod Library'!J32</f>
        <v>0.32142857142857201</v>
      </c>
      <c r="L44" s="13">
        <f>'Pod Plan'!F6</f>
        <v>12</v>
      </c>
      <c r="M44" s="46">
        <f t="shared" si="0"/>
        <v>3.8571428571428639</v>
      </c>
      <c r="N44" s="46">
        <f>M44*INDEX('Logic Tree'!$J$75:$N$77,MATCH(I44,'Logic Tree'!$I$75:$I$77,0),MATCH(H44,'Logic Tree'!$J$74:$N$74,0))</f>
        <v>1.6200000000000028</v>
      </c>
    </row>
    <row r="45" spans="2:14" ht="15" customHeight="1">
      <c r="B45" s="19">
        <v>1</v>
      </c>
      <c r="C45" s="11" t="s">
        <v>456</v>
      </c>
      <c r="D45" s="36" t="s">
        <v>314</v>
      </c>
      <c r="E45" s="36" t="s">
        <v>456</v>
      </c>
      <c r="F45" s="49" t="str">
        <f>'Pod Library'!E33</f>
        <v>Application Support</v>
      </c>
      <c r="G45" s="44" t="str">
        <f>'Pod Library'!F33</f>
        <v>MNT</v>
      </c>
      <c r="H45" s="44" t="str">
        <f>'Pod Library'!G33</f>
        <v>E2</v>
      </c>
      <c r="I45" s="44" t="str">
        <f>'Pod Library'!H33</f>
        <v>OFF</v>
      </c>
      <c r="J45" s="44" t="str">
        <f>'Pod Library'!I33</f>
        <v>FTC</v>
      </c>
      <c r="K45" s="9">
        <f>'Pod Library'!J33</f>
        <v>0.125</v>
      </c>
      <c r="L45" s="13">
        <f>'Pod Plan'!F6</f>
        <v>12</v>
      </c>
      <c r="M45" s="46">
        <f t="shared" si="0"/>
        <v>1.5</v>
      </c>
      <c r="N45" s="46">
        <f>M45*INDEX('Logic Tree'!$J$75:$N$77,MATCH(I45,'Logic Tree'!$I$75:$I$77,0),MATCH(H45,'Logic Tree'!$J$74:$N$74,0))</f>
        <v>0.44999999999999996</v>
      </c>
    </row>
    <row r="46" spans="2:14" ht="15" customHeight="1">
      <c r="B46" s="19">
        <v>1</v>
      </c>
      <c r="C46" s="11" t="s">
        <v>444</v>
      </c>
      <c r="D46" s="36" t="s">
        <v>315</v>
      </c>
      <c r="E46" s="36" t="s">
        <v>444</v>
      </c>
      <c r="F46" s="49" t="str">
        <f>'Pod Library'!E5</f>
        <v>MetLife Product Owner</v>
      </c>
      <c r="G46" s="44" t="str">
        <f>'Pod Library'!F5</f>
        <v>PM</v>
      </c>
      <c r="H46" s="44" t="str">
        <f>'Pod Library'!G5</f>
        <v>E4</v>
      </c>
      <c r="I46" s="44" t="str">
        <f>'Pod Library'!H5</f>
        <v>ON</v>
      </c>
      <c r="J46" s="44" t="str">
        <f>'Pod Library'!I5</f>
        <v>FTE</v>
      </c>
      <c r="K46" s="9">
        <f>'Pod Library'!J5</f>
        <v>1</v>
      </c>
      <c r="L46" s="13">
        <f>'Pod Plan'!E7</f>
        <v>1</v>
      </c>
      <c r="M46" s="46">
        <f t="shared" si="0"/>
        <v>1</v>
      </c>
      <c r="N46" s="46">
        <f>M46*INDEX('Logic Tree'!$J$75:$N$77,MATCH(I46,'Logic Tree'!$I$75:$I$77,0),MATCH(H46,'Logic Tree'!$J$74:$N$74,0))</f>
        <v>1.85</v>
      </c>
    </row>
    <row r="47" spans="2:14" ht="15" customHeight="1">
      <c r="B47" s="19">
        <v>1</v>
      </c>
      <c r="C47" s="11" t="s">
        <v>444</v>
      </c>
      <c r="D47" s="36" t="s">
        <v>315</v>
      </c>
      <c r="E47" s="36" t="s">
        <v>444</v>
      </c>
      <c r="F47" s="49" t="str">
        <f>'Pod Library'!E6</f>
        <v>MGCC Engineer</v>
      </c>
      <c r="G47" s="44" t="str">
        <f>'Pod Library'!F6</f>
        <v>DEV</v>
      </c>
      <c r="H47" s="44" t="str">
        <f>'Pod Library'!G6</f>
        <v>E3</v>
      </c>
      <c r="I47" s="44" t="str">
        <f>'Pod Library'!H6</f>
        <v>OFF</v>
      </c>
      <c r="J47" s="44" t="str">
        <f>'Pod Library'!I6</f>
        <v>MGCC</v>
      </c>
      <c r="K47" s="9">
        <f>'Pod Library'!J6</f>
        <v>1.6428571428571399</v>
      </c>
      <c r="L47" s="13">
        <f>'Pod Plan'!E7</f>
        <v>1</v>
      </c>
      <c r="M47" s="46">
        <f t="shared" si="0"/>
        <v>1.6428571428571399</v>
      </c>
      <c r="N47" s="46">
        <f>M47*INDEX('Logic Tree'!$J$75:$N$77,MATCH(I47,'Logic Tree'!$I$75:$I$77,0),MATCH(H47,'Logic Tree'!$J$74:$N$74,0))</f>
        <v>0.68999999999999873</v>
      </c>
    </row>
    <row r="48" spans="2:14" ht="15" customHeight="1">
      <c r="B48" s="19">
        <v>1</v>
      </c>
      <c r="C48" s="11" t="s">
        <v>444</v>
      </c>
      <c r="D48" s="36" t="s">
        <v>315</v>
      </c>
      <c r="E48" s="36" t="s">
        <v>444</v>
      </c>
      <c r="F48" s="49" t="str">
        <f>'Pod Library'!E7</f>
        <v>Business Analyst (bilingual)</v>
      </c>
      <c r="G48" s="44" t="str">
        <f>'Pod Library'!F7</f>
        <v>BSA</v>
      </c>
      <c r="H48" s="44" t="str">
        <f>'Pod Library'!G7</f>
        <v>E3</v>
      </c>
      <c r="I48" s="44" t="str">
        <f>'Pod Library'!H7</f>
        <v>ON</v>
      </c>
      <c r="J48" s="44" t="str">
        <f>'Pod Library'!I7</f>
        <v>FTC</v>
      </c>
      <c r="K48" s="9">
        <f>'Pod Library'!J7</f>
        <v>1</v>
      </c>
      <c r="L48" s="13">
        <f>'Pod Plan'!E7</f>
        <v>1</v>
      </c>
      <c r="M48" s="46">
        <f t="shared" si="0"/>
        <v>1</v>
      </c>
      <c r="N48" s="46">
        <f>M48*INDEX('Logic Tree'!$J$75:$N$77,MATCH(I48,'Logic Tree'!$I$75:$I$77,0),MATCH(H48,'Logic Tree'!$J$74:$N$74,0))</f>
        <v>1.35</v>
      </c>
    </row>
    <row r="49" spans="2:14" ht="15" customHeight="1">
      <c r="B49" s="19">
        <v>1</v>
      </c>
      <c r="C49" s="11" t="s">
        <v>444</v>
      </c>
      <c r="D49" s="36" t="s">
        <v>315</v>
      </c>
      <c r="E49" s="36" t="s">
        <v>444</v>
      </c>
      <c r="F49" s="49" t="str">
        <f>'Pod Library'!E8</f>
        <v>Pod lead / senior engineer</v>
      </c>
      <c r="G49" s="44" t="str">
        <f>'Pod Library'!F8</f>
        <v>DEV</v>
      </c>
      <c r="H49" s="44" t="str">
        <f>'Pod Library'!G8</f>
        <v>E4</v>
      </c>
      <c r="I49" s="44" t="str">
        <f>'Pod Library'!H8</f>
        <v>ON</v>
      </c>
      <c r="J49" s="44" t="str">
        <f>'Pod Library'!I8</f>
        <v>FTC</v>
      </c>
      <c r="K49" s="9">
        <f>'Pod Library'!J8</f>
        <v>1.5</v>
      </c>
      <c r="L49" s="13">
        <f>'Pod Plan'!E7</f>
        <v>1</v>
      </c>
      <c r="M49" s="46">
        <f t="shared" si="0"/>
        <v>1.5</v>
      </c>
      <c r="N49" s="46">
        <f>M49*INDEX('Logic Tree'!$J$75:$N$77,MATCH(I49,'Logic Tree'!$I$75:$I$77,0),MATCH(H49,'Logic Tree'!$J$74:$N$74,0))</f>
        <v>2.7750000000000004</v>
      </c>
    </row>
    <row r="50" spans="2:14" ht="15" customHeight="1">
      <c r="B50" s="19">
        <v>1</v>
      </c>
      <c r="C50" s="11" t="s">
        <v>444</v>
      </c>
      <c r="D50" s="36" t="s">
        <v>315</v>
      </c>
      <c r="E50" s="36" t="s">
        <v>444</v>
      </c>
      <c r="F50" s="49" t="str">
        <f>'Pod Library'!E9</f>
        <v>Engineer</v>
      </c>
      <c r="G50" s="44" t="str">
        <f>'Pod Library'!F9</f>
        <v>DEV</v>
      </c>
      <c r="H50" s="44" t="str">
        <f>'Pod Library'!G9</f>
        <v>E3</v>
      </c>
      <c r="I50" s="44" t="str">
        <f>'Pod Library'!H9</f>
        <v>ON</v>
      </c>
      <c r="J50" s="44" t="str">
        <f>'Pod Library'!I9</f>
        <v>FTC</v>
      </c>
      <c r="K50" s="9">
        <f>'Pod Library'!J9</f>
        <v>0.42857142857142899</v>
      </c>
      <c r="L50" s="13">
        <f>'Pod Plan'!E7</f>
        <v>1</v>
      </c>
      <c r="M50" s="46">
        <f t="shared" si="0"/>
        <v>0.42857142857142899</v>
      </c>
      <c r="N50" s="46">
        <f>M50*INDEX('Logic Tree'!$J$75:$N$77,MATCH(I50,'Logic Tree'!$I$75:$I$77,0),MATCH(H50,'Logic Tree'!$J$74:$N$74,0))</f>
        <v>0.57857142857142918</v>
      </c>
    </row>
    <row r="51" spans="2:14" ht="15" customHeight="1">
      <c r="B51" s="19">
        <v>1</v>
      </c>
      <c r="C51" s="11" t="s">
        <v>444</v>
      </c>
      <c r="D51" s="36" t="s">
        <v>315</v>
      </c>
      <c r="E51" s="36" t="s">
        <v>444</v>
      </c>
      <c r="F51" s="49" t="str">
        <f>'Pod Library'!E10</f>
        <v>Engineer</v>
      </c>
      <c r="G51" s="44" t="str">
        <f>'Pod Library'!F10</f>
        <v>DEV</v>
      </c>
      <c r="H51" s="44" t="str">
        <f>'Pod Library'!G10</f>
        <v>E2</v>
      </c>
      <c r="I51" s="44" t="str">
        <f>'Pod Library'!H10</f>
        <v>OFF</v>
      </c>
      <c r="J51" s="44" t="str">
        <f>'Pod Library'!I10</f>
        <v>FTC</v>
      </c>
      <c r="K51" s="9">
        <f>'Pod Library'!J10</f>
        <v>0.78571428571428603</v>
      </c>
      <c r="L51" s="13">
        <f>'Pod Plan'!E7</f>
        <v>1</v>
      </c>
      <c r="M51" s="46">
        <f t="shared" si="0"/>
        <v>0.78571428571428603</v>
      </c>
      <c r="N51" s="46">
        <f>M51*INDEX('Logic Tree'!$J$75:$N$77,MATCH(I51,'Logic Tree'!$I$75:$I$77,0),MATCH(H51,'Logic Tree'!$J$74:$N$74,0))</f>
        <v>0.23571428571428579</v>
      </c>
    </row>
    <row r="52" spans="2:14" ht="15" customHeight="1">
      <c r="B52" s="19">
        <v>1</v>
      </c>
      <c r="C52" s="11" t="s">
        <v>444</v>
      </c>
      <c r="D52" s="36" t="s">
        <v>315</v>
      </c>
      <c r="E52" s="36" t="s">
        <v>444</v>
      </c>
      <c r="F52" s="49" t="str">
        <f>'Pod Library'!E11</f>
        <v>Engineer</v>
      </c>
      <c r="G52" s="44" t="str">
        <f>'Pod Library'!F11</f>
        <v>DEV</v>
      </c>
      <c r="H52" s="44" t="str">
        <f>'Pod Library'!G11</f>
        <v>E3</v>
      </c>
      <c r="I52" s="44" t="str">
        <f>'Pod Library'!H11</f>
        <v>OFF</v>
      </c>
      <c r="J52" s="44" t="str">
        <f>'Pod Library'!I11</f>
        <v>FTC</v>
      </c>
      <c r="K52" s="9">
        <f>'Pod Library'!J11</f>
        <v>0.57142857142857095</v>
      </c>
      <c r="L52" s="13">
        <f>'Pod Plan'!E7</f>
        <v>1</v>
      </c>
      <c r="M52" s="46">
        <f t="shared" si="0"/>
        <v>0.57142857142857095</v>
      </c>
      <c r="N52" s="46">
        <f>M52*INDEX('Logic Tree'!$J$75:$N$77,MATCH(I52,'Logic Tree'!$I$75:$I$77,0),MATCH(H52,'Logic Tree'!$J$74:$N$74,0))</f>
        <v>0.2399999999999998</v>
      </c>
    </row>
    <row r="53" spans="2:14" ht="15" customHeight="1">
      <c r="B53" s="19">
        <v>1</v>
      </c>
      <c r="C53" s="11" t="s">
        <v>444</v>
      </c>
      <c r="D53" s="36" t="s">
        <v>315</v>
      </c>
      <c r="E53" s="36" t="s">
        <v>444</v>
      </c>
      <c r="F53" s="49" t="str">
        <f>'Pod Library'!E12</f>
        <v>Engineer</v>
      </c>
      <c r="G53" s="44" t="str">
        <f>'Pod Library'!F12</f>
        <v>DEV</v>
      </c>
      <c r="H53" s="44" t="str">
        <f>'Pod Library'!G12</f>
        <v>E4</v>
      </c>
      <c r="I53" s="44" t="str">
        <f>'Pod Library'!H12</f>
        <v>OFF</v>
      </c>
      <c r="J53" s="44" t="str">
        <f>'Pod Library'!I12</f>
        <v>FTC</v>
      </c>
      <c r="K53" s="9">
        <f>'Pod Library'!J12</f>
        <v>0.214285714285714</v>
      </c>
      <c r="L53" s="13">
        <f>'Pod Plan'!E7</f>
        <v>1</v>
      </c>
      <c r="M53" s="46">
        <f t="shared" si="0"/>
        <v>0.214285714285714</v>
      </c>
      <c r="N53" s="46">
        <f>M53*INDEX('Logic Tree'!$J$75:$N$77,MATCH(I53,'Logic Tree'!$I$75:$I$77,0),MATCH(H53,'Logic Tree'!$J$74:$N$74,0))</f>
        <v>0.12857142857142839</v>
      </c>
    </row>
    <row r="54" spans="2:14" ht="15" customHeight="1">
      <c r="B54" s="19">
        <v>1</v>
      </c>
      <c r="C54" s="11" t="s">
        <v>444</v>
      </c>
      <c r="D54" s="36" t="s">
        <v>315</v>
      </c>
      <c r="E54" s="36" t="s">
        <v>444</v>
      </c>
      <c r="F54" s="49" t="str">
        <f>'Pod Library'!E13</f>
        <v>Quality Engineer (SDET)</v>
      </c>
      <c r="G54" s="44" t="str">
        <f>'Pod Library'!F13</f>
        <v>TEST</v>
      </c>
      <c r="H54" s="44" t="str">
        <f>'Pod Library'!G13</f>
        <v>E2</v>
      </c>
      <c r="I54" s="44" t="str">
        <f>'Pod Library'!H13</f>
        <v>OFF</v>
      </c>
      <c r="J54" s="44" t="str">
        <f>'Pod Library'!I13</f>
        <v>FTC</v>
      </c>
      <c r="K54" s="9">
        <f>'Pod Library'!J13</f>
        <v>1.0714285714285701</v>
      </c>
      <c r="L54" s="13">
        <f>'Pod Plan'!E7</f>
        <v>1</v>
      </c>
      <c r="M54" s="46">
        <f t="shared" si="0"/>
        <v>1.0714285714285701</v>
      </c>
      <c r="N54" s="46">
        <f>M54*INDEX('Logic Tree'!$J$75:$N$77,MATCH(I54,'Logic Tree'!$I$75:$I$77,0),MATCH(H54,'Logic Tree'!$J$74:$N$74,0))</f>
        <v>0.32142857142857101</v>
      </c>
    </row>
    <row r="55" spans="2:14" ht="15" customHeight="1">
      <c r="B55" s="19">
        <v>1</v>
      </c>
      <c r="C55" s="11" t="s">
        <v>444</v>
      </c>
      <c r="D55" s="36" t="s">
        <v>315</v>
      </c>
      <c r="E55" s="36" t="s">
        <v>444</v>
      </c>
      <c r="F55" s="49" t="str">
        <f>'Pod Library'!E14</f>
        <v>Quality Engineer (SDET)</v>
      </c>
      <c r="G55" s="44" t="str">
        <f>'Pod Library'!F14</f>
        <v>TEST</v>
      </c>
      <c r="H55" s="44" t="str">
        <f>'Pod Library'!G14</f>
        <v>E3</v>
      </c>
      <c r="I55" s="44" t="str">
        <f>'Pod Library'!H14</f>
        <v>OFF</v>
      </c>
      <c r="J55" s="44" t="str">
        <f>'Pod Library'!I14</f>
        <v>FTC</v>
      </c>
      <c r="K55" s="9">
        <f>'Pod Library'!J14</f>
        <v>1.0714285714285701</v>
      </c>
      <c r="L55" s="13">
        <f>'Pod Plan'!E7</f>
        <v>1</v>
      </c>
      <c r="M55" s="46">
        <f t="shared" si="0"/>
        <v>1.0714285714285701</v>
      </c>
      <c r="N55" s="46">
        <f>M55*INDEX('Logic Tree'!$J$75:$N$77,MATCH(I55,'Logic Tree'!$I$75:$I$77,0),MATCH(H55,'Logic Tree'!$J$74:$N$74,0))</f>
        <v>0.4499999999999994</v>
      </c>
    </row>
    <row r="56" spans="2:14" ht="15" customHeight="1">
      <c r="B56" s="19">
        <v>1</v>
      </c>
      <c r="C56" s="11" t="s">
        <v>444</v>
      </c>
      <c r="D56" s="36" t="s">
        <v>315</v>
      </c>
      <c r="E56" s="36" t="s">
        <v>444</v>
      </c>
      <c r="F56" s="49" t="str">
        <f>'Pod Library'!E15</f>
        <v>Quality Engineer (SDET)</v>
      </c>
      <c r="G56" s="44" t="str">
        <f>'Pod Library'!F15</f>
        <v>TEST</v>
      </c>
      <c r="H56" s="44" t="str">
        <f>'Pod Library'!G15</f>
        <v>E4</v>
      </c>
      <c r="I56" s="44" t="str">
        <f>'Pod Library'!H15</f>
        <v>OFF</v>
      </c>
      <c r="J56" s="44" t="str">
        <f>'Pod Library'!I15</f>
        <v>FTC</v>
      </c>
      <c r="K56" s="9">
        <f>'Pod Library'!J15</f>
        <v>0.28571428571428598</v>
      </c>
      <c r="L56" s="13">
        <f>'Pod Plan'!E7</f>
        <v>1</v>
      </c>
      <c r="M56" s="46">
        <f t="shared" si="0"/>
        <v>0.28571428571428598</v>
      </c>
      <c r="N56" s="46">
        <f>M56*INDEX('Logic Tree'!$J$75:$N$77,MATCH(I56,'Logic Tree'!$I$75:$I$77,0),MATCH(H56,'Logic Tree'!$J$74:$N$74,0))</f>
        <v>0.17142857142857157</v>
      </c>
    </row>
    <row r="57" spans="2:14" ht="15" customHeight="1">
      <c r="B57" s="19">
        <v>1</v>
      </c>
      <c r="C57" s="11" t="s">
        <v>444</v>
      </c>
      <c r="D57" s="36" t="s">
        <v>315</v>
      </c>
      <c r="E57" s="36" t="s">
        <v>444</v>
      </c>
      <c r="F57" s="49" t="str">
        <f>'Pod Library'!E16</f>
        <v>Application Support</v>
      </c>
      <c r="G57" s="44" t="str">
        <f>'Pod Library'!F16</f>
        <v>MNT</v>
      </c>
      <c r="H57" s="44" t="str">
        <f>'Pod Library'!G16</f>
        <v>E1</v>
      </c>
      <c r="I57" s="44" t="str">
        <f>'Pod Library'!H16</f>
        <v>OFF</v>
      </c>
      <c r="J57" s="44" t="str">
        <f>'Pod Library'!I16</f>
        <v>FTC</v>
      </c>
      <c r="K57" s="9">
        <f>'Pod Library'!J16</f>
        <v>0.14285714285714299</v>
      </c>
      <c r="L57" s="13">
        <f>'Pod Plan'!E7</f>
        <v>1</v>
      </c>
      <c r="M57" s="46">
        <f t="shared" si="0"/>
        <v>0.14285714285714299</v>
      </c>
      <c r="N57" s="46">
        <f>M57*INDEX('Logic Tree'!$J$75:$N$77,MATCH(I57,'Logic Tree'!$I$75:$I$77,0),MATCH(H57,'Logic Tree'!$J$74:$N$74,0))</f>
        <v>3.1428571428571458E-2</v>
      </c>
    </row>
    <row r="58" spans="2:14" ht="15" customHeight="1">
      <c r="B58" s="19">
        <v>1</v>
      </c>
      <c r="C58" s="11" t="s">
        <v>444</v>
      </c>
      <c r="D58" s="36" t="s">
        <v>315</v>
      </c>
      <c r="E58" s="36" t="s">
        <v>444</v>
      </c>
      <c r="F58" s="49" t="str">
        <f>'Pod Library'!E17</f>
        <v>Application Support</v>
      </c>
      <c r="G58" s="44" t="str">
        <f>'Pod Library'!F17</f>
        <v>MNT</v>
      </c>
      <c r="H58" s="44" t="str">
        <f>'Pod Library'!G17</f>
        <v>E2</v>
      </c>
      <c r="I58" s="44" t="str">
        <f>'Pod Library'!H17</f>
        <v>OFF</v>
      </c>
      <c r="J58" s="44" t="str">
        <f>'Pod Library'!I17</f>
        <v>FTC</v>
      </c>
      <c r="K58" s="9">
        <f>'Pod Library'!J17</f>
        <v>0.214285714285714</v>
      </c>
      <c r="L58" s="13">
        <f>'Pod Plan'!E7</f>
        <v>1</v>
      </c>
      <c r="M58" s="46">
        <f t="shared" si="0"/>
        <v>0.214285714285714</v>
      </c>
      <c r="N58" s="46">
        <f>M58*INDEX('Logic Tree'!$J$75:$N$77,MATCH(I58,'Logic Tree'!$I$75:$I$77,0),MATCH(H58,'Logic Tree'!$J$74:$N$74,0))</f>
        <v>6.4285714285714196E-2</v>
      </c>
    </row>
    <row r="59" spans="2:14" ht="15" customHeight="1">
      <c r="B59" s="19">
        <v>1</v>
      </c>
      <c r="C59" s="11" t="s">
        <v>456</v>
      </c>
      <c r="D59" s="36" t="s">
        <v>315</v>
      </c>
      <c r="E59" s="36" t="s">
        <v>456</v>
      </c>
      <c r="F59" s="49" t="str">
        <f>'Pod Library'!E20</f>
        <v>MetLife Product Owner</v>
      </c>
      <c r="G59" s="44" t="str">
        <f>'Pod Library'!F20</f>
        <v>PM</v>
      </c>
      <c r="H59" s="44" t="str">
        <f>'Pod Library'!G20</f>
        <v>E4</v>
      </c>
      <c r="I59" s="44" t="str">
        <f>'Pod Library'!H20</f>
        <v>ON</v>
      </c>
      <c r="J59" s="44" t="str">
        <f>'Pod Library'!I20</f>
        <v>FTE</v>
      </c>
      <c r="K59" s="9">
        <f>'Pod Library'!J20</f>
        <v>0.73214285714285698</v>
      </c>
      <c r="L59" s="13">
        <f>'Pod Plan'!F7</f>
        <v>2</v>
      </c>
      <c r="M59" s="46">
        <f t="shared" si="0"/>
        <v>1.464285714285714</v>
      </c>
      <c r="N59" s="46">
        <f>M59*INDEX('Logic Tree'!$J$75:$N$77,MATCH(I59,'Logic Tree'!$I$75:$I$77,0),MATCH(H59,'Logic Tree'!$J$74:$N$74,0))</f>
        <v>2.7089285714285709</v>
      </c>
    </row>
    <row r="60" spans="2:14" ht="15" customHeight="1">
      <c r="B60" s="19">
        <v>1</v>
      </c>
      <c r="C60" s="11" t="s">
        <v>456</v>
      </c>
      <c r="D60" s="36" t="s">
        <v>315</v>
      </c>
      <c r="E60" s="36" t="s">
        <v>456</v>
      </c>
      <c r="F60" s="49" t="str">
        <f>'Pod Library'!E21</f>
        <v>MetLife Domain SME</v>
      </c>
      <c r="G60" s="44" t="str">
        <f>'Pod Library'!F21</f>
        <v>BSA</v>
      </c>
      <c r="H60" s="44" t="str">
        <f>'Pod Library'!G21</f>
        <v>E4</v>
      </c>
      <c r="I60" s="44" t="str">
        <f>'Pod Library'!H21</f>
        <v>ON</v>
      </c>
      <c r="J60" s="44" t="str">
        <f>'Pod Library'!I21</f>
        <v>FTE</v>
      </c>
      <c r="K60" s="9">
        <f>'Pod Library'!J21</f>
        <v>0.98214285714285698</v>
      </c>
      <c r="L60" s="13">
        <f>'Pod Plan'!F7</f>
        <v>2</v>
      </c>
      <c r="M60" s="46">
        <f t="shared" si="0"/>
        <v>1.964285714285714</v>
      </c>
      <c r="N60" s="46">
        <f>M60*INDEX('Logic Tree'!$J$75:$N$77,MATCH(I60,'Logic Tree'!$I$75:$I$77,0),MATCH(H60,'Logic Tree'!$J$74:$N$74,0))</f>
        <v>3.6339285714285712</v>
      </c>
    </row>
    <row r="61" spans="2:14" ht="15" customHeight="1">
      <c r="B61" s="19">
        <v>1</v>
      </c>
      <c r="C61" s="11" t="s">
        <v>456</v>
      </c>
      <c r="D61" s="36" t="s">
        <v>315</v>
      </c>
      <c r="E61" s="36" t="s">
        <v>456</v>
      </c>
      <c r="F61" s="49" t="str">
        <f>'Pod Library'!E22</f>
        <v>MetLife Operations Analyst</v>
      </c>
      <c r="G61" s="44" t="str">
        <f>'Pod Library'!F22</f>
        <v>MNT</v>
      </c>
      <c r="H61" s="44" t="str">
        <f>'Pod Library'!G22</f>
        <v>E3</v>
      </c>
      <c r="I61" s="44" t="str">
        <f>'Pod Library'!H22</f>
        <v>ON</v>
      </c>
      <c r="J61" s="44" t="str">
        <f>'Pod Library'!I22</f>
        <v>FTE</v>
      </c>
      <c r="K61" s="9">
        <f>'Pod Library'!J22</f>
        <v>0.46428571428571402</v>
      </c>
      <c r="L61" s="13">
        <f>'Pod Plan'!F7</f>
        <v>2</v>
      </c>
      <c r="M61" s="46">
        <f t="shared" si="0"/>
        <v>0.92857142857142805</v>
      </c>
      <c r="N61" s="46">
        <f>M61*INDEX('Logic Tree'!$J$75:$N$77,MATCH(I61,'Logic Tree'!$I$75:$I$77,0),MATCH(H61,'Logic Tree'!$J$74:$N$74,0))</f>
        <v>1.2535714285714279</v>
      </c>
    </row>
    <row r="62" spans="2:14" ht="15" customHeight="1">
      <c r="B62" s="19">
        <v>1</v>
      </c>
      <c r="C62" s="11" t="s">
        <v>456</v>
      </c>
      <c r="D62" s="36" t="s">
        <v>315</v>
      </c>
      <c r="E62" s="36" t="s">
        <v>456</v>
      </c>
      <c r="F62" s="49" t="str">
        <f>'Pod Library'!E23</f>
        <v>MGCC Developer</v>
      </c>
      <c r="G62" s="44" t="str">
        <f>'Pod Library'!F23</f>
        <v>DEV</v>
      </c>
      <c r="H62" s="44" t="str">
        <f>'Pod Library'!G23</f>
        <v>E3</v>
      </c>
      <c r="I62" s="44" t="str">
        <f>'Pod Library'!H23</f>
        <v>OFF</v>
      </c>
      <c r="J62" s="44" t="str">
        <f>'Pod Library'!I23</f>
        <v>MGCC</v>
      </c>
      <c r="K62" s="9">
        <f>'Pod Library'!J23</f>
        <v>1.75</v>
      </c>
      <c r="L62" s="13">
        <f>'Pod Plan'!F7</f>
        <v>2</v>
      </c>
      <c r="M62" s="46">
        <f t="shared" si="0"/>
        <v>3.5</v>
      </c>
      <c r="N62" s="46">
        <f>M62*INDEX('Logic Tree'!$J$75:$N$77,MATCH(I62,'Logic Tree'!$I$75:$I$77,0),MATCH(H62,'Logic Tree'!$J$74:$N$74,0))</f>
        <v>1.47</v>
      </c>
    </row>
    <row r="63" spans="2:14" ht="15" customHeight="1">
      <c r="B63" s="19">
        <v>1</v>
      </c>
      <c r="C63" s="11" t="s">
        <v>456</v>
      </c>
      <c r="D63" s="36" t="s">
        <v>315</v>
      </c>
      <c r="E63" s="36" t="s">
        <v>456</v>
      </c>
      <c r="F63" s="49" t="str">
        <f>'Pod Library'!E24</f>
        <v>MGCC Test Engineer</v>
      </c>
      <c r="G63" s="44" t="str">
        <f>'Pod Library'!F24</f>
        <v>TEST</v>
      </c>
      <c r="H63" s="44" t="str">
        <f>'Pod Library'!G24</f>
        <v>E2</v>
      </c>
      <c r="I63" s="44" t="str">
        <f>'Pod Library'!H24</f>
        <v>OFF</v>
      </c>
      <c r="J63" s="44" t="str">
        <f>'Pod Library'!I24</f>
        <v>MGCC</v>
      </c>
      <c r="K63" s="9">
        <f>'Pod Library'!J24</f>
        <v>0.96428571428571397</v>
      </c>
      <c r="L63" s="13">
        <f>'Pod Plan'!F7</f>
        <v>2</v>
      </c>
      <c r="M63" s="46">
        <f t="shared" si="0"/>
        <v>1.9285714285714279</v>
      </c>
      <c r="N63" s="46">
        <f>M63*INDEX('Logic Tree'!$J$75:$N$77,MATCH(I63,'Logic Tree'!$I$75:$I$77,0),MATCH(H63,'Logic Tree'!$J$74:$N$74,0))</f>
        <v>0.5785714285714284</v>
      </c>
    </row>
    <row r="64" spans="2:14" ht="15" customHeight="1">
      <c r="B64" s="19">
        <v>1</v>
      </c>
      <c r="C64" s="11" t="s">
        <v>456</v>
      </c>
      <c r="D64" s="36" t="s">
        <v>315</v>
      </c>
      <c r="E64" s="36" t="s">
        <v>456</v>
      </c>
      <c r="F64" s="49" t="str">
        <f>'Pod Library'!E25</f>
        <v>Business Analyst (bilingual)</v>
      </c>
      <c r="G64" s="44" t="str">
        <f>'Pod Library'!F25</f>
        <v>BSA</v>
      </c>
      <c r="H64" s="44" t="str">
        <f>'Pod Library'!G25</f>
        <v>E3</v>
      </c>
      <c r="I64" s="44" t="str">
        <f>'Pod Library'!H25</f>
        <v>ON</v>
      </c>
      <c r="J64" s="44" t="str">
        <f>'Pod Library'!I25</f>
        <v>FTC</v>
      </c>
      <c r="K64" s="9">
        <f>'Pod Library'!J25</f>
        <v>1.41071428571429</v>
      </c>
      <c r="L64" s="13">
        <f>'Pod Plan'!F7</f>
        <v>2</v>
      </c>
      <c r="M64" s="46">
        <f t="shared" si="0"/>
        <v>2.8214285714285801</v>
      </c>
      <c r="N64" s="46">
        <f>M64*INDEX('Logic Tree'!$J$75:$N$77,MATCH(I64,'Logic Tree'!$I$75:$I$77,0),MATCH(H64,'Logic Tree'!$J$74:$N$74,0))</f>
        <v>3.8089285714285834</v>
      </c>
    </row>
    <row r="65" spans="2:14" ht="15" customHeight="1">
      <c r="B65" s="19">
        <v>1</v>
      </c>
      <c r="C65" s="11" t="s">
        <v>456</v>
      </c>
      <c r="D65" s="36" t="s">
        <v>315</v>
      </c>
      <c r="E65" s="36" t="s">
        <v>456</v>
      </c>
      <c r="F65" s="49" t="str">
        <f>'Pod Library'!E26</f>
        <v>Developer / technical lead</v>
      </c>
      <c r="G65" s="44" t="str">
        <f>'Pod Library'!F26</f>
        <v>DEV</v>
      </c>
      <c r="H65" s="44" t="str">
        <f>'Pod Library'!G26</f>
        <v>E3</v>
      </c>
      <c r="I65" s="44" t="str">
        <f>'Pod Library'!H26</f>
        <v>ON</v>
      </c>
      <c r="J65" s="44" t="str">
        <f>'Pod Library'!I26</f>
        <v>FTC</v>
      </c>
      <c r="K65" s="9">
        <f>'Pod Library'!J26</f>
        <v>1.71428571428571</v>
      </c>
      <c r="L65" s="13">
        <f>'Pod Plan'!F7</f>
        <v>2</v>
      </c>
      <c r="M65" s="46">
        <f t="shared" si="0"/>
        <v>3.4285714285714199</v>
      </c>
      <c r="N65" s="46">
        <f>M65*INDEX('Logic Tree'!$J$75:$N$77,MATCH(I65,'Logic Tree'!$I$75:$I$77,0),MATCH(H65,'Logic Tree'!$J$74:$N$74,0))</f>
        <v>4.6285714285714175</v>
      </c>
    </row>
    <row r="66" spans="2:14" ht="15" customHeight="1">
      <c r="B66" s="19">
        <v>1</v>
      </c>
      <c r="C66" s="11" t="s">
        <v>456</v>
      </c>
      <c r="D66" s="36" t="s">
        <v>315</v>
      </c>
      <c r="E66" s="36" t="s">
        <v>456</v>
      </c>
      <c r="F66" s="49" t="str">
        <f>'Pod Library'!E27</f>
        <v>Developer</v>
      </c>
      <c r="G66" s="44" t="str">
        <f>'Pod Library'!F27</f>
        <v>DEV</v>
      </c>
      <c r="H66" s="44" t="str">
        <f>'Pod Library'!G27</f>
        <v>E1</v>
      </c>
      <c r="I66" s="44" t="str">
        <f>'Pod Library'!H27</f>
        <v>OFF</v>
      </c>
      <c r="J66" s="44" t="str">
        <f>'Pod Library'!I27</f>
        <v>FTC</v>
      </c>
      <c r="K66" s="9">
        <f>'Pod Library'!J27</f>
        <v>0.19642857142857101</v>
      </c>
      <c r="L66" s="13">
        <f>'Pod Plan'!F7</f>
        <v>2</v>
      </c>
      <c r="M66" s="46">
        <f t="shared" si="0"/>
        <v>0.39285714285714202</v>
      </c>
      <c r="N66" s="46">
        <f>M66*INDEX('Logic Tree'!$J$75:$N$77,MATCH(I66,'Logic Tree'!$I$75:$I$77,0),MATCH(H66,'Logic Tree'!$J$74:$N$74,0))</f>
        <v>8.6428571428571244E-2</v>
      </c>
    </row>
    <row r="67" spans="2:14" ht="15" customHeight="1">
      <c r="B67" s="19">
        <v>1</v>
      </c>
      <c r="C67" s="11" t="s">
        <v>456</v>
      </c>
      <c r="D67" s="36" t="s">
        <v>315</v>
      </c>
      <c r="E67" s="36" t="s">
        <v>456</v>
      </c>
      <c r="F67" s="49" t="str">
        <f>'Pod Library'!E28</f>
        <v>Developer</v>
      </c>
      <c r="G67" s="44" t="str">
        <f>'Pod Library'!F28</f>
        <v>DEV</v>
      </c>
      <c r="H67" s="44" t="str">
        <f>'Pod Library'!G28</f>
        <v>E2</v>
      </c>
      <c r="I67" s="44" t="str">
        <f>'Pod Library'!H28</f>
        <v>OFF</v>
      </c>
      <c r="J67" s="44" t="str">
        <f>'Pod Library'!I28</f>
        <v>FTC</v>
      </c>
      <c r="K67" s="9">
        <f>'Pod Library'!J28</f>
        <v>0.53571428571428603</v>
      </c>
      <c r="L67" s="13">
        <f>'Pod Plan'!F7</f>
        <v>2</v>
      </c>
      <c r="M67" s="46">
        <f t="shared" si="0"/>
        <v>1.0714285714285721</v>
      </c>
      <c r="N67" s="46">
        <f>M67*INDEX('Logic Tree'!$J$75:$N$77,MATCH(I67,'Logic Tree'!$I$75:$I$77,0),MATCH(H67,'Logic Tree'!$J$74:$N$74,0))</f>
        <v>0.32142857142857162</v>
      </c>
    </row>
    <row r="68" spans="2:14" ht="15" customHeight="1">
      <c r="B68" s="19">
        <v>1</v>
      </c>
      <c r="C68" s="11" t="s">
        <v>456</v>
      </c>
      <c r="D68" s="36" t="s">
        <v>315</v>
      </c>
      <c r="E68" s="36" t="s">
        <v>456</v>
      </c>
      <c r="F68" s="49" t="str">
        <f>'Pod Library'!E29</f>
        <v>Developer</v>
      </c>
      <c r="G68" s="44" t="str">
        <f>'Pod Library'!F29</f>
        <v>DEV</v>
      </c>
      <c r="H68" s="44" t="str">
        <f>'Pod Library'!G29</f>
        <v>E3</v>
      </c>
      <c r="I68" s="44" t="str">
        <f>'Pod Library'!H29</f>
        <v>OFF</v>
      </c>
      <c r="J68" s="44" t="str">
        <f>'Pod Library'!I29</f>
        <v>FTC</v>
      </c>
      <c r="K68" s="9">
        <f>'Pod Library'!J29</f>
        <v>0.51785714285714302</v>
      </c>
      <c r="L68" s="13">
        <f>'Pod Plan'!F7</f>
        <v>2</v>
      </c>
      <c r="M68" s="46">
        <f t="shared" si="0"/>
        <v>1.035714285714286</v>
      </c>
      <c r="N68" s="46">
        <f>M68*INDEX('Logic Tree'!$J$75:$N$77,MATCH(I68,'Logic Tree'!$I$75:$I$77,0),MATCH(H68,'Logic Tree'!$J$74:$N$74,0))</f>
        <v>0.43500000000000011</v>
      </c>
    </row>
    <row r="69" spans="2:14" ht="15" customHeight="1">
      <c r="B69" s="19">
        <v>1</v>
      </c>
      <c r="C69" s="11" t="s">
        <v>456</v>
      </c>
      <c r="D69" s="36" t="s">
        <v>315</v>
      </c>
      <c r="E69" s="36" t="s">
        <v>456</v>
      </c>
      <c r="F69" s="49" t="str">
        <f>'Pod Library'!E30</f>
        <v>Test Lead / onshore tester</v>
      </c>
      <c r="G69" s="44" t="str">
        <f>'Pod Library'!F30</f>
        <v>TEST</v>
      </c>
      <c r="H69" s="44" t="str">
        <f>'Pod Library'!G30</f>
        <v>E3</v>
      </c>
      <c r="I69" s="44" t="str">
        <f>'Pod Library'!H30</f>
        <v>ON</v>
      </c>
      <c r="J69" s="44" t="str">
        <f>'Pod Library'!I30</f>
        <v>FTC</v>
      </c>
      <c r="K69" s="9">
        <f>'Pod Library'!J30</f>
        <v>1.8571428571428601</v>
      </c>
      <c r="L69" s="13">
        <f>'Pod Plan'!F7</f>
        <v>2</v>
      </c>
      <c r="M69" s="46">
        <f t="shared" ref="M69:M132" si="1">K69*L69</f>
        <v>3.7142857142857202</v>
      </c>
      <c r="N69" s="46">
        <f>M69*INDEX('Logic Tree'!$J$75:$N$77,MATCH(I69,'Logic Tree'!$I$75:$I$77,0),MATCH(H69,'Logic Tree'!$J$74:$N$74,0))</f>
        <v>5.0142857142857222</v>
      </c>
    </row>
    <row r="70" spans="2:14" ht="15" customHeight="1">
      <c r="B70" s="19">
        <v>1</v>
      </c>
      <c r="C70" s="11" t="s">
        <v>456</v>
      </c>
      <c r="D70" s="36" t="s">
        <v>315</v>
      </c>
      <c r="E70" s="36" t="s">
        <v>456</v>
      </c>
      <c r="F70" s="49" t="str">
        <f>'Pod Library'!E31</f>
        <v>Test Engineer</v>
      </c>
      <c r="G70" s="44" t="str">
        <f>'Pod Library'!F31</f>
        <v>TEST</v>
      </c>
      <c r="H70" s="44" t="str">
        <f>'Pod Library'!G31</f>
        <v>E2</v>
      </c>
      <c r="I70" s="44" t="str">
        <f>'Pod Library'!H31</f>
        <v>OFF</v>
      </c>
      <c r="J70" s="44" t="str">
        <f>'Pod Library'!I31</f>
        <v>FTC</v>
      </c>
      <c r="K70" s="9">
        <f>'Pod Library'!J31</f>
        <v>0.30357142857142899</v>
      </c>
      <c r="L70" s="13">
        <f>'Pod Plan'!F7</f>
        <v>2</v>
      </c>
      <c r="M70" s="46">
        <f t="shared" si="1"/>
        <v>0.60714285714285798</v>
      </c>
      <c r="N70" s="46">
        <f>M70*INDEX('Logic Tree'!$J$75:$N$77,MATCH(I70,'Logic Tree'!$I$75:$I$77,0),MATCH(H70,'Logic Tree'!$J$74:$N$74,0))</f>
        <v>0.18214285714285738</v>
      </c>
    </row>
    <row r="71" spans="2:14" ht="15" customHeight="1">
      <c r="B71" s="19">
        <v>1</v>
      </c>
      <c r="C71" s="11" t="s">
        <v>456</v>
      </c>
      <c r="D71" s="36" t="s">
        <v>315</v>
      </c>
      <c r="E71" s="36" t="s">
        <v>456</v>
      </c>
      <c r="F71" s="49" t="str">
        <f>'Pod Library'!E32</f>
        <v>Test Engineer</v>
      </c>
      <c r="G71" s="44" t="str">
        <f>'Pod Library'!F32</f>
        <v>TEST</v>
      </c>
      <c r="H71" s="44" t="str">
        <f>'Pod Library'!G32</f>
        <v>E3</v>
      </c>
      <c r="I71" s="44" t="str">
        <f>'Pod Library'!H32</f>
        <v>OFF</v>
      </c>
      <c r="J71" s="44" t="str">
        <f>'Pod Library'!I32</f>
        <v>FTC</v>
      </c>
      <c r="K71" s="9">
        <f>'Pod Library'!J32</f>
        <v>0.32142857142857201</v>
      </c>
      <c r="L71" s="13">
        <f>'Pod Plan'!F7</f>
        <v>2</v>
      </c>
      <c r="M71" s="46">
        <f t="shared" si="1"/>
        <v>0.64285714285714401</v>
      </c>
      <c r="N71" s="46">
        <f>M71*INDEX('Logic Tree'!$J$75:$N$77,MATCH(I71,'Logic Tree'!$I$75:$I$77,0),MATCH(H71,'Logic Tree'!$J$74:$N$74,0))</f>
        <v>0.27000000000000046</v>
      </c>
    </row>
    <row r="72" spans="2:14" ht="15" customHeight="1">
      <c r="B72" s="19">
        <v>1</v>
      </c>
      <c r="C72" s="11" t="s">
        <v>456</v>
      </c>
      <c r="D72" s="36" t="s">
        <v>315</v>
      </c>
      <c r="E72" s="36" t="s">
        <v>456</v>
      </c>
      <c r="F72" s="49" t="str">
        <f>'Pod Library'!E33</f>
        <v>Application Support</v>
      </c>
      <c r="G72" s="44" t="str">
        <f>'Pod Library'!F33</f>
        <v>MNT</v>
      </c>
      <c r="H72" s="44" t="str">
        <f>'Pod Library'!G33</f>
        <v>E2</v>
      </c>
      <c r="I72" s="44" t="str">
        <f>'Pod Library'!H33</f>
        <v>OFF</v>
      </c>
      <c r="J72" s="44" t="str">
        <f>'Pod Library'!I33</f>
        <v>FTC</v>
      </c>
      <c r="K72" s="9">
        <f>'Pod Library'!J33</f>
        <v>0.125</v>
      </c>
      <c r="L72" s="13">
        <f>'Pod Plan'!F7</f>
        <v>2</v>
      </c>
      <c r="M72" s="46">
        <f t="shared" si="1"/>
        <v>0.25</v>
      </c>
      <c r="N72" s="46">
        <f>M72*INDEX('Logic Tree'!$J$75:$N$77,MATCH(I72,'Logic Tree'!$I$75:$I$77,0),MATCH(H72,'Logic Tree'!$J$74:$N$74,0))</f>
        <v>7.4999999999999997E-2</v>
      </c>
    </row>
    <row r="73" spans="2:14" ht="15" customHeight="1">
      <c r="B73" s="19">
        <v>1</v>
      </c>
      <c r="C73" s="11" t="s">
        <v>444</v>
      </c>
      <c r="D73" s="36" t="s">
        <v>316</v>
      </c>
      <c r="E73" s="36" t="s">
        <v>444</v>
      </c>
      <c r="F73" s="49" t="str">
        <f>'Pod Library'!E5</f>
        <v>MetLife Product Owner</v>
      </c>
      <c r="G73" s="44" t="str">
        <f>'Pod Library'!F5</f>
        <v>PM</v>
      </c>
      <c r="H73" s="44" t="str">
        <f>'Pod Library'!G5</f>
        <v>E4</v>
      </c>
      <c r="I73" s="44" t="str">
        <f>'Pod Library'!H5</f>
        <v>ON</v>
      </c>
      <c r="J73" s="44" t="str">
        <f>'Pod Library'!I5</f>
        <v>FTE</v>
      </c>
      <c r="K73" s="9">
        <f>'Pod Library'!J5</f>
        <v>1</v>
      </c>
      <c r="L73" s="13">
        <f>'Pod Plan'!E8</f>
        <v>1</v>
      </c>
      <c r="M73" s="46">
        <f t="shared" si="1"/>
        <v>1</v>
      </c>
      <c r="N73" s="46">
        <f>M73*INDEX('Logic Tree'!$J$75:$N$77,MATCH(I73,'Logic Tree'!$I$75:$I$77,0),MATCH(H73,'Logic Tree'!$J$74:$N$74,0))</f>
        <v>1.85</v>
      </c>
    </row>
    <row r="74" spans="2:14" ht="15" customHeight="1">
      <c r="B74" s="19">
        <v>1</v>
      </c>
      <c r="C74" s="11" t="s">
        <v>444</v>
      </c>
      <c r="D74" s="36" t="s">
        <v>316</v>
      </c>
      <c r="E74" s="36" t="s">
        <v>444</v>
      </c>
      <c r="F74" s="49" t="str">
        <f>'Pod Library'!E6</f>
        <v>MGCC Engineer</v>
      </c>
      <c r="G74" s="44" t="str">
        <f>'Pod Library'!F6</f>
        <v>DEV</v>
      </c>
      <c r="H74" s="44" t="str">
        <f>'Pod Library'!G6</f>
        <v>E3</v>
      </c>
      <c r="I74" s="44" t="str">
        <f>'Pod Library'!H6</f>
        <v>OFF</v>
      </c>
      <c r="J74" s="44" t="str">
        <f>'Pod Library'!I6</f>
        <v>MGCC</v>
      </c>
      <c r="K74" s="9">
        <f>'Pod Library'!J6</f>
        <v>1.6428571428571399</v>
      </c>
      <c r="L74" s="13">
        <f>'Pod Plan'!E8</f>
        <v>1</v>
      </c>
      <c r="M74" s="46">
        <f t="shared" si="1"/>
        <v>1.6428571428571399</v>
      </c>
      <c r="N74" s="46">
        <f>M74*INDEX('Logic Tree'!$J$75:$N$77,MATCH(I74,'Logic Tree'!$I$75:$I$77,0),MATCH(H74,'Logic Tree'!$J$74:$N$74,0))</f>
        <v>0.68999999999999873</v>
      </c>
    </row>
    <row r="75" spans="2:14" ht="15" customHeight="1">
      <c r="B75" s="19">
        <v>1</v>
      </c>
      <c r="C75" s="11" t="s">
        <v>444</v>
      </c>
      <c r="D75" s="36" t="s">
        <v>316</v>
      </c>
      <c r="E75" s="36" t="s">
        <v>444</v>
      </c>
      <c r="F75" s="49" t="str">
        <f>'Pod Library'!E7</f>
        <v>Business Analyst (bilingual)</v>
      </c>
      <c r="G75" s="44" t="str">
        <f>'Pod Library'!F7</f>
        <v>BSA</v>
      </c>
      <c r="H75" s="44" t="str">
        <f>'Pod Library'!G7</f>
        <v>E3</v>
      </c>
      <c r="I75" s="44" t="str">
        <f>'Pod Library'!H7</f>
        <v>ON</v>
      </c>
      <c r="J75" s="44" t="str">
        <f>'Pod Library'!I7</f>
        <v>FTC</v>
      </c>
      <c r="K75" s="9">
        <f>'Pod Library'!J7</f>
        <v>1</v>
      </c>
      <c r="L75" s="13">
        <f>'Pod Plan'!E8</f>
        <v>1</v>
      </c>
      <c r="M75" s="46">
        <f t="shared" si="1"/>
        <v>1</v>
      </c>
      <c r="N75" s="46">
        <f>M75*INDEX('Logic Tree'!$J$75:$N$77,MATCH(I75,'Logic Tree'!$I$75:$I$77,0),MATCH(H75,'Logic Tree'!$J$74:$N$74,0))</f>
        <v>1.35</v>
      </c>
    </row>
    <row r="76" spans="2:14" ht="15" customHeight="1">
      <c r="B76" s="19">
        <v>1</v>
      </c>
      <c r="C76" s="11" t="s">
        <v>444</v>
      </c>
      <c r="D76" s="36" t="s">
        <v>316</v>
      </c>
      <c r="E76" s="36" t="s">
        <v>444</v>
      </c>
      <c r="F76" s="49" t="str">
        <f>'Pod Library'!E8</f>
        <v>Pod lead / senior engineer</v>
      </c>
      <c r="G76" s="44" t="str">
        <f>'Pod Library'!F8</f>
        <v>DEV</v>
      </c>
      <c r="H76" s="44" t="str">
        <f>'Pod Library'!G8</f>
        <v>E4</v>
      </c>
      <c r="I76" s="44" t="str">
        <f>'Pod Library'!H8</f>
        <v>ON</v>
      </c>
      <c r="J76" s="44" t="str">
        <f>'Pod Library'!I8</f>
        <v>FTC</v>
      </c>
      <c r="K76" s="9">
        <f>'Pod Library'!J8</f>
        <v>1.5</v>
      </c>
      <c r="L76" s="13">
        <f>'Pod Plan'!E8</f>
        <v>1</v>
      </c>
      <c r="M76" s="46">
        <f t="shared" si="1"/>
        <v>1.5</v>
      </c>
      <c r="N76" s="46">
        <f>M76*INDEX('Logic Tree'!$J$75:$N$77,MATCH(I76,'Logic Tree'!$I$75:$I$77,0),MATCH(H76,'Logic Tree'!$J$74:$N$74,0))</f>
        <v>2.7750000000000004</v>
      </c>
    </row>
    <row r="77" spans="2:14" ht="15" customHeight="1">
      <c r="B77" s="19">
        <v>1</v>
      </c>
      <c r="C77" s="11" t="s">
        <v>444</v>
      </c>
      <c r="D77" s="36" t="s">
        <v>316</v>
      </c>
      <c r="E77" s="36" t="s">
        <v>444</v>
      </c>
      <c r="F77" s="49" t="str">
        <f>'Pod Library'!E9</f>
        <v>Engineer</v>
      </c>
      <c r="G77" s="44" t="str">
        <f>'Pod Library'!F9</f>
        <v>DEV</v>
      </c>
      <c r="H77" s="44" t="str">
        <f>'Pod Library'!G9</f>
        <v>E3</v>
      </c>
      <c r="I77" s="44" t="str">
        <f>'Pod Library'!H9</f>
        <v>ON</v>
      </c>
      <c r="J77" s="44" t="str">
        <f>'Pod Library'!I9</f>
        <v>FTC</v>
      </c>
      <c r="K77" s="9">
        <f>'Pod Library'!J9</f>
        <v>0.42857142857142899</v>
      </c>
      <c r="L77" s="13">
        <f>'Pod Plan'!E8</f>
        <v>1</v>
      </c>
      <c r="M77" s="46">
        <f t="shared" si="1"/>
        <v>0.42857142857142899</v>
      </c>
      <c r="N77" s="46">
        <f>M77*INDEX('Logic Tree'!$J$75:$N$77,MATCH(I77,'Logic Tree'!$I$75:$I$77,0),MATCH(H77,'Logic Tree'!$J$74:$N$74,0))</f>
        <v>0.57857142857142918</v>
      </c>
    </row>
    <row r="78" spans="2:14" ht="15" customHeight="1">
      <c r="B78" s="19">
        <v>1</v>
      </c>
      <c r="C78" s="11" t="s">
        <v>444</v>
      </c>
      <c r="D78" s="36" t="s">
        <v>316</v>
      </c>
      <c r="E78" s="36" t="s">
        <v>444</v>
      </c>
      <c r="F78" s="49" t="str">
        <f>'Pod Library'!E10</f>
        <v>Engineer</v>
      </c>
      <c r="G78" s="44" t="str">
        <f>'Pod Library'!F10</f>
        <v>DEV</v>
      </c>
      <c r="H78" s="44" t="str">
        <f>'Pod Library'!G10</f>
        <v>E2</v>
      </c>
      <c r="I78" s="44" t="str">
        <f>'Pod Library'!H10</f>
        <v>OFF</v>
      </c>
      <c r="J78" s="44" t="str">
        <f>'Pod Library'!I10</f>
        <v>FTC</v>
      </c>
      <c r="K78" s="9">
        <f>'Pod Library'!J10</f>
        <v>0.78571428571428603</v>
      </c>
      <c r="L78" s="13">
        <f>'Pod Plan'!E8</f>
        <v>1</v>
      </c>
      <c r="M78" s="46">
        <f t="shared" si="1"/>
        <v>0.78571428571428603</v>
      </c>
      <c r="N78" s="46">
        <f>M78*INDEX('Logic Tree'!$J$75:$N$77,MATCH(I78,'Logic Tree'!$I$75:$I$77,0),MATCH(H78,'Logic Tree'!$J$74:$N$74,0))</f>
        <v>0.23571428571428579</v>
      </c>
    </row>
    <row r="79" spans="2:14" ht="15" customHeight="1">
      <c r="B79" s="19">
        <v>1</v>
      </c>
      <c r="C79" s="11" t="s">
        <v>444</v>
      </c>
      <c r="D79" s="36" t="s">
        <v>316</v>
      </c>
      <c r="E79" s="36" t="s">
        <v>444</v>
      </c>
      <c r="F79" s="49" t="str">
        <f>'Pod Library'!E11</f>
        <v>Engineer</v>
      </c>
      <c r="G79" s="44" t="str">
        <f>'Pod Library'!F11</f>
        <v>DEV</v>
      </c>
      <c r="H79" s="44" t="str">
        <f>'Pod Library'!G11</f>
        <v>E3</v>
      </c>
      <c r="I79" s="44" t="str">
        <f>'Pod Library'!H11</f>
        <v>OFF</v>
      </c>
      <c r="J79" s="44" t="str">
        <f>'Pod Library'!I11</f>
        <v>FTC</v>
      </c>
      <c r="K79" s="9">
        <f>'Pod Library'!J11</f>
        <v>0.57142857142857095</v>
      </c>
      <c r="L79" s="13">
        <f>'Pod Plan'!E8</f>
        <v>1</v>
      </c>
      <c r="M79" s="46">
        <f t="shared" si="1"/>
        <v>0.57142857142857095</v>
      </c>
      <c r="N79" s="46">
        <f>M79*INDEX('Logic Tree'!$J$75:$N$77,MATCH(I79,'Logic Tree'!$I$75:$I$77,0),MATCH(H79,'Logic Tree'!$J$74:$N$74,0))</f>
        <v>0.2399999999999998</v>
      </c>
    </row>
    <row r="80" spans="2:14" ht="15" customHeight="1">
      <c r="B80" s="19">
        <v>1</v>
      </c>
      <c r="C80" s="11" t="s">
        <v>444</v>
      </c>
      <c r="D80" s="36" t="s">
        <v>316</v>
      </c>
      <c r="E80" s="36" t="s">
        <v>444</v>
      </c>
      <c r="F80" s="49" t="str">
        <f>'Pod Library'!E12</f>
        <v>Engineer</v>
      </c>
      <c r="G80" s="44" t="str">
        <f>'Pod Library'!F12</f>
        <v>DEV</v>
      </c>
      <c r="H80" s="44" t="str">
        <f>'Pod Library'!G12</f>
        <v>E4</v>
      </c>
      <c r="I80" s="44" t="str">
        <f>'Pod Library'!H12</f>
        <v>OFF</v>
      </c>
      <c r="J80" s="44" t="str">
        <f>'Pod Library'!I12</f>
        <v>FTC</v>
      </c>
      <c r="K80" s="9">
        <f>'Pod Library'!J12</f>
        <v>0.214285714285714</v>
      </c>
      <c r="L80" s="13">
        <f>'Pod Plan'!E8</f>
        <v>1</v>
      </c>
      <c r="M80" s="46">
        <f t="shared" si="1"/>
        <v>0.214285714285714</v>
      </c>
      <c r="N80" s="46">
        <f>M80*INDEX('Logic Tree'!$J$75:$N$77,MATCH(I80,'Logic Tree'!$I$75:$I$77,0),MATCH(H80,'Logic Tree'!$J$74:$N$74,0))</f>
        <v>0.12857142857142839</v>
      </c>
    </row>
    <row r="81" spans="2:14" ht="15" customHeight="1">
      <c r="B81" s="19">
        <v>1</v>
      </c>
      <c r="C81" s="11" t="s">
        <v>444</v>
      </c>
      <c r="D81" s="36" t="s">
        <v>316</v>
      </c>
      <c r="E81" s="36" t="s">
        <v>444</v>
      </c>
      <c r="F81" s="49" t="str">
        <f>'Pod Library'!E13</f>
        <v>Quality Engineer (SDET)</v>
      </c>
      <c r="G81" s="44" t="str">
        <f>'Pod Library'!F13</f>
        <v>TEST</v>
      </c>
      <c r="H81" s="44" t="str">
        <f>'Pod Library'!G13</f>
        <v>E2</v>
      </c>
      <c r="I81" s="44" t="str">
        <f>'Pod Library'!H13</f>
        <v>OFF</v>
      </c>
      <c r="J81" s="44" t="str">
        <f>'Pod Library'!I13</f>
        <v>FTC</v>
      </c>
      <c r="K81" s="9">
        <f>'Pod Library'!J13</f>
        <v>1.0714285714285701</v>
      </c>
      <c r="L81" s="13">
        <f>'Pod Plan'!E8</f>
        <v>1</v>
      </c>
      <c r="M81" s="46">
        <f t="shared" si="1"/>
        <v>1.0714285714285701</v>
      </c>
      <c r="N81" s="46">
        <f>M81*INDEX('Logic Tree'!$J$75:$N$77,MATCH(I81,'Logic Tree'!$I$75:$I$77,0),MATCH(H81,'Logic Tree'!$J$74:$N$74,0))</f>
        <v>0.32142857142857101</v>
      </c>
    </row>
    <row r="82" spans="2:14" ht="15" customHeight="1">
      <c r="B82" s="19">
        <v>1</v>
      </c>
      <c r="C82" s="11" t="s">
        <v>444</v>
      </c>
      <c r="D82" s="36" t="s">
        <v>316</v>
      </c>
      <c r="E82" s="36" t="s">
        <v>444</v>
      </c>
      <c r="F82" s="49" t="str">
        <f>'Pod Library'!E14</f>
        <v>Quality Engineer (SDET)</v>
      </c>
      <c r="G82" s="44" t="str">
        <f>'Pod Library'!F14</f>
        <v>TEST</v>
      </c>
      <c r="H82" s="44" t="str">
        <f>'Pod Library'!G14</f>
        <v>E3</v>
      </c>
      <c r="I82" s="44" t="str">
        <f>'Pod Library'!H14</f>
        <v>OFF</v>
      </c>
      <c r="J82" s="44" t="str">
        <f>'Pod Library'!I14</f>
        <v>FTC</v>
      </c>
      <c r="K82" s="9">
        <f>'Pod Library'!J14</f>
        <v>1.0714285714285701</v>
      </c>
      <c r="L82" s="13">
        <f>'Pod Plan'!E8</f>
        <v>1</v>
      </c>
      <c r="M82" s="46">
        <f t="shared" si="1"/>
        <v>1.0714285714285701</v>
      </c>
      <c r="N82" s="46">
        <f>M82*INDEX('Logic Tree'!$J$75:$N$77,MATCH(I82,'Logic Tree'!$I$75:$I$77,0),MATCH(H82,'Logic Tree'!$J$74:$N$74,0))</f>
        <v>0.4499999999999994</v>
      </c>
    </row>
    <row r="83" spans="2:14" ht="15" customHeight="1">
      <c r="B83" s="19">
        <v>1</v>
      </c>
      <c r="C83" s="11" t="s">
        <v>444</v>
      </c>
      <c r="D83" s="36" t="s">
        <v>316</v>
      </c>
      <c r="E83" s="36" t="s">
        <v>444</v>
      </c>
      <c r="F83" s="49" t="str">
        <f>'Pod Library'!E15</f>
        <v>Quality Engineer (SDET)</v>
      </c>
      <c r="G83" s="44" t="str">
        <f>'Pod Library'!F15</f>
        <v>TEST</v>
      </c>
      <c r="H83" s="44" t="str">
        <f>'Pod Library'!G15</f>
        <v>E4</v>
      </c>
      <c r="I83" s="44" t="str">
        <f>'Pod Library'!H15</f>
        <v>OFF</v>
      </c>
      <c r="J83" s="44" t="str">
        <f>'Pod Library'!I15</f>
        <v>FTC</v>
      </c>
      <c r="K83" s="9">
        <f>'Pod Library'!J15</f>
        <v>0.28571428571428598</v>
      </c>
      <c r="L83" s="13">
        <f>'Pod Plan'!E8</f>
        <v>1</v>
      </c>
      <c r="M83" s="46">
        <f t="shared" si="1"/>
        <v>0.28571428571428598</v>
      </c>
      <c r="N83" s="46">
        <f>M83*INDEX('Logic Tree'!$J$75:$N$77,MATCH(I83,'Logic Tree'!$I$75:$I$77,0),MATCH(H83,'Logic Tree'!$J$74:$N$74,0))</f>
        <v>0.17142857142857157</v>
      </c>
    </row>
    <row r="84" spans="2:14" ht="15" customHeight="1">
      <c r="B84" s="19">
        <v>1</v>
      </c>
      <c r="C84" s="11" t="s">
        <v>444</v>
      </c>
      <c r="D84" s="36" t="s">
        <v>316</v>
      </c>
      <c r="E84" s="36" t="s">
        <v>444</v>
      </c>
      <c r="F84" s="49" t="str">
        <f>'Pod Library'!E16</f>
        <v>Application Support</v>
      </c>
      <c r="G84" s="44" t="str">
        <f>'Pod Library'!F16</f>
        <v>MNT</v>
      </c>
      <c r="H84" s="44" t="str">
        <f>'Pod Library'!G16</f>
        <v>E1</v>
      </c>
      <c r="I84" s="44" t="str">
        <f>'Pod Library'!H16</f>
        <v>OFF</v>
      </c>
      <c r="J84" s="44" t="str">
        <f>'Pod Library'!I16</f>
        <v>FTC</v>
      </c>
      <c r="K84" s="9">
        <f>'Pod Library'!J16</f>
        <v>0.14285714285714299</v>
      </c>
      <c r="L84" s="13">
        <f>'Pod Plan'!E8</f>
        <v>1</v>
      </c>
      <c r="M84" s="46">
        <f t="shared" si="1"/>
        <v>0.14285714285714299</v>
      </c>
      <c r="N84" s="46">
        <f>M84*INDEX('Logic Tree'!$J$75:$N$77,MATCH(I84,'Logic Tree'!$I$75:$I$77,0),MATCH(H84,'Logic Tree'!$J$74:$N$74,0))</f>
        <v>3.1428571428571458E-2</v>
      </c>
    </row>
    <row r="85" spans="2:14" ht="15" customHeight="1">
      <c r="B85" s="19">
        <v>1</v>
      </c>
      <c r="C85" s="11" t="s">
        <v>444</v>
      </c>
      <c r="D85" s="36" t="s">
        <v>316</v>
      </c>
      <c r="E85" s="36" t="s">
        <v>444</v>
      </c>
      <c r="F85" s="49" t="str">
        <f>'Pod Library'!E17</f>
        <v>Application Support</v>
      </c>
      <c r="G85" s="44" t="str">
        <f>'Pod Library'!F17</f>
        <v>MNT</v>
      </c>
      <c r="H85" s="44" t="str">
        <f>'Pod Library'!G17</f>
        <v>E2</v>
      </c>
      <c r="I85" s="44" t="str">
        <f>'Pod Library'!H17</f>
        <v>OFF</v>
      </c>
      <c r="J85" s="44" t="str">
        <f>'Pod Library'!I17</f>
        <v>FTC</v>
      </c>
      <c r="K85" s="9">
        <f>'Pod Library'!J17</f>
        <v>0.214285714285714</v>
      </c>
      <c r="L85" s="13">
        <f>'Pod Plan'!E8</f>
        <v>1</v>
      </c>
      <c r="M85" s="46">
        <f t="shared" si="1"/>
        <v>0.214285714285714</v>
      </c>
      <c r="N85" s="46">
        <f>M85*INDEX('Logic Tree'!$J$75:$N$77,MATCH(I85,'Logic Tree'!$I$75:$I$77,0),MATCH(H85,'Logic Tree'!$J$74:$N$74,0))</f>
        <v>6.4285714285714196E-2</v>
      </c>
    </row>
    <row r="86" spans="2:14" ht="15" customHeight="1">
      <c r="B86" s="19">
        <v>1</v>
      </c>
      <c r="C86" s="11" t="s">
        <v>456</v>
      </c>
      <c r="D86" s="36" t="s">
        <v>316</v>
      </c>
      <c r="E86" s="36" t="s">
        <v>456</v>
      </c>
      <c r="F86" s="49" t="str">
        <f>'Pod Library'!E20</f>
        <v>MetLife Product Owner</v>
      </c>
      <c r="G86" s="44" t="str">
        <f>'Pod Library'!F20</f>
        <v>PM</v>
      </c>
      <c r="H86" s="44" t="str">
        <f>'Pod Library'!G20</f>
        <v>E4</v>
      </c>
      <c r="I86" s="44" t="str">
        <f>'Pod Library'!H20</f>
        <v>ON</v>
      </c>
      <c r="J86" s="44" t="str">
        <f>'Pod Library'!I20</f>
        <v>FTE</v>
      </c>
      <c r="K86" s="9">
        <f>'Pod Library'!J20</f>
        <v>0.73214285714285698</v>
      </c>
      <c r="L86" s="13">
        <f>'Pod Plan'!F8</f>
        <v>1</v>
      </c>
      <c r="M86" s="46">
        <f t="shared" si="1"/>
        <v>0.73214285714285698</v>
      </c>
      <c r="N86" s="46">
        <f>M86*INDEX('Logic Tree'!$J$75:$N$77,MATCH(I86,'Logic Tree'!$I$75:$I$77,0),MATCH(H86,'Logic Tree'!$J$74:$N$74,0))</f>
        <v>1.3544642857142855</v>
      </c>
    </row>
    <row r="87" spans="2:14" ht="15" customHeight="1">
      <c r="B87" s="19">
        <v>1</v>
      </c>
      <c r="C87" s="11" t="s">
        <v>456</v>
      </c>
      <c r="D87" s="36" t="s">
        <v>316</v>
      </c>
      <c r="E87" s="36" t="s">
        <v>456</v>
      </c>
      <c r="F87" s="49" t="str">
        <f>'Pod Library'!E21</f>
        <v>MetLife Domain SME</v>
      </c>
      <c r="G87" s="44" t="str">
        <f>'Pod Library'!F21</f>
        <v>BSA</v>
      </c>
      <c r="H87" s="44" t="str">
        <f>'Pod Library'!G21</f>
        <v>E4</v>
      </c>
      <c r="I87" s="44" t="str">
        <f>'Pod Library'!H21</f>
        <v>ON</v>
      </c>
      <c r="J87" s="44" t="str">
        <f>'Pod Library'!I21</f>
        <v>FTE</v>
      </c>
      <c r="K87" s="9">
        <f>'Pod Library'!J21</f>
        <v>0.98214285714285698</v>
      </c>
      <c r="L87" s="13">
        <f>'Pod Plan'!F8</f>
        <v>1</v>
      </c>
      <c r="M87" s="46">
        <f t="shared" si="1"/>
        <v>0.98214285714285698</v>
      </c>
      <c r="N87" s="46">
        <f>M87*INDEX('Logic Tree'!$J$75:$N$77,MATCH(I87,'Logic Tree'!$I$75:$I$77,0),MATCH(H87,'Logic Tree'!$J$74:$N$74,0))</f>
        <v>1.8169642857142856</v>
      </c>
    </row>
    <row r="88" spans="2:14" ht="15" customHeight="1">
      <c r="B88" s="19">
        <v>1</v>
      </c>
      <c r="C88" s="11" t="s">
        <v>456</v>
      </c>
      <c r="D88" s="36" t="s">
        <v>316</v>
      </c>
      <c r="E88" s="36" t="s">
        <v>456</v>
      </c>
      <c r="F88" s="49" t="str">
        <f>'Pod Library'!E22</f>
        <v>MetLife Operations Analyst</v>
      </c>
      <c r="G88" s="44" t="str">
        <f>'Pod Library'!F22</f>
        <v>MNT</v>
      </c>
      <c r="H88" s="44" t="str">
        <f>'Pod Library'!G22</f>
        <v>E3</v>
      </c>
      <c r="I88" s="44" t="str">
        <f>'Pod Library'!H22</f>
        <v>ON</v>
      </c>
      <c r="J88" s="44" t="str">
        <f>'Pod Library'!I22</f>
        <v>FTE</v>
      </c>
      <c r="K88" s="9">
        <f>'Pod Library'!J22</f>
        <v>0.46428571428571402</v>
      </c>
      <c r="L88" s="13">
        <f>'Pod Plan'!F8</f>
        <v>1</v>
      </c>
      <c r="M88" s="46">
        <f t="shared" si="1"/>
        <v>0.46428571428571402</v>
      </c>
      <c r="N88" s="46">
        <f>M88*INDEX('Logic Tree'!$J$75:$N$77,MATCH(I88,'Logic Tree'!$I$75:$I$77,0),MATCH(H88,'Logic Tree'!$J$74:$N$74,0))</f>
        <v>0.62678571428571395</v>
      </c>
    </row>
    <row r="89" spans="2:14" ht="15" customHeight="1">
      <c r="B89" s="19">
        <v>1</v>
      </c>
      <c r="C89" s="11" t="s">
        <v>456</v>
      </c>
      <c r="D89" s="36" t="s">
        <v>316</v>
      </c>
      <c r="E89" s="36" t="s">
        <v>456</v>
      </c>
      <c r="F89" s="49" t="str">
        <f>'Pod Library'!E23</f>
        <v>MGCC Developer</v>
      </c>
      <c r="G89" s="44" t="str">
        <f>'Pod Library'!F23</f>
        <v>DEV</v>
      </c>
      <c r="H89" s="44" t="str">
        <f>'Pod Library'!G23</f>
        <v>E3</v>
      </c>
      <c r="I89" s="44" t="str">
        <f>'Pod Library'!H23</f>
        <v>OFF</v>
      </c>
      <c r="J89" s="44" t="str">
        <f>'Pod Library'!I23</f>
        <v>MGCC</v>
      </c>
      <c r="K89" s="9">
        <f>'Pod Library'!J23</f>
        <v>1.75</v>
      </c>
      <c r="L89" s="13">
        <f>'Pod Plan'!F8</f>
        <v>1</v>
      </c>
      <c r="M89" s="46">
        <f t="shared" si="1"/>
        <v>1.75</v>
      </c>
      <c r="N89" s="46">
        <f>M89*INDEX('Logic Tree'!$J$75:$N$77,MATCH(I89,'Logic Tree'!$I$75:$I$77,0),MATCH(H89,'Logic Tree'!$J$74:$N$74,0))</f>
        <v>0.73499999999999999</v>
      </c>
    </row>
    <row r="90" spans="2:14" ht="15" customHeight="1">
      <c r="B90" s="19">
        <v>1</v>
      </c>
      <c r="C90" s="11" t="s">
        <v>456</v>
      </c>
      <c r="D90" s="36" t="s">
        <v>316</v>
      </c>
      <c r="E90" s="36" t="s">
        <v>456</v>
      </c>
      <c r="F90" s="49" t="str">
        <f>'Pod Library'!E24</f>
        <v>MGCC Test Engineer</v>
      </c>
      <c r="G90" s="44" t="str">
        <f>'Pod Library'!F24</f>
        <v>TEST</v>
      </c>
      <c r="H90" s="44" t="str">
        <f>'Pod Library'!G24</f>
        <v>E2</v>
      </c>
      <c r="I90" s="44" t="str">
        <f>'Pod Library'!H24</f>
        <v>OFF</v>
      </c>
      <c r="J90" s="44" t="str">
        <f>'Pod Library'!I24</f>
        <v>MGCC</v>
      </c>
      <c r="K90" s="9">
        <f>'Pod Library'!J24</f>
        <v>0.96428571428571397</v>
      </c>
      <c r="L90" s="13">
        <f>'Pod Plan'!F8</f>
        <v>1</v>
      </c>
      <c r="M90" s="46">
        <f t="shared" si="1"/>
        <v>0.96428571428571397</v>
      </c>
      <c r="N90" s="46">
        <f>M90*INDEX('Logic Tree'!$J$75:$N$77,MATCH(I90,'Logic Tree'!$I$75:$I$77,0),MATCH(H90,'Logic Tree'!$J$74:$N$74,0))</f>
        <v>0.2892857142857142</v>
      </c>
    </row>
    <row r="91" spans="2:14" ht="15" customHeight="1">
      <c r="B91" s="19">
        <v>1</v>
      </c>
      <c r="C91" s="11" t="s">
        <v>456</v>
      </c>
      <c r="D91" s="36" t="s">
        <v>316</v>
      </c>
      <c r="E91" s="36" t="s">
        <v>456</v>
      </c>
      <c r="F91" s="49" t="str">
        <f>'Pod Library'!E25</f>
        <v>Business Analyst (bilingual)</v>
      </c>
      <c r="G91" s="44" t="str">
        <f>'Pod Library'!F25</f>
        <v>BSA</v>
      </c>
      <c r="H91" s="44" t="str">
        <f>'Pod Library'!G25</f>
        <v>E3</v>
      </c>
      <c r="I91" s="44" t="str">
        <f>'Pod Library'!H25</f>
        <v>ON</v>
      </c>
      <c r="J91" s="44" t="str">
        <f>'Pod Library'!I25</f>
        <v>FTC</v>
      </c>
      <c r="K91" s="9">
        <f>'Pod Library'!J25</f>
        <v>1.41071428571429</v>
      </c>
      <c r="L91" s="13">
        <f>'Pod Plan'!F8</f>
        <v>1</v>
      </c>
      <c r="M91" s="46">
        <f t="shared" si="1"/>
        <v>1.41071428571429</v>
      </c>
      <c r="N91" s="46">
        <f>M91*INDEX('Logic Tree'!$J$75:$N$77,MATCH(I91,'Logic Tree'!$I$75:$I$77,0),MATCH(H91,'Logic Tree'!$J$74:$N$74,0))</f>
        <v>1.9044642857142917</v>
      </c>
    </row>
    <row r="92" spans="2:14" ht="15" customHeight="1">
      <c r="B92" s="19">
        <v>1</v>
      </c>
      <c r="C92" s="11" t="s">
        <v>456</v>
      </c>
      <c r="D92" s="36" t="s">
        <v>316</v>
      </c>
      <c r="E92" s="36" t="s">
        <v>456</v>
      </c>
      <c r="F92" s="49" t="str">
        <f>'Pod Library'!E26</f>
        <v>Developer / technical lead</v>
      </c>
      <c r="G92" s="44" t="str">
        <f>'Pod Library'!F26</f>
        <v>DEV</v>
      </c>
      <c r="H92" s="44" t="str">
        <f>'Pod Library'!G26</f>
        <v>E3</v>
      </c>
      <c r="I92" s="44" t="str">
        <f>'Pod Library'!H26</f>
        <v>ON</v>
      </c>
      <c r="J92" s="44" t="str">
        <f>'Pod Library'!I26</f>
        <v>FTC</v>
      </c>
      <c r="K92" s="9">
        <f>'Pod Library'!J26</f>
        <v>1.71428571428571</v>
      </c>
      <c r="L92" s="13">
        <f>'Pod Plan'!F8</f>
        <v>1</v>
      </c>
      <c r="M92" s="46">
        <f t="shared" si="1"/>
        <v>1.71428571428571</v>
      </c>
      <c r="N92" s="46">
        <f>M92*INDEX('Logic Tree'!$J$75:$N$77,MATCH(I92,'Logic Tree'!$I$75:$I$77,0),MATCH(H92,'Logic Tree'!$J$74:$N$74,0))</f>
        <v>2.3142857142857087</v>
      </c>
    </row>
    <row r="93" spans="2:14" ht="15" customHeight="1">
      <c r="B93" s="19">
        <v>1</v>
      </c>
      <c r="C93" s="11" t="s">
        <v>456</v>
      </c>
      <c r="D93" s="36" t="s">
        <v>316</v>
      </c>
      <c r="E93" s="36" t="s">
        <v>456</v>
      </c>
      <c r="F93" s="49" t="str">
        <f>'Pod Library'!E27</f>
        <v>Developer</v>
      </c>
      <c r="G93" s="44" t="str">
        <f>'Pod Library'!F27</f>
        <v>DEV</v>
      </c>
      <c r="H93" s="44" t="str">
        <f>'Pod Library'!G27</f>
        <v>E1</v>
      </c>
      <c r="I93" s="44" t="str">
        <f>'Pod Library'!H27</f>
        <v>OFF</v>
      </c>
      <c r="J93" s="44" t="str">
        <f>'Pod Library'!I27</f>
        <v>FTC</v>
      </c>
      <c r="K93" s="9">
        <f>'Pod Library'!J27</f>
        <v>0.19642857142857101</v>
      </c>
      <c r="L93" s="13">
        <f>'Pod Plan'!F8</f>
        <v>1</v>
      </c>
      <c r="M93" s="46">
        <f t="shared" si="1"/>
        <v>0.19642857142857101</v>
      </c>
      <c r="N93" s="46">
        <f>M93*INDEX('Logic Tree'!$J$75:$N$77,MATCH(I93,'Logic Tree'!$I$75:$I$77,0),MATCH(H93,'Logic Tree'!$J$74:$N$74,0))</f>
        <v>4.3214285714285622E-2</v>
      </c>
    </row>
    <row r="94" spans="2:14" ht="15" customHeight="1">
      <c r="B94" s="19">
        <v>1</v>
      </c>
      <c r="C94" s="11" t="s">
        <v>456</v>
      </c>
      <c r="D94" s="36" t="s">
        <v>316</v>
      </c>
      <c r="E94" s="36" t="s">
        <v>456</v>
      </c>
      <c r="F94" s="49" t="str">
        <f>'Pod Library'!E28</f>
        <v>Developer</v>
      </c>
      <c r="G94" s="44" t="str">
        <f>'Pod Library'!F28</f>
        <v>DEV</v>
      </c>
      <c r="H94" s="44" t="str">
        <f>'Pod Library'!G28</f>
        <v>E2</v>
      </c>
      <c r="I94" s="44" t="str">
        <f>'Pod Library'!H28</f>
        <v>OFF</v>
      </c>
      <c r="J94" s="44" t="str">
        <f>'Pod Library'!I28</f>
        <v>FTC</v>
      </c>
      <c r="K94" s="9">
        <f>'Pod Library'!J28</f>
        <v>0.53571428571428603</v>
      </c>
      <c r="L94" s="13">
        <f>'Pod Plan'!F8</f>
        <v>1</v>
      </c>
      <c r="M94" s="46">
        <f t="shared" si="1"/>
        <v>0.53571428571428603</v>
      </c>
      <c r="N94" s="46">
        <f>M94*INDEX('Logic Tree'!$J$75:$N$77,MATCH(I94,'Logic Tree'!$I$75:$I$77,0),MATCH(H94,'Logic Tree'!$J$74:$N$74,0))</f>
        <v>0.16071428571428581</v>
      </c>
    </row>
    <row r="95" spans="2:14" ht="15" customHeight="1">
      <c r="B95" s="19">
        <v>1</v>
      </c>
      <c r="C95" s="11" t="s">
        <v>456</v>
      </c>
      <c r="D95" s="36" t="s">
        <v>316</v>
      </c>
      <c r="E95" s="36" t="s">
        <v>456</v>
      </c>
      <c r="F95" s="49" t="str">
        <f>'Pod Library'!E29</f>
        <v>Developer</v>
      </c>
      <c r="G95" s="44" t="str">
        <f>'Pod Library'!F29</f>
        <v>DEV</v>
      </c>
      <c r="H95" s="44" t="str">
        <f>'Pod Library'!G29</f>
        <v>E3</v>
      </c>
      <c r="I95" s="44" t="str">
        <f>'Pod Library'!H29</f>
        <v>OFF</v>
      </c>
      <c r="J95" s="44" t="str">
        <f>'Pod Library'!I29</f>
        <v>FTC</v>
      </c>
      <c r="K95" s="9">
        <f>'Pod Library'!J29</f>
        <v>0.51785714285714302</v>
      </c>
      <c r="L95" s="13">
        <f>'Pod Plan'!F8</f>
        <v>1</v>
      </c>
      <c r="M95" s="46">
        <f t="shared" si="1"/>
        <v>0.51785714285714302</v>
      </c>
      <c r="N95" s="46">
        <f>M95*INDEX('Logic Tree'!$J$75:$N$77,MATCH(I95,'Logic Tree'!$I$75:$I$77,0),MATCH(H95,'Logic Tree'!$J$74:$N$74,0))</f>
        <v>0.21750000000000005</v>
      </c>
    </row>
    <row r="96" spans="2:14" ht="15" customHeight="1">
      <c r="B96" s="19">
        <v>1</v>
      </c>
      <c r="C96" s="11" t="s">
        <v>456</v>
      </c>
      <c r="D96" s="36" t="s">
        <v>316</v>
      </c>
      <c r="E96" s="36" t="s">
        <v>456</v>
      </c>
      <c r="F96" s="49" t="str">
        <f>'Pod Library'!E30</f>
        <v>Test Lead / onshore tester</v>
      </c>
      <c r="G96" s="44" t="str">
        <f>'Pod Library'!F30</f>
        <v>TEST</v>
      </c>
      <c r="H96" s="44" t="str">
        <f>'Pod Library'!G30</f>
        <v>E3</v>
      </c>
      <c r="I96" s="44" t="str">
        <f>'Pod Library'!H30</f>
        <v>ON</v>
      </c>
      <c r="J96" s="44" t="str">
        <f>'Pod Library'!I30</f>
        <v>FTC</v>
      </c>
      <c r="K96" s="9">
        <f>'Pod Library'!J30</f>
        <v>1.8571428571428601</v>
      </c>
      <c r="L96" s="13">
        <f>'Pod Plan'!F8</f>
        <v>1</v>
      </c>
      <c r="M96" s="46">
        <f t="shared" si="1"/>
        <v>1.8571428571428601</v>
      </c>
      <c r="N96" s="46">
        <f>M96*INDEX('Logic Tree'!$J$75:$N$77,MATCH(I96,'Logic Tree'!$I$75:$I$77,0),MATCH(H96,'Logic Tree'!$J$74:$N$74,0))</f>
        <v>2.5071428571428611</v>
      </c>
    </row>
    <row r="97" spans="2:14" ht="15" customHeight="1">
      <c r="B97" s="19">
        <v>1</v>
      </c>
      <c r="C97" s="11" t="s">
        <v>456</v>
      </c>
      <c r="D97" s="36" t="s">
        <v>316</v>
      </c>
      <c r="E97" s="36" t="s">
        <v>456</v>
      </c>
      <c r="F97" s="49" t="str">
        <f>'Pod Library'!E31</f>
        <v>Test Engineer</v>
      </c>
      <c r="G97" s="44" t="str">
        <f>'Pod Library'!F31</f>
        <v>TEST</v>
      </c>
      <c r="H97" s="44" t="str">
        <f>'Pod Library'!G31</f>
        <v>E2</v>
      </c>
      <c r="I97" s="44" t="str">
        <f>'Pod Library'!H31</f>
        <v>OFF</v>
      </c>
      <c r="J97" s="44" t="str">
        <f>'Pod Library'!I31</f>
        <v>FTC</v>
      </c>
      <c r="K97" s="9">
        <f>'Pod Library'!J31</f>
        <v>0.30357142857142899</v>
      </c>
      <c r="L97" s="13">
        <f>'Pod Plan'!F8</f>
        <v>1</v>
      </c>
      <c r="M97" s="46">
        <f t="shared" si="1"/>
        <v>0.30357142857142899</v>
      </c>
      <c r="N97" s="46">
        <f>M97*INDEX('Logic Tree'!$J$75:$N$77,MATCH(I97,'Logic Tree'!$I$75:$I$77,0),MATCH(H97,'Logic Tree'!$J$74:$N$74,0))</f>
        <v>9.1071428571428692E-2</v>
      </c>
    </row>
    <row r="98" spans="2:14" ht="15" customHeight="1">
      <c r="B98" s="19">
        <v>1</v>
      </c>
      <c r="C98" s="11" t="s">
        <v>456</v>
      </c>
      <c r="D98" s="36" t="s">
        <v>316</v>
      </c>
      <c r="E98" s="36" t="s">
        <v>456</v>
      </c>
      <c r="F98" s="49" t="str">
        <f>'Pod Library'!E32</f>
        <v>Test Engineer</v>
      </c>
      <c r="G98" s="44" t="str">
        <f>'Pod Library'!F32</f>
        <v>TEST</v>
      </c>
      <c r="H98" s="44" t="str">
        <f>'Pod Library'!G32</f>
        <v>E3</v>
      </c>
      <c r="I98" s="44" t="str">
        <f>'Pod Library'!H32</f>
        <v>OFF</v>
      </c>
      <c r="J98" s="44" t="str">
        <f>'Pod Library'!I32</f>
        <v>FTC</v>
      </c>
      <c r="K98" s="9">
        <f>'Pod Library'!J32</f>
        <v>0.32142857142857201</v>
      </c>
      <c r="L98" s="13">
        <f>'Pod Plan'!F8</f>
        <v>1</v>
      </c>
      <c r="M98" s="46">
        <f t="shared" si="1"/>
        <v>0.32142857142857201</v>
      </c>
      <c r="N98" s="46">
        <f>M98*INDEX('Logic Tree'!$J$75:$N$77,MATCH(I98,'Logic Tree'!$I$75:$I$77,0),MATCH(H98,'Logic Tree'!$J$74:$N$74,0))</f>
        <v>0.13500000000000023</v>
      </c>
    </row>
    <row r="99" spans="2:14" ht="15" customHeight="1">
      <c r="B99" s="19">
        <v>1</v>
      </c>
      <c r="C99" s="11" t="s">
        <v>456</v>
      </c>
      <c r="D99" s="36" t="s">
        <v>316</v>
      </c>
      <c r="E99" s="36" t="s">
        <v>456</v>
      </c>
      <c r="F99" s="49" t="str">
        <f>'Pod Library'!E33</f>
        <v>Application Support</v>
      </c>
      <c r="G99" s="44" t="str">
        <f>'Pod Library'!F33</f>
        <v>MNT</v>
      </c>
      <c r="H99" s="44" t="str">
        <f>'Pod Library'!G33</f>
        <v>E2</v>
      </c>
      <c r="I99" s="44" t="str">
        <f>'Pod Library'!H33</f>
        <v>OFF</v>
      </c>
      <c r="J99" s="44" t="str">
        <f>'Pod Library'!I33</f>
        <v>FTC</v>
      </c>
      <c r="K99" s="9">
        <f>'Pod Library'!J33</f>
        <v>0.125</v>
      </c>
      <c r="L99" s="13">
        <f>'Pod Plan'!F8</f>
        <v>1</v>
      </c>
      <c r="M99" s="46">
        <f t="shared" si="1"/>
        <v>0.125</v>
      </c>
      <c r="N99" s="46">
        <f>M99*INDEX('Logic Tree'!$J$75:$N$77,MATCH(I99,'Logic Tree'!$I$75:$I$77,0),MATCH(H99,'Logic Tree'!$J$74:$N$74,0))</f>
        <v>3.7499999999999999E-2</v>
      </c>
    </row>
    <row r="100" spans="2:14" ht="15" customHeight="1">
      <c r="B100" s="19">
        <v>1</v>
      </c>
      <c r="C100" s="11" t="s">
        <v>700</v>
      </c>
      <c r="D100" s="44" t="str">
        <f>'Horizontal Teams'!C5</f>
        <v>H1</v>
      </c>
      <c r="E100" s="36" t="s">
        <v>700</v>
      </c>
      <c r="F100" s="49" t="str">
        <f>'Horizontal Teams'!E5</f>
        <v>Service Delivery Manager</v>
      </c>
      <c r="G100" s="44" t="str">
        <f>'Horizontal Teams'!D5</f>
        <v>MNT</v>
      </c>
      <c r="H100" s="44" t="str">
        <f>'Horizontal Teams'!F5</f>
        <v>E5</v>
      </c>
      <c r="I100" s="44" t="str">
        <f>'Horizontal Teams'!G5</f>
        <v>ON</v>
      </c>
      <c r="J100" s="44" t="str">
        <f>'Horizontal Teams'!H5</f>
        <v>FTC</v>
      </c>
      <c r="K100" s="9">
        <f>'Horizontal Teams'!I5</f>
        <v>1</v>
      </c>
      <c r="L100" s="19">
        <v>1</v>
      </c>
      <c r="M100" s="46">
        <f t="shared" si="1"/>
        <v>1</v>
      </c>
      <c r="N100" s="46">
        <f>M100*INDEX('Logic Tree'!$J$75:$N$77,MATCH(I100,'Logic Tree'!$I$75:$I$77,0),MATCH(H100,'Logic Tree'!$J$74:$N$74,0))</f>
        <v>2.5499999999999998</v>
      </c>
    </row>
    <row r="101" spans="2:14" ht="15" customHeight="1">
      <c r="B101" s="19">
        <v>1</v>
      </c>
      <c r="C101" s="11" t="s">
        <v>700</v>
      </c>
      <c r="D101" s="44" t="str">
        <f>'Horizontal Teams'!C6</f>
        <v>H1</v>
      </c>
      <c r="E101" s="36" t="s">
        <v>700</v>
      </c>
      <c r="F101" s="49" t="str">
        <f>'Horizontal Teams'!E6</f>
        <v>Release &amp; Environment Manager</v>
      </c>
      <c r="G101" s="44" t="str">
        <f>'Horizontal Teams'!D6</f>
        <v>MNT</v>
      </c>
      <c r="H101" s="44" t="str">
        <f>'Horizontal Teams'!F6</f>
        <v>E4</v>
      </c>
      <c r="I101" s="44" t="str">
        <f>'Horizontal Teams'!G6</f>
        <v>ON</v>
      </c>
      <c r="J101" s="44" t="str">
        <f>'Horizontal Teams'!H6</f>
        <v>FTC</v>
      </c>
      <c r="K101" s="9">
        <f>'Horizontal Teams'!I6</f>
        <v>2.5</v>
      </c>
      <c r="L101" s="19">
        <v>1</v>
      </c>
      <c r="M101" s="46">
        <f t="shared" si="1"/>
        <v>2.5</v>
      </c>
      <c r="N101" s="46">
        <f>M101*INDEX('Logic Tree'!$J$75:$N$77,MATCH(I101,'Logic Tree'!$I$75:$I$77,0),MATCH(H101,'Logic Tree'!$J$74:$N$74,0))</f>
        <v>4.625</v>
      </c>
    </row>
    <row r="102" spans="2:14" ht="15" customHeight="1">
      <c r="B102" s="19">
        <v>1</v>
      </c>
      <c r="C102" s="11" t="s">
        <v>700</v>
      </c>
      <c r="D102" s="44" t="str">
        <f>'Horizontal Teams'!C7</f>
        <v>H1</v>
      </c>
      <c r="E102" s="36" t="s">
        <v>700</v>
      </c>
      <c r="F102" s="49" t="str">
        <f>'Horizontal Teams'!E7</f>
        <v>L2 Application Support</v>
      </c>
      <c r="G102" s="44" t="str">
        <f>'Horizontal Teams'!D7</f>
        <v>MNT</v>
      </c>
      <c r="H102" s="44" t="str">
        <f>'Horizontal Teams'!F7</f>
        <v>E1</v>
      </c>
      <c r="I102" s="44" t="str">
        <f>'Horizontal Teams'!G7</f>
        <v>OFF</v>
      </c>
      <c r="J102" s="44" t="str">
        <f>'Horizontal Teams'!H7</f>
        <v>FTC</v>
      </c>
      <c r="K102" s="9">
        <f>'Horizontal Teams'!I7</f>
        <v>2</v>
      </c>
      <c r="L102" s="19">
        <v>1</v>
      </c>
      <c r="M102" s="46">
        <f t="shared" si="1"/>
        <v>2</v>
      </c>
      <c r="N102" s="46">
        <f>M102*INDEX('Logic Tree'!$J$75:$N$77,MATCH(I102,'Logic Tree'!$I$75:$I$77,0),MATCH(H102,'Logic Tree'!$J$74:$N$74,0))</f>
        <v>0.44</v>
      </c>
    </row>
    <row r="103" spans="2:14" ht="15" customHeight="1">
      <c r="B103" s="19">
        <v>1</v>
      </c>
      <c r="C103" s="11" t="s">
        <v>700</v>
      </c>
      <c r="D103" s="44" t="str">
        <f>'Horizontal Teams'!C8</f>
        <v>H1</v>
      </c>
      <c r="E103" s="36" t="s">
        <v>700</v>
      </c>
      <c r="F103" s="49" t="str">
        <f>'Horizontal Teams'!E8</f>
        <v>L2 Application Support</v>
      </c>
      <c r="G103" s="44" t="str">
        <f>'Horizontal Teams'!D8</f>
        <v>MNT</v>
      </c>
      <c r="H103" s="44" t="str">
        <f>'Horizontal Teams'!F8</f>
        <v>E2</v>
      </c>
      <c r="I103" s="44" t="str">
        <f>'Horizontal Teams'!G8</f>
        <v>OFF</v>
      </c>
      <c r="J103" s="44" t="str">
        <f>'Horizontal Teams'!H8</f>
        <v>FTC</v>
      </c>
      <c r="K103" s="9">
        <f>'Horizontal Teams'!I8</f>
        <v>1</v>
      </c>
      <c r="L103" s="19">
        <v>1</v>
      </c>
      <c r="M103" s="46">
        <f t="shared" si="1"/>
        <v>1</v>
      </c>
      <c r="N103" s="46">
        <f>M103*INDEX('Logic Tree'!$J$75:$N$77,MATCH(I103,'Logic Tree'!$I$75:$I$77,0),MATCH(H103,'Logic Tree'!$J$74:$N$74,0))</f>
        <v>0.3</v>
      </c>
    </row>
    <row r="104" spans="2:14" ht="15" customHeight="1">
      <c r="B104" s="19">
        <v>1</v>
      </c>
      <c r="C104" s="11" t="s">
        <v>700</v>
      </c>
      <c r="D104" s="44" t="str">
        <f>'Horizontal Teams'!C9</f>
        <v>H1</v>
      </c>
      <c r="E104" s="36" t="s">
        <v>700</v>
      </c>
      <c r="F104" s="49" t="str">
        <f>'Horizontal Teams'!E9</f>
        <v>Incident &amp; Problem Analyst</v>
      </c>
      <c r="G104" s="44" t="str">
        <f>'Horizontal Teams'!D9</f>
        <v>MNT</v>
      </c>
      <c r="H104" s="44" t="str">
        <f>'Horizontal Teams'!F9</f>
        <v>E3</v>
      </c>
      <c r="I104" s="44" t="str">
        <f>'Horizontal Teams'!G9</f>
        <v>ON</v>
      </c>
      <c r="J104" s="44" t="str">
        <f>'Horizontal Teams'!H9</f>
        <v>FTC</v>
      </c>
      <c r="K104" s="9">
        <f>'Horizontal Teams'!I9</f>
        <v>1</v>
      </c>
      <c r="L104" s="19">
        <v>1</v>
      </c>
      <c r="M104" s="46">
        <f t="shared" si="1"/>
        <v>1</v>
      </c>
      <c r="N104" s="46">
        <f>M104*INDEX('Logic Tree'!$J$75:$N$77,MATCH(I104,'Logic Tree'!$I$75:$I$77,0),MATCH(H104,'Logic Tree'!$J$74:$N$74,0))</f>
        <v>1.35</v>
      </c>
    </row>
    <row r="105" spans="2:14" ht="15" customHeight="1">
      <c r="B105" s="19">
        <v>1</v>
      </c>
      <c r="C105" s="11" t="s">
        <v>700</v>
      </c>
      <c r="D105" s="44" t="str">
        <f>'Horizontal Teams'!C10</f>
        <v>H1</v>
      </c>
      <c r="E105" s="36" t="s">
        <v>700</v>
      </c>
      <c r="F105" s="49" t="str">
        <f>'Horizontal Teams'!E10</f>
        <v>Observability / AIOps Engineer</v>
      </c>
      <c r="G105" s="44" t="str">
        <f>'Horizontal Teams'!D10</f>
        <v>OTH</v>
      </c>
      <c r="H105" s="44" t="str">
        <f>'Horizontal Teams'!F10</f>
        <v>E3</v>
      </c>
      <c r="I105" s="44" t="str">
        <f>'Horizontal Teams'!G10</f>
        <v>OFF</v>
      </c>
      <c r="J105" s="44" t="str">
        <f>'Horizontal Teams'!H10</f>
        <v>FTC</v>
      </c>
      <c r="K105" s="9">
        <f>'Horizontal Teams'!I10</f>
        <v>1</v>
      </c>
      <c r="L105" s="19">
        <v>1</v>
      </c>
      <c r="M105" s="46">
        <f t="shared" si="1"/>
        <v>1</v>
      </c>
      <c r="N105" s="46">
        <f>M105*INDEX('Logic Tree'!$J$75:$N$77,MATCH(I105,'Logic Tree'!$I$75:$I$77,0),MATCH(H105,'Logic Tree'!$J$74:$N$74,0))</f>
        <v>0.42</v>
      </c>
    </row>
    <row r="106" spans="2:14" ht="15" customHeight="1">
      <c r="B106" s="19">
        <v>1</v>
      </c>
      <c r="C106" s="11" t="s">
        <v>700</v>
      </c>
      <c r="D106" s="44" t="str">
        <f>'Horizontal Teams'!C11</f>
        <v>H1</v>
      </c>
      <c r="E106" s="36" t="s">
        <v>700</v>
      </c>
      <c r="F106" s="49" t="str">
        <f>'Horizontal Teams'!E11</f>
        <v>Platform &amp; Integration Engineer</v>
      </c>
      <c r="G106" s="44" t="str">
        <f>'Horizontal Teams'!D11</f>
        <v>DEV</v>
      </c>
      <c r="H106" s="44" t="str">
        <f>'Horizontal Teams'!F11</f>
        <v>E3</v>
      </c>
      <c r="I106" s="44" t="str">
        <f>'Horizontal Teams'!G11</f>
        <v>ON</v>
      </c>
      <c r="J106" s="44" t="str">
        <f>'Horizontal Teams'!H11</f>
        <v>FTC</v>
      </c>
      <c r="K106" s="9">
        <f>'Horizontal Teams'!I11</f>
        <v>3.5</v>
      </c>
      <c r="L106" s="19">
        <v>1</v>
      </c>
      <c r="M106" s="46">
        <f t="shared" si="1"/>
        <v>3.5</v>
      </c>
      <c r="N106" s="46">
        <f>M106*INDEX('Logic Tree'!$J$75:$N$77,MATCH(I106,'Logic Tree'!$I$75:$I$77,0),MATCH(H106,'Logic Tree'!$J$74:$N$74,0))</f>
        <v>4.7250000000000005</v>
      </c>
    </row>
    <row r="107" spans="2:14" ht="15" customHeight="1">
      <c r="B107" s="19">
        <v>1</v>
      </c>
      <c r="C107" s="11" t="s">
        <v>700</v>
      </c>
      <c r="D107" s="44" t="str">
        <f>'Horizontal Teams'!C12</f>
        <v>H1</v>
      </c>
      <c r="E107" s="36" t="s">
        <v>700</v>
      </c>
      <c r="F107" s="49" t="str">
        <f>'Horizontal Teams'!E12</f>
        <v>Platform &amp; Integration Engineer</v>
      </c>
      <c r="G107" s="44" t="str">
        <f>'Horizontal Teams'!D12</f>
        <v>DEV</v>
      </c>
      <c r="H107" s="44" t="str">
        <f>'Horizontal Teams'!F12</f>
        <v>E3</v>
      </c>
      <c r="I107" s="44" t="str">
        <f>'Horizontal Teams'!G12</f>
        <v>OFF</v>
      </c>
      <c r="J107" s="44" t="str">
        <f>'Horizontal Teams'!H12</f>
        <v>FTC</v>
      </c>
      <c r="K107" s="9">
        <f>'Horizontal Teams'!I12</f>
        <v>3</v>
      </c>
      <c r="L107" s="19">
        <v>1</v>
      </c>
      <c r="M107" s="46">
        <f t="shared" si="1"/>
        <v>3</v>
      </c>
      <c r="N107" s="46">
        <f>M107*INDEX('Logic Tree'!$J$75:$N$77,MATCH(I107,'Logic Tree'!$I$75:$I$77,0),MATCH(H107,'Logic Tree'!$J$74:$N$74,0))</f>
        <v>1.26</v>
      </c>
    </row>
    <row r="108" spans="2:14" ht="15" customHeight="1">
      <c r="B108" s="19">
        <v>1</v>
      </c>
      <c r="C108" s="11" t="s">
        <v>700</v>
      </c>
      <c r="D108" s="44" t="str">
        <f>'Horizontal Teams'!C13</f>
        <v>H1</v>
      </c>
      <c r="E108" s="36" t="s">
        <v>700</v>
      </c>
      <c r="F108" s="49" t="str">
        <f>'Horizontal Teams'!E13</f>
        <v>Offshore Engineering Lead</v>
      </c>
      <c r="G108" s="44" t="str">
        <f>'Horizontal Teams'!D13</f>
        <v>DEV</v>
      </c>
      <c r="H108" s="44" t="str">
        <f>'Horizontal Teams'!F13</f>
        <v>E5</v>
      </c>
      <c r="I108" s="44" t="str">
        <f>'Horizontal Teams'!G13</f>
        <v>OFF</v>
      </c>
      <c r="J108" s="44" t="str">
        <f>'Horizontal Teams'!H13</f>
        <v>FTC</v>
      </c>
      <c r="K108" s="9">
        <f>'Horizontal Teams'!I13</f>
        <v>1</v>
      </c>
      <c r="L108" s="19">
        <v>1</v>
      </c>
      <c r="M108" s="46">
        <f t="shared" si="1"/>
        <v>1</v>
      </c>
      <c r="N108" s="46">
        <f>M108*INDEX('Logic Tree'!$J$75:$N$77,MATCH(I108,'Logic Tree'!$I$75:$I$77,0),MATCH(H108,'Logic Tree'!$J$74:$N$74,0))</f>
        <v>0.85</v>
      </c>
    </row>
    <row r="109" spans="2:14" ht="15" customHeight="1">
      <c r="B109" s="19">
        <v>1</v>
      </c>
      <c r="C109" s="11" t="s">
        <v>700</v>
      </c>
      <c r="D109" s="44" t="str">
        <f>'Horizontal Teams'!C14</f>
        <v>H1</v>
      </c>
      <c r="E109" s="36" t="s">
        <v>700</v>
      </c>
      <c r="F109" s="49" t="str">
        <f>'Horizontal Teams'!E14</f>
        <v>MGCC Platform SRE</v>
      </c>
      <c r="G109" s="44" t="str">
        <f>'Horizontal Teams'!D14</f>
        <v>DEV</v>
      </c>
      <c r="H109" s="44" t="str">
        <f>'Horizontal Teams'!F14</f>
        <v>E3</v>
      </c>
      <c r="I109" s="44" t="str">
        <f>'Horizontal Teams'!G14</f>
        <v>OFF</v>
      </c>
      <c r="J109" s="44" t="str">
        <f>'Horizontal Teams'!H14</f>
        <v>MGCC</v>
      </c>
      <c r="K109" s="9">
        <f>'Horizontal Teams'!I14</f>
        <v>2.5</v>
      </c>
      <c r="L109" s="19">
        <v>1</v>
      </c>
      <c r="M109" s="46">
        <f t="shared" si="1"/>
        <v>2.5</v>
      </c>
      <c r="N109" s="46">
        <f>M109*INDEX('Logic Tree'!$J$75:$N$77,MATCH(I109,'Logic Tree'!$I$75:$I$77,0),MATCH(H109,'Logic Tree'!$J$74:$N$74,0))</f>
        <v>1.05</v>
      </c>
    </row>
    <row r="110" spans="2:14" ht="15" customHeight="1">
      <c r="B110" s="19">
        <v>1</v>
      </c>
      <c r="C110" s="11" t="s">
        <v>700</v>
      </c>
      <c r="D110" s="44" t="str">
        <f>'Horizontal Teams'!C15</f>
        <v>H1</v>
      </c>
      <c r="E110" s="36" t="s">
        <v>700</v>
      </c>
      <c r="F110" s="49" t="str">
        <f>'Horizontal Teams'!E15</f>
        <v>MetLife Service Owner</v>
      </c>
      <c r="G110" s="44" t="str">
        <f>'Horizontal Teams'!D15</f>
        <v>PM</v>
      </c>
      <c r="H110" s="44" t="str">
        <f>'Horizontal Teams'!F15</f>
        <v>E4</v>
      </c>
      <c r="I110" s="44" t="str">
        <f>'Horizontal Teams'!G15</f>
        <v>ON</v>
      </c>
      <c r="J110" s="44" t="str">
        <f>'Horizontal Teams'!H15</f>
        <v>FTE</v>
      </c>
      <c r="K110" s="9">
        <f>'Horizontal Teams'!I15</f>
        <v>2</v>
      </c>
      <c r="L110" s="19">
        <v>1</v>
      </c>
      <c r="M110" s="46">
        <f t="shared" si="1"/>
        <v>2</v>
      </c>
      <c r="N110" s="46">
        <f>M110*INDEX('Logic Tree'!$J$75:$N$77,MATCH(I110,'Logic Tree'!$I$75:$I$77,0),MATCH(H110,'Logic Tree'!$J$74:$N$74,0))</f>
        <v>3.7</v>
      </c>
    </row>
    <row r="111" spans="2:14" ht="15" customHeight="1">
      <c r="B111" s="19">
        <v>1</v>
      </c>
      <c r="C111" s="11" t="s">
        <v>700</v>
      </c>
      <c r="D111" s="44" t="str">
        <f>'Horizontal Teams'!C16</f>
        <v>H1</v>
      </c>
      <c r="E111" s="36" t="s">
        <v>700</v>
      </c>
      <c r="F111" s="49" t="str">
        <f>'Horizontal Teams'!E16</f>
        <v>MetLife Distribution Ops Analyst</v>
      </c>
      <c r="G111" s="44" t="str">
        <f>'Horizontal Teams'!D16</f>
        <v>MNT</v>
      </c>
      <c r="H111" s="44" t="str">
        <f>'Horizontal Teams'!F16</f>
        <v>E3</v>
      </c>
      <c r="I111" s="44" t="str">
        <f>'Horizontal Teams'!G16</f>
        <v>ON</v>
      </c>
      <c r="J111" s="44" t="str">
        <f>'Horizontal Teams'!H16</f>
        <v>FTE</v>
      </c>
      <c r="K111" s="9">
        <f>'Horizontal Teams'!I16</f>
        <v>5</v>
      </c>
      <c r="L111" s="19">
        <v>1</v>
      </c>
      <c r="M111" s="46">
        <f t="shared" si="1"/>
        <v>5</v>
      </c>
      <c r="N111" s="46">
        <f>M111*INDEX('Logic Tree'!$J$75:$N$77,MATCH(I111,'Logic Tree'!$I$75:$I$77,0),MATCH(H111,'Logic Tree'!$J$74:$N$74,0))</f>
        <v>6.75</v>
      </c>
    </row>
    <row r="112" spans="2:14" ht="15" customHeight="1">
      <c r="B112" s="19">
        <v>1</v>
      </c>
      <c r="C112" s="11" t="s">
        <v>700</v>
      </c>
      <c r="D112" s="44" t="str">
        <f>'Horizontal Teams'!C17</f>
        <v>H2</v>
      </c>
      <c r="E112" s="36" t="s">
        <v>700</v>
      </c>
      <c r="F112" s="49" t="str">
        <f>'Horizontal Teams'!E17</f>
        <v>Head of Quality Engineering</v>
      </c>
      <c r="G112" s="44" t="str">
        <f>'Horizontal Teams'!D17</f>
        <v>TEST</v>
      </c>
      <c r="H112" s="44" t="str">
        <f>'Horizontal Teams'!F17</f>
        <v>E5</v>
      </c>
      <c r="I112" s="44" t="str">
        <f>'Horizontal Teams'!G17</f>
        <v>ON</v>
      </c>
      <c r="J112" s="44" t="str">
        <f>'Horizontal Teams'!H17</f>
        <v>FTC</v>
      </c>
      <c r="K112" s="9">
        <f>'Horizontal Teams'!I17</f>
        <v>0.5</v>
      </c>
      <c r="L112" s="19">
        <v>1</v>
      </c>
      <c r="M112" s="46">
        <f t="shared" si="1"/>
        <v>0.5</v>
      </c>
      <c r="N112" s="46">
        <f>M112*INDEX('Logic Tree'!$J$75:$N$77,MATCH(I112,'Logic Tree'!$I$75:$I$77,0),MATCH(H112,'Logic Tree'!$J$74:$N$74,0))</f>
        <v>1.2749999999999999</v>
      </c>
    </row>
    <row r="113" spans="2:14" ht="15" customHeight="1">
      <c r="B113" s="19">
        <v>1</v>
      </c>
      <c r="C113" s="11" t="s">
        <v>700</v>
      </c>
      <c r="D113" s="44" t="str">
        <f>'Horizontal Teams'!C18</f>
        <v>H2</v>
      </c>
      <c r="E113" s="36" t="s">
        <v>700</v>
      </c>
      <c r="F113" s="49" t="str">
        <f>'Horizontal Teams'!E18</f>
        <v>Test Architect</v>
      </c>
      <c r="G113" s="44" t="str">
        <f>'Horizontal Teams'!D18</f>
        <v>TEST</v>
      </c>
      <c r="H113" s="44" t="str">
        <f>'Horizontal Teams'!F18</f>
        <v>E4</v>
      </c>
      <c r="I113" s="44" t="str">
        <f>'Horizontal Teams'!G18</f>
        <v>ON</v>
      </c>
      <c r="J113" s="44" t="str">
        <f>'Horizontal Teams'!H18</f>
        <v>FTC</v>
      </c>
      <c r="K113" s="9">
        <f>'Horizontal Teams'!I18</f>
        <v>0.5</v>
      </c>
      <c r="L113" s="19">
        <v>1</v>
      </c>
      <c r="M113" s="46">
        <f t="shared" si="1"/>
        <v>0.5</v>
      </c>
      <c r="N113" s="46">
        <f>M113*INDEX('Logic Tree'!$J$75:$N$77,MATCH(I113,'Logic Tree'!$I$75:$I$77,0),MATCH(H113,'Logic Tree'!$J$74:$N$74,0))</f>
        <v>0.92500000000000004</v>
      </c>
    </row>
    <row r="114" spans="2:14" ht="15" customHeight="1">
      <c r="B114" s="19">
        <v>1</v>
      </c>
      <c r="C114" s="11" t="s">
        <v>700</v>
      </c>
      <c r="D114" s="44" t="str">
        <f>'Horizontal Teams'!C19</f>
        <v>H2</v>
      </c>
      <c r="E114" s="36" t="s">
        <v>700</v>
      </c>
      <c r="F114" s="49" t="str">
        <f>'Horizontal Teams'!E19</f>
        <v>Performance Test Engineer</v>
      </c>
      <c r="G114" s="44" t="str">
        <f>'Horizontal Teams'!D19</f>
        <v>TEST</v>
      </c>
      <c r="H114" s="44" t="str">
        <f>'Horizontal Teams'!F19</f>
        <v>E3</v>
      </c>
      <c r="I114" s="44" t="str">
        <f>'Horizontal Teams'!G19</f>
        <v>ON</v>
      </c>
      <c r="J114" s="44" t="str">
        <f>'Horizontal Teams'!H19</f>
        <v>FTC</v>
      </c>
      <c r="K114" s="9">
        <f>'Horizontal Teams'!I19</f>
        <v>2.5</v>
      </c>
      <c r="L114" s="19">
        <v>1</v>
      </c>
      <c r="M114" s="46">
        <f t="shared" si="1"/>
        <v>2.5</v>
      </c>
      <c r="N114" s="46">
        <f>M114*INDEX('Logic Tree'!$J$75:$N$77,MATCH(I114,'Logic Tree'!$I$75:$I$77,0),MATCH(H114,'Logic Tree'!$J$74:$N$74,0))</f>
        <v>3.375</v>
      </c>
    </row>
    <row r="115" spans="2:14" ht="15" customHeight="1">
      <c r="B115" s="19">
        <v>1</v>
      </c>
      <c r="C115" s="11" t="s">
        <v>700</v>
      </c>
      <c r="D115" s="44" t="str">
        <f>'Horizontal Teams'!C20</f>
        <v>H2</v>
      </c>
      <c r="E115" s="36" t="s">
        <v>700</v>
      </c>
      <c r="F115" s="49" t="str">
        <f>'Horizontal Teams'!E20</f>
        <v>Regression Automation Engineer</v>
      </c>
      <c r="G115" s="44" t="str">
        <f>'Horizontal Teams'!D20</f>
        <v>TEST</v>
      </c>
      <c r="H115" s="44" t="str">
        <f>'Horizontal Teams'!F20</f>
        <v>E3</v>
      </c>
      <c r="I115" s="44" t="str">
        <f>'Horizontal Teams'!G20</f>
        <v>OFF</v>
      </c>
      <c r="J115" s="44" t="str">
        <f>'Horizontal Teams'!H20</f>
        <v>FTC</v>
      </c>
      <c r="K115" s="9">
        <f>'Horizontal Teams'!I20</f>
        <v>4</v>
      </c>
      <c r="L115" s="19">
        <v>1</v>
      </c>
      <c r="M115" s="46">
        <f t="shared" si="1"/>
        <v>4</v>
      </c>
      <c r="N115" s="46">
        <f>M115*INDEX('Logic Tree'!$J$75:$N$77,MATCH(I115,'Logic Tree'!$I$75:$I$77,0),MATCH(H115,'Logic Tree'!$J$74:$N$74,0))</f>
        <v>1.68</v>
      </c>
    </row>
    <row r="116" spans="2:14" ht="15" customHeight="1">
      <c r="B116" s="19">
        <v>1</v>
      </c>
      <c r="C116" s="11" t="s">
        <v>700</v>
      </c>
      <c r="D116" s="44" t="str">
        <f>'Horizontal Teams'!C21</f>
        <v>H2</v>
      </c>
      <c r="E116" s="36" t="s">
        <v>700</v>
      </c>
      <c r="F116" s="49" t="str">
        <f>'Horizontal Teams'!E21</f>
        <v>Regression Automation Engineer</v>
      </c>
      <c r="G116" s="44" t="str">
        <f>'Horizontal Teams'!D21</f>
        <v>TEST</v>
      </c>
      <c r="H116" s="44" t="str">
        <f>'Horizontal Teams'!F21</f>
        <v>E4</v>
      </c>
      <c r="I116" s="44" t="str">
        <f>'Horizontal Teams'!G21</f>
        <v>OFF</v>
      </c>
      <c r="J116" s="44" t="str">
        <f>'Horizontal Teams'!H21</f>
        <v>FTC</v>
      </c>
      <c r="K116" s="9">
        <f>'Horizontal Teams'!I21</f>
        <v>2</v>
      </c>
      <c r="L116" s="19">
        <v>1</v>
      </c>
      <c r="M116" s="46">
        <f t="shared" si="1"/>
        <v>2</v>
      </c>
      <c r="N116" s="46">
        <f>M116*INDEX('Logic Tree'!$J$75:$N$77,MATCH(I116,'Logic Tree'!$I$75:$I$77,0),MATCH(H116,'Logic Tree'!$J$74:$N$74,0))</f>
        <v>1.2</v>
      </c>
    </row>
    <row r="117" spans="2:14" ht="15" customHeight="1">
      <c r="B117" s="19">
        <v>1</v>
      </c>
      <c r="C117" s="11" t="s">
        <v>700</v>
      </c>
      <c r="D117" s="44" t="str">
        <f>'Horizontal Teams'!C22</f>
        <v>H2</v>
      </c>
      <c r="E117" s="36" t="s">
        <v>700</v>
      </c>
      <c r="F117" s="49" t="str">
        <f>'Horizontal Teams'!E22</f>
        <v>Test Automation Principal</v>
      </c>
      <c r="G117" s="44" t="str">
        <f>'Horizontal Teams'!D22</f>
        <v>TEST</v>
      </c>
      <c r="H117" s="44" t="str">
        <f>'Horizontal Teams'!F22</f>
        <v>E5</v>
      </c>
      <c r="I117" s="44" t="str">
        <f>'Horizontal Teams'!G22</f>
        <v>OFF</v>
      </c>
      <c r="J117" s="44" t="str">
        <f>'Horizontal Teams'!H22</f>
        <v>FTC</v>
      </c>
      <c r="K117" s="9">
        <f>'Horizontal Teams'!I22</f>
        <v>1</v>
      </c>
      <c r="L117" s="19">
        <v>1</v>
      </c>
      <c r="M117" s="46">
        <f t="shared" si="1"/>
        <v>1</v>
      </c>
      <c r="N117" s="46">
        <f>M117*INDEX('Logic Tree'!$J$75:$N$77,MATCH(I117,'Logic Tree'!$I$75:$I$77,0),MATCH(H117,'Logic Tree'!$J$74:$N$74,0))</f>
        <v>0.85</v>
      </c>
    </row>
    <row r="118" spans="2:14" ht="15" customHeight="1">
      <c r="B118" s="19">
        <v>1</v>
      </c>
      <c r="C118" s="11" t="s">
        <v>700</v>
      </c>
      <c r="D118" s="44" t="str">
        <f>'Horizontal Teams'!C23</f>
        <v>H2</v>
      </c>
      <c r="E118" s="36" t="s">
        <v>700</v>
      </c>
      <c r="F118" s="49" t="str">
        <f>'Horizontal Teams'!E23</f>
        <v>Test Data Engineer</v>
      </c>
      <c r="G118" s="44" t="str">
        <f>'Horizontal Teams'!D23</f>
        <v>TEST</v>
      </c>
      <c r="H118" s="44" t="str">
        <f>'Horizontal Teams'!F23</f>
        <v>E1</v>
      </c>
      <c r="I118" s="44" t="str">
        <f>'Horizontal Teams'!G23</f>
        <v>OFF</v>
      </c>
      <c r="J118" s="44" t="str">
        <f>'Horizontal Teams'!H23</f>
        <v>FTC</v>
      </c>
      <c r="K118" s="9">
        <f>'Horizontal Teams'!I23</f>
        <v>3</v>
      </c>
      <c r="L118" s="19">
        <v>1</v>
      </c>
      <c r="M118" s="46">
        <f t="shared" si="1"/>
        <v>3</v>
      </c>
      <c r="N118" s="46">
        <f>M118*INDEX('Logic Tree'!$J$75:$N$77,MATCH(I118,'Logic Tree'!$I$75:$I$77,0),MATCH(H118,'Logic Tree'!$J$74:$N$74,0))</f>
        <v>0.66</v>
      </c>
    </row>
    <row r="119" spans="2:14" ht="15" customHeight="1">
      <c r="B119" s="19">
        <v>1</v>
      </c>
      <c r="C119" s="11" t="s">
        <v>700</v>
      </c>
      <c r="D119" s="44" t="str">
        <f>'Horizontal Teams'!C24</f>
        <v>H2</v>
      </c>
      <c r="E119" s="36" t="s">
        <v>700</v>
      </c>
      <c r="F119" s="49" t="str">
        <f>'Horizontal Teams'!E24</f>
        <v>Test Data Engineer</v>
      </c>
      <c r="G119" s="44" t="str">
        <f>'Horizontal Teams'!D24</f>
        <v>TEST</v>
      </c>
      <c r="H119" s="44" t="str">
        <f>'Horizontal Teams'!F24</f>
        <v>E2</v>
      </c>
      <c r="I119" s="44" t="str">
        <f>'Horizontal Teams'!G24</f>
        <v>OFF</v>
      </c>
      <c r="J119" s="44" t="str">
        <f>'Horizontal Teams'!H24</f>
        <v>FTC</v>
      </c>
      <c r="K119" s="9">
        <f>'Horizontal Teams'!I24</f>
        <v>3</v>
      </c>
      <c r="L119" s="19">
        <v>1</v>
      </c>
      <c r="M119" s="46">
        <f t="shared" si="1"/>
        <v>3</v>
      </c>
      <c r="N119" s="46">
        <f>M119*INDEX('Logic Tree'!$J$75:$N$77,MATCH(I119,'Logic Tree'!$I$75:$I$77,0),MATCH(H119,'Logic Tree'!$J$74:$N$74,0))</f>
        <v>0.89999999999999991</v>
      </c>
    </row>
    <row r="120" spans="2:14" ht="15" customHeight="1">
      <c r="B120" s="19">
        <v>1</v>
      </c>
      <c r="C120" s="11" t="s">
        <v>700</v>
      </c>
      <c r="D120" s="44" t="str">
        <f>'Horizontal Teams'!C25</f>
        <v>H2</v>
      </c>
      <c r="E120" s="36" t="s">
        <v>700</v>
      </c>
      <c r="F120" s="49" t="str">
        <f>'Horizontal Teams'!E25</f>
        <v>MGCC Regression Automation</v>
      </c>
      <c r="G120" s="44" t="str">
        <f>'Horizontal Teams'!D25</f>
        <v>TEST</v>
      </c>
      <c r="H120" s="44" t="str">
        <f>'Horizontal Teams'!F25</f>
        <v>E3</v>
      </c>
      <c r="I120" s="44" t="str">
        <f>'Horizontal Teams'!G25</f>
        <v>OFF</v>
      </c>
      <c r="J120" s="44" t="str">
        <f>'Horizontal Teams'!H25</f>
        <v>MGCC</v>
      </c>
      <c r="K120" s="9">
        <f>'Horizontal Teams'!I25</f>
        <v>3.5</v>
      </c>
      <c r="L120" s="19">
        <v>1</v>
      </c>
      <c r="M120" s="46">
        <f t="shared" si="1"/>
        <v>3.5</v>
      </c>
      <c r="N120" s="46">
        <f>M120*INDEX('Logic Tree'!$J$75:$N$77,MATCH(I120,'Logic Tree'!$I$75:$I$77,0),MATCH(H120,'Logic Tree'!$J$74:$N$74,0))</f>
        <v>1.47</v>
      </c>
    </row>
    <row r="121" spans="2:14" ht="15" customHeight="1">
      <c r="B121" s="19">
        <v>1</v>
      </c>
      <c r="C121" s="11" t="s">
        <v>700</v>
      </c>
      <c r="D121" s="44" t="str">
        <f>'Horizontal Teams'!C26</f>
        <v>H2</v>
      </c>
      <c r="E121" s="36" t="s">
        <v>700</v>
      </c>
      <c r="F121" s="49" t="str">
        <f>'Horizontal Teams'!E26</f>
        <v>MetLife Test Governance</v>
      </c>
      <c r="G121" s="44" t="str">
        <f>'Horizontal Teams'!D26</f>
        <v>TEST</v>
      </c>
      <c r="H121" s="44" t="str">
        <f>'Horizontal Teams'!F26</f>
        <v>E4</v>
      </c>
      <c r="I121" s="44" t="str">
        <f>'Horizontal Teams'!G26</f>
        <v>ON</v>
      </c>
      <c r="J121" s="44" t="str">
        <f>'Horizontal Teams'!H26</f>
        <v>FTE</v>
      </c>
      <c r="K121" s="9">
        <f>'Horizontal Teams'!I26</f>
        <v>2.5</v>
      </c>
      <c r="L121" s="19">
        <v>1</v>
      </c>
      <c r="M121" s="46">
        <f t="shared" si="1"/>
        <v>2.5</v>
      </c>
      <c r="N121" s="46">
        <f>M121*INDEX('Logic Tree'!$J$75:$N$77,MATCH(I121,'Logic Tree'!$I$75:$I$77,0),MATCH(H121,'Logic Tree'!$J$74:$N$74,0))</f>
        <v>4.625</v>
      </c>
    </row>
    <row r="122" spans="2:14" ht="15" customHeight="1">
      <c r="B122" s="19">
        <v>1</v>
      </c>
      <c r="C122" s="11" t="s">
        <v>700</v>
      </c>
      <c r="D122" s="44" t="str">
        <f>'Horizontal Teams'!C27</f>
        <v>H2</v>
      </c>
      <c r="E122" s="36" t="s">
        <v>700</v>
      </c>
      <c r="F122" s="49" t="str">
        <f>'Horizontal Teams'!E27</f>
        <v>MetLife Data &amp; Reporting Analyst</v>
      </c>
      <c r="G122" s="44" t="str">
        <f>'Horizontal Teams'!D27</f>
        <v>BSA</v>
      </c>
      <c r="H122" s="44" t="str">
        <f>'Horizontal Teams'!F27</f>
        <v>E3</v>
      </c>
      <c r="I122" s="44" t="str">
        <f>'Horizontal Teams'!G27</f>
        <v>ON</v>
      </c>
      <c r="J122" s="44" t="str">
        <f>'Horizontal Teams'!H27</f>
        <v>FTE</v>
      </c>
      <c r="K122" s="9">
        <f>'Horizontal Teams'!I27</f>
        <v>2</v>
      </c>
      <c r="L122" s="19">
        <v>1</v>
      </c>
      <c r="M122" s="46">
        <f t="shared" si="1"/>
        <v>2</v>
      </c>
      <c r="N122" s="46">
        <f>M122*INDEX('Logic Tree'!$J$75:$N$77,MATCH(I122,'Logic Tree'!$I$75:$I$77,0),MATCH(H122,'Logic Tree'!$J$74:$N$74,0))</f>
        <v>2.7</v>
      </c>
    </row>
    <row r="123" spans="2:14" ht="15" customHeight="1">
      <c r="B123" s="19">
        <v>1</v>
      </c>
      <c r="C123" s="11" t="s">
        <v>700</v>
      </c>
      <c r="D123" s="44" t="str">
        <f>'Horizontal Teams'!C28</f>
        <v>H3</v>
      </c>
      <c r="E123" s="36" t="s">
        <v>700</v>
      </c>
      <c r="F123" s="49" t="str">
        <f>'Horizontal Teams'!E28</f>
        <v>Domain Delivery Head</v>
      </c>
      <c r="G123" s="44" t="str">
        <f>'Horizontal Teams'!D28</f>
        <v>PM</v>
      </c>
      <c r="H123" s="44" t="str">
        <f>'Horizontal Teams'!F28</f>
        <v>E5</v>
      </c>
      <c r="I123" s="44" t="str">
        <f>'Horizontal Teams'!G28</f>
        <v>ON</v>
      </c>
      <c r="J123" s="44" t="str">
        <f>'Horizontal Teams'!H28</f>
        <v>FTC</v>
      </c>
      <c r="K123" s="9">
        <f>'Horizontal Teams'!I28</f>
        <v>1</v>
      </c>
      <c r="L123" s="19">
        <v>1</v>
      </c>
      <c r="M123" s="46">
        <f t="shared" si="1"/>
        <v>1</v>
      </c>
      <c r="N123" s="46">
        <f>M123*INDEX('Logic Tree'!$J$75:$N$77,MATCH(I123,'Logic Tree'!$I$75:$I$77,0),MATCH(H123,'Logic Tree'!$J$74:$N$74,0))</f>
        <v>2.5499999999999998</v>
      </c>
    </row>
    <row r="124" spans="2:14" ht="15" customHeight="1">
      <c r="B124" s="19">
        <v>1</v>
      </c>
      <c r="C124" s="11" t="s">
        <v>700</v>
      </c>
      <c r="D124" s="44" t="str">
        <f>'Horizontal Teams'!C29</f>
        <v>H3</v>
      </c>
      <c r="E124" s="36" t="s">
        <v>700</v>
      </c>
      <c r="F124" s="49" t="str">
        <f>'Horizontal Teams'!E29</f>
        <v>Release Train Engineer</v>
      </c>
      <c r="G124" s="44" t="str">
        <f>'Horizontal Teams'!D29</f>
        <v>PM</v>
      </c>
      <c r="H124" s="44" t="str">
        <f>'Horizontal Teams'!F29</f>
        <v>E4</v>
      </c>
      <c r="I124" s="44" t="str">
        <f>'Horizontal Teams'!G29</f>
        <v>ON</v>
      </c>
      <c r="J124" s="44" t="str">
        <f>'Horizontal Teams'!H29</f>
        <v>FTC</v>
      </c>
      <c r="K124" s="9">
        <f>'Horizontal Teams'!I29</f>
        <v>2.5</v>
      </c>
      <c r="L124" s="19">
        <v>1</v>
      </c>
      <c r="M124" s="46">
        <f t="shared" si="1"/>
        <v>2.5</v>
      </c>
      <c r="N124" s="46">
        <f>M124*INDEX('Logic Tree'!$J$75:$N$77,MATCH(I124,'Logic Tree'!$I$75:$I$77,0),MATCH(H124,'Logic Tree'!$J$74:$N$74,0))</f>
        <v>4.625</v>
      </c>
    </row>
    <row r="125" spans="2:14" ht="15" customHeight="1">
      <c r="B125" s="19">
        <v>1</v>
      </c>
      <c r="C125" s="11" t="s">
        <v>700</v>
      </c>
      <c r="D125" s="44" t="str">
        <f>'Horizontal Teams'!C30</f>
        <v>H3</v>
      </c>
      <c r="E125" s="36" t="s">
        <v>700</v>
      </c>
      <c r="F125" s="49" t="str">
        <f>'Horizontal Teams'!E30</f>
        <v>Service &amp; Contract Manager</v>
      </c>
      <c r="G125" s="44" t="str">
        <f>'Horizontal Teams'!D30</f>
        <v>PM</v>
      </c>
      <c r="H125" s="44" t="str">
        <f>'Horizontal Teams'!F30</f>
        <v>E4</v>
      </c>
      <c r="I125" s="44" t="str">
        <f>'Horizontal Teams'!G30</f>
        <v>ON</v>
      </c>
      <c r="J125" s="44" t="str">
        <f>'Horizontal Teams'!H30</f>
        <v>FTC</v>
      </c>
      <c r="K125" s="9">
        <f>'Horizontal Teams'!I30</f>
        <v>1</v>
      </c>
      <c r="L125" s="19">
        <v>1</v>
      </c>
      <c r="M125" s="46">
        <f t="shared" si="1"/>
        <v>1</v>
      </c>
      <c r="N125" s="46">
        <f>M125*INDEX('Logic Tree'!$J$75:$N$77,MATCH(I125,'Logic Tree'!$I$75:$I$77,0),MATCH(H125,'Logic Tree'!$J$74:$N$74,0))</f>
        <v>1.85</v>
      </c>
    </row>
    <row r="126" spans="2:14" ht="15" customHeight="1">
      <c r="B126" s="19">
        <v>1</v>
      </c>
      <c r="C126" s="11" t="s">
        <v>700</v>
      </c>
      <c r="D126" s="44" t="str">
        <f>'Horizontal Teams'!C31</f>
        <v>H3</v>
      </c>
      <c r="E126" s="36" t="s">
        <v>700</v>
      </c>
      <c r="F126" s="49" t="str">
        <f>'Horizontal Teams'!E31</f>
        <v>Transition &amp; Substrate Lead</v>
      </c>
      <c r="G126" s="44" t="str">
        <f>'Horizontal Teams'!D31</f>
        <v>OTH</v>
      </c>
      <c r="H126" s="44" t="str">
        <f>'Horizontal Teams'!F31</f>
        <v>E5</v>
      </c>
      <c r="I126" s="44" t="str">
        <f>'Horizontal Teams'!G31</f>
        <v>ON</v>
      </c>
      <c r="J126" s="44" t="str">
        <f>'Horizontal Teams'!H31</f>
        <v>FTC</v>
      </c>
      <c r="K126" s="9">
        <f>'Horizontal Teams'!I31</f>
        <v>1</v>
      </c>
      <c r="L126" s="19">
        <v>1</v>
      </c>
      <c r="M126" s="46">
        <f t="shared" si="1"/>
        <v>1</v>
      </c>
      <c r="N126" s="46">
        <f>M126*INDEX('Logic Tree'!$J$75:$N$77,MATCH(I126,'Logic Tree'!$I$75:$I$77,0),MATCH(H126,'Logic Tree'!$J$74:$N$74,0))</f>
        <v>2.5499999999999998</v>
      </c>
    </row>
    <row r="127" spans="2:14" ht="15" customHeight="1">
      <c r="B127" s="19">
        <v>1</v>
      </c>
      <c r="C127" s="11" t="s">
        <v>700</v>
      </c>
      <c r="D127" s="44" t="str">
        <f>'Horizontal Teams'!C32</f>
        <v>H3</v>
      </c>
      <c r="E127" s="36" t="s">
        <v>700</v>
      </c>
      <c r="F127" s="49" t="str">
        <f>'Horizontal Teams'!E32</f>
        <v>MetLife Chief Architect — Sales</v>
      </c>
      <c r="G127" s="44" t="str">
        <f>'Horizontal Teams'!D32</f>
        <v>OTH</v>
      </c>
      <c r="H127" s="44" t="str">
        <f>'Horizontal Teams'!F32</f>
        <v>E5</v>
      </c>
      <c r="I127" s="44" t="str">
        <f>'Horizontal Teams'!G32</f>
        <v>ON</v>
      </c>
      <c r="J127" s="44" t="str">
        <f>'Horizontal Teams'!H32</f>
        <v>FTE</v>
      </c>
      <c r="K127" s="9">
        <f>'Horizontal Teams'!I32</f>
        <v>1.5</v>
      </c>
      <c r="L127" s="19">
        <v>1</v>
      </c>
      <c r="M127" s="46">
        <f t="shared" si="1"/>
        <v>1.5</v>
      </c>
      <c r="N127" s="46">
        <f>M127*INDEX('Logic Tree'!$J$75:$N$77,MATCH(I127,'Logic Tree'!$I$75:$I$77,0),MATCH(H127,'Logic Tree'!$J$74:$N$74,0))</f>
        <v>3.8249999999999997</v>
      </c>
    </row>
    <row r="128" spans="2:14" ht="15" customHeight="1">
      <c r="B128" s="19">
        <v>1</v>
      </c>
      <c r="C128" s="11" t="s">
        <v>700</v>
      </c>
      <c r="D128" s="44" t="str">
        <f>'Horizontal Teams'!C33</f>
        <v>H3</v>
      </c>
      <c r="E128" s="36" t="s">
        <v>700</v>
      </c>
      <c r="F128" s="49" t="str">
        <f>'Horizontal Teams'!E33</f>
        <v>MetLife Distribution Governance</v>
      </c>
      <c r="G128" s="44" t="str">
        <f>'Horizontal Teams'!D33</f>
        <v>BSA</v>
      </c>
      <c r="H128" s="44" t="str">
        <f>'Horizontal Teams'!F33</f>
        <v>E4</v>
      </c>
      <c r="I128" s="44" t="str">
        <f>'Horizontal Teams'!G33</f>
        <v>ON</v>
      </c>
      <c r="J128" s="44" t="str">
        <f>'Horizontal Teams'!H33</f>
        <v>FTE</v>
      </c>
      <c r="K128" s="9">
        <f>'Horizontal Teams'!I33</f>
        <v>6</v>
      </c>
      <c r="L128" s="19">
        <v>1</v>
      </c>
      <c r="M128" s="46">
        <f t="shared" si="1"/>
        <v>6</v>
      </c>
      <c r="N128" s="46">
        <f>M128*INDEX('Logic Tree'!$J$75:$N$77,MATCH(I128,'Logic Tree'!$I$75:$I$77,0),MATCH(H128,'Logic Tree'!$J$74:$N$74,0))</f>
        <v>11.100000000000001</v>
      </c>
    </row>
    <row r="129" spans="2:14" ht="15" customHeight="1">
      <c r="B129" s="19">
        <v>1</v>
      </c>
      <c r="C129" s="11" t="s">
        <v>700</v>
      </c>
      <c r="D129" s="44" t="str">
        <f>'Horizontal Teams'!C34</f>
        <v>H3</v>
      </c>
      <c r="E129" s="36" t="s">
        <v>700</v>
      </c>
      <c r="F129" s="49" t="str">
        <f>'Horizontal Teams'!E34</f>
        <v>MetLife Portfolio Manager</v>
      </c>
      <c r="G129" s="44" t="str">
        <f>'Horizontal Teams'!D34</f>
        <v>PM</v>
      </c>
      <c r="H129" s="44" t="str">
        <f>'Horizontal Teams'!F34</f>
        <v>E4</v>
      </c>
      <c r="I129" s="44" t="str">
        <f>'Horizontal Teams'!G34</f>
        <v>ON</v>
      </c>
      <c r="J129" s="44" t="str">
        <f>'Horizontal Teams'!H34</f>
        <v>FTE</v>
      </c>
      <c r="K129" s="9">
        <f>'Horizontal Teams'!I34</f>
        <v>1.5</v>
      </c>
      <c r="L129" s="19">
        <v>1</v>
      </c>
      <c r="M129" s="46">
        <f t="shared" si="1"/>
        <v>1.5</v>
      </c>
      <c r="N129" s="46">
        <f>M129*INDEX('Logic Tree'!$J$75:$N$77,MATCH(I129,'Logic Tree'!$I$75:$I$77,0),MATCH(H129,'Logic Tree'!$J$74:$N$74,0))</f>
        <v>2.7750000000000004</v>
      </c>
    </row>
    <row r="130" spans="2:14" ht="15" customHeight="1">
      <c r="B130" s="19">
        <v>2</v>
      </c>
      <c r="C130" s="11" t="s">
        <v>444</v>
      </c>
      <c r="D130" s="36" t="s">
        <v>313</v>
      </c>
      <c r="E130" s="36" t="s">
        <v>444</v>
      </c>
      <c r="F130" s="49" t="str">
        <f>'Pod Library'!E36</f>
        <v>MetLife Product Owner</v>
      </c>
      <c r="G130" s="44" t="str">
        <f>'Pod Library'!F36</f>
        <v>PM</v>
      </c>
      <c r="H130" s="44" t="str">
        <f>'Pod Library'!G36</f>
        <v>E4</v>
      </c>
      <c r="I130" s="44" t="str">
        <f>'Pod Library'!H36</f>
        <v>ON</v>
      </c>
      <c r="J130" s="44" t="str">
        <f>'Pod Library'!I36</f>
        <v>FTE</v>
      </c>
      <c r="K130" s="9">
        <f>'Pod Library'!J36</f>
        <v>0.92857142857142905</v>
      </c>
      <c r="L130" s="13">
        <f>'Pod Plan'!E11</f>
        <v>19</v>
      </c>
      <c r="M130" s="46">
        <f t="shared" si="1"/>
        <v>17.642857142857153</v>
      </c>
      <c r="N130" s="46">
        <f>M130*INDEX('Logic Tree'!$J$75:$N$77,MATCH(I130,'Logic Tree'!$I$75:$I$77,0),MATCH(H130,'Logic Tree'!$J$74:$N$74,0))</f>
        <v>32.639285714285734</v>
      </c>
    </row>
    <row r="131" spans="2:14" ht="15" customHeight="1">
      <c r="B131" s="19">
        <v>2</v>
      </c>
      <c r="C131" s="11" t="s">
        <v>444</v>
      </c>
      <c r="D131" s="36" t="s">
        <v>313</v>
      </c>
      <c r="E131" s="36" t="s">
        <v>444</v>
      </c>
      <c r="F131" s="49" t="str">
        <f>'Pod Library'!E37</f>
        <v>MetLife Domain SME</v>
      </c>
      <c r="G131" s="44" t="str">
        <f>'Pod Library'!F37</f>
        <v>BSA</v>
      </c>
      <c r="H131" s="44" t="str">
        <f>'Pod Library'!G37</f>
        <v>E4</v>
      </c>
      <c r="I131" s="44" t="str">
        <f>'Pod Library'!H37</f>
        <v>ON</v>
      </c>
      <c r="J131" s="44" t="str">
        <f>'Pod Library'!I37</f>
        <v>FTE</v>
      </c>
      <c r="K131" s="9">
        <f>'Pod Library'!J37</f>
        <v>0.67142857142857104</v>
      </c>
      <c r="L131" s="13">
        <f>'Pod Plan'!E11</f>
        <v>19</v>
      </c>
      <c r="M131" s="46">
        <f t="shared" si="1"/>
        <v>12.757142857142849</v>
      </c>
      <c r="N131" s="46">
        <f>M131*INDEX('Logic Tree'!$J$75:$N$77,MATCH(I131,'Logic Tree'!$I$75:$I$77,0),MATCH(H131,'Logic Tree'!$J$74:$N$74,0))</f>
        <v>23.600714285714272</v>
      </c>
    </row>
    <row r="132" spans="2:14" ht="15" customHeight="1">
      <c r="B132" s="19">
        <v>2</v>
      </c>
      <c r="C132" s="11" t="s">
        <v>444</v>
      </c>
      <c r="D132" s="36" t="s">
        <v>313</v>
      </c>
      <c r="E132" s="36" t="s">
        <v>444</v>
      </c>
      <c r="F132" s="49" t="str">
        <f>'Pod Library'!E38</f>
        <v>MGCC Engineer</v>
      </c>
      <c r="G132" s="44" t="str">
        <f>'Pod Library'!F38</f>
        <v>DEV</v>
      </c>
      <c r="H132" s="44" t="str">
        <f>'Pod Library'!G38</f>
        <v>E3</v>
      </c>
      <c r="I132" s="44" t="str">
        <f>'Pod Library'!H38</f>
        <v>OFF</v>
      </c>
      <c r="J132" s="44" t="str">
        <f>'Pod Library'!I38</f>
        <v>MGCC</v>
      </c>
      <c r="K132" s="9">
        <f>'Pod Library'!J38</f>
        <v>1.8</v>
      </c>
      <c r="L132" s="13">
        <f>'Pod Plan'!E11</f>
        <v>19</v>
      </c>
      <c r="M132" s="46">
        <f t="shared" si="1"/>
        <v>34.200000000000003</v>
      </c>
      <c r="N132" s="46">
        <f>M132*INDEX('Logic Tree'!$J$75:$N$77,MATCH(I132,'Logic Tree'!$I$75:$I$77,0),MATCH(H132,'Logic Tree'!$J$74:$N$74,0))</f>
        <v>14.364000000000001</v>
      </c>
    </row>
    <row r="133" spans="2:14" ht="15" customHeight="1">
      <c r="B133" s="19">
        <v>2</v>
      </c>
      <c r="C133" s="11" t="s">
        <v>444</v>
      </c>
      <c r="D133" s="36" t="s">
        <v>313</v>
      </c>
      <c r="E133" s="36" t="s">
        <v>444</v>
      </c>
      <c r="F133" s="49" t="str">
        <f>'Pod Library'!E39</f>
        <v>Business Analyst (bilingual)</v>
      </c>
      <c r="G133" s="44" t="str">
        <f>'Pod Library'!F39</f>
        <v>BSA</v>
      </c>
      <c r="H133" s="44" t="str">
        <f>'Pod Library'!G39</f>
        <v>E3</v>
      </c>
      <c r="I133" s="44" t="str">
        <f>'Pod Library'!H39</f>
        <v>ON</v>
      </c>
      <c r="J133" s="44" t="str">
        <f>'Pod Library'!I39</f>
        <v>FTC</v>
      </c>
      <c r="K133" s="9">
        <f>'Pod Library'!J39</f>
        <v>0.55000000000000004</v>
      </c>
      <c r="L133" s="13">
        <f>'Pod Plan'!E11</f>
        <v>19</v>
      </c>
      <c r="M133" s="46">
        <f t="shared" ref="M133:M196" si="2">K133*L133</f>
        <v>10.450000000000001</v>
      </c>
      <c r="N133" s="46">
        <f>M133*INDEX('Logic Tree'!$J$75:$N$77,MATCH(I133,'Logic Tree'!$I$75:$I$77,0),MATCH(H133,'Logic Tree'!$J$74:$N$74,0))</f>
        <v>14.107500000000002</v>
      </c>
    </row>
    <row r="134" spans="2:14" ht="15" customHeight="1">
      <c r="B134" s="19">
        <v>2</v>
      </c>
      <c r="C134" s="11" t="s">
        <v>444</v>
      </c>
      <c r="D134" s="36" t="s">
        <v>313</v>
      </c>
      <c r="E134" s="36" t="s">
        <v>444</v>
      </c>
      <c r="F134" s="49" t="str">
        <f>'Pod Library'!E40</f>
        <v>Pod lead / senior engineer</v>
      </c>
      <c r="G134" s="44" t="str">
        <f>'Pod Library'!F40</f>
        <v>DEV</v>
      </c>
      <c r="H134" s="44" t="str">
        <f>'Pod Library'!G40</f>
        <v>E4</v>
      </c>
      <c r="I134" s="44" t="str">
        <f>'Pod Library'!H40</f>
        <v>ON</v>
      </c>
      <c r="J134" s="44" t="str">
        <f>'Pod Library'!I40</f>
        <v>FTC</v>
      </c>
      <c r="K134" s="9">
        <f>'Pod Library'!J40</f>
        <v>0.71</v>
      </c>
      <c r="L134" s="13">
        <f>'Pod Plan'!E11</f>
        <v>19</v>
      </c>
      <c r="M134" s="46">
        <f t="shared" si="2"/>
        <v>13.489999999999998</v>
      </c>
      <c r="N134" s="46">
        <f>M134*INDEX('Logic Tree'!$J$75:$N$77,MATCH(I134,'Logic Tree'!$I$75:$I$77,0),MATCH(H134,'Logic Tree'!$J$74:$N$74,0))</f>
        <v>24.956499999999998</v>
      </c>
    </row>
    <row r="135" spans="2:14" ht="15" customHeight="1">
      <c r="B135" s="19">
        <v>2</v>
      </c>
      <c r="C135" s="11" t="s">
        <v>444</v>
      </c>
      <c r="D135" s="36" t="s">
        <v>313</v>
      </c>
      <c r="E135" s="36" t="s">
        <v>444</v>
      </c>
      <c r="F135" s="49" t="str">
        <f>'Pod Library'!E41</f>
        <v>AI Orchestrator</v>
      </c>
      <c r="G135" s="44" t="str">
        <f>'Pod Library'!F41</f>
        <v>OTH</v>
      </c>
      <c r="H135" s="44" t="str">
        <f>'Pod Library'!G41</f>
        <v>E4</v>
      </c>
      <c r="I135" s="44" t="str">
        <f>'Pod Library'!H41</f>
        <v>OFF</v>
      </c>
      <c r="J135" s="44" t="str">
        <f>'Pod Library'!I41</f>
        <v>FTC</v>
      </c>
      <c r="K135" s="9">
        <f>'Pod Library'!J41</f>
        <v>0.214285714285714</v>
      </c>
      <c r="L135" s="13">
        <f>'Pod Plan'!E11</f>
        <v>19</v>
      </c>
      <c r="M135" s="46">
        <f t="shared" si="2"/>
        <v>4.0714285714285658</v>
      </c>
      <c r="N135" s="46">
        <f>M135*INDEX('Logic Tree'!$J$75:$N$77,MATCH(I135,'Logic Tree'!$I$75:$I$77,0),MATCH(H135,'Logic Tree'!$J$74:$N$74,0))</f>
        <v>2.4428571428571395</v>
      </c>
    </row>
    <row r="136" spans="2:14" ht="15" customHeight="1">
      <c r="B136" s="19">
        <v>2</v>
      </c>
      <c r="C136" s="11" t="s">
        <v>444</v>
      </c>
      <c r="D136" s="36" t="s">
        <v>313</v>
      </c>
      <c r="E136" s="36" t="s">
        <v>444</v>
      </c>
      <c r="F136" s="49" t="str">
        <f>'Pod Library'!E42</f>
        <v>AI-assisted engineer</v>
      </c>
      <c r="G136" s="44" t="str">
        <f>'Pod Library'!F42</f>
        <v>DEV</v>
      </c>
      <c r="H136" s="44" t="str">
        <f>'Pod Library'!G42</f>
        <v>E2</v>
      </c>
      <c r="I136" s="44" t="str">
        <f>'Pod Library'!H42</f>
        <v>OFF</v>
      </c>
      <c r="J136" s="44" t="str">
        <f>'Pod Library'!I42</f>
        <v>FTC</v>
      </c>
      <c r="K136" s="9">
        <f>'Pod Library'!J42</f>
        <v>0.3</v>
      </c>
      <c r="L136" s="13">
        <f>'Pod Plan'!E11</f>
        <v>19</v>
      </c>
      <c r="M136" s="46">
        <f t="shared" si="2"/>
        <v>5.7</v>
      </c>
      <c r="N136" s="46">
        <f>M136*INDEX('Logic Tree'!$J$75:$N$77,MATCH(I136,'Logic Tree'!$I$75:$I$77,0),MATCH(H136,'Logic Tree'!$J$74:$N$74,0))</f>
        <v>1.71</v>
      </c>
    </row>
    <row r="137" spans="2:14" ht="15" customHeight="1">
      <c r="B137" s="19">
        <v>2</v>
      </c>
      <c r="C137" s="11" t="s">
        <v>444</v>
      </c>
      <c r="D137" s="36" t="s">
        <v>313</v>
      </c>
      <c r="E137" s="36" t="s">
        <v>444</v>
      </c>
      <c r="F137" s="49" t="str">
        <f>'Pod Library'!E43</f>
        <v>AI-assisted engineer</v>
      </c>
      <c r="G137" s="44" t="str">
        <f>'Pod Library'!F43</f>
        <v>DEV</v>
      </c>
      <c r="H137" s="44" t="str">
        <f>'Pod Library'!G43</f>
        <v>E3</v>
      </c>
      <c r="I137" s="44" t="str">
        <f>'Pod Library'!H43</f>
        <v>OFF</v>
      </c>
      <c r="J137" s="44" t="str">
        <f>'Pod Library'!I43</f>
        <v>FTC</v>
      </c>
      <c r="K137" s="9">
        <f>'Pod Library'!J43</f>
        <v>0.6</v>
      </c>
      <c r="L137" s="13">
        <f>'Pod Plan'!E11</f>
        <v>19</v>
      </c>
      <c r="M137" s="46">
        <f t="shared" si="2"/>
        <v>11.4</v>
      </c>
      <c r="N137" s="46">
        <f>M137*INDEX('Logic Tree'!$J$75:$N$77,MATCH(I137,'Logic Tree'!$I$75:$I$77,0),MATCH(H137,'Logic Tree'!$J$74:$N$74,0))</f>
        <v>4.7880000000000003</v>
      </c>
    </row>
    <row r="138" spans="2:14" ht="15" customHeight="1">
      <c r="B138" s="19">
        <v>2</v>
      </c>
      <c r="C138" s="11" t="s">
        <v>444</v>
      </c>
      <c r="D138" s="36" t="s">
        <v>313</v>
      </c>
      <c r="E138" s="36" t="s">
        <v>444</v>
      </c>
      <c r="F138" s="49" t="str">
        <f>'Pod Library'!E44</f>
        <v>Quality Engineer (SDET)</v>
      </c>
      <c r="G138" s="44" t="str">
        <f>'Pod Library'!F44</f>
        <v>TEST</v>
      </c>
      <c r="H138" s="44" t="str">
        <f>'Pod Library'!G44</f>
        <v>E3</v>
      </c>
      <c r="I138" s="44" t="str">
        <f>'Pod Library'!H44</f>
        <v>OFF</v>
      </c>
      <c r="J138" s="44" t="str">
        <f>'Pod Library'!I44</f>
        <v>FTC</v>
      </c>
      <c r="K138" s="9">
        <f>'Pod Library'!J44</f>
        <v>1.5</v>
      </c>
      <c r="L138" s="13">
        <f>'Pod Plan'!E11</f>
        <v>19</v>
      </c>
      <c r="M138" s="46">
        <f t="shared" si="2"/>
        <v>28.5</v>
      </c>
      <c r="N138" s="46">
        <f>M138*INDEX('Logic Tree'!$J$75:$N$77,MATCH(I138,'Logic Tree'!$I$75:$I$77,0),MATCH(H138,'Logic Tree'!$J$74:$N$74,0))</f>
        <v>11.969999999999999</v>
      </c>
    </row>
    <row r="139" spans="2:14" ht="15" customHeight="1">
      <c r="B139" s="19">
        <v>2</v>
      </c>
      <c r="C139" s="11" t="s">
        <v>444</v>
      </c>
      <c r="D139" s="36" t="s">
        <v>313</v>
      </c>
      <c r="E139" s="36" t="s">
        <v>444</v>
      </c>
      <c r="F139" s="49" t="str">
        <f>'Pod Library'!E45</f>
        <v>Quality Engineer (SDET)</v>
      </c>
      <c r="G139" s="44" t="str">
        <f>'Pod Library'!F45</f>
        <v>TEST</v>
      </c>
      <c r="H139" s="44" t="str">
        <f>'Pod Library'!G45</f>
        <v>E4</v>
      </c>
      <c r="I139" s="44" t="str">
        <f>'Pod Library'!H45</f>
        <v>OFF</v>
      </c>
      <c r="J139" s="44" t="str">
        <f>'Pod Library'!I45</f>
        <v>FTC</v>
      </c>
      <c r="K139" s="9">
        <f>'Pod Library'!J45</f>
        <v>0.5</v>
      </c>
      <c r="L139" s="13">
        <f>'Pod Plan'!E11</f>
        <v>19</v>
      </c>
      <c r="M139" s="46">
        <f t="shared" si="2"/>
        <v>9.5</v>
      </c>
      <c r="N139" s="46">
        <f>M139*INDEX('Logic Tree'!$J$75:$N$77,MATCH(I139,'Logic Tree'!$I$75:$I$77,0),MATCH(H139,'Logic Tree'!$J$74:$N$74,0))</f>
        <v>5.7</v>
      </c>
    </row>
    <row r="140" spans="2:14" ht="15" customHeight="1">
      <c r="B140" s="19">
        <v>2</v>
      </c>
      <c r="C140" s="11" t="s">
        <v>444</v>
      </c>
      <c r="D140" s="36" t="s">
        <v>313</v>
      </c>
      <c r="E140" s="36" t="s">
        <v>444</v>
      </c>
      <c r="F140" s="49" t="str">
        <f>'Pod Library'!E46</f>
        <v>Application Support</v>
      </c>
      <c r="G140" s="44" t="str">
        <f>'Pod Library'!F46</f>
        <v>MNT</v>
      </c>
      <c r="H140" s="44" t="str">
        <f>'Pod Library'!G46</f>
        <v>E1</v>
      </c>
      <c r="I140" s="44" t="str">
        <f>'Pod Library'!H46</f>
        <v>OFF</v>
      </c>
      <c r="J140" s="44" t="str">
        <f>'Pod Library'!I46</f>
        <v>FTC</v>
      </c>
      <c r="K140" s="9">
        <f>'Pod Library'!J46</f>
        <v>0.128571428571429</v>
      </c>
      <c r="L140" s="13">
        <f>'Pod Plan'!E11</f>
        <v>19</v>
      </c>
      <c r="M140" s="46">
        <f t="shared" si="2"/>
        <v>2.4428571428571511</v>
      </c>
      <c r="N140" s="46">
        <f>M140*INDEX('Logic Tree'!$J$75:$N$77,MATCH(I140,'Logic Tree'!$I$75:$I$77,0),MATCH(H140,'Logic Tree'!$J$74:$N$74,0))</f>
        <v>0.53742857142857325</v>
      </c>
    </row>
    <row r="141" spans="2:14" ht="15" customHeight="1">
      <c r="B141" s="19">
        <v>2</v>
      </c>
      <c r="C141" s="11" t="s">
        <v>444</v>
      </c>
      <c r="D141" s="36" t="s">
        <v>313</v>
      </c>
      <c r="E141" s="36" t="s">
        <v>444</v>
      </c>
      <c r="F141" s="49" t="str">
        <f>'Pod Library'!E47</f>
        <v>Application Support</v>
      </c>
      <c r="G141" s="44" t="str">
        <f>'Pod Library'!F47</f>
        <v>MNT</v>
      </c>
      <c r="H141" s="44" t="str">
        <f>'Pod Library'!G47</f>
        <v>E2</v>
      </c>
      <c r="I141" s="44" t="str">
        <f>'Pod Library'!H47</f>
        <v>OFF</v>
      </c>
      <c r="J141" s="44" t="str">
        <f>'Pod Library'!I47</f>
        <v>FTC</v>
      </c>
      <c r="K141" s="9">
        <f>'Pod Library'!J47</f>
        <v>8.5714285714285701E-2</v>
      </c>
      <c r="L141" s="13">
        <f>'Pod Plan'!E11</f>
        <v>19</v>
      </c>
      <c r="M141" s="46">
        <f t="shared" si="2"/>
        <v>1.6285714285714283</v>
      </c>
      <c r="N141" s="46">
        <f>M141*INDEX('Logic Tree'!$J$75:$N$77,MATCH(I141,'Logic Tree'!$I$75:$I$77,0),MATCH(H141,'Logic Tree'!$J$74:$N$74,0))</f>
        <v>0.48857142857142849</v>
      </c>
    </row>
    <row r="142" spans="2:14" ht="15" customHeight="1">
      <c r="B142" s="19">
        <v>2</v>
      </c>
      <c r="C142" s="11" t="s">
        <v>444</v>
      </c>
      <c r="D142" s="36" t="s">
        <v>314</v>
      </c>
      <c r="E142" s="36" t="s">
        <v>444</v>
      </c>
      <c r="F142" s="49" t="str">
        <f>'Pod Library'!E36</f>
        <v>MetLife Product Owner</v>
      </c>
      <c r="G142" s="44" t="str">
        <f>'Pod Library'!F36</f>
        <v>PM</v>
      </c>
      <c r="H142" s="44" t="str">
        <f>'Pod Library'!G36</f>
        <v>E4</v>
      </c>
      <c r="I142" s="44" t="str">
        <f>'Pod Library'!H36</f>
        <v>ON</v>
      </c>
      <c r="J142" s="44" t="str">
        <f>'Pod Library'!I36</f>
        <v>FTE</v>
      </c>
      <c r="K142" s="9">
        <f>'Pod Library'!J36</f>
        <v>0.92857142857142905</v>
      </c>
      <c r="L142" s="13">
        <f>'Pod Plan'!E12</f>
        <v>10</v>
      </c>
      <c r="M142" s="46">
        <f t="shared" si="2"/>
        <v>9.28571428571429</v>
      </c>
      <c r="N142" s="46">
        <f>M142*INDEX('Logic Tree'!$J$75:$N$77,MATCH(I142,'Logic Tree'!$I$75:$I$77,0),MATCH(H142,'Logic Tree'!$J$74:$N$74,0))</f>
        <v>17.178571428571438</v>
      </c>
    </row>
    <row r="143" spans="2:14" ht="15" customHeight="1">
      <c r="B143" s="19">
        <v>2</v>
      </c>
      <c r="C143" s="11" t="s">
        <v>444</v>
      </c>
      <c r="D143" s="36" t="s">
        <v>314</v>
      </c>
      <c r="E143" s="36" t="s">
        <v>444</v>
      </c>
      <c r="F143" s="49" t="str">
        <f>'Pod Library'!E37</f>
        <v>MetLife Domain SME</v>
      </c>
      <c r="G143" s="44" t="str">
        <f>'Pod Library'!F37</f>
        <v>BSA</v>
      </c>
      <c r="H143" s="44" t="str">
        <f>'Pod Library'!G37</f>
        <v>E4</v>
      </c>
      <c r="I143" s="44" t="str">
        <f>'Pod Library'!H37</f>
        <v>ON</v>
      </c>
      <c r="J143" s="44" t="str">
        <f>'Pod Library'!I37</f>
        <v>FTE</v>
      </c>
      <c r="K143" s="9">
        <f>'Pod Library'!J37</f>
        <v>0.67142857142857104</v>
      </c>
      <c r="L143" s="13">
        <f>'Pod Plan'!E12</f>
        <v>10</v>
      </c>
      <c r="M143" s="46">
        <f t="shared" si="2"/>
        <v>6.71428571428571</v>
      </c>
      <c r="N143" s="46">
        <f>M143*INDEX('Logic Tree'!$J$75:$N$77,MATCH(I143,'Logic Tree'!$I$75:$I$77,0),MATCH(H143,'Logic Tree'!$J$74:$N$74,0))</f>
        <v>12.421428571428564</v>
      </c>
    </row>
    <row r="144" spans="2:14" ht="15" customHeight="1">
      <c r="B144" s="19">
        <v>2</v>
      </c>
      <c r="C144" s="11" t="s">
        <v>444</v>
      </c>
      <c r="D144" s="36" t="s">
        <v>314</v>
      </c>
      <c r="E144" s="36" t="s">
        <v>444</v>
      </c>
      <c r="F144" s="49" t="str">
        <f>'Pod Library'!E38</f>
        <v>MGCC Engineer</v>
      </c>
      <c r="G144" s="44" t="str">
        <f>'Pod Library'!F38</f>
        <v>DEV</v>
      </c>
      <c r="H144" s="44" t="str">
        <f>'Pod Library'!G38</f>
        <v>E3</v>
      </c>
      <c r="I144" s="44" t="str">
        <f>'Pod Library'!H38</f>
        <v>OFF</v>
      </c>
      <c r="J144" s="44" t="str">
        <f>'Pod Library'!I38</f>
        <v>MGCC</v>
      </c>
      <c r="K144" s="9">
        <f>'Pod Library'!J38</f>
        <v>1.8</v>
      </c>
      <c r="L144" s="13">
        <f>'Pod Plan'!E12</f>
        <v>10</v>
      </c>
      <c r="M144" s="46">
        <f t="shared" si="2"/>
        <v>18</v>
      </c>
      <c r="N144" s="46">
        <f>M144*INDEX('Logic Tree'!$J$75:$N$77,MATCH(I144,'Logic Tree'!$I$75:$I$77,0),MATCH(H144,'Logic Tree'!$J$74:$N$74,0))</f>
        <v>7.56</v>
      </c>
    </row>
    <row r="145" spans="2:14" ht="15" customHeight="1">
      <c r="B145" s="19">
        <v>2</v>
      </c>
      <c r="C145" s="11" t="s">
        <v>444</v>
      </c>
      <c r="D145" s="36" t="s">
        <v>314</v>
      </c>
      <c r="E145" s="36" t="s">
        <v>444</v>
      </c>
      <c r="F145" s="49" t="str">
        <f>'Pod Library'!E39</f>
        <v>Business Analyst (bilingual)</v>
      </c>
      <c r="G145" s="44" t="str">
        <f>'Pod Library'!F39</f>
        <v>BSA</v>
      </c>
      <c r="H145" s="44" t="str">
        <f>'Pod Library'!G39</f>
        <v>E3</v>
      </c>
      <c r="I145" s="44" t="str">
        <f>'Pod Library'!H39</f>
        <v>ON</v>
      </c>
      <c r="J145" s="44" t="str">
        <f>'Pod Library'!I39</f>
        <v>FTC</v>
      </c>
      <c r="K145" s="9">
        <f>'Pod Library'!J39</f>
        <v>0.55000000000000004</v>
      </c>
      <c r="L145" s="13">
        <f>'Pod Plan'!E12</f>
        <v>10</v>
      </c>
      <c r="M145" s="46">
        <f t="shared" si="2"/>
        <v>5.5</v>
      </c>
      <c r="N145" s="46">
        <f>M145*INDEX('Logic Tree'!$J$75:$N$77,MATCH(I145,'Logic Tree'!$I$75:$I$77,0),MATCH(H145,'Logic Tree'!$J$74:$N$74,0))</f>
        <v>7.4250000000000007</v>
      </c>
    </row>
    <row r="146" spans="2:14" ht="15" customHeight="1">
      <c r="B146" s="19">
        <v>2</v>
      </c>
      <c r="C146" s="11" t="s">
        <v>444</v>
      </c>
      <c r="D146" s="36" t="s">
        <v>314</v>
      </c>
      <c r="E146" s="36" t="s">
        <v>444</v>
      </c>
      <c r="F146" s="49" t="str">
        <f>'Pod Library'!E40</f>
        <v>Pod lead / senior engineer</v>
      </c>
      <c r="G146" s="44" t="str">
        <f>'Pod Library'!F40</f>
        <v>DEV</v>
      </c>
      <c r="H146" s="44" t="str">
        <f>'Pod Library'!G40</f>
        <v>E4</v>
      </c>
      <c r="I146" s="44" t="str">
        <f>'Pod Library'!H40</f>
        <v>ON</v>
      </c>
      <c r="J146" s="44" t="str">
        <f>'Pod Library'!I40</f>
        <v>FTC</v>
      </c>
      <c r="K146" s="9">
        <f>'Pod Library'!J40</f>
        <v>0.71</v>
      </c>
      <c r="L146" s="13">
        <f>'Pod Plan'!E12</f>
        <v>10</v>
      </c>
      <c r="M146" s="46">
        <f t="shared" si="2"/>
        <v>7.1</v>
      </c>
      <c r="N146" s="46">
        <f>M146*INDEX('Logic Tree'!$J$75:$N$77,MATCH(I146,'Logic Tree'!$I$75:$I$77,0),MATCH(H146,'Logic Tree'!$J$74:$N$74,0))</f>
        <v>13.135</v>
      </c>
    </row>
    <row r="147" spans="2:14" ht="15" customHeight="1">
      <c r="B147" s="19">
        <v>2</v>
      </c>
      <c r="C147" s="11" t="s">
        <v>444</v>
      </c>
      <c r="D147" s="36" t="s">
        <v>314</v>
      </c>
      <c r="E147" s="36" t="s">
        <v>444</v>
      </c>
      <c r="F147" s="49" t="str">
        <f>'Pod Library'!E41</f>
        <v>AI Orchestrator</v>
      </c>
      <c r="G147" s="44" t="str">
        <f>'Pod Library'!F41</f>
        <v>OTH</v>
      </c>
      <c r="H147" s="44" t="str">
        <f>'Pod Library'!G41</f>
        <v>E4</v>
      </c>
      <c r="I147" s="44" t="str">
        <f>'Pod Library'!H41</f>
        <v>OFF</v>
      </c>
      <c r="J147" s="44" t="str">
        <f>'Pod Library'!I41</f>
        <v>FTC</v>
      </c>
      <c r="K147" s="9">
        <f>'Pod Library'!J41</f>
        <v>0.214285714285714</v>
      </c>
      <c r="L147" s="13">
        <f>'Pod Plan'!E12</f>
        <v>10</v>
      </c>
      <c r="M147" s="46">
        <f t="shared" si="2"/>
        <v>2.1428571428571401</v>
      </c>
      <c r="N147" s="46">
        <f>M147*INDEX('Logic Tree'!$J$75:$N$77,MATCH(I147,'Logic Tree'!$I$75:$I$77,0),MATCH(H147,'Logic Tree'!$J$74:$N$74,0))</f>
        <v>1.285714285714284</v>
      </c>
    </row>
    <row r="148" spans="2:14" ht="15" customHeight="1">
      <c r="B148" s="19">
        <v>2</v>
      </c>
      <c r="C148" s="11" t="s">
        <v>444</v>
      </c>
      <c r="D148" s="36" t="s">
        <v>314</v>
      </c>
      <c r="E148" s="36" t="s">
        <v>444</v>
      </c>
      <c r="F148" s="49" t="str">
        <f>'Pod Library'!E42</f>
        <v>AI-assisted engineer</v>
      </c>
      <c r="G148" s="44" t="str">
        <f>'Pod Library'!F42</f>
        <v>DEV</v>
      </c>
      <c r="H148" s="44" t="str">
        <f>'Pod Library'!G42</f>
        <v>E2</v>
      </c>
      <c r="I148" s="44" t="str">
        <f>'Pod Library'!H42</f>
        <v>OFF</v>
      </c>
      <c r="J148" s="44" t="str">
        <f>'Pod Library'!I42</f>
        <v>FTC</v>
      </c>
      <c r="K148" s="9">
        <f>'Pod Library'!J42</f>
        <v>0.3</v>
      </c>
      <c r="L148" s="13">
        <f>'Pod Plan'!E12</f>
        <v>10</v>
      </c>
      <c r="M148" s="46">
        <f t="shared" si="2"/>
        <v>3</v>
      </c>
      <c r="N148" s="46">
        <f>M148*INDEX('Logic Tree'!$J$75:$N$77,MATCH(I148,'Logic Tree'!$I$75:$I$77,0),MATCH(H148,'Logic Tree'!$J$74:$N$74,0))</f>
        <v>0.89999999999999991</v>
      </c>
    </row>
    <row r="149" spans="2:14" ht="15" customHeight="1">
      <c r="B149" s="19">
        <v>2</v>
      </c>
      <c r="C149" s="11" t="s">
        <v>444</v>
      </c>
      <c r="D149" s="36" t="s">
        <v>314</v>
      </c>
      <c r="E149" s="36" t="s">
        <v>444</v>
      </c>
      <c r="F149" s="49" t="str">
        <f>'Pod Library'!E43</f>
        <v>AI-assisted engineer</v>
      </c>
      <c r="G149" s="44" t="str">
        <f>'Pod Library'!F43</f>
        <v>DEV</v>
      </c>
      <c r="H149" s="44" t="str">
        <f>'Pod Library'!G43</f>
        <v>E3</v>
      </c>
      <c r="I149" s="44" t="str">
        <f>'Pod Library'!H43</f>
        <v>OFF</v>
      </c>
      <c r="J149" s="44" t="str">
        <f>'Pod Library'!I43</f>
        <v>FTC</v>
      </c>
      <c r="K149" s="9">
        <f>'Pod Library'!J43</f>
        <v>0.6</v>
      </c>
      <c r="L149" s="13">
        <f>'Pod Plan'!E12</f>
        <v>10</v>
      </c>
      <c r="M149" s="46">
        <f t="shared" si="2"/>
        <v>6</v>
      </c>
      <c r="N149" s="46">
        <f>M149*INDEX('Logic Tree'!$J$75:$N$77,MATCH(I149,'Logic Tree'!$I$75:$I$77,0),MATCH(H149,'Logic Tree'!$J$74:$N$74,0))</f>
        <v>2.52</v>
      </c>
    </row>
    <row r="150" spans="2:14" ht="15" customHeight="1">
      <c r="B150" s="19">
        <v>2</v>
      </c>
      <c r="C150" s="11" t="s">
        <v>444</v>
      </c>
      <c r="D150" s="36" t="s">
        <v>314</v>
      </c>
      <c r="E150" s="36" t="s">
        <v>444</v>
      </c>
      <c r="F150" s="49" t="str">
        <f>'Pod Library'!E44</f>
        <v>Quality Engineer (SDET)</v>
      </c>
      <c r="G150" s="44" t="str">
        <f>'Pod Library'!F44</f>
        <v>TEST</v>
      </c>
      <c r="H150" s="44" t="str">
        <f>'Pod Library'!G44</f>
        <v>E3</v>
      </c>
      <c r="I150" s="44" t="str">
        <f>'Pod Library'!H44</f>
        <v>OFF</v>
      </c>
      <c r="J150" s="44" t="str">
        <f>'Pod Library'!I44</f>
        <v>FTC</v>
      </c>
      <c r="K150" s="9">
        <f>'Pod Library'!J44</f>
        <v>1.5</v>
      </c>
      <c r="L150" s="13">
        <f>'Pod Plan'!E12</f>
        <v>10</v>
      </c>
      <c r="M150" s="46">
        <f t="shared" si="2"/>
        <v>15</v>
      </c>
      <c r="N150" s="46">
        <f>M150*INDEX('Logic Tree'!$J$75:$N$77,MATCH(I150,'Logic Tree'!$I$75:$I$77,0),MATCH(H150,'Logic Tree'!$J$74:$N$74,0))</f>
        <v>6.3</v>
      </c>
    </row>
    <row r="151" spans="2:14" ht="15" customHeight="1">
      <c r="B151" s="19">
        <v>2</v>
      </c>
      <c r="C151" s="11" t="s">
        <v>444</v>
      </c>
      <c r="D151" s="36" t="s">
        <v>314</v>
      </c>
      <c r="E151" s="36" t="s">
        <v>444</v>
      </c>
      <c r="F151" s="49" t="str">
        <f>'Pod Library'!E45</f>
        <v>Quality Engineer (SDET)</v>
      </c>
      <c r="G151" s="44" t="str">
        <f>'Pod Library'!F45</f>
        <v>TEST</v>
      </c>
      <c r="H151" s="44" t="str">
        <f>'Pod Library'!G45</f>
        <v>E4</v>
      </c>
      <c r="I151" s="44" t="str">
        <f>'Pod Library'!H45</f>
        <v>OFF</v>
      </c>
      <c r="J151" s="44" t="str">
        <f>'Pod Library'!I45</f>
        <v>FTC</v>
      </c>
      <c r="K151" s="9">
        <f>'Pod Library'!J45</f>
        <v>0.5</v>
      </c>
      <c r="L151" s="13">
        <f>'Pod Plan'!E12</f>
        <v>10</v>
      </c>
      <c r="M151" s="46">
        <f t="shared" si="2"/>
        <v>5</v>
      </c>
      <c r="N151" s="46">
        <f>M151*INDEX('Logic Tree'!$J$75:$N$77,MATCH(I151,'Logic Tree'!$I$75:$I$77,0),MATCH(H151,'Logic Tree'!$J$74:$N$74,0))</f>
        <v>3</v>
      </c>
    </row>
    <row r="152" spans="2:14" ht="15" customHeight="1">
      <c r="B152" s="19">
        <v>2</v>
      </c>
      <c r="C152" s="11" t="s">
        <v>444</v>
      </c>
      <c r="D152" s="36" t="s">
        <v>314</v>
      </c>
      <c r="E152" s="36" t="s">
        <v>444</v>
      </c>
      <c r="F152" s="49" t="str">
        <f>'Pod Library'!E46</f>
        <v>Application Support</v>
      </c>
      <c r="G152" s="44" t="str">
        <f>'Pod Library'!F46</f>
        <v>MNT</v>
      </c>
      <c r="H152" s="44" t="str">
        <f>'Pod Library'!G46</f>
        <v>E1</v>
      </c>
      <c r="I152" s="44" t="str">
        <f>'Pod Library'!H46</f>
        <v>OFF</v>
      </c>
      <c r="J152" s="44" t="str">
        <f>'Pod Library'!I46</f>
        <v>FTC</v>
      </c>
      <c r="K152" s="9">
        <f>'Pod Library'!J46</f>
        <v>0.128571428571429</v>
      </c>
      <c r="L152" s="13">
        <f>'Pod Plan'!E12</f>
        <v>10</v>
      </c>
      <c r="M152" s="46">
        <f t="shared" si="2"/>
        <v>1.28571428571429</v>
      </c>
      <c r="N152" s="46">
        <f>M152*INDEX('Logic Tree'!$J$75:$N$77,MATCH(I152,'Logic Tree'!$I$75:$I$77,0),MATCH(H152,'Logic Tree'!$J$74:$N$74,0))</f>
        <v>0.28285714285714381</v>
      </c>
    </row>
    <row r="153" spans="2:14" ht="15" customHeight="1">
      <c r="B153" s="19">
        <v>2</v>
      </c>
      <c r="C153" s="11" t="s">
        <v>444</v>
      </c>
      <c r="D153" s="36" t="s">
        <v>314</v>
      </c>
      <c r="E153" s="36" t="s">
        <v>444</v>
      </c>
      <c r="F153" s="49" t="str">
        <f>'Pod Library'!E47</f>
        <v>Application Support</v>
      </c>
      <c r="G153" s="44" t="str">
        <f>'Pod Library'!F47</f>
        <v>MNT</v>
      </c>
      <c r="H153" s="44" t="str">
        <f>'Pod Library'!G47</f>
        <v>E2</v>
      </c>
      <c r="I153" s="44" t="str">
        <f>'Pod Library'!H47</f>
        <v>OFF</v>
      </c>
      <c r="J153" s="44" t="str">
        <f>'Pod Library'!I47</f>
        <v>FTC</v>
      </c>
      <c r="K153" s="9">
        <f>'Pod Library'!J47</f>
        <v>8.5714285714285701E-2</v>
      </c>
      <c r="L153" s="13">
        <f>'Pod Plan'!E12</f>
        <v>10</v>
      </c>
      <c r="M153" s="46">
        <f t="shared" si="2"/>
        <v>0.85714285714285698</v>
      </c>
      <c r="N153" s="46">
        <f>M153*INDEX('Logic Tree'!$J$75:$N$77,MATCH(I153,'Logic Tree'!$I$75:$I$77,0),MATCH(H153,'Logic Tree'!$J$74:$N$74,0))</f>
        <v>0.25714285714285706</v>
      </c>
    </row>
    <row r="154" spans="2:14" ht="15" customHeight="1">
      <c r="B154" s="19">
        <v>2</v>
      </c>
      <c r="C154" s="11" t="s">
        <v>456</v>
      </c>
      <c r="D154" s="36" t="s">
        <v>314</v>
      </c>
      <c r="E154" s="36" t="s">
        <v>456</v>
      </c>
      <c r="F154" s="49" t="str">
        <f>'Pod Library'!E50</f>
        <v>MetLife Product Owner</v>
      </c>
      <c r="G154" s="44" t="str">
        <f>'Pod Library'!F50</f>
        <v>PM</v>
      </c>
      <c r="H154" s="44" t="str">
        <f>'Pod Library'!G50</f>
        <v>E4</v>
      </c>
      <c r="I154" s="44" t="str">
        <f>'Pod Library'!H50</f>
        <v>ON</v>
      </c>
      <c r="J154" s="44" t="str">
        <f>'Pod Library'!I50</f>
        <v>FTE</v>
      </c>
      <c r="K154" s="9">
        <f>'Pod Library'!J50</f>
        <v>0.83333333333333304</v>
      </c>
      <c r="L154" s="13">
        <f>'Pod Plan'!F12</f>
        <v>3</v>
      </c>
      <c r="M154" s="46">
        <f t="shared" si="2"/>
        <v>2.4999999999999991</v>
      </c>
      <c r="N154" s="46">
        <f>M154*INDEX('Logic Tree'!$J$75:$N$77,MATCH(I154,'Logic Tree'!$I$75:$I$77,0),MATCH(H154,'Logic Tree'!$J$74:$N$74,0))</f>
        <v>4.6249999999999982</v>
      </c>
    </row>
    <row r="155" spans="2:14" ht="15" customHeight="1">
      <c r="B155" s="19">
        <v>2</v>
      </c>
      <c r="C155" s="11" t="s">
        <v>456</v>
      </c>
      <c r="D155" s="36" t="s">
        <v>314</v>
      </c>
      <c r="E155" s="36" t="s">
        <v>456</v>
      </c>
      <c r="F155" s="49" t="str">
        <f>'Pod Library'!E51</f>
        <v>MetLife Domain SME</v>
      </c>
      <c r="G155" s="44" t="str">
        <f>'Pod Library'!F51</f>
        <v>BSA</v>
      </c>
      <c r="H155" s="44" t="str">
        <f>'Pod Library'!G51</f>
        <v>E4</v>
      </c>
      <c r="I155" s="44" t="str">
        <f>'Pod Library'!H51</f>
        <v>ON</v>
      </c>
      <c r="J155" s="44" t="str">
        <f>'Pod Library'!I51</f>
        <v>FTE</v>
      </c>
      <c r="K155" s="9">
        <f>'Pod Library'!J51</f>
        <v>0.66666666666666696</v>
      </c>
      <c r="L155" s="13">
        <f>'Pod Plan'!F12</f>
        <v>3</v>
      </c>
      <c r="M155" s="46">
        <f t="shared" si="2"/>
        <v>2.0000000000000009</v>
      </c>
      <c r="N155" s="46">
        <f>M155*INDEX('Logic Tree'!$J$75:$N$77,MATCH(I155,'Logic Tree'!$I$75:$I$77,0),MATCH(H155,'Logic Tree'!$J$74:$N$74,0))</f>
        <v>3.700000000000002</v>
      </c>
    </row>
    <row r="156" spans="2:14" ht="15" customHeight="1">
      <c r="B156" s="19">
        <v>2</v>
      </c>
      <c r="C156" s="11" t="s">
        <v>456</v>
      </c>
      <c r="D156" s="36" t="s">
        <v>314</v>
      </c>
      <c r="E156" s="36" t="s">
        <v>456</v>
      </c>
      <c r="F156" s="49" t="str">
        <f>'Pod Library'!E52</f>
        <v>MGCC Developer</v>
      </c>
      <c r="G156" s="44" t="str">
        <f>'Pod Library'!F52</f>
        <v>DEV</v>
      </c>
      <c r="H156" s="44" t="str">
        <f>'Pod Library'!G52</f>
        <v>E3</v>
      </c>
      <c r="I156" s="44" t="str">
        <f>'Pod Library'!H52</f>
        <v>OFF</v>
      </c>
      <c r="J156" s="44" t="str">
        <f>'Pod Library'!I52</f>
        <v>MGCC</v>
      </c>
      <c r="K156" s="9">
        <f>'Pod Library'!J52</f>
        <v>1.6666666666666701</v>
      </c>
      <c r="L156" s="13">
        <f>'Pod Plan'!F12</f>
        <v>3</v>
      </c>
      <c r="M156" s="46">
        <f t="shared" si="2"/>
        <v>5.0000000000000107</v>
      </c>
      <c r="N156" s="46">
        <f>M156*INDEX('Logic Tree'!$J$75:$N$77,MATCH(I156,'Logic Tree'!$I$75:$I$77,0),MATCH(H156,'Logic Tree'!$J$74:$N$74,0))</f>
        <v>2.1000000000000045</v>
      </c>
    </row>
    <row r="157" spans="2:14" ht="15" customHeight="1">
      <c r="B157" s="19">
        <v>2</v>
      </c>
      <c r="C157" s="11" t="s">
        <v>456</v>
      </c>
      <c r="D157" s="36" t="s">
        <v>314</v>
      </c>
      <c r="E157" s="36" t="s">
        <v>456</v>
      </c>
      <c r="F157" s="49" t="str">
        <f>'Pod Library'!E53</f>
        <v>MGCC Test Engineer</v>
      </c>
      <c r="G157" s="44" t="str">
        <f>'Pod Library'!F53</f>
        <v>TEST</v>
      </c>
      <c r="H157" s="44" t="str">
        <f>'Pod Library'!G53</f>
        <v>E3</v>
      </c>
      <c r="I157" s="44" t="str">
        <f>'Pod Library'!H53</f>
        <v>OFF</v>
      </c>
      <c r="J157" s="44" t="str">
        <f>'Pod Library'!I53</f>
        <v>MGCC</v>
      </c>
      <c r="K157" s="9">
        <f>'Pod Library'!J53</f>
        <v>0.83333333333333304</v>
      </c>
      <c r="L157" s="13">
        <f>'Pod Plan'!F12</f>
        <v>3</v>
      </c>
      <c r="M157" s="46">
        <f t="shared" si="2"/>
        <v>2.4999999999999991</v>
      </c>
      <c r="N157" s="46">
        <f>M157*INDEX('Logic Tree'!$J$75:$N$77,MATCH(I157,'Logic Tree'!$I$75:$I$77,0),MATCH(H157,'Logic Tree'!$J$74:$N$74,0))</f>
        <v>1.0499999999999996</v>
      </c>
    </row>
    <row r="158" spans="2:14" ht="15" customHeight="1">
      <c r="B158" s="19">
        <v>2</v>
      </c>
      <c r="C158" s="11" t="s">
        <v>456</v>
      </c>
      <c r="D158" s="36" t="s">
        <v>314</v>
      </c>
      <c r="E158" s="36" t="s">
        <v>456</v>
      </c>
      <c r="F158" s="49" t="str">
        <f>'Pod Library'!E54</f>
        <v>Business Analyst (bilingual)</v>
      </c>
      <c r="G158" s="44" t="str">
        <f>'Pod Library'!F54</f>
        <v>BSA</v>
      </c>
      <c r="H158" s="44" t="str">
        <f>'Pod Library'!G54</f>
        <v>E3</v>
      </c>
      <c r="I158" s="44" t="str">
        <f>'Pod Library'!H54</f>
        <v>ON</v>
      </c>
      <c r="J158" s="44" t="str">
        <f>'Pod Library'!I54</f>
        <v>FTC</v>
      </c>
      <c r="K158" s="9">
        <f>'Pod Library'!J54</f>
        <v>0.5</v>
      </c>
      <c r="L158" s="13">
        <f>'Pod Plan'!F12</f>
        <v>3</v>
      </c>
      <c r="M158" s="46">
        <f t="shared" si="2"/>
        <v>1.5</v>
      </c>
      <c r="N158" s="46">
        <f>M158*INDEX('Logic Tree'!$J$75:$N$77,MATCH(I158,'Logic Tree'!$I$75:$I$77,0),MATCH(H158,'Logic Tree'!$J$74:$N$74,0))</f>
        <v>2.0250000000000004</v>
      </c>
    </row>
    <row r="159" spans="2:14" ht="15" customHeight="1">
      <c r="B159" s="19">
        <v>2</v>
      </c>
      <c r="C159" s="11" t="s">
        <v>456</v>
      </c>
      <c r="D159" s="36" t="s">
        <v>314</v>
      </c>
      <c r="E159" s="36" t="s">
        <v>456</v>
      </c>
      <c r="F159" s="49" t="str">
        <f>'Pod Library'!E55</f>
        <v>Developer / technical lead</v>
      </c>
      <c r="G159" s="44" t="str">
        <f>'Pod Library'!F55</f>
        <v>DEV</v>
      </c>
      <c r="H159" s="44" t="str">
        <f>'Pod Library'!G55</f>
        <v>E3</v>
      </c>
      <c r="I159" s="44" t="str">
        <f>'Pod Library'!H55</f>
        <v>ON</v>
      </c>
      <c r="J159" s="44" t="str">
        <f>'Pod Library'!I55</f>
        <v>FTC</v>
      </c>
      <c r="K159" s="9">
        <f>'Pod Library'!J55</f>
        <v>1</v>
      </c>
      <c r="L159" s="13">
        <f>'Pod Plan'!F12</f>
        <v>3</v>
      </c>
      <c r="M159" s="46">
        <f t="shared" si="2"/>
        <v>3</v>
      </c>
      <c r="N159" s="46">
        <f>M159*INDEX('Logic Tree'!$J$75:$N$77,MATCH(I159,'Logic Tree'!$I$75:$I$77,0),MATCH(H159,'Logic Tree'!$J$74:$N$74,0))</f>
        <v>4.0500000000000007</v>
      </c>
    </row>
    <row r="160" spans="2:14" ht="15" customHeight="1">
      <c r="B160" s="19">
        <v>2</v>
      </c>
      <c r="C160" s="11" t="s">
        <v>456</v>
      </c>
      <c r="D160" s="36" t="s">
        <v>314</v>
      </c>
      <c r="E160" s="36" t="s">
        <v>456</v>
      </c>
      <c r="F160" s="49" t="str">
        <f>'Pod Library'!E56</f>
        <v>Developer</v>
      </c>
      <c r="G160" s="44" t="str">
        <f>'Pod Library'!F56</f>
        <v>DEV</v>
      </c>
      <c r="H160" s="44" t="str">
        <f>'Pod Library'!G56</f>
        <v>E2</v>
      </c>
      <c r="I160" s="44" t="str">
        <f>'Pod Library'!H56</f>
        <v>OFF</v>
      </c>
      <c r="J160" s="44" t="str">
        <f>'Pod Library'!I56</f>
        <v>FTC</v>
      </c>
      <c r="K160" s="9">
        <f>'Pod Library'!J56</f>
        <v>0.5</v>
      </c>
      <c r="L160" s="13">
        <f>'Pod Plan'!F12</f>
        <v>3</v>
      </c>
      <c r="M160" s="46">
        <f t="shared" si="2"/>
        <v>1.5</v>
      </c>
      <c r="N160" s="46">
        <f>M160*INDEX('Logic Tree'!$J$75:$N$77,MATCH(I160,'Logic Tree'!$I$75:$I$77,0),MATCH(H160,'Logic Tree'!$J$74:$N$74,0))</f>
        <v>0.44999999999999996</v>
      </c>
    </row>
    <row r="161" spans="2:14" ht="15" customHeight="1">
      <c r="B161" s="19">
        <v>2</v>
      </c>
      <c r="C161" s="11" t="s">
        <v>456</v>
      </c>
      <c r="D161" s="36" t="s">
        <v>314</v>
      </c>
      <c r="E161" s="36" t="s">
        <v>456</v>
      </c>
      <c r="F161" s="49" t="str">
        <f>'Pod Library'!E57</f>
        <v>Developer</v>
      </c>
      <c r="G161" s="44" t="str">
        <f>'Pod Library'!F57</f>
        <v>DEV</v>
      </c>
      <c r="H161" s="44" t="str">
        <f>'Pod Library'!G57</f>
        <v>E3</v>
      </c>
      <c r="I161" s="44" t="str">
        <f>'Pod Library'!H57</f>
        <v>OFF</v>
      </c>
      <c r="J161" s="44" t="str">
        <f>'Pod Library'!I57</f>
        <v>FTC</v>
      </c>
      <c r="K161" s="9">
        <f>'Pod Library'!J57</f>
        <v>0.83333333333333304</v>
      </c>
      <c r="L161" s="13">
        <f>'Pod Plan'!F12</f>
        <v>3</v>
      </c>
      <c r="M161" s="46">
        <f t="shared" si="2"/>
        <v>2.4999999999999991</v>
      </c>
      <c r="N161" s="46">
        <f>M161*INDEX('Logic Tree'!$J$75:$N$77,MATCH(I161,'Logic Tree'!$I$75:$I$77,0),MATCH(H161,'Logic Tree'!$J$74:$N$74,0))</f>
        <v>1.0499999999999996</v>
      </c>
    </row>
    <row r="162" spans="2:14" ht="15" customHeight="1">
      <c r="B162" s="19">
        <v>2</v>
      </c>
      <c r="C162" s="11" t="s">
        <v>456</v>
      </c>
      <c r="D162" s="36" t="s">
        <v>314</v>
      </c>
      <c r="E162" s="36" t="s">
        <v>456</v>
      </c>
      <c r="F162" s="49" t="str">
        <f>'Pod Library'!E58</f>
        <v>Test Engineer (SDET)</v>
      </c>
      <c r="G162" s="44" t="str">
        <f>'Pod Library'!F58</f>
        <v>TEST</v>
      </c>
      <c r="H162" s="44" t="str">
        <f>'Pod Library'!G58</f>
        <v>E3</v>
      </c>
      <c r="I162" s="44" t="str">
        <f>'Pod Library'!H58</f>
        <v>OFF</v>
      </c>
      <c r="J162" s="44" t="str">
        <f>'Pod Library'!I58</f>
        <v>FTC</v>
      </c>
      <c r="K162" s="9">
        <f>'Pod Library'!J58</f>
        <v>2.1666666666666701</v>
      </c>
      <c r="L162" s="13">
        <f>'Pod Plan'!F12</f>
        <v>3</v>
      </c>
      <c r="M162" s="46">
        <f t="shared" si="2"/>
        <v>6.5000000000000107</v>
      </c>
      <c r="N162" s="46">
        <f>M162*INDEX('Logic Tree'!$J$75:$N$77,MATCH(I162,'Logic Tree'!$I$75:$I$77,0),MATCH(H162,'Logic Tree'!$J$74:$N$74,0))</f>
        <v>2.7300000000000044</v>
      </c>
    </row>
    <row r="163" spans="2:14" ht="15" customHeight="1">
      <c r="B163" s="19">
        <v>2</v>
      </c>
      <c r="C163" s="11" t="s">
        <v>456</v>
      </c>
      <c r="D163" s="36" t="s">
        <v>314</v>
      </c>
      <c r="E163" s="36" t="s">
        <v>456</v>
      </c>
      <c r="F163" s="49" t="str">
        <f>'Pod Library'!E59</f>
        <v>Application Support</v>
      </c>
      <c r="G163" s="44" t="str">
        <f>'Pod Library'!F59</f>
        <v>MNT</v>
      </c>
      <c r="H163" s="44" t="str">
        <f>'Pod Library'!G59</f>
        <v>E1</v>
      </c>
      <c r="I163" s="44" t="str">
        <f>'Pod Library'!H59</f>
        <v>OFF</v>
      </c>
      <c r="J163" s="44" t="str">
        <f>'Pod Library'!I59</f>
        <v>FTC</v>
      </c>
      <c r="K163" s="9">
        <f>'Pod Library'!J59</f>
        <v>0.66666666666666696</v>
      </c>
      <c r="L163" s="13">
        <f>'Pod Plan'!F12</f>
        <v>3</v>
      </c>
      <c r="M163" s="46">
        <f t="shared" si="2"/>
        <v>2.0000000000000009</v>
      </c>
      <c r="N163" s="46">
        <f>M163*INDEX('Logic Tree'!$J$75:$N$77,MATCH(I163,'Logic Tree'!$I$75:$I$77,0),MATCH(H163,'Logic Tree'!$J$74:$N$74,0))</f>
        <v>0.44000000000000022</v>
      </c>
    </row>
    <row r="164" spans="2:14" ht="15" customHeight="1">
      <c r="B164" s="19">
        <v>2</v>
      </c>
      <c r="C164" s="11" t="s">
        <v>456</v>
      </c>
      <c r="D164" s="36" t="s">
        <v>314</v>
      </c>
      <c r="E164" s="36" t="s">
        <v>456</v>
      </c>
      <c r="F164" s="49" t="str">
        <f>'Pod Library'!E60</f>
        <v>Application Support</v>
      </c>
      <c r="G164" s="44" t="str">
        <f>'Pod Library'!F60</f>
        <v>MNT</v>
      </c>
      <c r="H164" s="44" t="str">
        <f>'Pod Library'!G60</f>
        <v>E2</v>
      </c>
      <c r="I164" s="44" t="str">
        <f>'Pod Library'!H60</f>
        <v>OFF</v>
      </c>
      <c r="J164" s="44" t="str">
        <f>'Pod Library'!I60</f>
        <v>FTC</v>
      </c>
      <c r="K164" s="9">
        <f>'Pod Library'!J60</f>
        <v>0.33333333333333298</v>
      </c>
      <c r="L164" s="13">
        <f>'Pod Plan'!F12</f>
        <v>3</v>
      </c>
      <c r="M164" s="46">
        <f t="shared" si="2"/>
        <v>0.99999999999999889</v>
      </c>
      <c r="N164" s="46">
        <f>M164*INDEX('Logic Tree'!$J$75:$N$77,MATCH(I164,'Logic Tree'!$I$75:$I$77,0),MATCH(H164,'Logic Tree'!$J$74:$N$74,0))</f>
        <v>0.29999999999999966</v>
      </c>
    </row>
    <row r="165" spans="2:14" ht="15" customHeight="1">
      <c r="B165" s="19">
        <v>2</v>
      </c>
      <c r="C165" s="11" t="s">
        <v>444</v>
      </c>
      <c r="D165" s="36" t="s">
        <v>315</v>
      </c>
      <c r="E165" s="36" t="s">
        <v>444</v>
      </c>
      <c r="F165" s="49" t="str">
        <f>'Pod Library'!E36</f>
        <v>MetLife Product Owner</v>
      </c>
      <c r="G165" s="44" t="str">
        <f>'Pod Library'!F36</f>
        <v>PM</v>
      </c>
      <c r="H165" s="44" t="str">
        <f>'Pod Library'!G36</f>
        <v>E4</v>
      </c>
      <c r="I165" s="44" t="str">
        <f>'Pod Library'!H36</f>
        <v>ON</v>
      </c>
      <c r="J165" s="44" t="str">
        <f>'Pod Library'!I36</f>
        <v>FTE</v>
      </c>
      <c r="K165" s="9">
        <f>'Pod Library'!J36</f>
        <v>0.92857142857142905</v>
      </c>
      <c r="L165" s="13">
        <f>'Pod Plan'!E13</f>
        <v>4</v>
      </c>
      <c r="M165" s="46">
        <f t="shared" si="2"/>
        <v>3.7142857142857162</v>
      </c>
      <c r="N165" s="46">
        <f>M165*INDEX('Logic Tree'!$J$75:$N$77,MATCH(I165,'Logic Tree'!$I$75:$I$77,0),MATCH(H165,'Logic Tree'!$J$74:$N$74,0))</f>
        <v>6.8714285714285754</v>
      </c>
    </row>
    <row r="166" spans="2:14" ht="15" customHeight="1">
      <c r="B166" s="19">
        <v>2</v>
      </c>
      <c r="C166" s="11" t="s">
        <v>444</v>
      </c>
      <c r="D166" s="36" t="s">
        <v>315</v>
      </c>
      <c r="E166" s="36" t="s">
        <v>444</v>
      </c>
      <c r="F166" s="49" t="str">
        <f>'Pod Library'!E37</f>
        <v>MetLife Domain SME</v>
      </c>
      <c r="G166" s="44" t="str">
        <f>'Pod Library'!F37</f>
        <v>BSA</v>
      </c>
      <c r="H166" s="44" t="str">
        <f>'Pod Library'!G37</f>
        <v>E4</v>
      </c>
      <c r="I166" s="44" t="str">
        <f>'Pod Library'!H37</f>
        <v>ON</v>
      </c>
      <c r="J166" s="44" t="str">
        <f>'Pod Library'!I37</f>
        <v>FTE</v>
      </c>
      <c r="K166" s="9">
        <f>'Pod Library'!J37</f>
        <v>0.67142857142857104</v>
      </c>
      <c r="L166" s="13">
        <f>'Pod Plan'!E13</f>
        <v>4</v>
      </c>
      <c r="M166" s="46">
        <f t="shared" si="2"/>
        <v>2.6857142857142842</v>
      </c>
      <c r="N166" s="46">
        <f>M166*INDEX('Logic Tree'!$J$75:$N$77,MATCH(I166,'Logic Tree'!$I$75:$I$77,0),MATCH(H166,'Logic Tree'!$J$74:$N$74,0))</f>
        <v>4.9685714285714262</v>
      </c>
    </row>
    <row r="167" spans="2:14" ht="15" customHeight="1">
      <c r="B167" s="19">
        <v>2</v>
      </c>
      <c r="C167" s="11" t="s">
        <v>444</v>
      </c>
      <c r="D167" s="36" t="s">
        <v>315</v>
      </c>
      <c r="E167" s="36" t="s">
        <v>444</v>
      </c>
      <c r="F167" s="49" t="str">
        <f>'Pod Library'!E38</f>
        <v>MGCC Engineer</v>
      </c>
      <c r="G167" s="44" t="str">
        <f>'Pod Library'!F38</f>
        <v>DEV</v>
      </c>
      <c r="H167" s="44" t="str">
        <f>'Pod Library'!G38</f>
        <v>E3</v>
      </c>
      <c r="I167" s="44" t="str">
        <f>'Pod Library'!H38</f>
        <v>OFF</v>
      </c>
      <c r="J167" s="44" t="str">
        <f>'Pod Library'!I38</f>
        <v>MGCC</v>
      </c>
      <c r="K167" s="9">
        <f>'Pod Library'!J38</f>
        <v>1.8</v>
      </c>
      <c r="L167" s="13">
        <f>'Pod Plan'!E13</f>
        <v>4</v>
      </c>
      <c r="M167" s="46">
        <f t="shared" si="2"/>
        <v>7.2</v>
      </c>
      <c r="N167" s="46">
        <f>M167*INDEX('Logic Tree'!$J$75:$N$77,MATCH(I167,'Logic Tree'!$I$75:$I$77,0),MATCH(H167,'Logic Tree'!$J$74:$N$74,0))</f>
        <v>3.024</v>
      </c>
    </row>
    <row r="168" spans="2:14" ht="15" customHeight="1">
      <c r="B168" s="19">
        <v>2</v>
      </c>
      <c r="C168" s="11" t="s">
        <v>444</v>
      </c>
      <c r="D168" s="36" t="s">
        <v>315</v>
      </c>
      <c r="E168" s="36" t="s">
        <v>444</v>
      </c>
      <c r="F168" s="49" t="str">
        <f>'Pod Library'!E39</f>
        <v>Business Analyst (bilingual)</v>
      </c>
      <c r="G168" s="44" t="str">
        <f>'Pod Library'!F39</f>
        <v>BSA</v>
      </c>
      <c r="H168" s="44" t="str">
        <f>'Pod Library'!G39</f>
        <v>E3</v>
      </c>
      <c r="I168" s="44" t="str">
        <f>'Pod Library'!H39</f>
        <v>ON</v>
      </c>
      <c r="J168" s="44" t="str">
        <f>'Pod Library'!I39</f>
        <v>FTC</v>
      </c>
      <c r="K168" s="9">
        <f>'Pod Library'!J39</f>
        <v>0.55000000000000004</v>
      </c>
      <c r="L168" s="13">
        <f>'Pod Plan'!E13</f>
        <v>4</v>
      </c>
      <c r="M168" s="46">
        <f t="shared" si="2"/>
        <v>2.2000000000000002</v>
      </c>
      <c r="N168" s="46">
        <f>M168*INDEX('Logic Tree'!$J$75:$N$77,MATCH(I168,'Logic Tree'!$I$75:$I$77,0),MATCH(H168,'Logic Tree'!$J$74:$N$74,0))</f>
        <v>2.9700000000000006</v>
      </c>
    </row>
    <row r="169" spans="2:14" ht="15" customHeight="1">
      <c r="B169" s="19">
        <v>2</v>
      </c>
      <c r="C169" s="11" t="s">
        <v>444</v>
      </c>
      <c r="D169" s="36" t="s">
        <v>315</v>
      </c>
      <c r="E169" s="36" t="s">
        <v>444</v>
      </c>
      <c r="F169" s="49" t="str">
        <f>'Pod Library'!E40</f>
        <v>Pod lead / senior engineer</v>
      </c>
      <c r="G169" s="44" t="str">
        <f>'Pod Library'!F40</f>
        <v>DEV</v>
      </c>
      <c r="H169" s="44" t="str">
        <f>'Pod Library'!G40</f>
        <v>E4</v>
      </c>
      <c r="I169" s="44" t="str">
        <f>'Pod Library'!H40</f>
        <v>ON</v>
      </c>
      <c r="J169" s="44" t="str">
        <f>'Pod Library'!I40</f>
        <v>FTC</v>
      </c>
      <c r="K169" s="9">
        <f>'Pod Library'!J40</f>
        <v>0.71</v>
      </c>
      <c r="L169" s="13">
        <f>'Pod Plan'!E13</f>
        <v>4</v>
      </c>
      <c r="M169" s="46">
        <f t="shared" si="2"/>
        <v>2.84</v>
      </c>
      <c r="N169" s="46">
        <f>M169*INDEX('Logic Tree'!$J$75:$N$77,MATCH(I169,'Logic Tree'!$I$75:$I$77,0),MATCH(H169,'Logic Tree'!$J$74:$N$74,0))</f>
        <v>5.2539999999999996</v>
      </c>
    </row>
    <row r="170" spans="2:14" ht="15" customHeight="1">
      <c r="B170" s="19">
        <v>2</v>
      </c>
      <c r="C170" s="11" t="s">
        <v>444</v>
      </c>
      <c r="D170" s="36" t="s">
        <v>315</v>
      </c>
      <c r="E170" s="36" t="s">
        <v>444</v>
      </c>
      <c r="F170" s="49" t="str">
        <f>'Pod Library'!E41</f>
        <v>AI Orchestrator</v>
      </c>
      <c r="G170" s="44" t="str">
        <f>'Pod Library'!F41</f>
        <v>OTH</v>
      </c>
      <c r="H170" s="44" t="str">
        <f>'Pod Library'!G41</f>
        <v>E4</v>
      </c>
      <c r="I170" s="44" t="str">
        <f>'Pod Library'!H41</f>
        <v>OFF</v>
      </c>
      <c r="J170" s="44" t="str">
        <f>'Pod Library'!I41</f>
        <v>FTC</v>
      </c>
      <c r="K170" s="9">
        <f>'Pod Library'!J41</f>
        <v>0.214285714285714</v>
      </c>
      <c r="L170" s="13">
        <f>'Pod Plan'!E13</f>
        <v>4</v>
      </c>
      <c r="M170" s="46">
        <f t="shared" si="2"/>
        <v>0.85714285714285599</v>
      </c>
      <c r="N170" s="46">
        <f>M170*INDEX('Logic Tree'!$J$75:$N$77,MATCH(I170,'Logic Tree'!$I$75:$I$77,0),MATCH(H170,'Logic Tree'!$J$74:$N$74,0))</f>
        <v>0.51428571428571357</v>
      </c>
    </row>
    <row r="171" spans="2:14" ht="15" customHeight="1">
      <c r="B171" s="19">
        <v>2</v>
      </c>
      <c r="C171" s="11" t="s">
        <v>444</v>
      </c>
      <c r="D171" s="36" t="s">
        <v>315</v>
      </c>
      <c r="E171" s="36" t="s">
        <v>444</v>
      </c>
      <c r="F171" s="49" t="str">
        <f>'Pod Library'!E42</f>
        <v>AI-assisted engineer</v>
      </c>
      <c r="G171" s="44" t="str">
        <f>'Pod Library'!F42</f>
        <v>DEV</v>
      </c>
      <c r="H171" s="44" t="str">
        <f>'Pod Library'!G42</f>
        <v>E2</v>
      </c>
      <c r="I171" s="44" t="str">
        <f>'Pod Library'!H42</f>
        <v>OFF</v>
      </c>
      <c r="J171" s="44" t="str">
        <f>'Pod Library'!I42</f>
        <v>FTC</v>
      </c>
      <c r="K171" s="9">
        <f>'Pod Library'!J42</f>
        <v>0.3</v>
      </c>
      <c r="L171" s="13">
        <f>'Pod Plan'!E13</f>
        <v>4</v>
      </c>
      <c r="M171" s="46">
        <f t="shared" si="2"/>
        <v>1.2</v>
      </c>
      <c r="N171" s="46">
        <f>M171*INDEX('Logic Tree'!$J$75:$N$77,MATCH(I171,'Logic Tree'!$I$75:$I$77,0),MATCH(H171,'Logic Tree'!$J$74:$N$74,0))</f>
        <v>0.36</v>
      </c>
    </row>
    <row r="172" spans="2:14" ht="15" customHeight="1">
      <c r="B172" s="19">
        <v>2</v>
      </c>
      <c r="C172" s="11" t="s">
        <v>444</v>
      </c>
      <c r="D172" s="36" t="s">
        <v>315</v>
      </c>
      <c r="E172" s="36" t="s">
        <v>444</v>
      </c>
      <c r="F172" s="49" t="str">
        <f>'Pod Library'!E43</f>
        <v>AI-assisted engineer</v>
      </c>
      <c r="G172" s="44" t="str">
        <f>'Pod Library'!F43</f>
        <v>DEV</v>
      </c>
      <c r="H172" s="44" t="str">
        <f>'Pod Library'!G43</f>
        <v>E3</v>
      </c>
      <c r="I172" s="44" t="str">
        <f>'Pod Library'!H43</f>
        <v>OFF</v>
      </c>
      <c r="J172" s="44" t="str">
        <f>'Pod Library'!I43</f>
        <v>FTC</v>
      </c>
      <c r="K172" s="9">
        <f>'Pod Library'!J43</f>
        <v>0.6</v>
      </c>
      <c r="L172" s="13">
        <f>'Pod Plan'!E13</f>
        <v>4</v>
      </c>
      <c r="M172" s="46">
        <f t="shared" si="2"/>
        <v>2.4</v>
      </c>
      <c r="N172" s="46">
        <f>M172*INDEX('Logic Tree'!$J$75:$N$77,MATCH(I172,'Logic Tree'!$I$75:$I$77,0),MATCH(H172,'Logic Tree'!$J$74:$N$74,0))</f>
        <v>1.008</v>
      </c>
    </row>
    <row r="173" spans="2:14" ht="15" customHeight="1">
      <c r="B173" s="19">
        <v>2</v>
      </c>
      <c r="C173" s="11" t="s">
        <v>444</v>
      </c>
      <c r="D173" s="36" t="s">
        <v>315</v>
      </c>
      <c r="E173" s="36" t="s">
        <v>444</v>
      </c>
      <c r="F173" s="49" t="str">
        <f>'Pod Library'!E44</f>
        <v>Quality Engineer (SDET)</v>
      </c>
      <c r="G173" s="44" t="str">
        <f>'Pod Library'!F44</f>
        <v>TEST</v>
      </c>
      <c r="H173" s="44" t="str">
        <f>'Pod Library'!G44</f>
        <v>E3</v>
      </c>
      <c r="I173" s="44" t="str">
        <f>'Pod Library'!H44</f>
        <v>OFF</v>
      </c>
      <c r="J173" s="44" t="str">
        <f>'Pod Library'!I44</f>
        <v>FTC</v>
      </c>
      <c r="K173" s="9">
        <f>'Pod Library'!J44</f>
        <v>1.5</v>
      </c>
      <c r="L173" s="13">
        <f>'Pod Plan'!E13</f>
        <v>4</v>
      </c>
      <c r="M173" s="46">
        <f t="shared" si="2"/>
        <v>6</v>
      </c>
      <c r="N173" s="46">
        <f>M173*INDEX('Logic Tree'!$J$75:$N$77,MATCH(I173,'Logic Tree'!$I$75:$I$77,0),MATCH(H173,'Logic Tree'!$J$74:$N$74,0))</f>
        <v>2.52</v>
      </c>
    </row>
    <row r="174" spans="2:14" ht="15" customHeight="1">
      <c r="B174" s="19">
        <v>2</v>
      </c>
      <c r="C174" s="11" t="s">
        <v>444</v>
      </c>
      <c r="D174" s="36" t="s">
        <v>315</v>
      </c>
      <c r="E174" s="36" t="s">
        <v>444</v>
      </c>
      <c r="F174" s="49" t="str">
        <f>'Pod Library'!E45</f>
        <v>Quality Engineer (SDET)</v>
      </c>
      <c r="G174" s="44" t="str">
        <f>'Pod Library'!F45</f>
        <v>TEST</v>
      </c>
      <c r="H174" s="44" t="str">
        <f>'Pod Library'!G45</f>
        <v>E4</v>
      </c>
      <c r="I174" s="44" t="str">
        <f>'Pod Library'!H45</f>
        <v>OFF</v>
      </c>
      <c r="J174" s="44" t="str">
        <f>'Pod Library'!I45</f>
        <v>FTC</v>
      </c>
      <c r="K174" s="9">
        <f>'Pod Library'!J45</f>
        <v>0.5</v>
      </c>
      <c r="L174" s="13">
        <f>'Pod Plan'!E13</f>
        <v>4</v>
      </c>
      <c r="M174" s="46">
        <f t="shared" si="2"/>
        <v>2</v>
      </c>
      <c r="N174" s="46">
        <f>M174*INDEX('Logic Tree'!$J$75:$N$77,MATCH(I174,'Logic Tree'!$I$75:$I$77,0),MATCH(H174,'Logic Tree'!$J$74:$N$74,0))</f>
        <v>1.2</v>
      </c>
    </row>
    <row r="175" spans="2:14" ht="15" customHeight="1">
      <c r="B175" s="19">
        <v>2</v>
      </c>
      <c r="C175" s="11" t="s">
        <v>444</v>
      </c>
      <c r="D175" s="36" t="s">
        <v>315</v>
      </c>
      <c r="E175" s="36" t="s">
        <v>444</v>
      </c>
      <c r="F175" s="49" t="str">
        <f>'Pod Library'!E46</f>
        <v>Application Support</v>
      </c>
      <c r="G175" s="44" t="str">
        <f>'Pod Library'!F46</f>
        <v>MNT</v>
      </c>
      <c r="H175" s="44" t="str">
        <f>'Pod Library'!G46</f>
        <v>E1</v>
      </c>
      <c r="I175" s="44" t="str">
        <f>'Pod Library'!H46</f>
        <v>OFF</v>
      </c>
      <c r="J175" s="44" t="str">
        <f>'Pod Library'!I46</f>
        <v>FTC</v>
      </c>
      <c r="K175" s="9">
        <f>'Pod Library'!J46</f>
        <v>0.128571428571429</v>
      </c>
      <c r="L175" s="13">
        <f>'Pod Plan'!E13</f>
        <v>4</v>
      </c>
      <c r="M175" s="46">
        <f t="shared" si="2"/>
        <v>0.51428571428571601</v>
      </c>
      <c r="N175" s="46">
        <f>M175*INDEX('Logic Tree'!$J$75:$N$77,MATCH(I175,'Logic Tree'!$I$75:$I$77,0),MATCH(H175,'Logic Tree'!$J$74:$N$74,0))</f>
        <v>0.11314285714285752</v>
      </c>
    </row>
    <row r="176" spans="2:14" ht="15" customHeight="1">
      <c r="B176" s="19">
        <v>2</v>
      </c>
      <c r="C176" s="11" t="s">
        <v>444</v>
      </c>
      <c r="D176" s="36" t="s">
        <v>315</v>
      </c>
      <c r="E176" s="36" t="s">
        <v>444</v>
      </c>
      <c r="F176" s="49" t="str">
        <f>'Pod Library'!E47</f>
        <v>Application Support</v>
      </c>
      <c r="G176" s="44" t="str">
        <f>'Pod Library'!F47</f>
        <v>MNT</v>
      </c>
      <c r="H176" s="44" t="str">
        <f>'Pod Library'!G47</f>
        <v>E2</v>
      </c>
      <c r="I176" s="44" t="str">
        <f>'Pod Library'!H47</f>
        <v>OFF</v>
      </c>
      <c r="J176" s="44" t="str">
        <f>'Pod Library'!I47</f>
        <v>FTC</v>
      </c>
      <c r="K176" s="9">
        <f>'Pod Library'!J47</f>
        <v>8.5714285714285701E-2</v>
      </c>
      <c r="L176" s="13">
        <f>'Pod Plan'!E13</f>
        <v>4</v>
      </c>
      <c r="M176" s="46">
        <f t="shared" si="2"/>
        <v>0.3428571428571428</v>
      </c>
      <c r="N176" s="46">
        <f>M176*INDEX('Logic Tree'!$J$75:$N$77,MATCH(I176,'Logic Tree'!$I$75:$I$77,0),MATCH(H176,'Logic Tree'!$J$74:$N$74,0))</f>
        <v>0.10285714285714284</v>
      </c>
    </row>
    <row r="177" spans="2:14" ht="15" customHeight="1">
      <c r="B177" s="19">
        <v>2</v>
      </c>
      <c r="C177" s="11" t="s">
        <v>444</v>
      </c>
      <c r="D177" s="36" t="s">
        <v>316</v>
      </c>
      <c r="E177" s="36" t="s">
        <v>444</v>
      </c>
      <c r="F177" s="49" t="str">
        <f>'Pod Library'!E36</f>
        <v>MetLife Product Owner</v>
      </c>
      <c r="G177" s="44" t="str">
        <f>'Pod Library'!F36</f>
        <v>PM</v>
      </c>
      <c r="H177" s="44" t="str">
        <f>'Pod Library'!G36</f>
        <v>E4</v>
      </c>
      <c r="I177" s="44" t="str">
        <f>'Pod Library'!H36</f>
        <v>ON</v>
      </c>
      <c r="J177" s="44" t="str">
        <f>'Pod Library'!I36</f>
        <v>FTE</v>
      </c>
      <c r="K177" s="9">
        <f>'Pod Library'!J36</f>
        <v>0.92857142857142905</v>
      </c>
      <c r="L177" s="13">
        <f>'Pod Plan'!E14</f>
        <v>2</v>
      </c>
      <c r="M177" s="46">
        <f t="shared" si="2"/>
        <v>1.8571428571428581</v>
      </c>
      <c r="N177" s="46">
        <f>M177*INDEX('Logic Tree'!$J$75:$N$77,MATCH(I177,'Logic Tree'!$I$75:$I$77,0),MATCH(H177,'Logic Tree'!$J$74:$N$74,0))</f>
        <v>3.4357142857142877</v>
      </c>
    </row>
    <row r="178" spans="2:14" ht="15" customHeight="1">
      <c r="B178" s="19">
        <v>2</v>
      </c>
      <c r="C178" s="11" t="s">
        <v>444</v>
      </c>
      <c r="D178" s="36" t="s">
        <v>316</v>
      </c>
      <c r="E178" s="36" t="s">
        <v>444</v>
      </c>
      <c r="F178" s="49" t="str">
        <f>'Pod Library'!E37</f>
        <v>MetLife Domain SME</v>
      </c>
      <c r="G178" s="44" t="str">
        <f>'Pod Library'!F37</f>
        <v>BSA</v>
      </c>
      <c r="H178" s="44" t="str">
        <f>'Pod Library'!G37</f>
        <v>E4</v>
      </c>
      <c r="I178" s="44" t="str">
        <f>'Pod Library'!H37</f>
        <v>ON</v>
      </c>
      <c r="J178" s="44" t="str">
        <f>'Pod Library'!I37</f>
        <v>FTE</v>
      </c>
      <c r="K178" s="9">
        <f>'Pod Library'!J37</f>
        <v>0.67142857142857104</v>
      </c>
      <c r="L178" s="13">
        <f>'Pod Plan'!E14</f>
        <v>2</v>
      </c>
      <c r="M178" s="46">
        <f t="shared" si="2"/>
        <v>1.3428571428571421</v>
      </c>
      <c r="N178" s="46">
        <f>M178*INDEX('Logic Tree'!$J$75:$N$77,MATCH(I178,'Logic Tree'!$I$75:$I$77,0),MATCH(H178,'Logic Tree'!$J$74:$N$74,0))</f>
        <v>2.4842857142857131</v>
      </c>
    </row>
    <row r="179" spans="2:14" ht="15" customHeight="1">
      <c r="B179" s="19">
        <v>2</v>
      </c>
      <c r="C179" s="11" t="s">
        <v>444</v>
      </c>
      <c r="D179" s="36" t="s">
        <v>316</v>
      </c>
      <c r="E179" s="36" t="s">
        <v>444</v>
      </c>
      <c r="F179" s="49" t="str">
        <f>'Pod Library'!E38</f>
        <v>MGCC Engineer</v>
      </c>
      <c r="G179" s="44" t="str">
        <f>'Pod Library'!F38</f>
        <v>DEV</v>
      </c>
      <c r="H179" s="44" t="str">
        <f>'Pod Library'!G38</f>
        <v>E3</v>
      </c>
      <c r="I179" s="44" t="str">
        <f>'Pod Library'!H38</f>
        <v>OFF</v>
      </c>
      <c r="J179" s="44" t="str">
        <f>'Pod Library'!I38</f>
        <v>MGCC</v>
      </c>
      <c r="K179" s="9">
        <f>'Pod Library'!J38</f>
        <v>1.8</v>
      </c>
      <c r="L179" s="13">
        <f>'Pod Plan'!E14</f>
        <v>2</v>
      </c>
      <c r="M179" s="46">
        <f t="shared" si="2"/>
        <v>3.6</v>
      </c>
      <c r="N179" s="46">
        <f>M179*INDEX('Logic Tree'!$J$75:$N$77,MATCH(I179,'Logic Tree'!$I$75:$I$77,0),MATCH(H179,'Logic Tree'!$J$74:$N$74,0))</f>
        <v>1.512</v>
      </c>
    </row>
    <row r="180" spans="2:14" ht="15" customHeight="1">
      <c r="B180" s="19">
        <v>2</v>
      </c>
      <c r="C180" s="11" t="s">
        <v>444</v>
      </c>
      <c r="D180" s="36" t="s">
        <v>316</v>
      </c>
      <c r="E180" s="36" t="s">
        <v>444</v>
      </c>
      <c r="F180" s="49" t="str">
        <f>'Pod Library'!E39</f>
        <v>Business Analyst (bilingual)</v>
      </c>
      <c r="G180" s="44" t="str">
        <f>'Pod Library'!F39</f>
        <v>BSA</v>
      </c>
      <c r="H180" s="44" t="str">
        <f>'Pod Library'!G39</f>
        <v>E3</v>
      </c>
      <c r="I180" s="44" t="str">
        <f>'Pod Library'!H39</f>
        <v>ON</v>
      </c>
      <c r="J180" s="44" t="str">
        <f>'Pod Library'!I39</f>
        <v>FTC</v>
      </c>
      <c r="K180" s="9">
        <f>'Pod Library'!J39</f>
        <v>0.55000000000000004</v>
      </c>
      <c r="L180" s="13">
        <f>'Pod Plan'!E14</f>
        <v>2</v>
      </c>
      <c r="M180" s="46">
        <f t="shared" si="2"/>
        <v>1.1000000000000001</v>
      </c>
      <c r="N180" s="46">
        <f>M180*INDEX('Logic Tree'!$J$75:$N$77,MATCH(I180,'Logic Tree'!$I$75:$I$77,0),MATCH(H180,'Logic Tree'!$J$74:$N$74,0))</f>
        <v>1.4850000000000003</v>
      </c>
    </row>
    <row r="181" spans="2:14" ht="15" customHeight="1">
      <c r="B181" s="19">
        <v>2</v>
      </c>
      <c r="C181" s="11" t="s">
        <v>444</v>
      </c>
      <c r="D181" s="36" t="s">
        <v>316</v>
      </c>
      <c r="E181" s="36" t="s">
        <v>444</v>
      </c>
      <c r="F181" s="49" t="str">
        <f>'Pod Library'!E40</f>
        <v>Pod lead / senior engineer</v>
      </c>
      <c r="G181" s="44" t="str">
        <f>'Pod Library'!F40</f>
        <v>DEV</v>
      </c>
      <c r="H181" s="44" t="str">
        <f>'Pod Library'!G40</f>
        <v>E4</v>
      </c>
      <c r="I181" s="44" t="str">
        <f>'Pod Library'!H40</f>
        <v>ON</v>
      </c>
      <c r="J181" s="44" t="str">
        <f>'Pod Library'!I40</f>
        <v>FTC</v>
      </c>
      <c r="K181" s="9">
        <f>'Pod Library'!J40</f>
        <v>0.71</v>
      </c>
      <c r="L181" s="13">
        <f>'Pod Plan'!E14</f>
        <v>2</v>
      </c>
      <c r="M181" s="46">
        <f t="shared" si="2"/>
        <v>1.42</v>
      </c>
      <c r="N181" s="46">
        <f>M181*INDEX('Logic Tree'!$J$75:$N$77,MATCH(I181,'Logic Tree'!$I$75:$I$77,0),MATCH(H181,'Logic Tree'!$J$74:$N$74,0))</f>
        <v>2.6269999999999998</v>
      </c>
    </row>
    <row r="182" spans="2:14" ht="15" customHeight="1">
      <c r="B182" s="19">
        <v>2</v>
      </c>
      <c r="C182" s="11" t="s">
        <v>444</v>
      </c>
      <c r="D182" s="36" t="s">
        <v>316</v>
      </c>
      <c r="E182" s="36" t="s">
        <v>444</v>
      </c>
      <c r="F182" s="49" t="str">
        <f>'Pod Library'!E41</f>
        <v>AI Orchestrator</v>
      </c>
      <c r="G182" s="44" t="str">
        <f>'Pod Library'!F41</f>
        <v>OTH</v>
      </c>
      <c r="H182" s="44" t="str">
        <f>'Pod Library'!G41</f>
        <v>E4</v>
      </c>
      <c r="I182" s="44" t="str">
        <f>'Pod Library'!H41</f>
        <v>OFF</v>
      </c>
      <c r="J182" s="44" t="str">
        <f>'Pod Library'!I41</f>
        <v>FTC</v>
      </c>
      <c r="K182" s="9">
        <f>'Pod Library'!J41</f>
        <v>0.214285714285714</v>
      </c>
      <c r="L182" s="13">
        <f>'Pod Plan'!E14</f>
        <v>2</v>
      </c>
      <c r="M182" s="46">
        <f t="shared" si="2"/>
        <v>0.42857142857142799</v>
      </c>
      <c r="N182" s="46">
        <f>M182*INDEX('Logic Tree'!$J$75:$N$77,MATCH(I182,'Logic Tree'!$I$75:$I$77,0),MATCH(H182,'Logic Tree'!$J$74:$N$74,0))</f>
        <v>0.25714285714285678</v>
      </c>
    </row>
    <row r="183" spans="2:14" ht="15" customHeight="1">
      <c r="B183" s="19">
        <v>2</v>
      </c>
      <c r="C183" s="11" t="s">
        <v>444</v>
      </c>
      <c r="D183" s="36" t="s">
        <v>316</v>
      </c>
      <c r="E183" s="36" t="s">
        <v>444</v>
      </c>
      <c r="F183" s="49" t="str">
        <f>'Pod Library'!E42</f>
        <v>AI-assisted engineer</v>
      </c>
      <c r="G183" s="44" t="str">
        <f>'Pod Library'!F42</f>
        <v>DEV</v>
      </c>
      <c r="H183" s="44" t="str">
        <f>'Pod Library'!G42</f>
        <v>E2</v>
      </c>
      <c r="I183" s="44" t="str">
        <f>'Pod Library'!H42</f>
        <v>OFF</v>
      </c>
      <c r="J183" s="44" t="str">
        <f>'Pod Library'!I42</f>
        <v>FTC</v>
      </c>
      <c r="K183" s="9">
        <f>'Pod Library'!J42</f>
        <v>0.3</v>
      </c>
      <c r="L183" s="13">
        <f>'Pod Plan'!E14</f>
        <v>2</v>
      </c>
      <c r="M183" s="46">
        <f t="shared" si="2"/>
        <v>0.6</v>
      </c>
      <c r="N183" s="46">
        <f>M183*INDEX('Logic Tree'!$J$75:$N$77,MATCH(I183,'Logic Tree'!$I$75:$I$77,0),MATCH(H183,'Logic Tree'!$J$74:$N$74,0))</f>
        <v>0.18</v>
      </c>
    </row>
    <row r="184" spans="2:14" ht="15" customHeight="1">
      <c r="B184" s="19">
        <v>2</v>
      </c>
      <c r="C184" s="11" t="s">
        <v>444</v>
      </c>
      <c r="D184" s="36" t="s">
        <v>316</v>
      </c>
      <c r="E184" s="36" t="s">
        <v>444</v>
      </c>
      <c r="F184" s="49" t="str">
        <f>'Pod Library'!E43</f>
        <v>AI-assisted engineer</v>
      </c>
      <c r="G184" s="44" t="str">
        <f>'Pod Library'!F43</f>
        <v>DEV</v>
      </c>
      <c r="H184" s="44" t="str">
        <f>'Pod Library'!G43</f>
        <v>E3</v>
      </c>
      <c r="I184" s="44" t="str">
        <f>'Pod Library'!H43</f>
        <v>OFF</v>
      </c>
      <c r="J184" s="44" t="str">
        <f>'Pod Library'!I43</f>
        <v>FTC</v>
      </c>
      <c r="K184" s="9">
        <f>'Pod Library'!J43</f>
        <v>0.6</v>
      </c>
      <c r="L184" s="13">
        <f>'Pod Plan'!E14</f>
        <v>2</v>
      </c>
      <c r="M184" s="46">
        <f t="shared" si="2"/>
        <v>1.2</v>
      </c>
      <c r="N184" s="46">
        <f>M184*INDEX('Logic Tree'!$J$75:$N$77,MATCH(I184,'Logic Tree'!$I$75:$I$77,0),MATCH(H184,'Logic Tree'!$J$74:$N$74,0))</f>
        <v>0.504</v>
      </c>
    </row>
    <row r="185" spans="2:14" ht="15" customHeight="1">
      <c r="B185" s="19">
        <v>2</v>
      </c>
      <c r="C185" s="11" t="s">
        <v>444</v>
      </c>
      <c r="D185" s="36" t="s">
        <v>316</v>
      </c>
      <c r="E185" s="36" t="s">
        <v>444</v>
      </c>
      <c r="F185" s="49" t="str">
        <f>'Pod Library'!E44</f>
        <v>Quality Engineer (SDET)</v>
      </c>
      <c r="G185" s="44" t="str">
        <f>'Pod Library'!F44</f>
        <v>TEST</v>
      </c>
      <c r="H185" s="44" t="str">
        <f>'Pod Library'!G44</f>
        <v>E3</v>
      </c>
      <c r="I185" s="44" t="str">
        <f>'Pod Library'!H44</f>
        <v>OFF</v>
      </c>
      <c r="J185" s="44" t="str">
        <f>'Pod Library'!I44</f>
        <v>FTC</v>
      </c>
      <c r="K185" s="9">
        <f>'Pod Library'!J44</f>
        <v>1.5</v>
      </c>
      <c r="L185" s="13">
        <f>'Pod Plan'!E14</f>
        <v>2</v>
      </c>
      <c r="M185" s="46">
        <f t="shared" si="2"/>
        <v>3</v>
      </c>
      <c r="N185" s="46">
        <f>M185*INDEX('Logic Tree'!$J$75:$N$77,MATCH(I185,'Logic Tree'!$I$75:$I$77,0),MATCH(H185,'Logic Tree'!$J$74:$N$74,0))</f>
        <v>1.26</v>
      </c>
    </row>
    <row r="186" spans="2:14" ht="15" customHeight="1">
      <c r="B186" s="19">
        <v>2</v>
      </c>
      <c r="C186" s="11" t="s">
        <v>444</v>
      </c>
      <c r="D186" s="36" t="s">
        <v>316</v>
      </c>
      <c r="E186" s="36" t="s">
        <v>444</v>
      </c>
      <c r="F186" s="49" t="str">
        <f>'Pod Library'!E45</f>
        <v>Quality Engineer (SDET)</v>
      </c>
      <c r="G186" s="44" t="str">
        <f>'Pod Library'!F45</f>
        <v>TEST</v>
      </c>
      <c r="H186" s="44" t="str">
        <f>'Pod Library'!G45</f>
        <v>E4</v>
      </c>
      <c r="I186" s="44" t="str">
        <f>'Pod Library'!H45</f>
        <v>OFF</v>
      </c>
      <c r="J186" s="44" t="str">
        <f>'Pod Library'!I45</f>
        <v>FTC</v>
      </c>
      <c r="K186" s="9">
        <f>'Pod Library'!J45</f>
        <v>0.5</v>
      </c>
      <c r="L186" s="13">
        <f>'Pod Plan'!E14</f>
        <v>2</v>
      </c>
      <c r="M186" s="46">
        <f t="shared" si="2"/>
        <v>1</v>
      </c>
      <c r="N186" s="46">
        <f>M186*INDEX('Logic Tree'!$J$75:$N$77,MATCH(I186,'Logic Tree'!$I$75:$I$77,0),MATCH(H186,'Logic Tree'!$J$74:$N$74,0))</f>
        <v>0.6</v>
      </c>
    </row>
    <row r="187" spans="2:14" ht="15" customHeight="1">
      <c r="B187" s="19">
        <v>2</v>
      </c>
      <c r="C187" s="11" t="s">
        <v>444</v>
      </c>
      <c r="D187" s="36" t="s">
        <v>316</v>
      </c>
      <c r="E187" s="36" t="s">
        <v>444</v>
      </c>
      <c r="F187" s="49" t="str">
        <f>'Pod Library'!E46</f>
        <v>Application Support</v>
      </c>
      <c r="G187" s="44" t="str">
        <f>'Pod Library'!F46</f>
        <v>MNT</v>
      </c>
      <c r="H187" s="44" t="str">
        <f>'Pod Library'!G46</f>
        <v>E1</v>
      </c>
      <c r="I187" s="44" t="str">
        <f>'Pod Library'!H46</f>
        <v>OFF</v>
      </c>
      <c r="J187" s="44" t="str">
        <f>'Pod Library'!I46</f>
        <v>FTC</v>
      </c>
      <c r="K187" s="9">
        <f>'Pod Library'!J46</f>
        <v>0.128571428571429</v>
      </c>
      <c r="L187" s="13">
        <f>'Pod Plan'!E14</f>
        <v>2</v>
      </c>
      <c r="M187" s="46">
        <f t="shared" si="2"/>
        <v>0.25714285714285801</v>
      </c>
      <c r="N187" s="46">
        <f>M187*INDEX('Logic Tree'!$J$75:$N$77,MATCH(I187,'Logic Tree'!$I$75:$I$77,0),MATCH(H187,'Logic Tree'!$J$74:$N$74,0))</f>
        <v>5.6571428571428758E-2</v>
      </c>
    </row>
    <row r="188" spans="2:14" ht="15" customHeight="1">
      <c r="B188" s="19">
        <v>2</v>
      </c>
      <c r="C188" s="11" t="s">
        <v>444</v>
      </c>
      <c r="D188" s="36" t="s">
        <v>316</v>
      </c>
      <c r="E188" s="36" t="s">
        <v>444</v>
      </c>
      <c r="F188" s="49" t="str">
        <f>'Pod Library'!E47</f>
        <v>Application Support</v>
      </c>
      <c r="G188" s="44" t="str">
        <f>'Pod Library'!F47</f>
        <v>MNT</v>
      </c>
      <c r="H188" s="44" t="str">
        <f>'Pod Library'!G47</f>
        <v>E2</v>
      </c>
      <c r="I188" s="44" t="str">
        <f>'Pod Library'!H47</f>
        <v>OFF</v>
      </c>
      <c r="J188" s="44" t="str">
        <f>'Pod Library'!I47</f>
        <v>FTC</v>
      </c>
      <c r="K188" s="9">
        <f>'Pod Library'!J47</f>
        <v>8.5714285714285701E-2</v>
      </c>
      <c r="L188" s="13">
        <f>'Pod Plan'!E14</f>
        <v>2</v>
      </c>
      <c r="M188" s="46">
        <f t="shared" si="2"/>
        <v>0.1714285714285714</v>
      </c>
      <c r="N188" s="46">
        <f>M188*INDEX('Logic Tree'!$J$75:$N$77,MATCH(I188,'Logic Tree'!$I$75:$I$77,0),MATCH(H188,'Logic Tree'!$J$74:$N$74,0))</f>
        <v>5.1428571428571421E-2</v>
      </c>
    </row>
    <row r="189" spans="2:14" ht="15" customHeight="1">
      <c r="B189" s="19">
        <v>2</v>
      </c>
      <c r="C189" s="11" t="s">
        <v>700</v>
      </c>
      <c r="D189" s="44" t="str">
        <f>'Horizontal Teams'!C37</f>
        <v>H1</v>
      </c>
      <c r="E189" s="36" t="s">
        <v>700</v>
      </c>
      <c r="F189" s="49" t="str">
        <f>'Horizontal Teams'!E37</f>
        <v>Service Delivery Manager</v>
      </c>
      <c r="G189" s="44" t="str">
        <f>'Horizontal Teams'!D37</f>
        <v>MNT</v>
      </c>
      <c r="H189" s="44" t="str">
        <f>'Horizontal Teams'!F37</f>
        <v>E5</v>
      </c>
      <c r="I189" s="44" t="str">
        <f>'Horizontal Teams'!G37</f>
        <v>ON</v>
      </c>
      <c r="J189" s="44" t="str">
        <f>'Horizontal Teams'!H37</f>
        <v>FTC</v>
      </c>
      <c r="K189" s="9">
        <f>'Horizontal Teams'!I37</f>
        <v>1.5</v>
      </c>
      <c r="L189" s="19">
        <v>1</v>
      </c>
      <c r="M189" s="46">
        <f t="shared" si="2"/>
        <v>1.5</v>
      </c>
      <c r="N189" s="46">
        <f>M189*INDEX('Logic Tree'!$J$75:$N$77,MATCH(I189,'Logic Tree'!$I$75:$I$77,0),MATCH(H189,'Logic Tree'!$J$74:$N$74,0))</f>
        <v>3.8249999999999997</v>
      </c>
    </row>
    <row r="190" spans="2:14" ht="15" customHeight="1">
      <c r="B190" s="19">
        <v>2</v>
      </c>
      <c r="C190" s="11" t="s">
        <v>700</v>
      </c>
      <c r="D190" s="44" t="str">
        <f>'Horizontal Teams'!C38</f>
        <v>H1</v>
      </c>
      <c r="E190" s="36" t="s">
        <v>700</v>
      </c>
      <c r="F190" s="49" t="str">
        <f>'Horizontal Teams'!E38</f>
        <v>Release &amp; Environment Manager</v>
      </c>
      <c r="G190" s="44" t="str">
        <f>'Horizontal Teams'!D38</f>
        <v>MNT</v>
      </c>
      <c r="H190" s="44" t="str">
        <f>'Horizontal Teams'!F38</f>
        <v>E4</v>
      </c>
      <c r="I190" s="44" t="str">
        <f>'Horizontal Teams'!G38</f>
        <v>ON</v>
      </c>
      <c r="J190" s="44" t="str">
        <f>'Horizontal Teams'!H38</f>
        <v>FTC</v>
      </c>
      <c r="K190" s="9">
        <f>'Horizontal Teams'!I38</f>
        <v>2.5</v>
      </c>
      <c r="L190" s="19">
        <v>1</v>
      </c>
      <c r="M190" s="46">
        <f t="shared" si="2"/>
        <v>2.5</v>
      </c>
      <c r="N190" s="46">
        <f>M190*INDEX('Logic Tree'!$J$75:$N$77,MATCH(I190,'Logic Tree'!$I$75:$I$77,0),MATCH(H190,'Logic Tree'!$J$74:$N$74,0))</f>
        <v>4.625</v>
      </c>
    </row>
    <row r="191" spans="2:14" ht="15" customHeight="1">
      <c r="B191" s="19">
        <v>2</v>
      </c>
      <c r="C191" s="11" t="s">
        <v>700</v>
      </c>
      <c r="D191" s="44" t="str">
        <f>'Horizontal Teams'!C39</f>
        <v>H1</v>
      </c>
      <c r="E191" s="36" t="s">
        <v>700</v>
      </c>
      <c r="F191" s="49" t="str">
        <f>'Horizontal Teams'!E39</f>
        <v>L2 Application Support</v>
      </c>
      <c r="G191" s="44" t="str">
        <f>'Horizontal Teams'!D39</f>
        <v>MNT</v>
      </c>
      <c r="H191" s="44" t="str">
        <f>'Horizontal Teams'!F39</f>
        <v>E1</v>
      </c>
      <c r="I191" s="44" t="str">
        <f>'Horizontal Teams'!G39</f>
        <v>OFF</v>
      </c>
      <c r="J191" s="44" t="str">
        <f>'Horizontal Teams'!H39</f>
        <v>FTC</v>
      </c>
      <c r="K191" s="9">
        <f>'Horizontal Teams'!I39</f>
        <v>1</v>
      </c>
      <c r="L191" s="19">
        <v>1</v>
      </c>
      <c r="M191" s="46">
        <f t="shared" si="2"/>
        <v>1</v>
      </c>
      <c r="N191" s="46">
        <f>M191*INDEX('Logic Tree'!$J$75:$N$77,MATCH(I191,'Logic Tree'!$I$75:$I$77,0),MATCH(H191,'Logic Tree'!$J$74:$N$74,0))</f>
        <v>0.22</v>
      </c>
    </row>
    <row r="192" spans="2:14" ht="15" customHeight="1">
      <c r="B192" s="19">
        <v>2</v>
      </c>
      <c r="C192" s="11" t="s">
        <v>700</v>
      </c>
      <c r="D192" s="44" t="str">
        <f>'Horizontal Teams'!C40</f>
        <v>H1</v>
      </c>
      <c r="E192" s="36" t="s">
        <v>700</v>
      </c>
      <c r="F192" s="49" t="str">
        <f>'Horizontal Teams'!E40</f>
        <v>L2 Application Support</v>
      </c>
      <c r="G192" s="44" t="str">
        <f>'Horizontal Teams'!D40</f>
        <v>MNT</v>
      </c>
      <c r="H192" s="44" t="str">
        <f>'Horizontal Teams'!F40</f>
        <v>E2</v>
      </c>
      <c r="I192" s="44" t="str">
        <f>'Horizontal Teams'!G40</f>
        <v>OFF</v>
      </c>
      <c r="J192" s="44" t="str">
        <f>'Horizontal Teams'!H40</f>
        <v>FTC</v>
      </c>
      <c r="K192" s="9">
        <f>'Horizontal Teams'!I40</f>
        <v>1</v>
      </c>
      <c r="L192" s="19">
        <v>1</v>
      </c>
      <c r="M192" s="46">
        <f t="shared" si="2"/>
        <v>1</v>
      </c>
      <c r="N192" s="46">
        <f>M192*INDEX('Logic Tree'!$J$75:$N$77,MATCH(I192,'Logic Tree'!$I$75:$I$77,0),MATCH(H192,'Logic Tree'!$J$74:$N$74,0))</f>
        <v>0.3</v>
      </c>
    </row>
    <row r="193" spans="2:14" ht="15" customHeight="1">
      <c r="B193" s="19">
        <v>2</v>
      </c>
      <c r="C193" s="11" t="s">
        <v>700</v>
      </c>
      <c r="D193" s="44" t="str">
        <f>'Horizontal Teams'!C41</f>
        <v>H1</v>
      </c>
      <c r="E193" s="36" t="s">
        <v>700</v>
      </c>
      <c r="F193" s="49" t="str">
        <f>'Horizontal Teams'!E41</f>
        <v>Incident &amp; Problem Analyst</v>
      </c>
      <c r="G193" s="44" t="str">
        <f>'Horizontal Teams'!D41</f>
        <v>MNT</v>
      </c>
      <c r="H193" s="44" t="str">
        <f>'Horizontal Teams'!F41</f>
        <v>E3</v>
      </c>
      <c r="I193" s="44" t="str">
        <f>'Horizontal Teams'!G41</f>
        <v>ON</v>
      </c>
      <c r="J193" s="44" t="str">
        <f>'Horizontal Teams'!H41</f>
        <v>FTC</v>
      </c>
      <c r="K193" s="9">
        <f>'Horizontal Teams'!I41</f>
        <v>1</v>
      </c>
      <c r="L193" s="19">
        <v>1</v>
      </c>
      <c r="M193" s="46">
        <f t="shared" si="2"/>
        <v>1</v>
      </c>
      <c r="N193" s="46">
        <f>M193*INDEX('Logic Tree'!$J$75:$N$77,MATCH(I193,'Logic Tree'!$I$75:$I$77,0),MATCH(H193,'Logic Tree'!$J$74:$N$74,0))</f>
        <v>1.35</v>
      </c>
    </row>
    <row r="194" spans="2:14" ht="15" customHeight="1">
      <c r="B194" s="19">
        <v>2</v>
      </c>
      <c r="C194" s="11" t="s">
        <v>700</v>
      </c>
      <c r="D194" s="44" t="str">
        <f>'Horizontal Teams'!C42</f>
        <v>H1</v>
      </c>
      <c r="E194" s="36" t="s">
        <v>700</v>
      </c>
      <c r="F194" s="49" t="str">
        <f>'Horizontal Teams'!E42</f>
        <v>Observability / AIOps Engineer</v>
      </c>
      <c r="G194" s="44" t="str">
        <f>'Horizontal Teams'!D42</f>
        <v>OTH</v>
      </c>
      <c r="H194" s="44" t="str">
        <f>'Horizontal Teams'!F42</f>
        <v>E3</v>
      </c>
      <c r="I194" s="44" t="str">
        <f>'Horizontal Teams'!G42</f>
        <v>OFF</v>
      </c>
      <c r="J194" s="44" t="str">
        <f>'Horizontal Teams'!H42</f>
        <v>FTC</v>
      </c>
      <c r="K194" s="9">
        <f>'Horizontal Teams'!I42</f>
        <v>2.5</v>
      </c>
      <c r="L194" s="19">
        <v>1</v>
      </c>
      <c r="M194" s="46">
        <f t="shared" si="2"/>
        <v>2.5</v>
      </c>
      <c r="N194" s="46">
        <f>M194*INDEX('Logic Tree'!$J$75:$N$77,MATCH(I194,'Logic Tree'!$I$75:$I$77,0),MATCH(H194,'Logic Tree'!$J$74:$N$74,0))</f>
        <v>1.05</v>
      </c>
    </row>
    <row r="195" spans="2:14" ht="15" customHeight="1">
      <c r="B195" s="19">
        <v>2</v>
      </c>
      <c r="C195" s="11" t="s">
        <v>700</v>
      </c>
      <c r="D195" s="44" t="str">
        <f>'Horizontal Teams'!C43</f>
        <v>H1</v>
      </c>
      <c r="E195" s="36" t="s">
        <v>700</v>
      </c>
      <c r="F195" s="49" t="str">
        <f>'Horizontal Teams'!E43</f>
        <v>Platform &amp; Integration Engineer</v>
      </c>
      <c r="G195" s="44" t="str">
        <f>'Horizontal Teams'!D43</f>
        <v>DEV</v>
      </c>
      <c r="H195" s="44" t="str">
        <f>'Horizontal Teams'!F43</f>
        <v>E3</v>
      </c>
      <c r="I195" s="44" t="str">
        <f>'Horizontal Teams'!G43</f>
        <v>ON</v>
      </c>
      <c r="J195" s="44" t="str">
        <f>'Horizontal Teams'!H43</f>
        <v>FTC</v>
      </c>
      <c r="K195" s="9">
        <f>'Horizontal Teams'!I43</f>
        <v>2.5</v>
      </c>
      <c r="L195" s="19">
        <v>1</v>
      </c>
      <c r="M195" s="46">
        <f t="shared" si="2"/>
        <v>2.5</v>
      </c>
      <c r="N195" s="46">
        <f>M195*INDEX('Logic Tree'!$J$75:$N$77,MATCH(I195,'Logic Tree'!$I$75:$I$77,0),MATCH(H195,'Logic Tree'!$J$74:$N$74,0))</f>
        <v>3.375</v>
      </c>
    </row>
    <row r="196" spans="2:14" ht="15" customHeight="1">
      <c r="B196" s="19">
        <v>2</v>
      </c>
      <c r="C196" s="11" t="s">
        <v>700</v>
      </c>
      <c r="D196" s="44" t="str">
        <f>'Horizontal Teams'!C44</f>
        <v>H1</v>
      </c>
      <c r="E196" s="36" t="s">
        <v>700</v>
      </c>
      <c r="F196" s="49" t="str">
        <f>'Horizontal Teams'!E44</f>
        <v>Platform &amp; Integration Engineer</v>
      </c>
      <c r="G196" s="44" t="str">
        <f>'Horizontal Teams'!D44</f>
        <v>DEV</v>
      </c>
      <c r="H196" s="44" t="str">
        <f>'Horizontal Teams'!F44</f>
        <v>E3</v>
      </c>
      <c r="I196" s="44" t="str">
        <f>'Horizontal Teams'!G44</f>
        <v>OFF</v>
      </c>
      <c r="J196" s="44" t="str">
        <f>'Horizontal Teams'!H44</f>
        <v>FTC</v>
      </c>
      <c r="K196" s="9">
        <f>'Horizontal Teams'!I44</f>
        <v>0.5</v>
      </c>
      <c r="L196" s="19">
        <v>1</v>
      </c>
      <c r="M196" s="46">
        <f t="shared" si="2"/>
        <v>0.5</v>
      </c>
      <c r="N196" s="46">
        <f>M196*INDEX('Logic Tree'!$J$75:$N$77,MATCH(I196,'Logic Tree'!$I$75:$I$77,0),MATCH(H196,'Logic Tree'!$J$74:$N$74,0))</f>
        <v>0.21</v>
      </c>
    </row>
    <row r="197" spans="2:14" ht="15" customHeight="1">
      <c r="B197" s="19">
        <v>2</v>
      </c>
      <c r="C197" s="11" t="s">
        <v>700</v>
      </c>
      <c r="D197" s="44" t="str">
        <f>'Horizontal Teams'!C45</f>
        <v>H1</v>
      </c>
      <c r="E197" s="36" t="s">
        <v>700</v>
      </c>
      <c r="F197" s="49" t="str">
        <f>'Horizontal Teams'!E45</f>
        <v>Offshore Engineering Lead</v>
      </c>
      <c r="G197" s="44" t="str">
        <f>'Horizontal Teams'!D45</f>
        <v>DEV</v>
      </c>
      <c r="H197" s="44" t="str">
        <f>'Horizontal Teams'!F45</f>
        <v>E5</v>
      </c>
      <c r="I197" s="44" t="str">
        <f>'Horizontal Teams'!G45</f>
        <v>OFF</v>
      </c>
      <c r="J197" s="44" t="str">
        <f>'Horizontal Teams'!H45</f>
        <v>FTC</v>
      </c>
      <c r="K197" s="9">
        <f>'Horizontal Teams'!I45</f>
        <v>0.5</v>
      </c>
      <c r="L197" s="19">
        <v>1</v>
      </c>
      <c r="M197" s="46">
        <f t="shared" ref="M197:M260" si="3">K197*L197</f>
        <v>0.5</v>
      </c>
      <c r="N197" s="46">
        <f>M197*INDEX('Logic Tree'!$J$75:$N$77,MATCH(I197,'Logic Tree'!$I$75:$I$77,0),MATCH(H197,'Logic Tree'!$J$74:$N$74,0))</f>
        <v>0.42499999999999999</v>
      </c>
    </row>
    <row r="198" spans="2:14" ht="15" customHeight="1">
      <c r="B198" s="19">
        <v>2</v>
      </c>
      <c r="C198" s="11" t="s">
        <v>700</v>
      </c>
      <c r="D198" s="44" t="str">
        <f>'Horizontal Teams'!C46</f>
        <v>H1</v>
      </c>
      <c r="E198" s="36" t="s">
        <v>700</v>
      </c>
      <c r="F198" s="49" t="str">
        <f>'Horizontal Teams'!E46</f>
        <v>MGCC Platform SRE</v>
      </c>
      <c r="G198" s="44" t="str">
        <f>'Horizontal Teams'!D46</f>
        <v>DEV</v>
      </c>
      <c r="H198" s="44" t="str">
        <f>'Horizontal Teams'!F46</f>
        <v>E3</v>
      </c>
      <c r="I198" s="44" t="str">
        <f>'Horizontal Teams'!G46</f>
        <v>OFF</v>
      </c>
      <c r="J198" s="44" t="str">
        <f>'Horizontal Teams'!H46</f>
        <v>MGCC</v>
      </c>
      <c r="K198" s="9">
        <f>'Horizontal Teams'!I46</f>
        <v>3</v>
      </c>
      <c r="L198" s="19">
        <v>1</v>
      </c>
      <c r="M198" s="46">
        <f t="shared" si="3"/>
        <v>3</v>
      </c>
      <c r="N198" s="46">
        <f>M198*INDEX('Logic Tree'!$J$75:$N$77,MATCH(I198,'Logic Tree'!$I$75:$I$77,0),MATCH(H198,'Logic Tree'!$J$74:$N$74,0))</f>
        <v>1.26</v>
      </c>
    </row>
    <row r="199" spans="2:14" ht="15" customHeight="1">
      <c r="B199" s="19">
        <v>2</v>
      </c>
      <c r="C199" s="11" t="s">
        <v>700</v>
      </c>
      <c r="D199" s="44" t="str">
        <f>'Horizontal Teams'!C47</f>
        <v>H1</v>
      </c>
      <c r="E199" s="36" t="s">
        <v>700</v>
      </c>
      <c r="F199" s="49" t="str">
        <f>'Horizontal Teams'!E47</f>
        <v>MetLife Service Owner</v>
      </c>
      <c r="G199" s="44" t="str">
        <f>'Horizontal Teams'!D47</f>
        <v>PM</v>
      </c>
      <c r="H199" s="44" t="str">
        <f>'Horizontal Teams'!F47</f>
        <v>E4</v>
      </c>
      <c r="I199" s="44" t="str">
        <f>'Horizontal Teams'!G47</f>
        <v>ON</v>
      </c>
      <c r="J199" s="44" t="str">
        <f>'Horizontal Teams'!H47</f>
        <v>FTE</v>
      </c>
      <c r="K199" s="9">
        <f>'Horizontal Teams'!I47</f>
        <v>1.5</v>
      </c>
      <c r="L199" s="19">
        <v>1</v>
      </c>
      <c r="M199" s="46">
        <f t="shared" si="3"/>
        <v>1.5</v>
      </c>
      <c r="N199" s="46">
        <f>M199*INDEX('Logic Tree'!$J$75:$N$77,MATCH(I199,'Logic Tree'!$I$75:$I$77,0),MATCH(H199,'Logic Tree'!$J$74:$N$74,0))</f>
        <v>2.7750000000000004</v>
      </c>
    </row>
    <row r="200" spans="2:14" ht="15" customHeight="1">
      <c r="B200" s="19">
        <v>2</v>
      </c>
      <c r="C200" s="11" t="s">
        <v>700</v>
      </c>
      <c r="D200" s="44" t="str">
        <f>'Horizontal Teams'!C48</f>
        <v>H1</v>
      </c>
      <c r="E200" s="36" t="s">
        <v>700</v>
      </c>
      <c r="F200" s="49" t="str">
        <f>'Horizontal Teams'!E48</f>
        <v>MetLife Distribution Ops Analyst</v>
      </c>
      <c r="G200" s="44" t="str">
        <f>'Horizontal Teams'!D48</f>
        <v>MNT</v>
      </c>
      <c r="H200" s="44" t="str">
        <f>'Horizontal Teams'!F48</f>
        <v>E3</v>
      </c>
      <c r="I200" s="44" t="str">
        <f>'Horizontal Teams'!G48</f>
        <v>ON</v>
      </c>
      <c r="J200" s="44" t="str">
        <f>'Horizontal Teams'!H48</f>
        <v>FTE</v>
      </c>
      <c r="K200" s="9">
        <f>'Horizontal Teams'!I48</f>
        <v>5</v>
      </c>
      <c r="L200" s="19">
        <v>1</v>
      </c>
      <c r="M200" s="46">
        <f t="shared" si="3"/>
        <v>5</v>
      </c>
      <c r="N200" s="46">
        <f>M200*INDEX('Logic Tree'!$J$75:$N$77,MATCH(I200,'Logic Tree'!$I$75:$I$77,0),MATCH(H200,'Logic Tree'!$J$74:$N$74,0))</f>
        <v>6.75</v>
      </c>
    </row>
    <row r="201" spans="2:14" ht="15" customHeight="1">
      <c r="B201" s="19">
        <v>2</v>
      </c>
      <c r="C201" s="11" t="s">
        <v>700</v>
      </c>
      <c r="D201" s="44" t="str">
        <f>'Horizontal Teams'!C49</f>
        <v>H2</v>
      </c>
      <c r="E201" s="36" t="s">
        <v>700</v>
      </c>
      <c r="F201" s="49" t="str">
        <f>'Horizontal Teams'!E49</f>
        <v>Head of Quality Engineering</v>
      </c>
      <c r="G201" s="44" t="str">
        <f>'Horizontal Teams'!D49</f>
        <v>TEST</v>
      </c>
      <c r="H201" s="44" t="str">
        <f>'Horizontal Teams'!F49</f>
        <v>E5</v>
      </c>
      <c r="I201" s="44" t="str">
        <f>'Horizontal Teams'!G49</f>
        <v>ON</v>
      </c>
      <c r="J201" s="44" t="str">
        <f>'Horizontal Teams'!H49</f>
        <v>FTC</v>
      </c>
      <c r="K201" s="9">
        <f>'Horizontal Teams'!I49</f>
        <v>1.5</v>
      </c>
      <c r="L201" s="19">
        <v>1</v>
      </c>
      <c r="M201" s="46">
        <f t="shared" si="3"/>
        <v>1.5</v>
      </c>
      <c r="N201" s="46">
        <f>M201*INDEX('Logic Tree'!$J$75:$N$77,MATCH(I201,'Logic Tree'!$I$75:$I$77,0),MATCH(H201,'Logic Tree'!$J$74:$N$74,0))</f>
        <v>3.8249999999999997</v>
      </c>
    </row>
    <row r="202" spans="2:14" ht="15" customHeight="1">
      <c r="B202" s="19">
        <v>2</v>
      </c>
      <c r="C202" s="11" t="s">
        <v>700</v>
      </c>
      <c r="D202" s="44" t="str">
        <f>'Horizontal Teams'!C50</f>
        <v>H2</v>
      </c>
      <c r="E202" s="36" t="s">
        <v>700</v>
      </c>
      <c r="F202" s="49" t="str">
        <f>'Horizontal Teams'!E50</f>
        <v>Test Architect</v>
      </c>
      <c r="G202" s="44" t="str">
        <f>'Horizontal Teams'!D50</f>
        <v>TEST</v>
      </c>
      <c r="H202" s="44" t="str">
        <f>'Horizontal Teams'!F50</f>
        <v>E4</v>
      </c>
      <c r="I202" s="44" t="str">
        <f>'Horizontal Teams'!G50</f>
        <v>ON</v>
      </c>
      <c r="J202" s="44" t="str">
        <f>'Horizontal Teams'!H50</f>
        <v>FTC</v>
      </c>
      <c r="K202" s="9">
        <f>'Horizontal Teams'!I50</f>
        <v>1</v>
      </c>
      <c r="L202" s="19">
        <v>1</v>
      </c>
      <c r="M202" s="46">
        <f t="shared" si="3"/>
        <v>1</v>
      </c>
      <c r="N202" s="46">
        <f>M202*INDEX('Logic Tree'!$J$75:$N$77,MATCH(I202,'Logic Tree'!$I$75:$I$77,0),MATCH(H202,'Logic Tree'!$J$74:$N$74,0))</f>
        <v>1.85</v>
      </c>
    </row>
    <row r="203" spans="2:14" ht="15" customHeight="1">
      <c r="B203" s="19">
        <v>2</v>
      </c>
      <c r="C203" s="11" t="s">
        <v>700</v>
      </c>
      <c r="D203" s="44" t="str">
        <f>'Horizontal Teams'!C51</f>
        <v>H2</v>
      </c>
      <c r="E203" s="36" t="s">
        <v>700</v>
      </c>
      <c r="F203" s="49" t="str">
        <f>'Horizontal Teams'!E51</f>
        <v>Performance Test Engineer</v>
      </c>
      <c r="G203" s="44" t="str">
        <f>'Horizontal Teams'!D51</f>
        <v>TEST</v>
      </c>
      <c r="H203" s="44" t="str">
        <f>'Horizontal Teams'!F51</f>
        <v>E3</v>
      </c>
      <c r="I203" s="44" t="str">
        <f>'Horizontal Teams'!G51</f>
        <v>ON</v>
      </c>
      <c r="J203" s="44" t="str">
        <f>'Horizontal Teams'!H51</f>
        <v>FTC</v>
      </c>
      <c r="K203" s="9">
        <f>'Horizontal Teams'!I51</f>
        <v>1.5</v>
      </c>
      <c r="L203" s="19">
        <v>1</v>
      </c>
      <c r="M203" s="46">
        <f t="shared" si="3"/>
        <v>1.5</v>
      </c>
      <c r="N203" s="46">
        <f>M203*INDEX('Logic Tree'!$J$75:$N$77,MATCH(I203,'Logic Tree'!$I$75:$I$77,0),MATCH(H203,'Logic Tree'!$J$74:$N$74,0))</f>
        <v>2.0250000000000004</v>
      </c>
    </row>
    <row r="204" spans="2:14" ht="15" customHeight="1">
      <c r="B204" s="19">
        <v>2</v>
      </c>
      <c r="C204" s="11" t="s">
        <v>700</v>
      </c>
      <c r="D204" s="44" t="str">
        <f>'Horizontal Teams'!C52</f>
        <v>H2</v>
      </c>
      <c r="E204" s="36" t="s">
        <v>700</v>
      </c>
      <c r="F204" s="49" t="str">
        <f>'Horizontal Teams'!E52</f>
        <v>Regression Automation Engineer</v>
      </c>
      <c r="G204" s="44" t="str">
        <f>'Horizontal Teams'!D52</f>
        <v>TEST</v>
      </c>
      <c r="H204" s="44" t="str">
        <f>'Horizontal Teams'!F52</f>
        <v>E3</v>
      </c>
      <c r="I204" s="44" t="str">
        <f>'Horizontal Teams'!G52</f>
        <v>OFF</v>
      </c>
      <c r="J204" s="44" t="str">
        <f>'Horizontal Teams'!H52</f>
        <v>FTC</v>
      </c>
      <c r="K204" s="9">
        <f>'Horizontal Teams'!I52</f>
        <v>4</v>
      </c>
      <c r="L204" s="19">
        <v>1</v>
      </c>
      <c r="M204" s="46">
        <f t="shared" si="3"/>
        <v>4</v>
      </c>
      <c r="N204" s="46">
        <f>M204*INDEX('Logic Tree'!$J$75:$N$77,MATCH(I204,'Logic Tree'!$I$75:$I$77,0),MATCH(H204,'Logic Tree'!$J$74:$N$74,0))</f>
        <v>1.68</v>
      </c>
    </row>
    <row r="205" spans="2:14" ht="15" customHeight="1">
      <c r="B205" s="19">
        <v>2</v>
      </c>
      <c r="C205" s="11" t="s">
        <v>700</v>
      </c>
      <c r="D205" s="44" t="str">
        <f>'Horizontal Teams'!C53</f>
        <v>H2</v>
      </c>
      <c r="E205" s="36" t="s">
        <v>700</v>
      </c>
      <c r="F205" s="49" t="str">
        <f>'Horizontal Teams'!E53</f>
        <v>Regression Automation Engineer</v>
      </c>
      <c r="G205" s="44" t="str">
        <f>'Horizontal Teams'!D53</f>
        <v>TEST</v>
      </c>
      <c r="H205" s="44" t="str">
        <f>'Horizontal Teams'!F53</f>
        <v>E4</v>
      </c>
      <c r="I205" s="44" t="str">
        <f>'Horizontal Teams'!G53</f>
        <v>OFF</v>
      </c>
      <c r="J205" s="44" t="str">
        <f>'Horizontal Teams'!H53</f>
        <v>FTC</v>
      </c>
      <c r="K205" s="9">
        <f>'Horizontal Teams'!I53</f>
        <v>1</v>
      </c>
      <c r="L205" s="19">
        <v>1</v>
      </c>
      <c r="M205" s="46">
        <f t="shared" si="3"/>
        <v>1</v>
      </c>
      <c r="N205" s="46">
        <f>M205*INDEX('Logic Tree'!$J$75:$N$77,MATCH(I205,'Logic Tree'!$I$75:$I$77,0),MATCH(H205,'Logic Tree'!$J$74:$N$74,0))</f>
        <v>0.6</v>
      </c>
    </row>
    <row r="206" spans="2:14" ht="15" customHeight="1">
      <c r="B206" s="19">
        <v>2</v>
      </c>
      <c r="C206" s="11" t="s">
        <v>700</v>
      </c>
      <c r="D206" s="44" t="str">
        <f>'Horizontal Teams'!C54</f>
        <v>H2</v>
      </c>
      <c r="E206" s="36" t="s">
        <v>700</v>
      </c>
      <c r="F206" s="49" t="str">
        <f>'Horizontal Teams'!E54</f>
        <v>Test Automation Principal</v>
      </c>
      <c r="G206" s="44" t="str">
        <f>'Horizontal Teams'!D54</f>
        <v>TEST</v>
      </c>
      <c r="H206" s="44" t="str">
        <f>'Horizontal Teams'!F54</f>
        <v>E5</v>
      </c>
      <c r="I206" s="44" t="str">
        <f>'Horizontal Teams'!G54</f>
        <v>OFF</v>
      </c>
      <c r="J206" s="44" t="str">
        <f>'Horizontal Teams'!H54</f>
        <v>FTC</v>
      </c>
      <c r="K206" s="9">
        <f>'Horizontal Teams'!I54</f>
        <v>0.5</v>
      </c>
      <c r="L206" s="19">
        <v>1</v>
      </c>
      <c r="M206" s="46">
        <f t="shared" si="3"/>
        <v>0.5</v>
      </c>
      <c r="N206" s="46">
        <f>M206*INDEX('Logic Tree'!$J$75:$N$77,MATCH(I206,'Logic Tree'!$I$75:$I$77,0),MATCH(H206,'Logic Tree'!$J$74:$N$74,0))</f>
        <v>0.42499999999999999</v>
      </c>
    </row>
    <row r="207" spans="2:14" ht="15" customHeight="1">
      <c r="B207" s="19">
        <v>2</v>
      </c>
      <c r="C207" s="11" t="s">
        <v>700</v>
      </c>
      <c r="D207" s="44" t="str">
        <f>'Horizontal Teams'!C55</f>
        <v>H2</v>
      </c>
      <c r="E207" s="36" t="s">
        <v>700</v>
      </c>
      <c r="F207" s="49" t="str">
        <f>'Horizontal Teams'!E55</f>
        <v>Test Data Engineer</v>
      </c>
      <c r="G207" s="44" t="str">
        <f>'Horizontal Teams'!D55</f>
        <v>TEST</v>
      </c>
      <c r="H207" s="44" t="str">
        <f>'Horizontal Teams'!F55</f>
        <v>E1</v>
      </c>
      <c r="I207" s="44" t="str">
        <f>'Horizontal Teams'!G55</f>
        <v>OFF</v>
      </c>
      <c r="J207" s="44" t="str">
        <f>'Horizontal Teams'!H55</f>
        <v>FTC</v>
      </c>
      <c r="K207" s="9">
        <f>'Horizontal Teams'!I55</f>
        <v>1</v>
      </c>
      <c r="L207" s="19">
        <v>1</v>
      </c>
      <c r="M207" s="46">
        <f t="shared" si="3"/>
        <v>1</v>
      </c>
      <c r="N207" s="46">
        <f>M207*INDEX('Logic Tree'!$J$75:$N$77,MATCH(I207,'Logic Tree'!$I$75:$I$77,0),MATCH(H207,'Logic Tree'!$J$74:$N$74,0))</f>
        <v>0.22</v>
      </c>
    </row>
    <row r="208" spans="2:14" ht="15" customHeight="1">
      <c r="B208" s="19">
        <v>2</v>
      </c>
      <c r="C208" s="11" t="s">
        <v>700</v>
      </c>
      <c r="D208" s="44" t="str">
        <f>'Horizontal Teams'!C56</f>
        <v>H2</v>
      </c>
      <c r="E208" s="36" t="s">
        <v>700</v>
      </c>
      <c r="F208" s="49" t="str">
        <f>'Horizontal Teams'!E56</f>
        <v>Test Data Engineer</v>
      </c>
      <c r="G208" s="44" t="str">
        <f>'Horizontal Teams'!D56</f>
        <v>TEST</v>
      </c>
      <c r="H208" s="44" t="str">
        <f>'Horizontal Teams'!F56</f>
        <v>E2</v>
      </c>
      <c r="I208" s="44" t="str">
        <f>'Horizontal Teams'!G56</f>
        <v>OFF</v>
      </c>
      <c r="J208" s="44" t="str">
        <f>'Horizontal Teams'!H56</f>
        <v>FTC</v>
      </c>
      <c r="K208" s="9">
        <f>'Horizontal Teams'!I56</f>
        <v>2.5</v>
      </c>
      <c r="L208" s="19">
        <v>1</v>
      </c>
      <c r="M208" s="46">
        <f t="shared" si="3"/>
        <v>2.5</v>
      </c>
      <c r="N208" s="46">
        <f>M208*INDEX('Logic Tree'!$J$75:$N$77,MATCH(I208,'Logic Tree'!$I$75:$I$77,0),MATCH(H208,'Logic Tree'!$J$74:$N$74,0))</f>
        <v>0.75</v>
      </c>
    </row>
    <row r="209" spans="2:14" ht="15" customHeight="1">
      <c r="B209" s="19">
        <v>2</v>
      </c>
      <c r="C209" s="11" t="s">
        <v>700</v>
      </c>
      <c r="D209" s="44" t="str">
        <f>'Horizontal Teams'!C57</f>
        <v>H2</v>
      </c>
      <c r="E209" s="36" t="s">
        <v>700</v>
      </c>
      <c r="F209" s="49" t="str">
        <f>'Horizontal Teams'!E57</f>
        <v>MGCC Regression Automation</v>
      </c>
      <c r="G209" s="44" t="str">
        <f>'Horizontal Teams'!D57</f>
        <v>TEST</v>
      </c>
      <c r="H209" s="44" t="str">
        <f>'Horizontal Teams'!F57</f>
        <v>E3</v>
      </c>
      <c r="I209" s="44" t="str">
        <f>'Horizontal Teams'!G57</f>
        <v>OFF</v>
      </c>
      <c r="J209" s="44" t="str">
        <f>'Horizontal Teams'!H57</f>
        <v>MGCC</v>
      </c>
      <c r="K209" s="9">
        <f>'Horizontal Teams'!I57</f>
        <v>1</v>
      </c>
      <c r="L209" s="19">
        <v>1</v>
      </c>
      <c r="M209" s="46">
        <f t="shared" si="3"/>
        <v>1</v>
      </c>
      <c r="N209" s="46">
        <f>M209*INDEX('Logic Tree'!$J$75:$N$77,MATCH(I209,'Logic Tree'!$I$75:$I$77,0),MATCH(H209,'Logic Tree'!$J$74:$N$74,0))</f>
        <v>0.42</v>
      </c>
    </row>
    <row r="210" spans="2:14" ht="15" customHeight="1">
      <c r="B210" s="19">
        <v>2</v>
      </c>
      <c r="C210" s="11" t="s">
        <v>700</v>
      </c>
      <c r="D210" s="44" t="str">
        <f>'Horizontal Teams'!C58</f>
        <v>H2</v>
      </c>
      <c r="E210" s="36" t="s">
        <v>700</v>
      </c>
      <c r="F210" s="49" t="str">
        <f>'Horizontal Teams'!E58</f>
        <v>MetLife Test Governance</v>
      </c>
      <c r="G210" s="44" t="str">
        <f>'Horizontal Teams'!D58</f>
        <v>TEST</v>
      </c>
      <c r="H210" s="44" t="str">
        <f>'Horizontal Teams'!F58</f>
        <v>E4</v>
      </c>
      <c r="I210" s="44" t="str">
        <f>'Horizontal Teams'!G58</f>
        <v>ON</v>
      </c>
      <c r="J210" s="44" t="str">
        <f>'Horizontal Teams'!H58</f>
        <v>FTE</v>
      </c>
      <c r="K210" s="9">
        <f>'Horizontal Teams'!I58</f>
        <v>1</v>
      </c>
      <c r="L210" s="19">
        <v>1</v>
      </c>
      <c r="M210" s="46">
        <f t="shared" si="3"/>
        <v>1</v>
      </c>
      <c r="N210" s="46">
        <f>M210*INDEX('Logic Tree'!$J$75:$N$77,MATCH(I210,'Logic Tree'!$I$75:$I$77,0),MATCH(H210,'Logic Tree'!$J$74:$N$74,0))</f>
        <v>1.85</v>
      </c>
    </row>
    <row r="211" spans="2:14" ht="15" customHeight="1">
      <c r="B211" s="19">
        <v>2</v>
      </c>
      <c r="C211" s="11" t="s">
        <v>700</v>
      </c>
      <c r="D211" s="44" t="str">
        <f>'Horizontal Teams'!C59</f>
        <v>H2</v>
      </c>
      <c r="E211" s="36" t="s">
        <v>700</v>
      </c>
      <c r="F211" s="49" t="str">
        <f>'Horizontal Teams'!E59</f>
        <v>MetLife Data &amp; Reporting Analyst</v>
      </c>
      <c r="G211" s="44" t="str">
        <f>'Horizontal Teams'!D59</f>
        <v>BSA</v>
      </c>
      <c r="H211" s="44" t="str">
        <f>'Horizontal Teams'!F59</f>
        <v>E3</v>
      </c>
      <c r="I211" s="44" t="str">
        <f>'Horizontal Teams'!G59</f>
        <v>ON</v>
      </c>
      <c r="J211" s="44" t="str">
        <f>'Horizontal Teams'!H59</f>
        <v>FTE</v>
      </c>
      <c r="K211" s="9">
        <f>'Horizontal Teams'!I59</f>
        <v>1</v>
      </c>
      <c r="L211" s="19">
        <v>1</v>
      </c>
      <c r="M211" s="46">
        <f t="shared" si="3"/>
        <v>1</v>
      </c>
      <c r="N211" s="46">
        <f>M211*INDEX('Logic Tree'!$J$75:$N$77,MATCH(I211,'Logic Tree'!$I$75:$I$77,0),MATCH(H211,'Logic Tree'!$J$74:$N$74,0))</f>
        <v>1.35</v>
      </c>
    </row>
    <row r="212" spans="2:14" ht="15" customHeight="1">
      <c r="B212" s="19">
        <v>2</v>
      </c>
      <c r="C212" s="11" t="s">
        <v>700</v>
      </c>
      <c r="D212" s="44" t="str">
        <f>'Horizontal Teams'!C60</f>
        <v>H3</v>
      </c>
      <c r="E212" s="36" t="s">
        <v>700</v>
      </c>
      <c r="F212" s="49" t="str">
        <f>'Horizontal Teams'!E60</f>
        <v>Domain Delivery Head</v>
      </c>
      <c r="G212" s="44" t="str">
        <f>'Horizontal Teams'!D60</f>
        <v>PM</v>
      </c>
      <c r="H212" s="44" t="str">
        <f>'Horizontal Teams'!F60</f>
        <v>E5</v>
      </c>
      <c r="I212" s="44" t="str">
        <f>'Horizontal Teams'!G60</f>
        <v>ON</v>
      </c>
      <c r="J212" s="44" t="str">
        <f>'Horizontal Teams'!H60</f>
        <v>FTC</v>
      </c>
      <c r="K212" s="9">
        <f>'Horizontal Teams'!I60</f>
        <v>1</v>
      </c>
      <c r="L212" s="19">
        <v>1</v>
      </c>
      <c r="M212" s="46">
        <f t="shared" si="3"/>
        <v>1</v>
      </c>
      <c r="N212" s="46">
        <f>M212*INDEX('Logic Tree'!$J$75:$N$77,MATCH(I212,'Logic Tree'!$I$75:$I$77,0),MATCH(H212,'Logic Tree'!$J$74:$N$74,0))</f>
        <v>2.5499999999999998</v>
      </c>
    </row>
    <row r="213" spans="2:14" ht="15" customHeight="1">
      <c r="B213" s="19">
        <v>2</v>
      </c>
      <c r="C213" s="11" t="s">
        <v>700</v>
      </c>
      <c r="D213" s="44" t="str">
        <f>'Horizontal Teams'!C61</f>
        <v>H3</v>
      </c>
      <c r="E213" s="36" t="s">
        <v>700</v>
      </c>
      <c r="F213" s="49" t="str">
        <f>'Horizontal Teams'!E61</f>
        <v>Release Train Engineer</v>
      </c>
      <c r="G213" s="44" t="str">
        <f>'Horizontal Teams'!D61</f>
        <v>PM</v>
      </c>
      <c r="H213" s="44" t="str">
        <f>'Horizontal Teams'!F61</f>
        <v>E4</v>
      </c>
      <c r="I213" s="44" t="str">
        <f>'Horizontal Teams'!G61</f>
        <v>ON</v>
      </c>
      <c r="J213" s="44" t="str">
        <f>'Horizontal Teams'!H61</f>
        <v>FTC</v>
      </c>
      <c r="K213" s="9">
        <f>'Horizontal Teams'!I61</f>
        <v>1.5</v>
      </c>
      <c r="L213" s="19">
        <v>1</v>
      </c>
      <c r="M213" s="46">
        <f t="shared" si="3"/>
        <v>1.5</v>
      </c>
      <c r="N213" s="46">
        <f>M213*INDEX('Logic Tree'!$J$75:$N$77,MATCH(I213,'Logic Tree'!$I$75:$I$77,0),MATCH(H213,'Logic Tree'!$J$74:$N$74,0))</f>
        <v>2.7750000000000004</v>
      </c>
    </row>
    <row r="214" spans="2:14" ht="15" customHeight="1">
      <c r="B214" s="19">
        <v>2</v>
      </c>
      <c r="C214" s="11" t="s">
        <v>700</v>
      </c>
      <c r="D214" s="44" t="str">
        <f>'Horizontal Teams'!C62</f>
        <v>H3</v>
      </c>
      <c r="E214" s="36" t="s">
        <v>700</v>
      </c>
      <c r="F214" s="49" t="str">
        <f>'Horizontal Teams'!E62</f>
        <v>Service &amp; Contract Manager</v>
      </c>
      <c r="G214" s="44" t="str">
        <f>'Horizontal Teams'!D62</f>
        <v>PM</v>
      </c>
      <c r="H214" s="44" t="str">
        <f>'Horizontal Teams'!F62</f>
        <v>E4</v>
      </c>
      <c r="I214" s="44" t="str">
        <f>'Horizontal Teams'!G62</f>
        <v>ON</v>
      </c>
      <c r="J214" s="44" t="str">
        <f>'Horizontal Teams'!H62</f>
        <v>FTC</v>
      </c>
      <c r="K214" s="9">
        <f>'Horizontal Teams'!I62</f>
        <v>1</v>
      </c>
      <c r="L214" s="19">
        <v>1</v>
      </c>
      <c r="M214" s="46">
        <f t="shared" si="3"/>
        <v>1</v>
      </c>
      <c r="N214" s="46">
        <f>M214*INDEX('Logic Tree'!$J$75:$N$77,MATCH(I214,'Logic Tree'!$I$75:$I$77,0),MATCH(H214,'Logic Tree'!$J$74:$N$74,0))</f>
        <v>1.85</v>
      </c>
    </row>
    <row r="215" spans="2:14" ht="15" customHeight="1">
      <c r="B215" s="19">
        <v>2</v>
      </c>
      <c r="C215" s="11" t="s">
        <v>700</v>
      </c>
      <c r="D215" s="44" t="str">
        <f>'Horizontal Teams'!C63</f>
        <v>H3</v>
      </c>
      <c r="E215" s="36" t="s">
        <v>700</v>
      </c>
      <c r="F215" s="49" t="str">
        <f>'Horizontal Teams'!E63</f>
        <v>Transition &amp; Substrate Lead</v>
      </c>
      <c r="G215" s="44" t="str">
        <f>'Horizontal Teams'!D63</f>
        <v>OTH</v>
      </c>
      <c r="H215" s="44" t="str">
        <f>'Horizontal Teams'!F63</f>
        <v>E5</v>
      </c>
      <c r="I215" s="44" t="str">
        <f>'Horizontal Teams'!G63</f>
        <v>ON</v>
      </c>
      <c r="J215" s="44" t="str">
        <f>'Horizontal Teams'!H63</f>
        <v>FTC</v>
      </c>
      <c r="K215" s="9">
        <f>'Horizontal Teams'!I63</f>
        <v>1.5</v>
      </c>
      <c r="L215" s="19">
        <v>1</v>
      </c>
      <c r="M215" s="46">
        <f t="shared" si="3"/>
        <v>1.5</v>
      </c>
      <c r="N215" s="46">
        <f>M215*INDEX('Logic Tree'!$J$75:$N$77,MATCH(I215,'Logic Tree'!$I$75:$I$77,0),MATCH(H215,'Logic Tree'!$J$74:$N$74,0))</f>
        <v>3.8249999999999997</v>
      </c>
    </row>
    <row r="216" spans="2:14" ht="15" customHeight="1">
      <c r="B216" s="19">
        <v>2</v>
      </c>
      <c r="C216" s="11" t="s">
        <v>700</v>
      </c>
      <c r="D216" s="44" t="str">
        <f>'Horizontal Teams'!C64</f>
        <v>H3</v>
      </c>
      <c r="E216" s="36" t="s">
        <v>700</v>
      </c>
      <c r="F216" s="49" t="str">
        <f>'Horizontal Teams'!E64</f>
        <v>MetLife Chief Architect — Sales</v>
      </c>
      <c r="G216" s="44" t="str">
        <f>'Horizontal Teams'!D64</f>
        <v>OTH</v>
      </c>
      <c r="H216" s="44" t="str">
        <f>'Horizontal Teams'!F64</f>
        <v>E5</v>
      </c>
      <c r="I216" s="44" t="str">
        <f>'Horizontal Teams'!G64</f>
        <v>ON</v>
      </c>
      <c r="J216" s="44" t="str">
        <f>'Horizontal Teams'!H64</f>
        <v>FTE</v>
      </c>
      <c r="K216" s="9">
        <f>'Horizontal Teams'!I64</f>
        <v>1</v>
      </c>
      <c r="L216" s="19">
        <v>1</v>
      </c>
      <c r="M216" s="46">
        <f t="shared" si="3"/>
        <v>1</v>
      </c>
      <c r="N216" s="46">
        <f>M216*INDEX('Logic Tree'!$J$75:$N$77,MATCH(I216,'Logic Tree'!$I$75:$I$77,0),MATCH(H216,'Logic Tree'!$J$74:$N$74,0))</f>
        <v>2.5499999999999998</v>
      </c>
    </row>
    <row r="217" spans="2:14" ht="15" customHeight="1">
      <c r="B217" s="19">
        <v>2</v>
      </c>
      <c r="C217" s="11" t="s">
        <v>700</v>
      </c>
      <c r="D217" s="44" t="str">
        <f>'Horizontal Teams'!C65</f>
        <v>H3</v>
      </c>
      <c r="E217" s="36" t="s">
        <v>700</v>
      </c>
      <c r="F217" s="49" t="str">
        <f>'Horizontal Teams'!E65</f>
        <v>MetLife Distribution Governance</v>
      </c>
      <c r="G217" s="44" t="str">
        <f>'Horizontal Teams'!D65</f>
        <v>BSA</v>
      </c>
      <c r="H217" s="44" t="str">
        <f>'Horizontal Teams'!F65</f>
        <v>E4</v>
      </c>
      <c r="I217" s="44" t="str">
        <f>'Horizontal Teams'!G65</f>
        <v>ON</v>
      </c>
      <c r="J217" s="44" t="str">
        <f>'Horizontal Teams'!H65</f>
        <v>FTE</v>
      </c>
      <c r="K217" s="9">
        <f>'Horizontal Teams'!I65</f>
        <v>4</v>
      </c>
      <c r="L217" s="19">
        <v>1</v>
      </c>
      <c r="M217" s="46">
        <f t="shared" si="3"/>
        <v>4</v>
      </c>
      <c r="N217" s="46">
        <f>M217*INDEX('Logic Tree'!$J$75:$N$77,MATCH(I217,'Logic Tree'!$I$75:$I$77,0),MATCH(H217,'Logic Tree'!$J$74:$N$74,0))</f>
        <v>7.4</v>
      </c>
    </row>
    <row r="218" spans="2:14" ht="15" customHeight="1">
      <c r="B218" s="19">
        <v>2</v>
      </c>
      <c r="C218" s="11" t="s">
        <v>700</v>
      </c>
      <c r="D218" s="44" t="str">
        <f>'Horizontal Teams'!C66</f>
        <v>H3</v>
      </c>
      <c r="E218" s="36" t="s">
        <v>700</v>
      </c>
      <c r="F218" s="49" t="str">
        <f>'Horizontal Teams'!E66</f>
        <v>MetLife Portfolio Manager</v>
      </c>
      <c r="G218" s="44" t="str">
        <f>'Horizontal Teams'!D66</f>
        <v>PM</v>
      </c>
      <c r="H218" s="44" t="str">
        <f>'Horizontal Teams'!F66</f>
        <v>E4</v>
      </c>
      <c r="I218" s="44" t="str">
        <f>'Horizontal Teams'!G66</f>
        <v>ON</v>
      </c>
      <c r="J218" s="44" t="str">
        <f>'Horizontal Teams'!H66</f>
        <v>FTE</v>
      </c>
      <c r="K218" s="9">
        <f>'Horizontal Teams'!I66</f>
        <v>1.5</v>
      </c>
      <c r="L218" s="19">
        <v>1</v>
      </c>
      <c r="M218" s="46">
        <f t="shared" si="3"/>
        <v>1.5</v>
      </c>
      <c r="N218" s="46">
        <f>M218*INDEX('Logic Tree'!$J$75:$N$77,MATCH(I218,'Logic Tree'!$I$75:$I$77,0),MATCH(H218,'Logic Tree'!$J$74:$N$74,0))</f>
        <v>2.7750000000000004</v>
      </c>
    </row>
    <row r="219" spans="2:14" ht="15" customHeight="1">
      <c r="B219" s="19">
        <v>3</v>
      </c>
      <c r="C219" s="11" t="s">
        <v>444</v>
      </c>
      <c r="D219" s="36" t="s">
        <v>313</v>
      </c>
      <c r="E219" s="36" t="s">
        <v>444</v>
      </c>
      <c r="F219" s="49" t="str">
        <f>'Pod Library'!E63</f>
        <v>MetLife Product Owner</v>
      </c>
      <c r="G219" s="44" t="str">
        <f>'Pod Library'!F63</f>
        <v>PM</v>
      </c>
      <c r="H219" s="44" t="str">
        <f>'Pod Library'!G63</f>
        <v>E4</v>
      </c>
      <c r="I219" s="44" t="str">
        <f>'Pod Library'!H63</f>
        <v>ON</v>
      </c>
      <c r="J219" s="44" t="str">
        <f>'Pod Library'!I63</f>
        <v>FTE</v>
      </c>
      <c r="K219" s="9">
        <f>'Pod Library'!J63</f>
        <v>0.93055555555555602</v>
      </c>
      <c r="L219" s="13">
        <f>'Pod Plan'!E17</f>
        <v>18</v>
      </c>
      <c r="M219" s="46">
        <f t="shared" si="3"/>
        <v>16.750000000000007</v>
      </c>
      <c r="N219" s="46">
        <f>M219*INDEX('Logic Tree'!$J$75:$N$77,MATCH(I219,'Logic Tree'!$I$75:$I$77,0),MATCH(H219,'Logic Tree'!$J$74:$N$74,0))</f>
        <v>30.987500000000015</v>
      </c>
    </row>
    <row r="220" spans="2:14" ht="15" customHeight="1">
      <c r="B220" s="19">
        <v>3</v>
      </c>
      <c r="C220" s="11" t="s">
        <v>444</v>
      </c>
      <c r="D220" s="36" t="s">
        <v>313</v>
      </c>
      <c r="E220" s="36" t="s">
        <v>444</v>
      </c>
      <c r="F220" s="49" t="str">
        <f>'Pod Library'!E64</f>
        <v>MetLife Domain SME</v>
      </c>
      <c r="G220" s="44" t="str">
        <f>'Pod Library'!F64</f>
        <v>BSA</v>
      </c>
      <c r="H220" s="44" t="str">
        <f>'Pod Library'!G64</f>
        <v>E4</v>
      </c>
      <c r="I220" s="44" t="str">
        <f>'Pod Library'!H64</f>
        <v>ON</v>
      </c>
      <c r="J220" s="44" t="str">
        <f>'Pod Library'!I64</f>
        <v>FTE</v>
      </c>
      <c r="K220" s="9">
        <f>'Pod Library'!J64</f>
        <v>0.61111111111111105</v>
      </c>
      <c r="L220" s="13">
        <f>'Pod Plan'!E17</f>
        <v>18</v>
      </c>
      <c r="M220" s="46">
        <f t="shared" si="3"/>
        <v>10.999999999999998</v>
      </c>
      <c r="N220" s="46">
        <f>M220*INDEX('Logic Tree'!$J$75:$N$77,MATCH(I220,'Logic Tree'!$I$75:$I$77,0),MATCH(H220,'Logic Tree'!$J$74:$N$74,0))</f>
        <v>20.349999999999998</v>
      </c>
    </row>
    <row r="221" spans="2:14" ht="15" customHeight="1">
      <c r="B221" s="19">
        <v>3</v>
      </c>
      <c r="C221" s="11" t="s">
        <v>444</v>
      </c>
      <c r="D221" s="36" t="s">
        <v>313</v>
      </c>
      <c r="E221" s="36" t="s">
        <v>444</v>
      </c>
      <c r="F221" s="49" t="str">
        <f>'Pod Library'!E65</f>
        <v>MGCC Engineer</v>
      </c>
      <c r="G221" s="44" t="str">
        <f>'Pod Library'!F65</f>
        <v>DEV</v>
      </c>
      <c r="H221" s="44" t="str">
        <f>'Pod Library'!G65</f>
        <v>E3</v>
      </c>
      <c r="I221" s="44" t="str">
        <f>'Pod Library'!H65</f>
        <v>OFF</v>
      </c>
      <c r="J221" s="44" t="str">
        <f>'Pod Library'!I65</f>
        <v>MGCC</v>
      </c>
      <c r="K221" s="9">
        <f>'Pod Library'!J65</f>
        <v>1.5277777777777799</v>
      </c>
      <c r="L221" s="13">
        <f>'Pod Plan'!E17</f>
        <v>18</v>
      </c>
      <c r="M221" s="46">
        <f t="shared" si="3"/>
        <v>27.500000000000039</v>
      </c>
      <c r="N221" s="46">
        <f>M221*INDEX('Logic Tree'!$J$75:$N$77,MATCH(I221,'Logic Tree'!$I$75:$I$77,0),MATCH(H221,'Logic Tree'!$J$74:$N$74,0))</f>
        <v>11.550000000000017</v>
      </c>
    </row>
    <row r="222" spans="2:14" ht="15" customHeight="1">
      <c r="B222" s="19">
        <v>3</v>
      </c>
      <c r="C222" s="11" t="s">
        <v>444</v>
      </c>
      <c r="D222" s="36" t="s">
        <v>313</v>
      </c>
      <c r="E222" s="36" t="s">
        <v>444</v>
      </c>
      <c r="F222" s="49" t="str">
        <f>'Pod Library'!E66</f>
        <v>Business Analyst (bilingual)</v>
      </c>
      <c r="G222" s="44" t="str">
        <f>'Pod Library'!F66</f>
        <v>BSA</v>
      </c>
      <c r="H222" s="44" t="str">
        <f>'Pod Library'!G66</f>
        <v>E3</v>
      </c>
      <c r="I222" s="44" t="str">
        <f>'Pod Library'!H66</f>
        <v>ON</v>
      </c>
      <c r="J222" s="44" t="str">
        <f>'Pod Library'!I66</f>
        <v>FTC</v>
      </c>
      <c r="K222" s="9">
        <f>'Pod Library'!J66</f>
        <v>0.45</v>
      </c>
      <c r="L222" s="13">
        <f>'Pod Plan'!E17</f>
        <v>18</v>
      </c>
      <c r="M222" s="46">
        <f t="shared" si="3"/>
        <v>8.1</v>
      </c>
      <c r="N222" s="46">
        <f>M222*INDEX('Logic Tree'!$J$75:$N$77,MATCH(I222,'Logic Tree'!$I$75:$I$77,0),MATCH(H222,'Logic Tree'!$J$74:$N$74,0))</f>
        <v>10.935</v>
      </c>
    </row>
    <row r="223" spans="2:14" ht="15" customHeight="1">
      <c r="B223" s="19">
        <v>3</v>
      </c>
      <c r="C223" s="11" t="s">
        <v>444</v>
      </c>
      <c r="D223" s="36" t="s">
        <v>313</v>
      </c>
      <c r="E223" s="36" t="s">
        <v>444</v>
      </c>
      <c r="F223" s="49" t="str">
        <f>'Pod Library'!E67</f>
        <v>Pod lead (onshore)</v>
      </c>
      <c r="G223" s="44" t="str">
        <f>'Pod Library'!F67</f>
        <v>DEV</v>
      </c>
      <c r="H223" s="44" t="str">
        <f>'Pod Library'!G67</f>
        <v>E4</v>
      </c>
      <c r="I223" s="44" t="str">
        <f>'Pod Library'!H67</f>
        <v>ON</v>
      </c>
      <c r="J223" s="44" t="str">
        <f>'Pod Library'!I67</f>
        <v>FTC</v>
      </c>
      <c r="K223" s="9">
        <f>'Pod Library'!J67</f>
        <v>6.9444444444444503E-2</v>
      </c>
      <c r="L223" s="13">
        <f>'Pod Plan'!E17</f>
        <v>18</v>
      </c>
      <c r="M223" s="46">
        <f t="shared" si="3"/>
        <v>1.2500000000000011</v>
      </c>
      <c r="N223" s="46">
        <f>M223*INDEX('Logic Tree'!$J$75:$N$77,MATCH(I223,'Logic Tree'!$I$75:$I$77,0),MATCH(H223,'Logic Tree'!$J$74:$N$74,0))</f>
        <v>2.3125000000000022</v>
      </c>
    </row>
    <row r="224" spans="2:14" ht="15" customHeight="1">
      <c r="B224" s="19">
        <v>3</v>
      </c>
      <c r="C224" s="11" t="s">
        <v>444</v>
      </c>
      <c r="D224" s="36" t="s">
        <v>313</v>
      </c>
      <c r="E224" s="36" t="s">
        <v>444</v>
      </c>
      <c r="F224" s="49" t="str">
        <f>'Pod Library'!E68</f>
        <v>Pod lead / senior engineer</v>
      </c>
      <c r="G224" s="44" t="str">
        <f>'Pod Library'!F68</f>
        <v>DEV</v>
      </c>
      <c r="H224" s="44" t="str">
        <f>'Pod Library'!G68</f>
        <v>E4</v>
      </c>
      <c r="I224" s="44" t="str">
        <f>'Pod Library'!H68</f>
        <v>OFF</v>
      </c>
      <c r="J224" s="44" t="str">
        <f>'Pod Library'!I68</f>
        <v>FTC</v>
      </c>
      <c r="K224" s="9">
        <f>'Pod Library'!J68</f>
        <v>0.56944444444444398</v>
      </c>
      <c r="L224" s="13">
        <f>'Pod Plan'!E17</f>
        <v>18</v>
      </c>
      <c r="M224" s="46">
        <f t="shared" si="3"/>
        <v>10.249999999999991</v>
      </c>
      <c r="N224" s="46">
        <f>M224*INDEX('Logic Tree'!$J$75:$N$77,MATCH(I224,'Logic Tree'!$I$75:$I$77,0),MATCH(H224,'Logic Tree'!$J$74:$N$74,0))</f>
        <v>6.1499999999999941</v>
      </c>
    </row>
    <row r="225" spans="2:14" ht="15" customHeight="1">
      <c r="B225" s="19">
        <v>3</v>
      </c>
      <c r="C225" s="11" t="s">
        <v>444</v>
      </c>
      <c r="D225" s="36" t="s">
        <v>313</v>
      </c>
      <c r="E225" s="36" t="s">
        <v>444</v>
      </c>
      <c r="F225" s="49" t="str">
        <f>'Pod Library'!E69</f>
        <v>AI Orchestrator</v>
      </c>
      <c r="G225" s="44" t="str">
        <f>'Pod Library'!F69</f>
        <v>OTH</v>
      </c>
      <c r="H225" s="44" t="str">
        <f>'Pod Library'!G69</f>
        <v>E4</v>
      </c>
      <c r="I225" s="44" t="str">
        <f>'Pod Library'!H69</f>
        <v>OFF</v>
      </c>
      <c r="J225" s="44" t="str">
        <f>'Pod Library'!I69</f>
        <v>FTC</v>
      </c>
      <c r="K225" s="9">
        <f>'Pod Library'!J69</f>
        <v>0.25</v>
      </c>
      <c r="L225" s="13">
        <f>'Pod Plan'!E17</f>
        <v>18</v>
      </c>
      <c r="M225" s="46">
        <f t="shared" si="3"/>
        <v>4.5</v>
      </c>
      <c r="N225" s="46">
        <f>M225*INDEX('Logic Tree'!$J$75:$N$77,MATCH(I225,'Logic Tree'!$I$75:$I$77,0),MATCH(H225,'Logic Tree'!$J$74:$N$74,0))</f>
        <v>2.6999999999999997</v>
      </c>
    </row>
    <row r="226" spans="2:14" ht="15" customHeight="1">
      <c r="B226" s="19">
        <v>3</v>
      </c>
      <c r="C226" s="11" t="s">
        <v>444</v>
      </c>
      <c r="D226" s="36" t="s">
        <v>313</v>
      </c>
      <c r="E226" s="36" t="s">
        <v>444</v>
      </c>
      <c r="F226" s="49" t="str">
        <f>'Pod Library'!E70</f>
        <v>AI-assisted engineer</v>
      </c>
      <c r="G226" s="44" t="str">
        <f>'Pod Library'!F70</f>
        <v>DEV</v>
      </c>
      <c r="H226" s="44" t="str">
        <f>'Pod Library'!G70</f>
        <v>E2</v>
      </c>
      <c r="I226" s="44" t="str">
        <f>'Pod Library'!H70</f>
        <v>OFF</v>
      </c>
      <c r="J226" s="44" t="str">
        <f>'Pod Library'!I70</f>
        <v>FTC</v>
      </c>
      <c r="K226" s="9">
        <f>'Pod Library'!J70</f>
        <v>0.25</v>
      </c>
      <c r="L226" s="13">
        <f>'Pod Plan'!E17</f>
        <v>18</v>
      </c>
      <c r="M226" s="46">
        <f t="shared" si="3"/>
        <v>4.5</v>
      </c>
      <c r="N226" s="46">
        <f>M226*INDEX('Logic Tree'!$J$75:$N$77,MATCH(I226,'Logic Tree'!$I$75:$I$77,0),MATCH(H226,'Logic Tree'!$J$74:$N$74,0))</f>
        <v>1.3499999999999999</v>
      </c>
    </row>
    <row r="227" spans="2:14" ht="15" customHeight="1">
      <c r="B227" s="19">
        <v>3</v>
      </c>
      <c r="C227" s="11" t="s">
        <v>444</v>
      </c>
      <c r="D227" s="36" t="s">
        <v>313</v>
      </c>
      <c r="E227" s="36" t="s">
        <v>444</v>
      </c>
      <c r="F227" s="49" t="str">
        <f>'Pod Library'!E71</f>
        <v>AI-assisted engineer</v>
      </c>
      <c r="G227" s="44" t="str">
        <f>'Pod Library'!F71</f>
        <v>DEV</v>
      </c>
      <c r="H227" s="44" t="str">
        <f>'Pod Library'!G71</f>
        <v>E3</v>
      </c>
      <c r="I227" s="44" t="str">
        <f>'Pod Library'!H71</f>
        <v>OFF</v>
      </c>
      <c r="J227" s="44" t="str">
        <f>'Pod Library'!I71</f>
        <v>FTC</v>
      </c>
      <c r="K227" s="9">
        <f>'Pod Library'!J71</f>
        <v>0.55000000000000004</v>
      </c>
      <c r="L227" s="13">
        <f>'Pod Plan'!E17</f>
        <v>18</v>
      </c>
      <c r="M227" s="46">
        <f t="shared" si="3"/>
        <v>9.9</v>
      </c>
      <c r="N227" s="46">
        <f>M227*INDEX('Logic Tree'!$J$75:$N$77,MATCH(I227,'Logic Tree'!$I$75:$I$77,0),MATCH(H227,'Logic Tree'!$J$74:$N$74,0))</f>
        <v>4.1580000000000004</v>
      </c>
    </row>
    <row r="228" spans="2:14" ht="15" customHeight="1">
      <c r="B228" s="19">
        <v>3</v>
      </c>
      <c r="C228" s="11" t="s">
        <v>444</v>
      </c>
      <c r="D228" s="36" t="s">
        <v>313</v>
      </c>
      <c r="E228" s="36" t="s">
        <v>444</v>
      </c>
      <c r="F228" s="49" t="str">
        <f>'Pod Library'!E72</f>
        <v>Quality Engineer (SDET)</v>
      </c>
      <c r="G228" s="44" t="str">
        <f>'Pod Library'!F72</f>
        <v>TEST</v>
      </c>
      <c r="H228" s="44" t="str">
        <f>'Pod Library'!G72</f>
        <v>E2</v>
      </c>
      <c r="I228" s="44" t="str">
        <f>'Pod Library'!H72</f>
        <v>OFF</v>
      </c>
      <c r="J228" s="44" t="str">
        <f>'Pod Library'!I72</f>
        <v>FTC</v>
      </c>
      <c r="K228" s="9">
        <f>'Pod Library'!J72</f>
        <v>0.43</v>
      </c>
      <c r="L228" s="13">
        <f>'Pod Plan'!E17</f>
        <v>18</v>
      </c>
      <c r="M228" s="46">
        <f t="shared" si="3"/>
        <v>7.74</v>
      </c>
      <c r="N228" s="46">
        <f>M228*INDEX('Logic Tree'!$J$75:$N$77,MATCH(I228,'Logic Tree'!$I$75:$I$77,0),MATCH(H228,'Logic Tree'!$J$74:$N$74,0))</f>
        <v>2.3220000000000001</v>
      </c>
    </row>
    <row r="229" spans="2:14" ht="15" customHeight="1">
      <c r="B229" s="19">
        <v>3</v>
      </c>
      <c r="C229" s="11" t="s">
        <v>444</v>
      </c>
      <c r="D229" s="36" t="s">
        <v>313</v>
      </c>
      <c r="E229" s="36" t="s">
        <v>444</v>
      </c>
      <c r="F229" s="49" t="str">
        <f>'Pod Library'!E73</f>
        <v>Quality Engineer (SDET)</v>
      </c>
      <c r="G229" s="44" t="str">
        <f>'Pod Library'!F73</f>
        <v>TEST</v>
      </c>
      <c r="H229" s="44" t="str">
        <f>'Pod Library'!G73</f>
        <v>E3</v>
      </c>
      <c r="I229" s="44" t="str">
        <f>'Pod Library'!H73</f>
        <v>OFF</v>
      </c>
      <c r="J229" s="44" t="str">
        <f>'Pod Library'!I73</f>
        <v>FTC</v>
      </c>
      <c r="K229" s="9">
        <f>'Pod Library'!J73</f>
        <v>0.7</v>
      </c>
      <c r="L229" s="13">
        <f>'Pod Plan'!E17</f>
        <v>18</v>
      </c>
      <c r="M229" s="46">
        <f t="shared" si="3"/>
        <v>12.6</v>
      </c>
      <c r="N229" s="46">
        <f>M229*INDEX('Logic Tree'!$J$75:$N$77,MATCH(I229,'Logic Tree'!$I$75:$I$77,0),MATCH(H229,'Logic Tree'!$J$74:$N$74,0))</f>
        <v>5.2919999999999998</v>
      </c>
    </row>
    <row r="230" spans="2:14" ht="15" customHeight="1">
      <c r="B230" s="19">
        <v>3</v>
      </c>
      <c r="C230" s="11" t="s">
        <v>444</v>
      </c>
      <c r="D230" s="36" t="s">
        <v>313</v>
      </c>
      <c r="E230" s="36" t="s">
        <v>444</v>
      </c>
      <c r="F230" s="49" t="str">
        <f>'Pod Library'!E74</f>
        <v>Quality Engineer (SDET)</v>
      </c>
      <c r="G230" s="44" t="str">
        <f>'Pod Library'!F74</f>
        <v>TEST</v>
      </c>
      <c r="H230" s="44" t="str">
        <f>'Pod Library'!G74</f>
        <v>E4</v>
      </c>
      <c r="I230" s="44" t="str">
        <f>'Pod Library'!H74</f>
        <v>OFF</v>
      </c>
      <c r="J230" s="44" t="str">
        <f>'Pod Library'!I74</f>
        <v>FTC</v>
      </c>
      <c r="K230" s="9">
        <f>'Pod Library'!J74</f>
        <v>0.5</v>
      </c>
      <c r="L230" s="13">
        <f>'Pod Plan'!E17</f>
        <v>18</v>
      </c>
      <c r="M230" s="46">
        <f t="shared" si="3"/>
        <v>9</v>
      </c>
      <c r="N230" s="46">
        <f>M230*INDEX('Logic Tree'!$J$75:$N$77,MATCH(I230,'Logic Tree'!$I$75:$I$77,0),MATCH(H230,'Logic Tree'!$J$74:$N$74,0))</f>
        <v>5.3999999999999995</v>
      </c>
    </row>
    <row r="231" spans="2:14" ht="15" customHeight="1">
      <c r="B231" s="19">
        <v>3</v>
      </c>
      <c r="C231" s="11" t="s">
        <v>444</v>
      </c>
      <c r="D231" s="36" t="s">
        <v>313</v>
      </c>
      <c r="E231" s="36" t="s">
        <v>444</v>
      </c>
      <c r="F231" s="49" t="str">
        <f>'Pod Library'!E75</f>
        <v>Application Support</v>
      </c>
      <c r="G231" s="44" t="str">
        <f>'Pod Library'!F75</f>
        <v>MNT</v>
      </c>
      <c r="H231" s="44" t="str">
        <f>'Pod Library'!G75</f>
        <v>E1</v>
      </c>
      <c r="I231" s="44" t="str">
        <f>'Pod Library'!H75</f>
        <v>OFF</v>
      </c>
      <c r="J231" s="44" t="str">
        <f>'Pod Library'!I75</f>
        <v>FTC</v>
      </c>
      <c r="K231" s="9">
        <f>'Pod Library'!J75</f>
        <v>0.1</v>
      </c>
      <c r="L231" s="13">
        <f>'Pod Plan'!E17</f>
        <v>18</v>
      </c>
      <c r="M231" s="46">
        <f t="shared" si="3"/>
        <v>1.8</v>
      </c>
      <c r="N231" s="46">
        <f>M231*INDEX('Logic Tree'!$J$75:$N$77,MATCH(I231,'Logic Tree'!$I$75:$I$77,0),MATCH(H231,'Logic Tree'!$J$74:$N$74,0))</f>
        <v>0.39600000000000002</v>
      </c>
    </row>
    <row r="232" spans="2:14" ht="15" customHeight="1">
      <c r="B232" s="19">
        <v>3</v>
      </c>
      <c r="C232" s="11" t="s">
        <v>444</v>
      </c>
      <c r="D232" s="36" t="s">
        <v>313</v>
      </c>
      <c r="E232" s="36" t="s">
        <v>444</v>
      </c>
      <c r="F232" s="49" t="str">
        <f>'Pod Library'!E76</f>
        <v>Application Support</v>
      </c>
      <c r="G232" s="44" t="str">
        <f>'Pod Library'!F76</f>
        <v>MNT</v>
      </c>
      <c r="H232" s="44" t="str">
        <f>'Pod Library'!G76</f>
        <v>E2</v>
      </c>
      <c r="I232" s="44" t="str">
        <f>'Pod Library'!H76</f>
        <v>OFF</v>
      </c>
      <c r="J232" s="44" t="str">
        <f>'Pod Library'!I76</f>
        <v>FTC</v>
      </c>
      <c r="K232" s="9">
        <f>'Pod Library'!J76</f>
        <v>0.05</v>
      </c>
      <c r="L232" s="13">
        <f>'Pod Plan'!E17</f>
        <v>18</v>
      </c>
      <c r="M232" s="46">
        <f t="shared" si="3"/>
        <v>0.9</v>
      </c>
      <c r="N232" s="46">
        <f>M232*INDEX('Logic Tree'!$J$75:$N$77,MATCH(I232,'Logic Tree'!$I$75:$I$77,0),MATCH(H232,'Logic Tree'!$J$74:$N$74,0))</f>
        <v>0.27</v>
      </c>
    </row>
    <row r="233" spans="2:14" ht="15" customHeight="1">
      <c r="B233" s="19">
        <v>3</v>
      </c>
      <c r="C233" s="11" t="s">
        <v>444</v>
      </c>
      <c r="D233" s="36" t="s">
        <v>314</v>
      </c>
      <c r="E233" s="36" t="s">
        <v>444</v>
      </c>
      <c r="F233" s="49" t="str">
        <f>'Pod Library'!E63</f>
        <v>MetLife Product Owner</v>
      </c>
      <c r="G233" s="44" t="str">
        <f>'Pod Library'!F63</f>
        <v>PM</v>
      </c>
      <c r="H233" s="44" t="str">
        <f>'Pod Library'!G63</f>
        <v>E4</v>
      </c>
      <c r="I233" s="44" t="str">
        <f>'Pod Library'!H63</f>
        <v>ON</v>
      </c>
      <c r="J233" s="44" t="str">
        <f>'Pod Library'!I63</f>
        <v>FTE</v>
      </c>
      <c r="K233" s="9">
        <f>'Pod Library'!J63</f>
        <v>0.93055555555555602</v>
      </c>
      <c r="L233" s="13">
        <f>'Pod Plan'!E18</f>
        <v>13</v>
      </c>
      <c r="M233" s="46">
        <f t="shared" si="3"/>
        <v>12.097222222222229</v>
      </c>
      <c r="N233" s="46">
        <f>M233*INDEX('Logic Tree'!$J$75:$N$77,MATCH(I233,'Logic Tree'!$I$75:$I$77,0),MATCH(H233,'Logic Tree'!$J$74:$N$74,0))</f>
        <v>22.379861111111126</v>
      </c>
    </row>
    <row r="234" spans="2:14" ht="15" customHeight="1">
      <c r="B234" s="19">
        <v>3</v>
      </c>
      <c r="C234" s="11" t="s">
        <v>444</v>
      </c>
      <c r="D234" s="36" t="s">
        <v>314</v>
      </c>
      <c r="E234" s="36" t="s">
        <v>444</v>
      </c>
      <c r="F234" s="49" t="str">
        <f>'Pod Library'!E64</f>
        <v>MetLife Domain SME</v>
      </c>
      <c r="G234" s="44" t="str">
        <f>'Pod Library'!F64</f>
        <v>BSA</v>
      </c>
      <c r="H234" s="44" t="str">
        <f>'Pod Library'!G64</f>
        <v>E4</v>
      </c>
      <c r="I234" s="44" t="str">
        <f>'Pod Library'!H64</f>
        <v>ON</v>
      </c>
      <c r="J234" s="44" t="str">
        <f>'Pod Library'!I64</f>
        <v>FTE</v>
      </c>
      <c r="K234" s="9">
        <f>'Pod Library'!J64</f>
        <v>0.61111111111111105</v>
      </c>
      <c r="L234" s="13">
        <f>'Pod Plan'!E18</f>
        <v>13</v>
      </c>
      <c r="M234" s="46">
        <f t="shared" si="3"/>
        <v>7.9444444444444438</v>
      </c>
      <c r="N234" s="46">
        <f>M234*INDEX('Logic Tree'!$J$75:$N$77,MATCH(I234,'Logic Tree'!$I$75:$I$77,0),MATCH(H234,'Logic Tree'!$J$74:$N$74,0))</f>
        <v>14.697222222222221</v>
      </c>
    </row>
    <row r="235" spans="2:14" ht="15" customHeight="1">
      <c r="B235" s="19">
        <v>3</v>
      </c>
      <c r="C235" s="11" t="s">
        <v>444</v>
      </c>
      <c r="D235" s="36" t="s">
        <v>314</v>
      </c>
      <c r="E235" s="36" t="s">
        <v>444</v>
      </c>
      <c r="F235" s="49" t="str">
        <f>'Pod Library'!E65</f>
        <v>MGCC Engineer</v>
      </c>
      <c r="G235" s="44" t="str">
        <f>'Pod Library'!F65</f>
        <v>DEV</v>
      </c>
      <c r="H235" s="44" t="str">
        <f>'Pod Library'!G65</f>
        <v>E3</v>
      </c>
      <c r="I235" s="44" t="str">
        <f>'Pod Library'!H65</f>
        <v>OFF</v>
      </c>
      <c r="J235" s="44" t="str">
        <f>'Pod Library'!I65</f>
        <v>MGCC</v>
      </c>
      <c r="K235" s="9">
        <f>'Pod Library'!J65</f>
        <v>1.5277777777777799</v>
      </c>
      <c r="L235" s="13">
        <f>'Pod Plan'!E18</f>
        <v>13</v>
      </c>
      <c r="M235" s="46">
        <f t="shared" si="3"/>
        <v>19.861111111111139</v>
      </c>
      <c r="N235" s="46">
        <f>M235*INDEX('Logic Tree'!$J$75:$N$77,MATCH(I235,'Logic Tree'!$I$75:$I$77,0),MATCH(H235,'Logic Tree'!$J$74:$N$74,0))</f>
        <v>8.3416666666666774</v>
      </c>
    </row>
    <row r="236" spans="2:14" ht="15" customHeight="1">
      <c r="B236" s="19">
        <v>3</v>
      </c>
      <c r="C236" s="11" t="s">
        <v>444</v>
      </c>
      <c r="D236" s="36" t="s">
        <v>314</v>
      </c>
      <c r="E236" s="36" t="s">
        <v>444</v>
      </c>
      <c r="F236" s="49" t="str">
        <f>'Pod Library'!E66</f>
        <v>Business Analyst (bilingual)</v>
      </c>
      <c r="G236" s="44" t="str">
        <f>'Pod Library'!F66</f>
        <v>BSA</v>
      </c>
      <c r="H236" s="44" t="str">
        <f>'Pod Library'!G66</f>
        <v>E3</v>
      </c>
      <c r="I236" s="44" t="str">
        <f>'Pod Library'!H66</f>
        <v>ON</v>
      </c>
      <c r="J236" s="44" t="str">
        <f>'Pod Library'!I66</f>
        <v>FTC</v>
      </c>
      <c r="K236" s="9">
        <f>'Pod Library'!J66</f>
        <v>0.45</v>
      </c>
      <c r="L236" s="13">
        <f>'Pod Plan'!E18</f>
        <v>13</v>
      </c>
      <c r="M236" s="46">
        <f t="shared" si="3"/>
        <v>5.8500000000000005</v>
      </c>
      <c r="N236" s="46">
        <f>M236*INDEX('Logic Tree'!$J$75:$N$77,MATCH(I236,'Logic Tree'!$I$75:$I$77,0),MATCH(H236,'Logic Tree'!$J$74:$N$74,0))</f>
        <v>7.8975000000000009</v>
      </c>
    </row>
    <row r="237" spans="2:14" ht="15" customHeight="1">
      <c r="B237" s="19">
        <v>3</v>
      </c>
      <c r="C237" s="11" t="s">
        <v>444</v>
      </c>
      <c r="D237" s="36" t="s">
        <v>314</v>
      </c>
      <c r="E237" s="36" t="s">
        <v>444</v>
      </c>
      <c r="F237" s="49" t="str">
        <f>'Pod Library'!E67</f>
        <v>Pod lead (onshore)</v>
      </c>
      <c r="G237" s="44" t="str">
        <f>'Pod Library'!F67</f>
        <v>DEV</v>
      </c>
      <c r="H237" s="44" t="str">
        <f>'Pod Library'!G67</f>
        <v>E4</v>
      </c>
      <c r="I237" s="44" t="str">
        <f>'Pod Library'!H67</f>
        <v>ON</v>
      </c>
      <c r="J237" s="44" t="str">
        <f>'Pod Library'!I67</f>
        <v>FTC</v>
      </c>
      <c r="K237" s="9">
        <f>'Pod Library'!J67</f>
        <v>6.9444444444444503E-2</v>
      </c>
      <c r="L237" s="13">
        <f>'Pod Plan'!E18</f>
        <v>13</v>
      </c>
      <c r="M237" s="46">
        <f t="shared" si="3"/>
        <v>0.90277777777777857</v>
      </c>
      <c r="N237" s="46">
        <f>M237*INDEX('Logic Tree'!$J$75:$N$77,MATCH(I237,'Logic Tree'!$I$75:$I$77,0),MATCH(H237,'Logic Tree'!$J$74:$N$74,0))</f>
        <v>1.6701388888888904</v>
      </c>
    </row>
    <row r="238" spans="2:14" ht="15" customHeight="1">
      <c r="B238" s="19">
        <v>3</v>
      </c>
      <c r="C238" s="11" t="s">
        <v>444</v>
      </c>
      <c r="D238" s="36" t="s">
        <v>314</v>
      </c>
      <c r="E238" s="36" t="s">
        <v>444</v>
      </c>
      <c r="F238" s="49" t="str">
        <f>'Pod Library'!E68</f>
        <v>Pod lead / senior engineer</v>
      </c>
      <c r="G238" s="44" t="str">
        <f>'Pod Library'!F68</f>
        <v>DEV</v>
      </c>
      <c r="H238" s="44" t="str">
        <f>'Pod Library'!G68</f>
        <v>E4</v>
      </c>
      <c r="I238" s="44" t="str">
        <f>'Pod Library'!H68</f>
        <v>OFF</v>
      </c>
      <c r="J238" s="44" t="str">
        <f>'Pod Library'!I68</f>
        <v>FTC</v>
      </c>
      <c r="K238" s="9">
        <f>'Pod Library'!J68</f>
        <v>0.56944444444444398</v>
      </c>
      <c r="L238" s="13">
        <f>'Pod Plan'!E18</f>
        <v>13</v>
      </c>
      <c r="M238" s="46">
        <f t="shared" si="3"/>
        <v>7.4027777777777715</v>
      </c>
      <c r="N238" s="46">
        <f>M238*INDEX('Logic Tree'!$J$75:$N$77,MATCH(I238,'Logic Tree'!$I$75:$I$77,0),MATCH(H238,'Logic Tree'!$J$74:$N$74,0))</f>
        <v>4.4416666666666629</v>
      </c>
    </row>
    <row r="239" spans="2:14" ht="15" customHeight="1">
      <c r="B239" s="19">
        <v>3</v>
      </c>
      <c r="C239" s="11" t="s">
        <v>444</v>
      </c>
      <c r="D239" s="36" t="s">
        <v>314</v>
      </c>
      <c r="E239" s="36" t="s">
        <v>444</v>
      </c>
      <c r="F239" s="49" t="str">
        <f>'Pod Library'!E69</f>
        <v>AI Orchestrator</v>
      </c>
      <c r="G239" s="44" t="str">
        <f>'Pod Library'!F69</f>
        <v>OTH</v>
      </c>
      <c r="H239" s="44" t="str">
        <f>'Pod Library'!G69</f>
        <v>E4</v>
      </c>
      <c r="I239" s="44" t="str">
        <f>'Pod Library'!H69</f>
        <v>OFF</v>
      </c>
      <c r="J239" s="44" t="str">
        <f>'Pod Library'!I69</f>
        <v>FTC</v>
      </c>
      <c r="K239" s="9">
        <f>'Pod Library'!J69</f>
        <v>0.25</v>
      </c>
      <c r="L239" s="13">
        <f>'Pod Plan'!E18</f>
        <v>13</v>
      </c>
      <c r="M239" s="46">
        <f t="shared" si="3"/>
        <v>3.25</v>
      </c>
      <c r="N239" s="46">
        <f>M239*INDEX('Logic Tree'!$J$75:$N$77,MATCH(I239,'Logic Tree'!$I$75:$I$77,0),MATCH(H239,'Logic Tree'!$J$74:$N$74,0))</f>
        <v>1.95</v>
      </c>
    </row>
    <row r="240" spans="2:14" ht="15" customHeight="1">
      <c r="B240" s="19">
        <v>3</v>
      </c>
      <c r="C240" s="11" t="s">
        <v>444</v>
      </c>
      <c r="D240" s="36" t="s">
        <v>314</v>
      </c>
      <c r="E240" s="36" t="s">
        <v>444</v>
      </c>
      <c r="F240" s="49" t="str">
        <f>'Pod Library'!E70</f>
        <v>AI-assisted engineer</v>
      </c>
      <c r="G240" s="44" t="str">
        <f>'Pod Library'!F70</f>
        <v>DEV</v>
      </c>
      <c r="H240" s="44" t="str">
        <f>'Pod Library'!G70</f>
        <v>E2</v>
      </c>
      <c r="I240" s="44" t="str">
        <f>'Pod Library'!H70</f>
        <v>OFF</v>
      </c>
      <c r="J240" s="44" t="str">
        <f>'Pod Library'!I70</f>
        <v>FTC</v>
      </c>
      <c r="K240" s="9">
        <f>'Pod Library'!J70</f>
        <v>0.25</v>
      </c>
      <c r="L240" s="13">
        <f>'Pod Plan'!E18</f>
        <v>13</v>
      </c>
      <c r="M240" s="46">
        <f t="shared" si="3"/>
        <v>3.25</v>
      </c>
      <c r="N240" s="46">
        <f>M240*INDEX('Logic Tree'!$J$75:$N$77,MATCH(I240,'Logic Tree'!$I$75:$I$77,0),MATCH(H240,'Logic Tree'!$J$74:$N$74,0))</f>
        <v>0.97499999999999998</v>
      </c>
    </row>
    <row r="241" spans="2:14" ht="15" customHeight="1">
      <c r="B241" s="19">
        <v>3</v>
      </c>
      <c r="C241" s="11" t="s">
        <v>444</v>
      </c>
      <c r="D241" s="36" t="s">
        <v>314</v>
      </c>
      <c r="E241" s="36" t="s">
        <v>444</v>
      </c>
      <c r="F241" s="49" t="str">
        <f>'Pod Library'!E71</f>
        <v>AI-assisted engineer</v>
      </c>
      <c r="G241" s="44" t="str">
        <f>'Pod Library'!F71</f>
        <v>DEV</v>
      </c>
      <c r="H241" s="44" t="str">
        <f>'Pod Library'!G71</f>
        <v>E3</v>
      </c>
      <c r="I241" s="44" t="str">
        <f>'Pod Library'!H71</f>
        <v>OFF</v>
      </c>
      <c r="J241" s="44" t="str">
        <f>'Pod Library'!I71</f>
        <v>FTC</v>
      </c>
      <c r="K241" s="9">
        <f>'Pod Library'!J71</f>
        <v>0.55000000000000004</v>
      </c>
      <c r="L241" s="13">
        <f>'Pod Plan'!E18</f>
        <v>13</v>
      </c>
      <c r="M241" s="46">
        <f t="shared" si="3"/>
        <v>7.15</v>
      </c>
      <c r="N241" s="46">
        <f>M241*INDEX('Logic Tree'!$J$75:$N$77,MATCH(I241,'Logic Tree'!$I$75:$I$77,0),MATCH(H241,'Logic Tree'!$J$74:$N$74,0))</f>
        <v>3.0030000000000001</v>
      </c>
    </row>
    <row r="242" spans="2:14" ht="15" customHeight="1">
      <c r="B242" s="19">
        <v>3</v>
      </c>
      <c r="C242" s="11" t="s">
        <v>444</v>
      </c>
      <c r="D242" s="36" t="s">
        <v>314</v>
      </c>
      <c r="E242" s="36" t="s">
        <v>444</v>
      </c>
      <c r="F242" s="49" t="str">
        <f>'Pod Library'!E72</f>
        <v>Quality Engineer (SDET)</v>
      </c>
      <c r="G242" s="44" t="str">
        <f>'Pod Library'!F72</f>
        <v>TEST</v>
      </c>
      <c r="H242" s="44" t="str">
        <f>'Pod Library'!G72</f>
        <v>E2</v>
      </c>
      <c r="I242" s="44" t="str">
        <f>'Pod Library'!H72</f>
        <v>OFF</v>
      </c>
      <c r="J242" s="44" t="str">
        <f>'Pod Library'!I72</f>
        <v>FTC</v>
      </c>
      <c r="K242" s="9">
        <f>'Pod Library'!J72</f>
        <v>0.43</v>
      </c>
      <c r="L242" s="13">
        <f>'Pod Plan'!E18</f>
        <v>13</v>
      </c>
      <c r="M242" s="46">
        <f t="shared" si="3"/>
        <v>5.59</v>
      </c>
      <c r="N242" s="46">
        <f>M242*INDEX('Logic Tree'!$J$75:$N$77,MATCH(I242,'Logic Tree'!$I$75:$I$77,0),MATCH(H242,'Logic Tree'!$J$74:$N$74,0))</f>
        <v>1.6769999999999998</v>
      </c>
    </row>
    <row r="243" spans="2:14" ht="15" customHeight="1">
      <c r="B243" s="19">
        <v>3</v>
      </c>
      <c r="C243" s="11" t="s">
        <v>444</v>
      </c>
      <c r="D243" s="36" t="s">
        <v>314</v>
      </c>
      <c r="E243" s="36" t="s">
        <v>444</v>
      </c>
      <c r="F243" s="49" t="str">
        <f>'Pod Library'!E73</f>
        <v>Quality Engineer (SDET)</v>
      </c>
      <c r="G243" s="44" t="str">
        <f>'Pod Library'!F73</f>
        <v>TEST</v>
      </c>
      <c r="H243" s="44" t="str">
        <f>'Pod Library'!G73</f>
        <v>E3</v>
      </c>
      <c r="I243" s="44" t="str">
        <f>'Pod Library'!H73</f>
        <v>OFF</v>
      </c>
      <c r="J243" s="44" t="str">
        <f>'Pod Library'!I73</f>
        <v>FTC</v>
      </c>
      <c r="K243" s="9">
        <f>'Pod Library'!J73</f>
        <v>0.7</v>
      </c>
      <c r="L243" s="13">
        <f>'Pod Plan'!E18</f>
        <v>13</v>
      </c>
      <c r="M243" s="46">
        <f t="shared" si="3"/>
        <v>9.1</v>
      </c>
      <c r="N243" s="46">
        <f>M243*INDEX('Logic Tree'!$J$75:$N$77,MATCH(I243,'Logic Tree'!$I$75:$I$77,0),MATCH(H243,'Logic Tree'!$J$74:$N$74,0))</f>
        <v>3.8219999999999996</v>
      </c>
    </row>
    <row r="244" spans="2:14" ht="15" customHeight="1">
      <c r="B244" s="19">
        <v>3</v>
      </c>
      <c r="C244" s="11" t="s">
        <v>444</v>
      </c>
      <c r="D244" s="36" t="s">
        <v>314</v>
      </c>
      <c r="E244" s="36" t="s">
        <v>444</v>
      </c>
      <c r="F244" s="49" t="str">
        <f>'Pod Library'!E74</f>
        <v>Quality Engineer (SDET)</v>
      </c>
      <c r="G244" s="44" t="str">
        <f>'Pod Library'!F74</f>
        <v>TEST</v>
      </c>
      <c r="H244" s="44" t="str">
        <f>'Pod Library'!G74</f>
        <v>E4</v>
      </c>
      <c r="I244" s="44" t="str">
        <f>'Pod Library'!H74</f>
        <v>OFF</v>
      </c>
      <c r="J244" s="44" t="str">
        <f>'Pod Library'!I74</f>
        <v>FTC</v>
      </c>
      <c r="K244" s="9">
        <f>'Pod Library'!J74</f>
        <v>0.5</v>
      </c>
      <c r="L244" s="13">
        <f>'Pod Plan'!E18</f>
        <v>13</v>
      </c>
      <c r="M244" s="46">
        <f t="shared" si="3"/>
        <v>6.5</v>
      </c>
      <c r="N244" s="46">
        <f>M244*INDEX('Logic Tree'!$J$75:$N$77,MATCH(I244,'Logic Tree'!$I$75:$I$77,0),MATCH(H244,'Logic Tree'!$J$74:$N$74,0))</f>
        <v>3.9</v>
      </c>
    </row>
    <row r="245" spans="2:14" ht="15" customHeight="1">
      <c r="B245" s="19">
        <v>3</v>
      </c>
      <c r="C245" s="11" t="s">
        <v>444</v>
      </c>
      <c r="D245" s="36" t="s">
        <v>314</v>
      </c>
      <c r="E245" s="36" t="s">
        <v>444</v>
      </c>
      <c r="F245" s="49" t="str">
        <f>'Pod Library'!E75</f>
        <v>Application Support</v>
      </c>
      <c r="G245" s="44" t="str">
        <f>'Pod Library'!F75</f>
        <v>MNT</v>
      </c>
      <c r="H245" s="44" t="str">
        <f>'Pod Library'!G75</f>
        <v>E1</v>
      </c>
      <c r="I245" s="44" t="str">
        <f>'Pod Library'!H75</f>
        <v>OFF</v>
      </c>
      <c r="J245" s="44" t="str">
        <f>'Pod Library'!I75</f>
        <v>FTC</v>
      </c>
      <c r="K245" s="9">
        <f>'Pod Library'!J75</f>
        <v>0.1</v>
      </c>
      <c r="L245" s="13">
        <f>'Pod Plan'!E18</f>
        <v>13</v>
      </c>
      <c r="M245" s="46">
        <f t="shared" si="3"/>
        <v>1.3</v>
      </c>
      <c r="N245" s="46">
        <f>M245*INDEX('Logic Tree'!$J$75:$N$77,MATCH(I245,'Logic Tree'!$I$75:$I$77,0),MATCH(H245,'Logic Tree'!$J$74:$N$74,0))</f>
        <v>0.28600000000000003</v>
      </c>
    </row>
    <row r="246" spans="2:14" ht="15" customHeight="1">
      <c r="B246" s="19">
        <v>3</v>
      </c>
      <c r="C246" s="11" t="s">
        <v>444</v>
      </c>
      <c r="D246" s="36" t="s">
        <v>314</v>
      </c>
      <c r="E246" s="36" t="s">
        <v>444</v>
      </c>
      <c r="F246" s="49" t="str">
        <f>'Pod Library'!E76</f>
        <v>Application Support</v>
      </c>
      <c r="G246" s="44" t="str">
        <f>'Pod Library'!F76</f>
        <v>MNT</v>
      </c>
      <c r="H246" s="44" t="str">
        <f>'Pod Library'!G76</f>
        <v>E2</v>
      </c>
      <c r="I246" s="44" t="str">
        <f>'Pod Library'!H76</f>
        <v>OFF</v>
      </c>
      <c r="J246" s="44" t="str">
        <f>'Pod Library'!I76</f>
        <v>FTC</v>
      </c>
      <c r="K246" s="9">
        <f>'Pod Library'!J76</f>
        <v>0.05</v>
      </c>
      <c r="L246" s="13">
        <f>'Pod Plan'!E18</f>
        <v>13</v>
      </c>
      <c r="M246" s="46">
        <f t="shared" si="3"/>
        <v>0.65</v>
      </c>
      <c r="N246" s="46">
        <f>M246*INDEX('Logic Tree'!$J$75:$N$77,MATCH(I246,'Logic Tree'!$I$75:$I$77,0),MATCH(H246,'Logic Tree'!$J$74:$N$74,0))</f>
        <v>0.19500000000000001</v>
      </c>
    </row>
    <row r="247" spans="2:14" ht="15" customHeight="1">
      <c r="B247" s="19">
        <v>3</v>
      </c>
      <c r="C247" s="11" t="s">
        <v>444</v>
      </c>
      <c r="D247" s="36" t="s">
        <v>315</v>
      </c>
      <c r="E247" s="36" t="s">
        <v>444</v>
      </c>
      <c r="F247" s="49" t="str">
        <f>'Pod Library'!E63</f>
        <v>MetLife Product Owner</v>
      </c>
      <c r="G247" s="44" t="str">
        <f>'Pod Library'!F63</f>
        <v>PM</v>
      </c>
      <c r="H247" s="44" t="str">
        <f>'Pod Library'!G63</f>
        <v>E4</v>
      </c>
      <c r="I247" s="44" t="str">
        <f>'Pod Library'!H63</f>
        <v>ON</v>
      </c>
      <c r="J247" s="44" t="str">
        <f>'Pod Library'!I63</f>
        <v>FTE</v>
      </c>
      <c r="K247" s="9">
        <f>'Pod Library'!J63</f>
        <v>0.93055555555555602</v>
      </c>
      <c r="L247" s="13">
        <f>'Pod Plan'!E19</f>
        <v>3</v>
      </c>
      <c r="M247" s="46">
        <f t="shared" si="3"/>
        <v>2.7916666666666679</v>
      </c>
      <c r="N247" s="46">
        <f>M247*INDEX('Logic Tree'!$J$75:$N$77,MATCH(I247,'Logic Tree'!$I$75:$I$77,0),MATCH(H247,'Logic Tree'!$J$74:$N$74,0))</f>
        <v>5.1645833333333355</v>
      </c>
    </row>
    <row r="248" spans="2:14" ht="15" customHeight="1">
      <c r="B248" s="19">
        <v>3</v>
      </c>
      <c r="C248" s="11" t="s">
        <v>444</v>
      </c>
      <c r="D248" s="36" t="s">
        <v>315</v>
      </c>
      <c r="E248" s="36" t="s">
        <v>444</v>
      </c>
      <c r="F248" s="49" t="str">
        <f>'Pod Library'!E64</f>
        <v>MetLife Domain SME</v>
      </c>
      <c r="G248" s="44" t="str">
        <f>'Pod Library'!F64</f>
        <v>BSA</v>
      </c>
      <c r="H248" s="44" t="str">
        <f>'Pod Library'!G64</f>
        <v>E4</v>
      </c>
      <c r="I248" s="44" t="str">
        <f>'Pod Library'!H64</f>
        <v>ON</v>
      </c>
      <c r="J248" s="44" t="str">
        <f>'Pod Library'!I64</f>
        <v>FTE</v>
      </c>
      <c r="K248" s="9">
        <f>'Pod Library'!J64</f>
        <v>0.61111111111111105</v>
      </c>
      <c r="L248" s="13">
        <f>'Pod Plan'!E19</f>
        <v>3</v>
      </c>
      <c r="M248" s="46">
        <f t="shared" si="3"/>
        <v>1.833333333333333</v>
      </c>
      <c r="N248" s="46">
        <f>M248*INDEX('Logic Tree'!$J$75:$N$77,MATCH(I248,'Logic Tree'!$I$75:$I$77,0),MATCH(H248,'Logic Tree'!$J$74:$N$74,0))</f>
        <v>3.3916666666666662</v>
      </c>
    </row>
    <row r="249" spans="2:14" ht="15" customHeight="1">
      <c r="B249" s="19">
        <v>3</v>
      </c>
      <c r="C249" s="11" t="s">
        <v>444</v>
      </c>
      <c r="D249" s="36" t="s">
        <v>315</v>
      </c>
      <c r="E249" s="36" t="s">
        <v>444</v>
      </c>
      <c r="F249" s="49" t="str">
        <f>'Pod Library'!E65</f>
        <v>MGCC Engineer</v>
      </c>
      <c r="G249" s="44" t="str">
        <f>'Pod Library'!F65</f>
        <v>DEV</v>
      </c>
      <c r="H249" s="44" t="str">
        <f>'Pod Library'!G65</f>
        <v>E3</v>
      </c>
      <c r="I249" s="44" t="str">
        <f>'Pod Library'!H65</f>
        <v>OFF</v>
      </c>
      <c r="J249" s="44" t="str">
        <f>'Pod Library'!I65</f>
        <v>MGCC</v>
      </c>
      <c r="K249" s="9">
        <f>'Pod Library'!J65</f>
        <v>1.5277777777777799</v>
      </c>
      <c r="L249" s="13">
        <f>'Pod Plan'!E19</f>
        <v>3</v>
      </c>
      <c r="M249" s="46">
        <f t="shared" si="3"/>
        <v>4.5833333333333393</v>
      </c>
      <c r="N249" s="46">
        <f>M249*INDEX('Logic Tree'!$J$75:$N$77,MATCH(I249,'Logic Tree'!$I$75:$I$77,0),MATCH(H249,'Logic Tree'!$J$74:$N$74,0))</f>
        <v>1.9250000000000025</v>
      </c>
    </row>
    <row r="250" spans="2:14" ht="15" customHeight="1">
      <c r="B250" s="19">
        <v>3</v>
      </c>
      <c r="C250" s="11" t="s">
        <v>444</v>
      </c>
      <c r="D250" s="36" t="s">
        <v>315</v>
      </c>
      <c r="E250" s="36" t="s">
        <v>444</v>
      </c>
      <c r="F250" s="49" t="str">
        <f>'Pod Library'!E66</f>
        <v>Business Analyst (bilingual)</v>
      </c>
      <c r="G250" s="44" t="str">
        <f>'Pod Library'!F66</f>
        <v>BSA</v>
      </c>
      <c r="H250" s="44" t="str">
        <f>'Pod Library'!G66</f>
        <v>E3</v>
      </c>
      <c r="I250" s="44" t="str">
        <f>'Pod Library'!H66</f>
        <v>ON</v>
      </c>
      <c r="J250" s="44" t="str">
        <f>'Pod Library'!I66</f>
        <v>FTC</v>
      </c>
      <c r="K250" s="9">
        <f>'Pod Library'!J66</f>
        <v>0.45</v>
      </c>
      <c r="L250" s="13">
        <f>'Pod Plan'!E19</f>
        <v>3</v>
      </c>
      <c r="M250" s="46">
        <f t="shared" si="3"/>
        <v>1.35</v>
      </c>
      <c r="N250" s="46">
        <f>M250*INDEX('Logic Tree'!$J$75:$N$77,MATCH(I250,'Logic Tree'!$I$75:$I$77,0),MATCH(H250,'Logic Tree'!$J$74:$N$74,0))</f>
        <v>1.8225000000000002</v>
      </c>
    </row>
    <row r="251" spans="2:14" ht="15" customHeight="1">
      <c r="B251" s="19">
        <v>3</v>
      </c>
      <c r="C251" s="11" t="s">
        <v>444</v>
      </c>
      <c r="D251" s="36" t="s">
        <v>315</v>
      </c>
      <c r="E251" s="36" t="s">
        <v>444</v>
      </c>
      <c r="F251" s="49" t="str">
        <f>'Pod Library'!E67</f>
        <v>Pod lead (onshore)</v>
      </c>
      <c r="G251" s="44" t="str">
        <f>'Pod Library'!F67</f>
        <v>DEV</v>
      </c>
      <c r="H251" s="44" t="str">
        <f>'Pod Library'!G67</f>
        <v>E4</v>
      </c>
      <c r="I251" s="44" t="str">
        <f>'Pod Library'!H67</f>
        <v>ON</v>
      </c>
      <c r="J251" s="44" t="str">
        <f>'Pod Library'!I67</f>
        <v>FTC</v>
      </c>
      <c r="K251" s="9">
        <f>'Pod Library'!J67</f>
        <v>6.9444444444444503E-2</v>
      </c>
      <c r="L251" s="13">
        <f>'Pod Plan'!E19</f>
        <v>3</v>
      </c>
      <c r="M251" s="46">
        <f t="shared" si="3"/>
        <v>0.20833333333333351</v>
      </c>
      <c r="N251" s="46">
        <f>M251*INDEX('Logic Tree'!$J$75:$N$77,MATCH(I251,'Logic Tree'!$I$75:$I$77,0),MATCH(H251,'Logic Tree'!$J$74:$N$74,0))</f>
        <v>0.38541666666666702</v>
      </c>
    </row>
    <row r="252" spans="2:14" ht="15" customHeight="1">
      <c r="B252" s="19">
        <v>3</v>
      </c>
      <c r="C252" s="11" t="s">
        <v>444</v>
      </c>
      <c r="D252" s="36" t="s">
        <v>315</v>
      </c>
      <c r="E252" s="36" t="s">
        <v>444</v>
      </c>
      <c r="F252" s="49" t="str">
        <f>'Pod Library'!E68</f>
        <v>Pod lead / senior engineer</v>
      </c>
      <c r="G252" s="44" t="str">
        <f>'Pod Library'!F68</f>
        <v>DEV</v>
      </c>
      <c r="H252" s="44" t="str">
        <f>'Pod Library'!G68</f>
        <v>E4</v>
      </c>
      <c r="I252" s="44" t="str">
        <f>'Pod Library'!H68</f>
        <v>OFF</v>
      </c>
      <c r="J252" s="44" t="str">
        <f>'Pod Library'!I68</f>
        <v>FTC</v>
      </c>
      <c r="K252" s="9">
        <f>'Pod Library'!J68</f>
        <v>0.56944444444444398</v>
      </c>
      <c r="L252" s="13">
        <f>'Pod Plan'!E19</f>
        <v>3</v>
      </c>
      <c r="M252" s="46">
        <f t="shared" si="3"/>
        <v>1.7083333333333319</v>
      </c>
      <c r="N252" s="46">
        <f>M252*INDEX('Logic Tree'!$J$75:$N$77,MATCH(I252,'Logic Tree'!$I$75:$I$77,0),MATCH(H252,'Logic Tree'!$J$74:$N$74,0))</f>
        <v>1.024999999999999</v>
      </c>
    </row>
    <row r="253" spans="2:14" ht="15" customHeight="1">
      <c r="B253" s="19">
        <v>3</v>
      </c>
      <c r="C253" s="11" t="s">
        <v>444</v>
      </c>
      <c r="D253" s="36" t="s">
        <v>315</v>
      </c>
      <c r="E253" s="36" t="s">
        <v>444</v>
      </c>
      <c r="F253" s="49" t="str">
        <f>'Pod Library'!E69</f>
        <v>AI Orchestrator</v>
      </c>
      <c r="G253" s="44" t="str">
        <f>'Pod Library'!F69</f>
        <v>OTH</v>
      </c>
      <c r="H253" s="44" t="str">
        <f>'Pod Library'!G69</f>
        <v>E4</v>
      </c>
      <c r="I253" s="44" t="str">
        <f>'Pod Library'!H69</f>
        <v>OFF</v>
      </c>
      <c r="J253" s="44" t="str">
        <f>'Pod Library'!I69</f>
        <v>FTC</v>
      </c>
      <c r="K253" s="9">
        <f>'Pod Library'!J69</f>
        <v>0.25</v>
      </c>
      <c r="L253" s="13">
        <f>'Pod Plan'!E19</f>
        <v>3</v>
      </c>
      <c r="M253" s="46">
        <f t="shared" si="3"/>
        <v>0.75</v>
      </c>
      <c r="N253" s="46">
        <f>M253*INDEX('Logic Tree'!$J$75:$N$77,MATCH(I253,'Logic Tree'!$I$75:$I$77,0),MATCH(H253,'Logic Tree'!$J$74:$N$74,0))</f>
        <v>0.44999999999999996</v>
      </c>
    </row>
    <row r="254" spans="2:14" ht="15" customHeight="1">
      <c r="B254" s="19">
        <v>3</v>
      </c>
      <c r="C254" s="11" t="s">
        <v>444</v>
      </c>
      <c r="D254" s="36" t="s">
        <v>315</v>
      </c>
      <c r="E254" s="36" t="s">
        <v>444</v>
      </c>
      <c r="F254" s="49" t="str">
        <f>'Pod Library'!E70</f>
        <v>AI-assisted engineer</v>
      </c>
      <c r="G254" s="44" t="str">
        <f>'Pod Library'!F70</f>
        <v>DEV</v>
      </c>
      <c r="H254" s="44" t="str">
        <f>'Pod Library'!G70</f>
        <v>E2</v>
      </c>
      <c r="I254" s="44" t="str">
        <f>'Pod Library'!H70</f>
        <v>OFF</v>
      </c>
      <c r="J254" s="44" t="str">
        <f>'Pod Library'!I70</f>
        <v>FTC</v>
      </c>
      <c r="K254" s="9">
        <f>'Pod Library'!J70</f>
        <v>0.25</v>
      </c>
      <c r="L254" s="13">
        <f>'Pod Plan'!E19</f>
        <v>3</v>
      </c>
      <c r="M254" s="46">
        <f t="shared" si="3"/>
        <v>0.75</v>
      </c>
      <c r="N254" s="46">
        <f>M254*INDEX('Logic Tree'!$J$75:$N$77,MATCH(I254,'Logic Tree'!$I$75:$I$77,0),MATCH(H254,'Logic Tree'!$J$74:$N$74,0))</f>
        <v>0.22499999999999998</v>
      </c>
    </row>
    <row r="255" spans="2:14" ht="15" customHeight="1">
      <c r="B255" s="19">
        <v>3</v>
      </c>
      <c r="C255" s="11" t="s">
        <v>444</v>
      </c>
      <c r="D255" s="36" t="s">
        <v>315</v>
      </c>
      <c r="E255" s="36" t="s">
        <v>444</v>
      </c>
      <c r="F255" s="49" t="str">
        <f>'Pod Library'!E71</f>
        <v>AI-assisted engineer</v>
      </c>
      <c r="G255" s="44" t="str">
        <f>'Pod Library'!F71</f>
        <v>DEV</v>
      </c>
      <c r="H255" s="44" t="str">
        <f>'Pod Library'!G71</f>
        <v>E3</v>
      </c>
      <c r="I255" s="44" t="str">
        <f>'Pod Library'!H71</f>
        <v>OFF</v>
      </c>
      <c r="J255" s="44" t="str">
        <f>'Pod Library'!I71</f>
        <v>FTC</v>
      </c>
      <c r="K255" s="9">
        <f>'Pod Library'!J71</f>
        <v>0.55000000000000004</v>
      </c>
      <c r="L255" s="13">
        <f>'Pod Plan'!E19</f>
        <v>3</v>
      </c>
      <c r="M255" s="46">
        <f t="shared" si="3"/>
        <v>1.6500000000000001</v>
      </c>
      <c r="N255" s="46">
        <f>M255*INDEX('Logic Tree'!$J$75:$N$77,MATCH(I255,'Logic Tree'!$I$75:$I$77,0),MATCH(H255,'Logic Tree'!$J$74:$N$74,0))</f>
        <v>0.69300000000000006</v>
      </c>
    </row>
    <row r="256" spans="2:14" ht="15" customHeight="1">
      <c r="B256" s="19">
        <v>3</v>
      </c>
      <c r="C256" s="11" t="s">
        <v>444</v>
      </c>
      <c r="D256" s="36" t="s">
        <v>315</v>
      </c>
      <c r="E256" s="36" t="s">
        <v>444</v>
      </c>
      <c r="F256" s="49" t="str">
        <f>'Pod Library'!E72</f>
        <v>Quality Engineer (SDET)</v>
      </c>
      <c r="G256" s="44" t="str">
        <f>'Pod Library'!F72</f>
        <v>TEST</v>
      </c>
      <c r="H256" s="44" t="str">
        <f>'Pod Library'!G72</f>
        <v>E2</v>
      </c>
      <c r="I256" s="44" t="str">
        <f>'Pod Library'!H72</f>
        <v>OFF</v>
      </c>
      <c r="J256" s="44" t="str">
        <f>'Pod Library'!I72</f>
        <v>FTC</v>
      </c>
      <c r="K256" s="9">
        <f>'Pod Library'!J72</f>
        <v>0.43</v>
      </c>
      <c r="L256" s="13">
        <f>'Pod Plan'!E19</f>
        <v>3</v>
      </c>
      <c r="M256" s="46">
        <f t="shared" si="3"/>
        <v>1.29</v>
      </c>
      <c r="N256" s="46">
        <f>M256*INDEX('Logic Tree'!$J$75:$N$77,MATCH(I256,'Logic Tree'!$I$75:$I$77,0),MATCH(H256,'Logic Tree'!$J$74:$N$74,0))</f>
        <v>0.38700000000000001</v>
      </c>
    </row>
    <row r="257" spans="2:14" ht="15" customHeight="1">
      <c r="B257" s="19">
        <v>3</v>
      </c>
      <c r="C257" s="11" t="s">
        <v>444</v>
      </c>
      <c r="D257" s="36" t="s">
        <v>315</v>
      </c>
      <c r="E257" s="36" t="s">
        <v>444</v>
      </c>
      <c r="F257" s="49" t="str">
        <f>'Pod Library'!E73</f>
        <v>Quality Engineer (SDET)</v>
      </c>
      <c r="G257" s="44" t="str">
        <f>'Pod Library'!F73</f>
        <v>TEST</v>
      </c>
      <c r="H257" s="44" t="str">
        <f>'Pod Library'!G73</f>
        <v>E3</v>
      </c>
      <c r="I257" s="44" t="str">
        <f>'Pod Library'!H73</f>
        <v>OFF</v>
      </c>
      <c r="J257" s="44" t="str">
        <f>'Pod Library'!I73</f>
        <v>FTC</v>
      </c>
      <c r="K257" s="9">
        <f>'Pod Library'!J73</f>
        <v>0.7</v>
      </c>
      <c r="L257" s="13">
        <f>'Pod Plan'!E19</f>
        <v>3</v>
      </c>
      <c r="M257" s="46">
        <f t="shared" si="3"/>
        <v>2.0999999999999996</v>
      </c>
      <c r="N257" s="46">
        <f>M257*INDEX('Logic Tree'!$J$75:$N$77,MATCH(I257,'Logic Tree'!$I$75:$I$77,0),MATCH(H257,'Logic Tree'!$J$74:$N$74,0))</f>
        <v>0.88199999999999978</v>
      </c>
    </row>
    <row r="258" spans="2:14" ht="15" customHeight="1">
      <c r="B258" s="19">
        <v>3</v>
      </c>
      <c r="C258" s="11" t="s">
        <v>444</v>
      </c>
      <c r="D258" s="36" t="s">
        <v>315</v>
      </c>
      <c r="E258" s="36" t="s">
        <v>444</v>
      </c>
      <c r="F258" s="49" t="str">
        <f>'Pod Library'!E74</f>
        <v>Quality Engineer (SDET)</v>
      </c>
      <c r="G258" s="44" t="str">
        <f>'Pod Library'!F74</f>
        <v>TEST</v>
      </c>
      <c r="H258" s="44" t="str">
        <f>'Pod Library'!G74</f>
        <v>E4</v>
      </c>
      <c r="I258" s="44" t="str">
        <f>'Pod Library'!H74</f>
        <v>OFF</v>
      </c>
      <c r="J258" s="44" t="str">
        <f>'Pod Library'!I74</f>
        <v>FTC</v>
      </c>
      <c r="K258" s="9">
        <f>'Pod Library'!J74</f>
        <v>0.5</v>
      </c>
      <c r="L258" s="13">
        <f>'Pod Plan'!E19</f>
        <v>3</v>
      </c>
      <c r="M258" s="46">
        <f t="shared" si="3"/>
        <v>1.5</v>
      </c>
      <c r="N258" s="46">
        <f>M258*INDEX('Logic Tree'!$J$75:$N$77,MATCH(I258,'Logic Tree'!$I$75:$I$77,0),MATCH(H258,'Logic Tree'!$J$74:$N$74,0))</f>
        <v>0.89999999999999991</v>
      </c>
    </row>
    <row r="259" spans="2:14" ht="15" customHeight="1">
      <c r="B259" s="19">
        <v>3</v>
      </c>
      <c r="C259" s="11" t="s">
        <v>444</v>
      </c>
      <c r="D259" s="36" t="s">
        <v>315</v>
      </c>
      <c r="E259" s="36" t="s">
        <v>444</v>
      </c>
      <c r="F259" s="49" t="str">
        <f>'Pod Library'!E75</f>
        <v>Application Support</v>
      </c>
      <c r="G259" s="44" t="str">
        <f>'Pod Library'!F75</f>
        <v>MNT</v>
      </c>
      <c r="H259" s="44" t="str">
        <f>'Pod Library'!G75</f>
        <v>E1</v>
      </c>
      <c r="I259" s="44" t="str">
        <f>'Pod Library'!H75</f>
        <v>OFF</v>
      </c>
      <c r="J259" s="44" t="str">
        <f>'Pod Library'!I75</f>
        <v>FTC</v>
      </c>
      <c r="K259" s="9">
        <f>'Pod Library'!J75</f>
        <v>0.1</v>
      </c>
      <c r="L259" s="13">
        <f>'Pod Plan'!E19</f>
        <v>3</v>
      </c>
      <c r="M259" s="46">
        <f t="shared" si="3"/>
        <v>0.30000000000000004</v>
      </c>
      <c r="N259" s="46">
        <f>M259*INDEX('Logic Tree'!$J$75:$N$77,MATCH(I259,'Logic Tree'!$I$75:$I$77,0),MATCH(H259,'Logic Tree'!$J$74:$N$74,0))</f>
        <v>6.6000000000000017E-2</v>
      </c>
    </row>
    <row r="260" spans="2:14" ht="15" customHeight="1">
      <c r="B260" s="19">
        <v>3</v>
      </c>
      <c r="C260" s="11" t="s">
        <v>444</v>
      </c>
      <c r="D260" s="36" t="s">
        <v>315</v>
      </c>
      <c r="E260" s="36" t="s">
        <v>444</v>
      </c>
      <c r="F260" s="49" t="str">
        <f>'Pod Library'!E76</f>
        <v>Application Support</v>
      </c>
      <c r="G260" s="44" t="str">
        <f>'Pod Library'!F76</f>
        <v>MNT</v>
      </c>
      <c r="H260" s="44" t="str">
        <f>'Pod Library'!G76</f>
        <v>E2</v>
      </c>
      <c r="I260" s="44" t="str">
        <f>'Pod Library'!H76</f>
        <v>OFF</v>
      </c>
      <c r="J260" s="44" t="str">
        <f>'Pod Library'!I76</f>
        <v>FTC</v>
      </c>
      <c r="K260" s="9">
        <f>'Pod Library'!J76</f>
        <v>0.05</v>
      </c>
      <c r="L260" s="13">
        <f>'Pod Plan'!E19</f>
        <v>3</v>
      </c>
      <c r="M260" s="46">
        <f t="shared" si="3"/>
        <v>0.15000000000000002</v>
      </c>
      <c r="N260" s="46">
        <f>M260*INDEX('Logic Tree'!$J$75:$N$77,MATCH(I260,'Logic Tree'!$I$75:$I$77,0),MATCH(H260,'Logic Tree'!$J$74:$N$74,0))</f>
        <v>4.5000000000000005E-2</v>
      </c>
    </row>
    <row r="261" spans="2:14" ht="15" customHeight="1">
      <c r="B261" s="19">
        <v>3</v>
      </c>
      <c r="C261" s="11" t="s">
        <v>444</v>
      </c>
      <c r="D261" s="36" t="s">
        <v>316</v>
      </c>
      <c r="E261" s="36" t="s">
        <v>444</v>
      </c>
      <c r="F261" s="49" t="str">
        <f>'Pod Library'!E63</f>
        <v>MetLife Product Owner</v>
      </c>
      <c r="G261" s="44" t="str">
        <f>'Pod Library'!F63</f>
        <v>PM</v>
      </c>
      <c r="H261" s="44" t="str">
        <f>'Pod Library'!G63</f>
        <v>E4</v>
      </c>
      <c r="I261" s="44" t="str">
        <f>'Pod Library'!H63</f>
        <v>ON</v>
      </c>
      <c r="J261" s="44" t="str">
        <f>'Pod Library'!I63</f>
        <v>FTE</v>
      </c>
      <c r="K261" s="9">
        <f>'Pod Library'!J63</f>
        <v>0.93055555555555602</v>
      </c>
      <c r="L261" s="13">
        <f>'Pod Plan'!E20</f>
        <v>2</v>
      </c>
      <c r="M261" s="46">
        <f t="shared" ref="M261:M324" si="4">K261*L261</f>
        <v>1.861111111111112</v>
      </c>
      <c r="N261" s="46">
        <f>M261*INDEX('Logic Tree'!$J$75:$N$77,MATCH(I261,'Logic Tree'!$I$75:$I$77,0),MATCH(H261,'Logic Tree'!$J$74:$N$74,0))</f>
        <v>3.4430555555555573</v>
      </c>
    </row>
    <row r="262" spans="2:14" ht="15" customHeight="1">
      <c r="B262" s="19">
        <v>3</v>
      </c>
      <c r="C262" s="11" t="s">
        <v>444</v>
      </c>
      <c r="D262" s="36" t="s">
        <v>316</v>
      </c>
      <c r="E262" s="36" t="s">
        <v>444</v>
      </c>
      <c r="F262" s="49" t="str">
        <f>'Pod Library'!E64</f>
        <v>MetLife Domain SME</v>
      </c>
      <c r="G262" s="44" t="str">
        <f>'Pod Library'!F64</f>
        <v>BSA</v>
      </c>
      <c r="H262" s="44" t="str">
        <f>'Pod Library'!G64</f>
        <v>E4</v>
      </c>
      <c r="I262" s="44" t="str">
        <f>'Pod Library'!H64</f>
        <v>ON</v>
      </c>
      <c r="J262" s="44" t="str">
        <f>'Pod Library'!I64</f>
        <v>FTE</v>
      </c>
      <c r="K262" s="9">
        <f>'Pod Library'!J64</f>
        <v>0.61111111111111105</v>
      </c>
      <c r="L262" s="13">
        <f>'Pod Plan'!E20</f>
        <v>2</v>
      </c>
      <c r="M262" s="46">
        <f t="shared" si="4"/>
        <v>1.2222222222222221</v>
      </c>
      <c r="N262" s="46">
        <f>M262*INDEX('Logic Tree'!$J$75:$N$77,MATCH(I262,'Logic Tree'!$I$75:$I$77,0),MATCH(H262,'Logic Tree'!$J$74:$N$74,0))</f>
        <v>2.2611111111111111</v>
      </c>
    </row>
    <row r="263" spans="2:14" ht="15" customHeight="1">
      <c r="B263" s="19">
        <v>3</v>
      </c>
      <c r="C263" s="11" t="s">
        <v>444</v>
      </c>
      <c r="D263" s="36" t="s">
        <v>316</v>
      </c>
      <c r="E263" s="36" t="s">
        <v>444</v>
      </c>
      <c r="F263" s="49" t="str">
        <f>'Pod Library'!E65</f>
        <v>MGCC Engineer</v>
      </c>
      <c r="G263" s="44" t="str">
        <f>'Pod Library'!F65</f>
        <v>DEV</v>
      </c>
      <c r="H263" s="44" t="str">
        <f>'Pod Library'!G65</f>
        <v>E3</v>
      </c>
      <c r="I263" s="44" t="str">
        <f>'Pod Library'!H65</f>
        <v>OFF</v>
      </c>
      <c r="J263" s="44" t="str">
        <f>'Pod Library'!I65</f>
        <v>MGCC</v>
      </c>
      <c r="K263" s="9">
        <f>'Pod Library'!J65</f>
        <v>1.5277777777777799</v>
      </c>
      <c r="L263" s="13">
        <f>'Pod Plan'!E20</f>
        <v>2</v>
      </c>
      <c r="M263" s="46">
        <f t="shared" si="4"/>
        <v>3.0555555555555598</v>
      </c>
      <c r="N263" s="46">
        <f>M263*INDEX('Logic Tree'!$J$75:$N$77,MATCH(I263,'Logic Tree'!$I$75:$I$77,0),MATCH(H263,'Logic Tree'!$J$74:$N$74,0))</f>
        <v>1.283333333333335</v>
      </c>
    </row>
    <row r="264" spans="2:14" ht="15" customHeight="1">
      <c r="B264" s="19">
        <v>3</v>
      </c>
      <c r="C264" s="11" t="s">
        <v>444</v>
      </c>
      <c r="D264" s="36" t="s">
        <v>316</v>
      </c>
      <c r="E264" s="36" t="s">
        <v>444</v>
      </c>
      <c r="F264" s="49" t="str">
        <f>'Pod Library'!E66</f>
        <v>Business Analyst (bilingual)</v>
      </c>
      <c r="G264" s="44" t="str">
        <f>'Pod Library'!F66</f>
        <v>BSA</v>
      </c>
      <c r="H264" s="44" t="str">
        <f>'Pod Library'!G66</f>
        <v>E3</v>
      </c>
      <c r="I264" s="44" t="str">
        <f>'Pod Library'!H66</f>
        <v>ON</v>
      </c>
      <c r="J264" s="44" t="str">
        <f>'Pod Library'!I66</f>
        <v>FTC</v>
      </c>
      <c r="K264" s="9">
        <f>'Pod Library'!J66</f>
        <v>0.45</v>
      </c>
      <c r="L264" s="13">
        <f>'Pod Plan'!E20</f>
        <v>2</v>
      </c>
      <c r="M264" s="46">
        <f t="shared" si="4"/>
        <v>0.9</v>
      </c>
      <c r="N264" s="46">
        <f>M264*INDEX('Logic Tree'!$J$75:$N$77,MATCH(I264,'Logic Tree'!$I$75:$I$77,0),MATCH(H264,'Logic Tree'!$J$74:$N$74,0))</f>
        <v>1.2150000000000001</v>
      </c>
    </row>
    <row r="265" spans="2:14" ht="15" customHeight="1">
      <c r="B265" s="19">
        <v>3</v>
      </c>
      <c r="C265" s="11" t="s">
        <v>444</v>
      </c>
      <c r="D265" s="36" t="s">
        <v>316</v>
      </c>
      <c r="E265" s="36" t="s">
        <v>444</v>
      </c>
      <c r="F265" s="49" t="str">
        <f>'Pod Library'!E67</f>
        <v>Pod lead (onshore)</v>
      </c>
      <c r="G265" s="44" t="str">
        <f>'Pod Library'!F67</f>
        <v>DEV</v>
      </c>
      <c r="H265" s="44" t="str">
        <f>'Pod Library'!G67</f>
        <v>E4</v>
      </c>
      <c r="I265" s="44" t="str">
        <f>'Pod Library'!H67</f>
        <v>ON</v>
      </c>
      <c r="J265" s="44" t="str">
        <f>'Pod Library'!I67</f>
        <v>FTC</v>
      </c>
      <c r="K265" s="9">
        <f>'Pod Library'!J67</f>
        <v>6.9444444444444503E-2</v>
      </c>
      <c r="L265" s="13">
        <f>'Pod Plan'!E20</f>
        <v>2</v>
      </c>
      <c r="M265" s="46">
        <f t="shared" si="4"/>
        <v>0.13888888888888901</v>
      </c>
      <c r="N265" s="46">
        <f>M265*INDEX('Logic Tree'!$J$75:$N$77,MATCH(I265,'Logic Tree'!$I$75:$I$77,0),MATCH(H265,'Logic Tree'!$J$74:$N$74,0))</f>
        <v>0.2569444444444447</v>
      </c>
    </row>
    <row r="266" spans="2:14" ht="15" customHeight="1">
      <c r="B266" s="19">
        <v>3</v>
      </c>
      <c r="C266" s="11" t="s">
        <v>444</v>
      </c>
      <c r="D266" s="36" t="s">
        <v>316</v>
      </c>
      <c r="E266" s="36" t="s">
        <v>444</v>
      </c>
      <c r="F266" s="49" t="str">
        <f>'Pod Library'!E68</f>
        <v>Pod lead / senior engineer</v>
      </c>
      <c r="G266" s="44" t="str">
        <f>'Pod Library'!F68</f>
        <v>DEV</v>
      </c>
      <c r="H266" s="44" t="str">
        <f>'Pod Library'!G68</f>
        <v>E4</v>
      </c>
      <c r="I266" s="44" t="str">
        <f>'Pod Library'!H68</f>
        <v>OFF</v>
      </c>
      <c r="J266" s="44" t="str">
        <f>'Pod Library'!I68</f>
        <v>FTC</v>
      </c>
      <c r="K266" s="9">
        <f>'Pod Library'!J68</f>
        <v>0.56944444444444398</v>
      </c>
      <c r="L266" s="13">
        <f>'Pod Plan'!E20</f>
        <v>2</v>
      </c>
      <c r="M266" s="46">
        <f t="shared" si="4"/>
        <v>1.138888888888888</v>
      </c>
      <c r="N266" s="46">
        <f>M266*INDEX('Logic Tree'!$J$75:$N$77,MATCH(I266,'Logic Tree'!$I$75:$I$77,0),MATCH(H266,'Logic Tree'!$J$74:$N$74,0))</f>
        <v>0.68333333333333279</v>
      </c>
    </row>
    <row r="267" spans="2:14" ht="15" customHeight="1">
      <c r="B267" s="19">
        <v>3</v>
      </c>
      <c r="C267" s="11" t="s">
        <v>444</v>
      </c>
      <c r="D267" s="36" t="s">
        <v>316</v>
      </c>
      <c r="E267" s="36" t="s">
        <v>444</v>
      </c>
      <c r="F267" s="49" t="str">
        <f>'Pod Library'!E69</f>
        <v>AI Orchestrator</v>
      </c>
      <c r="G267" s="44" t="str">
        <f>'Pod Library'!F69</f>
        <v>OTH</v>
      </c>
      <c r="H267" s="44" t="str">
        <f>'Pod Library'!G69</f>
        <v>E4</v>
      </c>
      <c r="I267" s="44" t="str">
        <f>'Pod Library'!H69</f>
        <v>OFF</v>
      </c>
      <c r="J267" s="44" t="str">
        <f>'Pod Library'!I69</f>
        <v>FTC</v>
      </c>
      <c r="K267" s="9">
        <f>'Pod Library'!J69</f>
        <v>0.25</v>
      </c>
      <c r="L267" s="13">
        <f>'Pod Plan'!E20</f>
        <v>2</v>
      </c>
      <c r="M267" s="46">
        <f t="shared" si="4"/>
        <v>0.5</v>
      </c>
      <c r="N267" s="46">
        <f>M267*INDEX('Logic Tree'!$J$75:$N$77,MATCH(I267,'Logic Tree'!$I$75:$I$77,0),MATCH(H267,'Logic Tree'!$J$74:$N$74,0))</f>
        <v>0.3</v>
      </c>
    </row>
    <row r="268" spans="2:14" ht="15" customHeight="1">
      <c r="B268" s="19">
        <v>3</v>
      </c>
      <c r="C268" s="11" t="s">
        <v>444</v>
      </c>
      <c r="D268" s="36" t="s">
        <v>316</v>
      </c>
      <c r="E268" s="36" t="s">
        <v>444</v>
      </c>
      <c r="F268" s="49" t="str">
        <f>'Pod Library'!E70</f>
        <v>AI-assisted engineer</v>
      </c>
      <c r="G268" s="44" t="str">
        <f>'Pod Library'!F70</f>
        <v>DEV</v>
      </c>
      <c r="H268" s="44" t="str">
        <f>'Pod Library'!G70</f>
        <v>E2</v>
      </c>
      <c r="I268" s="44" t="str">
        <f>'Pod Library'!H70</f>
        <v>OFF</v>
      </c>
      <c r="J268" s="44" t="str">
        <f>'Pod Library'!I70</f>
        <v>FTC</v>
      </c>
      <c r="K268" s="9">
        <f>'Pod Library'!J70</f>
        <v>0.25</v>
      </c>
      <c r="L268" s="13">
        <f>'Pod Plan'!E20</f>
        <v>2</v>
      </c>
      <c r="M268" s="46">
        <f t="shared" si="4"/>
        <v>0.5</v>
      </c>
      <c r="N268" s="46">
        <f>M268*INDEX('Logic Tree'!$J$75:$N$77,MATCH(I268,'Logic Tree'!$I$75:$I$77,0),MATCH(H268,'Logic Tree'!$J$74:$N$74,0))</f>
        <v>0.15</v>
      </c>
    </row>
    <row r="269" spans="2:14" ht="15" customHeight="1">
      <c r="B269" s="19">
        <v>3</v>
      </c>
      <c r="C269" s="11" t="s">
        <v>444</v>
      </c>
      <c r="D269" s="36" t="s">
        <v>316</v>
      </c>
      <c r="E269" s="36" t="s">
        <v>444</v>
      </c>
      <c r="F269" s="49" t="str">
        <f>'Pod Library'!E71</f>
        <v>AI-assisted engineer</v>
      </c>
      <c r="G269" s="44" t="str">
        <f>'Pod Library'!F71</f>
        <v>DEV</v>
      </c>
      <c r="H269" s="44" t="str">
        <f>'Pod Library'!G71</f>
        <v>E3</v>
      </c>
      <c r="I269" s="44" t="str">
        <f>'Pod Library'!H71</f>
        <v>OFF</v>
      </c>
      <c r="J269" s="44" t="str">
        <f>'Pod Library'!I71</f>
        <v>FTC</v>
      </c>
      <c r="K269" s="9">
        <f>'Pod Library'!J71</f>
        <v>0.55000000000000004</v>
      </c>
      <c r="L269" s="13">
        <f>'Pod Plan'!E20</f>
        <v>2</v>
      </c>
      <c r="M269" s="46">
        <f t="shared" si="4"/>
        <v>1.1000000000000001</v>
      </c>
      <c r="N269" s="46">
        <f>M269*INDEX('Logic Tree'!$J$75:$N$77,MATCH(I269,'Logic Tree'!$I$75:$I$77,0),MATCH(H269,'Logic Tree'!$J$74:$N$74,0))</f>
        <v>0.46200000000000002</v>
      </c>
    </row>
    <row r="270" spans="2:14" ht="15" customHeight="1">
      <c r="B270" s="19">
        <v>3</v>
      </c>
      <c r="C270" s="11" t="s">
        <v>444</v>
      </c>
      <c r="D270" s="36" t="s">
        <v>316</v>
      </c>
      <c r="E270" s="36" t="s">
        <v>444</v>
      </c>
      <c r="F270" s="49" t="str">
        <f>'Pod Library'!E72</f>
        <v>Quality Engineer (SDET)</v>
      </c>
      <c r="G270" s="44" t="str">
        <f>'Pod Library'!F72</f>
        <v>TEST</v>
      </c>
      <c r="H270" s="44" t="str">
        <f>'Pod Library'!G72</f>
        <v>E2</v>
      </c>
      <c r="I270" s="44" t="str">
        <f>'Pod Library'!H72</f>
        <v>OFF</v>
      </c>
      <c r="J270" s="44" t="str">
        <f>'Pod Library'!I72</f>
        <v>FTC</v>
      </c>
      <c r="K270" s="9">
        <f>'Pod Library'!J72</f>
        <v>0.43</v>
      </c>
      <c r="L270" s="13">
        <f>'Pod Plan'!E20</f>
        <v>2</v>
      </c>
      <c r="M270" s="46">
        <f t="shared" si="4"/>
        <v>0.86</v>
      </c>
      <c r="N270" s="46">
        <f>M270*INDEX('Logic Tree'!$J$75:$N$77,MATCH(I270,'Logic Tree'!$I$75:$I$77,0),MATCH(H270,'Logic Tree'!$J$74:$N$74,0))</f>
        <v>0.25800000000000001</v>
      </c>
    </row>
    <row r="271" spans="2:14" ht="15" customHeight="1">
      <c r="B271" s="19">
        <v>3</v>
      </c>
      <c r="C271" s="11" t="s">
        <v>444</v>
      </c>
      <c r="D271" s="36" t="s">
        <v>316</v>
      </c>
      <c r="E271" s="36" t="s">
        <v>444</v>
      </c>
      <c r="F271" s="49" t="str">
        <f>'Pod Library'!E73</f>
        <v>Quality Engineer (SDET)</v>
      </c>
      <c r="G271" s="44" t="str">
        <f>'Pod Library'!F73</f>
        <v>TEST</v>
      </c>
      <c r="H271" s="44" t="str">
        <f>'Pod Library'!G73</f>
        <v>E3</v>
      </c>
      <c r="I271" s="44" t="str">
        <f>'Pod Library'!H73</f>
        <v>OFF</v>
      </c>
      <c r="J271" s="44" t="str">
        <f>'Pod Library'!I73</f>
        <v>FTC</v>
      </c>
      <c r="K271" s="9">
        <f>'Pod Library'!J73</f>
        <v>0.7</v>
      </c>
      <c r="L271" s="13">
        <f>'Pod Plan'!E20</f>
        <v>2</v>
      </c>
      <c r="M271" s="46">
        <f t="shared" si="4"/>
        <v>1.4</v>
      </c>
      <c r="N271" s="46">
        <f>M271*INDEX('Logic Tree'!$J$75:$N$77,MATCH(I271,'Logic Tree'!$I$75:$I$77,0),MATCH(H271,'Logic Tree'!$J$74:$N$74,0))</f>
        <v>0.58799999999999997</v>
      </c>
    </row>
    <row r="272" spans="2:14" ht="15" customHeight="1">
      <c r="B272" s="19">
        <v>3</v>
      </c>
      <c r="C272" s="11" t="s">
        <v>444</v>
      </c>
      <c r="D272" s="36" t="s">
        <v>316</v>
      </c>
      <c r="E272" s="36" t="s">
        <v>444</v>
      </c>
      <c r="F272" s="49" t="str">
        <f>'Pod Library'!E74</f>
        <v>Quality Engineer (SDET)</v>
      </c>
      <c r="G272" s="44" t="str">
        <f>'Pod Library'!F74</f>
        <v>TEST</v>
      </c>
      <c r="H272" s="44" t="str">
        <f>'Pod Library'!G74</f>
        <v>E4</v>
      </c>
      <c r="I272" s="44" t="str">
        <f>'Pod Library'!H74</f>
        <v>OFF</v>
      </c>
      <c r="J272" s="44" t="str">
        <f>'Pod Library'!I74</f>
        <v>FTC</v>
      </c>
      <c r="K272" s="9">
        <f>'Pod Library'!J74</f>
        <v>0.5</v>
      </c>
      <c r="L272" s="13">
        <f>'Pod Plan'!E20</f>
        <v>2</v>
      </c>
      <c r="M272" s="46">
        <f t="shared" si="4"/>
        <v>1</v>
      </c>
      <c r="N272" s="46">
        <f>M272*INDEX('Logic Tree'!$J$75:$N$77,MATCH(I272,'Logic Tree'!$I$75:$I$77,0),MATCH(H272,'Logic Tree'!$J$74:$N$74,0))</f>
        <v>0.6</v>
      </c>
    </row>
    <row r="273" spans="2:14" ht="15" customHeight="1">
      <c r="B273" s="19">
        <v>3</v>
      </c>
      <c r="C273" s="11" t="s">
        <v>444</v>
      </c>
      <c r="D273" s="36" t="s">
        <v>316</v>
      </c>
      <c r="E273" s="36" t="s">
        <v>444</v>
      </c>
      <c r="F273" s="49" t="str">
        <f>'Pod Library'!E75</f>
        <v>Application Support</v>
      </c>
      <c r="G273" s="44" t="str">
        <f>'Pod Library'!F75</f>
        <v>MNT</v>
      </c>
      <c r="H273" s="44" t="str">
        <f>'Pod Library'!G75</f>
        <v>E1</v>
      </c>
      <c r="I273" s="44" t="str">
        <f>'Pod Library'!H75</f>
        <v>OFF</v>
      </c>
      <c r="J273" s="44" t="str">
        <f>'Pod Library'!I75</f>
        <v>FTC</v>
      </c>
      <c r="K273" s="9">
        <f>'Pod Library'!J75</f>
        <v>0.1</v>
      </c>
      <c r="L273" s="13">
        <f>'Pod Plan'!E20</f>
        <v>2</v>
      </c>
      <c r="M273" s="46">
        <f t="shared" si="4"/>
        <v>0.2</v>
      </c>
      <c r="N273" s="46">
        <f>M273*INDEX('Logic Tree'!$J$75:$N$77,MATCH(I273,'Logic Tree'!$I$75:$I$77,0),MATCH(H273,'Logic Tree'!$J$74:$N$74,0))</f>
        <v>4.4000000000000004E-2</v>
      </c>
    </row>
    <row r="274" spans="2:14" ht="15" customHeight="1">
      <c r="B274" s="19">
        <v>3</v>
      </c>
      <c r="C274" s="11" t="s">
        <v>444</v>
      </c>
      <c r="D274" s="36" t="s">
        <v>316</v>
      </c>
      <c r="E274" s="36" t="s">
        <v>444</v>
      </c>
      <c r="F274" s="49" t="str">
        <f>'Pod Library'!E76</f>
        <v>Application Support</v>
      </c>
      <c r="G274" s="44" t="str">
        <f>'Pod Library'!F76</f>
        <v>MNT</v>
      </c>
      <c r="H274" s="44" t="str">
        <f>'Pod Library'!G76</f>
        <v>E2</v>
      </c>
      <c r="I274" s="44" t="str">
        <f>'Pod Library'!H76</f>
        <v>OFF</v>
      </c>
      <c r="J274" s="44" t="str">
        <f>'Pod Library'!I76</f>
        <v>FTC</v>
      </c>
      <c r="K274" s="9">
        <f>'Pod Library'!J76</f>
        <v>0.05</v>
      </c>
      <c r="L274" s="13">
        <f>'Pod Plan'!E20</f>
        <v>2</v>
      </c>
      <c r="M274" s="46">
        <f t="shared" si="4"/>
        <v>0.1</v>
      </c>
      <c r="N274" s="46">
        <f>M274*INDEX('Logic Tree'!$J$75:$N$77,MATCH(I274,'Logic Tree'!$I$75:$I$77,0),MATCH(H274,'Logic Tree'!$J$74:$N$74,0))</f>
        <v>0.03</v>
      </c>
    </row>
    <row r="275" spans="2:14" ht="15" customHeight="1">
      <c r="B275" s="19">
        <v>3</v>
      </c>
      <c r="C275" s="11" t="s">
        <v>700</v>
      </c>
      <c r="D275" s="44" t="str">
        <f>'Horizontal Teams'!C69</f>
        <v>H1</v>
      </c>
      <c r="E275" s="36" t="s">
        <v>700</v>
      </c>
      <c r="F275" s="49" t="str">
        <f>'Horizontal Teams'!E69</f>
        <v>Service Delivery Manager</v>
      </c>
      <c r="G275" s="44" t="str">
        <f>'Horizontal Teams'!D69</f>
        <v>MNT</v>
      </c>
      <c r="H275" s="44" t="str">
        <f>'Horizontal Teams'!F69</f>
        <v>E5</v>
      </c>
      <c r="I275" s="44" t="str">
        <f>'Horizontal Teams'!G69</f>
        <v>ON</v>
      </c>
      <c r="J275" s="44" t="str">
        <f>'Horizontal Teams'!H69</f>
        <v>FTC</v>
      </c>
      <c r="K275" s="9">
        <f>'Horizontal Teams'!I69</f>
        <v>1</v>
      </c>
      <c r="L275" s="19">
        <v>1</v>
      </c>
      <c r="M275" s="46">
        <f t="shared" si="4"/>
        <v>1</v>
      </c>
      <c r="N275" s="46">
        <f>M275*INDEX('Logic Tree'!$J$75:$N$77,MATCH(I275,'Logic Tree'!$I$75:$I$77,0),MATCH(H275,'Logic Tree'!$J$74:$N$74,0))</f>
        <v>2.5499999999999998</v>
      </c>
    </row>
    <row r="276" spans="2:14" ht="15" customHeight="1">
      <c r="B276" s="19">
        <v>3</v>
      </c>
      <c r="C276" s="11" t="s">
        <v>700</v>
      </c>
      <c r="D276" s="44" t="str">
        <f>'Horizontal Teams'!C70</f>
        <v>H1</v>
      </c>
      <c r="E276" s="36" t="s">
        <v>700</v>
      </c>
      <c r="F276" s="49" t="str">
        <f>'Horizontal Teams'!E70</f>
        <v>Release &amp; Environment Manager</v>
      </c>
      <c r="G276" s="44" t="str">
        <f>'Horizontal Teams'!D70</f>
        <v>MNT</v>
      </c>
      <c r="H276" s="44" t="str">
        <f>'Horizontal Teams'!F70</f>
        <v>E4</v>
      </c>
      <c r="I276" s="44" t="str">
        <f>'Horizontal Teams'!G70</f>
        <v>ON</v>
      </c>
      <c r="J276" s="44" t="str">
        <f>'Horizontal Teams'!H70</f>
        <v>FTC</v>
      </c>
      <c r="K276" s="9">
        <f>'Horizontal Teams'!I70</f>
        <v>1</v>
      </c>
      <c r="L276" s="19">
        <v>1</v>
      </c>
      <c r="M276" s="46">
        <f t="shared" si="4"/>
        <v>1</v>
      </c>
      <c r="N276" s="46">
        <f>M276*INDEX('Logic Tree'!$J$75:$N$77,MATCH(I276,'Logic Tree'!$I$75:$I$77,0),MATCH(H276,'Logic Tree'!$J$74:$N$74,0))</f>
        <v>1.85</v>
      </c>
    </row>
    <row r="277" spans="2:14" ht="15" customHeight="1">
      <c r="B277" s="19">
        <v>3</v>
      </c>
      <c r="C277" s="11" t="s">
        <v>700</v>
      </c>
      <c r="D277" s="44" t="str">
        <f>'Horizontal Teams'!C71</f>
        <v>H1</v>
      </c>
      <c r="E277" s="36" t="s">
        <v>700</v>
      </c>
      <c r="F277" s="49" t="str">
        <f>'Horizontal Teams'!E71</f>
        <v>L2 Application Support</v>
      </c>
      <c r="G277" s="44" t="str">
        <f>'Horizontal Teams'!D71</f>
        <v>MNT</v>
      </c>
      <c r="H277" s="44" t="str">
        <f>'Horizontal Teams'!F71</f>
        <v>E1</v>
      </c>
      <c r="I277" s="44" t="str">
        <f>'Horizontal Teams'!G71</f>
        <v>OFF</v>
      </c>
      <c r="J277" s="44" t="str">
        <f>'Horizontal Teams'!H71</f>
        <v>FTC</v>
      </c>
      <c r="K277" s="9">
        <f>'Horizontal Teams'!I71</f>
        <v>0.5</v>
      </c>
      <c r="L277" s="19">
        <v>1</v>
      </c>
      <c r="M277" s="46">
        <f t="shared" si="4"/>
        <v>0.5</v>
      </c>
      <c r="N277" s="46">
        <f>M277*INDEX('Logic Tree'!$J$75:$N$77,MATCH(I277,'Logic Tree'!$I$75:$I$77,0),MATCH(H277,'Logic Tree'!$J$74:$N$74,0))</f>
        <v>0.11</v>
      </c>
    </row>
    <row r="278" spans="2:14" ht="15" customHeight="1">
      <c r="B278" s="19">
        <v>3</v>
      </c>
      <c r="C278" s="11" t="s">
        <v>700</v>
      </c>
      <c r="D278" s="44" t="str">
        <f>'Horizontal Teams'!C72</f>
        <v>H1</v>
      </c>
      <c r="E278" s="36" t="s">
        <v>700</v>
      </c>
      <c r="F278" s="49" t="str">
        <f>'Horizontal Teams'!E72</f>
        <v>L2 Application Support</v>
      </c>
      <c r="G278" s="44" t="str">
        <f>'Horizontal Teams'!D72</f>
        <v>MNT</v>
      </c>
      <c r="H278" s="44" t="str">
        <f>'Horizontal Teams'!F72</f>
        <v>E2</v>
      </c>
      <c r="I278" s="44" t="str">
        <f>'Horizontal Teams'!G72</f>
        <v>OFF</v>
      </c>
      <c r="J278" s="44" t="str">
        <f>'Horizontal Teams'!H72</f>
        <v>FTC</v>
      </c>
      <c r="K278" s="9">
        <f>'Horizontal Teams'!I72</f>
        <v>0.5</v>
      </c>
      <c r="L278" s="19">
        <v>1</v>
      </c>
      <c r="M278" s="46">
        <f t="shared" si="4"/>
        <v>0.5</v>
      </c>
      <c r="N278" s="46">
        <f>M278*INDEX('Logic Tree'!$J$75:$N$77,MATCH(I278,'Logic Tree'!$I$75:$I$77,0),MATCH(H278,'Logic Tree'!$J$74:$N$74,0))</f>
        <v>0.15</v>
      </c>
    </row>
    <row r="279" spans="2:14" ht="15" customHeight="1">
      <c r="B279" s="19">
        <v>3</v>
      </c>
      <c r="C279" s="11" t="s">
        <v>700</v>
      </c>
      <c r="D279" s="44" t="str">
        <f>'Horizontal Teams'!C73</f>
        <v>H1</v>
      </c>
      <c r="E279" s="36" t="s">
        <v>700</v>
      </c>
      <c r="F279" s="49" t="str">
        <f>'Horizontal Teams'!E73</f>
        <v>Incident &amp; Problem Analyst</v>
      </c>
      <c r="G279" s="44" t="str">
        <f>'Horizontal Teams'!D73</f>
        <v>MNT</v>
      </c>
      <c r="H279" s="44" t="str">
        <f>'Horizontal Teams'!F73</f>
        <v>E3</v>
      </c>
      <c r="I279" s="44" t="str">
        <f>'Horizontal Teams'!G73</f>
        <v>ON</v>
      </c>
      <c r="J279" s="44" t="str">
        <f>'Horizontal Teams'!H73</f>
        <v>FTC</v>
      </c>
      <c r="K279" s="9">
        <f>'Horizontal Teams'!I73</f>
        <v>1</v>
      </c>
      <c r="L279" s="19">
        <v>1</v>
      </c>
      <c r="M279" s="46">
        <f t="shared" si="4"/>
        <v>1</v>
      </c>
      <c r="N279" s="46">
        <f>M279*INDEX('Logic Tree'!$J$75:$N$77,MATCH(I279,'Logic Tree'!$I$75:$I$77,0),MATCH(H279,'Logic Tree'!$J$74:$N$74,0))</f>
        <v>1.35</v>
      </c>
    </row>
    <row r="280" spans="2:14" ht="15" customHeight="1">
      <c r="B280" s="19">
        <v>3</v>
      </c>
      <c r="C280" s="11" t="s">
        <v>700</v>
      </c>
      <c r="D280" s="44" t="str">
        <f>'Horizontal Teams'!C74</f>
        <v>H1</v>
      </c>
      <c r="E280" s="36" t="s">
        <v>700</v>
      </c>
      <c r="F280" s="49" t="str">
        <f>'Horizontal Teams'!E74</f>
        <v>Observability / AIOps Engineer</v>
      </c>
      <c r="G280" s="44" t="str">
        <f>'Horizontal Teams'!D74</f>
        <v>OTH</v>
      </c>
      <c r="H280" s="44" t="str">
        <f>'Horizontal Teams'!F74</f>
        <v>E3</v>
      </c>
      <c r="I280" s="44" t="str">
        <f>'Horizontal Teams'!G74</f>
        <v>OFF</v>
      </c>
      <c r="J280" s="44" t="str">
        <f>'Horizontal Teams'!H74</f>
        <v>FTC</v>
      </c>
      <c r="K280" s="9">
        <f>'Horizontal Teams'!I74</f>
        <v>0.5</v>
      </c>
      <c r="L280" s="19">
        <v>1</v>
      </c>
      <c r="M280" s="46">
        <f t="shared" si="4"/>
        <v>0.5</v>
      </c>
      <c r="N280" s="46">
        <f>M280*INDEX('Logic Tree'!$J$75:$N$77,MATCH(I280,'Logic Tree'!$I$75:$I$77,0),MATCH(H280,'Logic Tree'!$J$74:$N$74,0))</f>
        <v>0.21</v>
      </c>
    </row>
    <row r="281" spans="2:14" ht="15" customHeight="1">
      <c r="B281" s="19">
        <v>3</v>
      </c>
      <c r="C281" s="11" t="s">
        <v>700</v>
      </c>
      <c r="D281" s="44" t="str">
        <f>'Horizontal Teams'!C75</f>
        <v>H1</v>
      </c>
      <c r="E281" s="36" t="s">
        <v>700</v>
      </c>
      <c r="F281" s="49" t="str">
        <f>'Horizontal Teams'!E75</f>
        <v>Platform &amp; Integration Engineer</v>
      </c>
      <c r="G281" s="44" t="str">
        <f>'Horizontal Teams'!D75</f>
        <v>DEV</v>
      </c>
      <c r="H281" s="44" t="str">
        <f>'Horizontal Teams'!F75</f>
        <v>E3</v>
      </c>
      <c r="I281" s="44" t="str">
        <f>'Horizontal Teams'!G75</f>
        <v>ON</v>
      </c>
      <c r="J281" s="44" t="str">
        <f>'Horizontal Teams'!H75</f>
        <v>FTC</v>
      </c>
      <c r="K281" s="9">
        <f>'Horizontal Teams'!I75</f>
        <v>1.5</v>
      </c>
      <c r="L281" s="19">
        <v>1</v>
      </c>
      <c r="M281" s="46">
        <f t="shared" si="4"/>
        <v>1.5</v>
      </c>
      <c r="N281" s="46">
        <f>M281*INDEX('Logic Tree'!$J$75:$N$77,MATCH(I281,'Logic Tree'!$I$75:$I$77,0),MATCH(H281,'Logic Tree'!$J$74:$N$74,0))</f>
        <v>2.0250000000000004</v>
      </c>
    </row>
    <row r="282" spans="2:14" ht="15" customHeight="1">
      <c r="B282" s="19">
        <v>3</v>
      </c>
      <c r="C282" s="11" t="s">
        <v>700</v>
      </c>
      <c r="D282" s="44" t="str">
        <f>'Horizontal Teams'!C76</f>
        <v>H1</v>
      </c>
      <c r="E282" s="36" t="s">
        <v>700</v>
      </c>
      <c r="F282" s="49" t="str">
        <f>'Horizontal Teams'!E76</f>
        <v>Platform &amp; Integration Engineer</v>
      </c>
      <c r="G282" s="44" t="str">
        <f>'Horizontal Teams'!D76</f>
        <v>DEV</v>
      </c>
      <c r="H282" s="44" t="str">
        <f>'Horizontal Teams'!F76</f>
        <v>E3</v>
      </c>
      <c r="I282" s="44" t="str">
        <f>'Horizontal Teams'!G76</f>
        <v>OFF</v>
      </c>
      <c r="J282" s="44" t="str">
        <f>'Horizontal Teams'!H76</f>
        <v>FTC</v>
      </c>
      <c r="K282" s="9">
        <f>'Horizontal Teams'!I76</f>
        <v>0.5</v>
      </c>
      <c r="L282" s="19">
        <v>1</v>
      </c>
      <c r="M282" s="46">
        <f t="shared" si="4"/>
        <v>0.5</v>
      </c>
      <c r="N282" s="46">
        <f>M282*INDEX('Logic Tree'!$J$75:$N$77,MATCH(I282,'Logic Tree'!$I$75:$I$77,0),MATCH(H282,'Logic Tree'!$J$74:$N$74,0))</f>
        <v>0.21</v>
      </c>
    </row>
    <row r="283" spans="2:14" ht="15" customHeight="1">
      <c r="B283" s="19">
        <v>3</v>
      </c>
      <c r="C283" s="11" t="s">
        <v>700</v>
      </c>
      <c r="D283" s="44" t="str">
        <f>'Horizontal Teams'!C77</f>
        <v>H1</v>
      </c>
      <c r="E283" s="36" t="s">
        <v>700</v>
      </c>
      <c r="F283" s="49" t="str">
        <f>'Horizontal Teams'!E77</f>
        <v>Offshore Engineering Lead</v>
      </c>
      <c r="G283" s="44" t="str">
        <f>'Horizontal Teams'!D77</f>
        <v>DEV</v>
      </c>
      <c r="H283" s="44" t="str">
        <f>'Horizontal Teams'!F77</f>
        <v>E5</v>
      </c>
      <c r="I283" s="44" t="str">
        <f>'Horizontal Teams'!G77</f>
        <v>OFF</v>
      </c>
      <c r="J283" s="44" t="str">
        <f>'Horizontal Teams'!H77</f>
        <v>FTC</v>
      </c>
      <c r="K283" s="9">
        <f>'Horizontal Teams'!I77</f>
        <v>0.5</v>
      </c>
      <c r="L283" s="19">
        <v>1</v>
      </c>
      <c r="M283" s="46">
        <f t="shared" si="4"/>
        <v>0.5</v>
      </c>
      <c r="N283" s="46">
        <f>M283*INDEX('Logic Tree'!$J$75:$N$77,MATCH(I283,'Logic Tree'!$I$75:$I$77,0),MATCH(H283,'Logic Tree'!$J$74:$N$74,0))</f>
        <v>0.42499999999999999</v>
      </c>
    </row>
    <row r="284" spans="2:14" ht="15" customHeight="1">
      <c r="B284" s="19">
        <v>3</v>
      </c>
      <c r="C284" s="11" t="s">
        <v>700</v>
      </c>
      <c r="D284" s="44" t="str">
        <f>'Horizontal Teams'!C78</f>
        <v>H1</v>
      </c>
      <c r="E284" s="36" t="s">
        <v>700</v>
      </c>
      <c r="F284" s="49" t="str">
        <f>'Horizontal Teams'!E78</f>
        <v>MGCC Platform SRE</v>
      </c>
      <c r="G284" s="44" t="str">
        <f>'Horizontal Teams'!D78</f>
        <v>DEV</v>
      </c>
      <c r="H284" s="44" t="str">
        <f>'Horizontal Teams'!F78</f>
        <v>E3</v>
      </c>
      <c r="I284" s="44" t="str">
        <f>'Horizontal Teams'!G78</f>
        <v>OFF</v>
      </c>
      <c r="J284" s="44" t="str">
        <f>'Horizontal Teams'!H78</f>
        <v>MGCC</v>
      </c>
      <c r="K284" s="9">
        <f>'Horizontal Teams'!I78</f>
        <v>4.5</v>
      </c>
      <c r="L284" s="19">
        <v>1</v>
      </c>
      <c r="M284" s="46">
        <f t="shared" si="4"/>
        <v>4.5</v>
      </c>
      <c r="N284" s="46">
        <f>M284*INDEX('Logic Tree'!$J$75:$N$77,MATCH(I284,'Logic Tree'!$I$75:$I$77,0),MATCH(H284,'Logic Tree'!$J$74:$N$74,0))</f>
        <v>1.89</v>
      </c>
    </row>
    <row r="285" spans="2:14" ht="15" customHeight="1">
      <c r="B285" s="19">
        <v>3</v>
      </c>
      <c r="C285" s="11" t="s">
        <v>700</v>
      </c>
      <c r="D285" s="44" t="str">
        <f>'Horizontal Teams'!C79</f>
        <v>H1</v>
      </c>
      <c r="E285" s="36" t="s">
        <v>700</v>
      </c>
      <c r="F285" s="49" t="str">
        <f>'Horizontal Teams'!E79</f>
        <v>MetLife Service Owner</v>
      </c>
      <c r="G285" s="44" t="str">
        <f>'Horizontal Teams'!D79</f>
        <v>PM</v>
      </c>
      <c r="H285" s="44" t="str">
        <f>'Horizontal Teams'!F79</f>
        <v>E4</v>
      </c>
      <c r="I285" s="44" t="str">
        <f>'Horizontal Teams'!G79</f>
        <v>ON</v>
      </c>
      <c r="J285" s="44" t="str">
        <f>'Horizontal Teams'!H79</f>
        <v>FTE</v>
      </c>
      <c r="K285" s="9">
        <f>'Horizontal Teams'!I79</f>
        <v>1</v>
      </c>
      <c r="L285" s="19">
        <v>1</v>
      </c>
      <c r="M285" s="46">
        <f t="shared" si="4"/>
        <v>1</v>
      </c>
      <c r="N285" s="46">
        <f>M285*INDEX('Logic Tree'!$J$75:$N$77,MATCH(I285,'Logic Tree'!$I$75:$I$77,0),MATCH(H285,'Logic Tree'!$J$74:$N$74,0))</f>
        <v>1.85</v>
      </c>
    </row>
    <row r="286" spans="2:14" ht="15" customHeight="1">
      <c r="B286" s="19">
        <v>3</v>
      </c>
      <c r="C286" s="11" t="s">
        <v>700</v>
      </c>
      <c r="D286" s="44" t="str">
        <f>'Horizontal Teams'!C80</f>
        <v>H1</v>
      </c>
      <c r="E286" s="36" t="s">
        <v>700</v>
      </c>
      <c r="F286" s="49" t="str">
        <f>'Horizontal Teams'!E80</f>
        <v>MetLife Distribution Ops Analyst</v>
      </c>
      <c r="G286" s="44" t="str">
        <f>'Horizontal Teams'!D80</f>
        <v>MNT</v>
      </c>
      <c r="H286" s="44" t="str">
        <f>'Horizontal Teams'!F80</f>
        <v>E3</v>
      </c>
      <c r="I286" s="44" t="str">
        <f>'Horizontal Teams'!G80</f>
        <v>ON</v>
      </c>
      <c r="J286" s="44" t="str">
        <f>'Horizontal Teams'!H80</f>
        <v>FTE</v>
      </c>
      <c r="K286" s="9">
        <f>'Horizontal Teams'!I80</f>
        <v>4.5</v>
      </c>
      <c r="L286" s="19">
        <v>1</v>
      </c>
      <c r="M286" s="46">
        <f t="shared" si="4"/>
        <v>4.5</v>
      </c>
      <c r="N286" s="46">
        <f>M286*INDEX('Logic Tree'!$J$75:$N$77,MATCH(I286,'Logic Tree'!$I$75:$I$77,0),MATCH(H286,'Logic Tree'!$J$74:$N$74,0))</f>
        <v>6.0750000000000002</v>
      </c>
    </row>
    <row r="287" spans="2:14" ht="15" customHeight="1">
      <c r="B287" s="19">
        <v>3</v>
      </c>
      <c r="C287" s="11" t="s">
        <v>700</v>
      </c>
      <c r="D287" s="44" t="str">
        <f>'Horizontal Teams'!C81</f>
        <v>H2</v>
      </c>
      <c r="E287" s="36" t="s">
        <v>700</v>
      </c>
      <c r="F287" s="49" t="str">
        <f>'Horizontal Teams'!E81</f>
        <v>Head of Quality Engineering</v>
      </c>
      <c r="G287" s="44" t="str">
        <f>'Horizontal Teams'!D81</f>
        <v>TEST</v>
      </c>
      <c r="H287" s="44" t="str">
        <f>'Horizontal Teams'!F81</f>
        <v>E5</v>
      </c>
      <c r="I287" s="44" t="str">
        <f>'Horizontal Teams'!G81</f>
        <v>ON</v>
      </c>
      <c r="J287" s="44" t="str">
        <f>'Horizontal Teams'!H81</f>
        <v>FTC</v>
      </c>
      <c r="K287" s="9">
        <f>'Horizontal Teams'!I81</f>
        <v>1</v>
      </c>
      <c r="L287" s="19">
        <v>1</v>
      </c>
      <c r="M287" s="46">
        <f t="shared" si="4"/>
        <v>1</v>
      </c>
      <c r="N287" s="46">
        <f>M287*INDEX('Logic Tree'!$J$75:$N$77,MATCH(I287,'Logic Tree'!$I$75:$I$77,0),MATCH(H287,'Logic Tree'!$J$74:$N$74,0))</f>
        <v>2.5499999999999998</v>
      </c>
    </row>
    <row r="288" spans="2:14" ht="15" customHeight="1">
      <c r="B288" s="19">
        <v>3</v>
      </c>
      <c r="C288" s="11" t="s">
        <v>700</v>
      </c>
      <c r="D288" s="44" t="str">
        <f>'Horizontal Teams'!C82</f>
        <v>H2</v>
      </c>
      <c r="E288" s="36" t="s">
        <v>700</v>
      </c>
      <c r="F288" s="49" t="str">
        <f>'Horizontal Teams'!E82</f>
        <v>Test Architect</v>
      </c>
      <c r="G288" s="44" t="str">
        <f>'Horizontal Teams'!D82</f>
        <v>TEST</v>
      </c>
      <c r="H288" s="44" t="str">
        <f>'Horizontal Teams'!F82</f>
        <v>E4</v>
      </c>
      <c r="I288" s="44" t="str">
        <f>'Horizontal Teams'!G82</f>
        <v>ON</v>
      </c>
      <c r="J288" s="44" t="str">
        <f>'Horizontal Teams'!H82</f>
        <v>FTC</v>
      </c>
      <c r="K288" s="9">
        <f>'Horizontal Teams'!I82</f>
        <v>2</v>
      </c>
      <c r="L288" s="19">
        <v>1</v>
      </c>
      <c r="M288" s="46">
        <f t="shared" si="4"/>
        <v>2</v>
      </c>
      <c r="N288" s="46">
        <f>M288*INDEX('Logic Tree'!$J$75:$N$77,MATCH(I288,'Logic Tree'!$I$75:$I$77,0),MATCH(H288,'Logic Tree'!$J$74:$N$74,0))</f>
        <v>3.7</v>
      </c>
    </row>
    <row r="289" spans="2:14" ht="15" customHeight="1">
      <c r="B289" s="19">
        <v>3</v>
      </c>
      <c r="C289" s="11" t="s">
        <v>700</v>
      </c>
      <c r="D289" s="44" t="str">
        <f>'Horizontal Teams'!C83</f>
        <v>H2</v>
      </c>
      <c r="E289" s="36" t="s">
        <v>700</v>
      </c>
      <c r="F289" s="49" t="str">
        <f>'Horizontal Teams'!E83</f>
        <v>Performance Test Engineer</v>
      </c>
      <c r="G289" s="44" t="str">
        <f>'Horizontal Teams'!D83</f>
        <v>TEST</v>
      </c>
      <c r="H289" s="44" t="str">
        <f>'Horizontal Teams'!F83</f>
        <v>E3</v>
      </c>
      <c r="I289" s="44" t="str">
        <f>'Horizontal Teams'!G83</f>
        <v>ON</v>
      </c>
      <c r="J289" s="44" t="str">
        <f>'Horizontal Teams'!H83</f>
        <v>FTC</v>
      </c>
      <c r="K289" s="9">
        <f>'Horizontal Teams'!I83</f>
        <v>1</v>
      </c>
      <c r="L289" s="19">
        <v>1</v>
      </c>
      <c r="M289" s="46">
        <f t="shared" si="4"/>
        <v>1</v>
      </c>
      <c r="N289" s="46">
        <f>M289*INDEX('Logic Tree'!$J$75:$N$77,MATCH(I289,'Logic Tree'!$I$75:$I$77,0),MATCH(H289,'Logic Tree'!$J$74:$N$74,0))</f>
        <v>1.35</v>
      </c>
    </row>
    <row r="290" spans="2:14" ht="15" customHeight="1">
      <c r="B290" s="19">
        <v>3</v>
      </c>
      <c r="C290" s="11" t="s">
        <v>700</v>
      </c>
      <c r="D290" s="44" t="str">
        <f>'Horizontal Teams'!C84</f>
        <v>H2</v>
      </c>
      <c r="E290" s="36" t="s">
        <v>700</v>
      </c>
      <c r="F290" s="49" t="str">
        <f>'Horizontal Teams'!E84</f>
        <v>Regression Automation Engineer</v>
      </c>
      <c r="G290" s="44" t="str">
        <f>'Horizontal Teams'!D84</f>
        <v>TEST</v>
      </c>
      <c r="H290" s="44" t="str">
        <f>'Horizontal Teams'!F84</f>
        <v>E3</v>
      </c>
      <c r="I290" s="44" t="str">
        <f>'Horizontal Teams'!G84</f>
        <v>OFF</v>
      </c>
      <c r="J290" s="44" t="str">
        <f>'Horizontal Teams'!H84</f>
        <v>FTC</v>
      </c>
      <c r="K290" s="9">
        <f>'Horizontal Teams'!I84</f>
        <v>3</v>
      </c>
      <c r="L290" s="19">
        <v>1</v>
      </c>
      <c r="M290" s="46">
        <f t="shared" si="4"/>
        <v>3</v>
      </c>
      <c r="N290" s="46">
        <f>M290*INDEX('Logic Tree'!$J$75:$N$77,MATCH(I290,'Logic Tree'!$I$75:$I$77,0),MATCH(H290,'Logic Tree'!$J$74:$N$74,0))</f>
        <v>1.26</v>
      </c>
    </row>
    <row r="291" spans="2:14" ht="15" customHeight="1">
      <c r="B291" s="19">
        <v>3</v>
      </c>
      <c r="C291" s="11" t="s">
        <v>700</v>
      </c>
      <c r="D291" s="44" t="str">
        <f>'Horizontal Teams'!C85</f>
        <v>H2</v>
      </c>
      <c r="E291" s="36" t="s">
        <v>700</v>
      </c>
      <c r="F291" s="49" t="str">
        <f>'Horizontal Teams'!E85</f>
        <v>Regression Automation Engineer</v>
      </c>
      <c r="G291" s="44" t="str">
        <f>'Horizontal Teams'!D85</f>
        <v>TEST</v>
      </c>
      <c r="H291" s="44" t="str">
        <f>'Horizontal Teams'!F85</f>
        <v>E4</v>
      </c>
      <c r="I291" s="44" t="str">
        <f>'Horizontal Teams'!G85</f>
        <v>OFF</v>
      </c>
      <c r="J291" s="44" t="str">
        <f>'Horizontal Teams'!H85</f>
        <v>FTC</v>
      </c>
      <c r="K291" s="9">
        <f>'Horizontal Teams'!I85</f>
        <v>3</v>
      </c>
      <c r="L291" s="19">
        <v>1</v>
      </c>
      <c r="M291" s="46">
        <f t="shared" si="4"/>
        <v>3</v>
      </c>
      <c r="N291" s="46">
        <f>M291*INDEX('Logic Tree'!$J$75:$N$77,MATCH(I291,'Logic Tree'!$I$75:$I$77,0),MATCH(H291,'Logic Tree'!$J$74:$N$74,0))</f>
        <v>1.7999999999999998</v>
      </c>
    </row>
    <row r="292" spans="2:14" ht="15" customHeight="1">
      <c r="B292" s="19">
        <v>3</v>
      </c>
      <c r="C292" s="11" t="s">
        <v>700</v>
      </c>
      <c r="D292" s="44" t="str">
        <f>'Horizontal Teams'!C86</f>
        <v>H2</v>
      </c>
      <c r="E292" s="36" t="s">
        <v>700</v>
      </c>
      <c r="F292" s="49" t="str">
        <f>'Horizontal Teams'!E86</f>
        <v>Test Automation Principal</v>
      </c>
      <c r="G292" s="44" t="str">
        <f>'Horizontal Teams'!D86</f>
        <v>TEST</v>
      </c>
      <c r="H292" s="44" t="str">
        <f>'Horizontal Teams'!F86</f>
        <v>E5</v>
      </c>
      <c r="I292" s="44" t="str">
        <f>'Horizontal Teams'!G86</f>
        <v>OFF</v>
      </c>
      <c r="J292" s="44" t="str">
        <f>'Horizontal Teams'!H86</f>
        <v>FTC</v>
      </c>
      <c r="K292" s="9">
        <f>'Horizontal Teams'!I86</f>
        <v>0.5</v>
      </c>
      <c r="L292" s="19">
        <v>1</v>
      </c>
      <c r="M292" s="46">
        <f t="shared" si="4"/>
        <v>0.5</v>
      </c>
      <c r="N292" s="46">
        <f>M292*INDEX('Logic Tree'!$J$75:$N$77,MATCH(I292,'Logic Tree'!$I$75:$I$77,0),MATCH(H292,'Logic Tree'!$J$74:$N$74,0))</f>
        <v>0.42499999999999999</v>
      </c>
    </row>
    <row r="293" spans="2:14" ht="15" customHeight="1">
      <c r="B293" s="19">
        <v>3</v>
      </c>
      <c r="C293" s="11" t="s">
        <v>700</v>
      </c>
      <c r="D293" s="44" t="str">
        <f>'Horizontal Teams'!C87</f>
        <v>H2</v>
      </c>
      <c r="E293" s="36" t="s">
        <v>700</v>
      </c>
      <c r="F293" s="49" t="str">
        <f>'Horizontal Teams'!E87</f>
        <v>Test Data Engineer</v>
      </c>
      <c r="G293" s="44" t="str">
        <f>'Horizontal Teams'!D87</f>
        <v>TEST</v>
      </c>
      <c r="H293" s="44" t="str">
        <f>'Horizontal Teams'!F87</f>
        <v>E1</v>
      </c>
      <c r="I293" s="44" t="str">
        <f>'Horizontal Teams'!G87</f>
        <v>OFF</v>
      </c>
      <c r="J293" s="44" t="str">
        <f>'Horizontal Teams'!H87</f>
        <v>FTC</v>
      </c>
      <c r="K293" s="9">
        <f>'Horizontal Teams'!I87</f>
        <v>0.5</v>
      </c>
      <c r="L293" s="19">
        <v>1</v>
      </c>
      <c r="M293" s="46">
        <f t="shared" si="4"/>
        <v>0.5</v>
      </c>
      <c r="N293" s="46">
        <f>M293*INDEX('Logic Tree'!$J$75:$N$77,MATCH(I293,'Logic Tree'!$I$75:$I$77,0),MATCH(H293,'Logic Tree'!$J$74:$N$74,0))</f>
        <v>0.11</v>
      </c>
    </row>
    <row r="294" spans="2:14" ht="15" customHeight="1">
      <c r="B294" s="19">
        <v>3</v>
      </c>
      <c r="C294" s="11" t="s">
        <v>700</v>
      </c>
      <c r="D294" s="44" t="str">
        <f>'Horizontal Teams'!C88</f>
        <v>H2</v>
      </c>
      <c r="E294" s="36" t="s">
        <v>700</v>
      </c>
      <c r="F294" s="49" t="str">
        <f>'Horizontal Teams'!E88</f>
        <v>Test Data Engineer</v>
      </c>
      <c r="G294" s="44" t="str">
        <f>'Horizontal Teams'!D88</f>
        <v>TEST</v>
      </c>
      <c r="H294" s="44" t="str">
        <f>'Horizontal Teams'!F88</f>
        <v>E2</v>
      </c>
      <c r="I294" s="44" t="str">
        <f>'Horizontal Teams'!G88</f>
        <v>OFF</v>
      </c>
      <c r="J294" s="44" t="str">
        <f>'Horizontal Teams'!H88</f>
        <v>FTC</v>
      </c>
      <c r="K294" s="9">
        <f>'Horizontal Teams'!I88</f>
        <v>0.5</v>
      </c>
      <c r="L294" s="19">
        <v>1</v>
      </c>
      <c r="M294" s="46">
        <f t="shared" si="4"/>
        <v>0.5</v>
      </c>
      <c r="N294" s="46">
        <f>M294*INDEX('Logic Tree'!$J$75:$N$77,MATCH(I294,'Logic Tree'!$I$75:$I$77,0),MATCH(H294,'Logic Tree'!$J$74:$N$74,0))</f>
        <v>0.15</v>
      </c>
    </row>
    <row r="295" spans="2:14" ht="15" customHeight="1">
      <c r="B295" s="19">
        <v>3</v>
      </c>
      <c r="C295" s="11" t="s">
        <v>700</v>
      </c>
      <c r="D295" s="44" t="str">
        <f>'Horizontal Teams'!C89</f>
        <v>H2</v>
      </c>
      <c r="E295" s="36" t="s">
        <v>700</v>
      </c>
      <c r="F295" s="49" t="str">
        <f>'Horizontal Teams'!E89</f>
        <v>MGCC Regression Automation</v>
      </c>
      <c r="G295" s="44" t="str">
        <f>'Horizontal Teams'!D89</f>
        <v>TEST</v>
      </c>
      <c r="H295" s="44" t="str">
        <f>'Horizontal Teams'!F89</f>
        <v>E3</v>
      </c>
      <c r="I295" s="44" t="str">
        <f>'Horizontal Teams'!G89</f>
        <v>OFF</v>
      </c>
      <c r="J295" s="44" t="str">
        <f>'Horizontal Teams'!H89</f>
        <v>MGCC</v>
      </c>
      <c r="K295" s="9">
        <f>'Horizontal Teams'!I89</f>
        <v>2.5</v>
      </c>
      <c r="L295" s="19">
        <v>1</v>
      </c>
      <c r="M295" s="46">
        <f t="shared" si="4"/>
        <v>2.5</v>
      </c>
      <c r="N295" s="46">
        <f>M295*INDEX('Logic Tree'!$J$75:$N$77,MATCH(I295,'Logic Tree'!$I$75:$I$77,0),MATCH(H295,'Logic Tree'!$J$74:$N$74,0))</f>
        <v>1.05</v>
      </c>
    </row>
    <row r="296" spans="2:14" ht="15" customHeight="1">
      <c r="B296" s="19">
        <v>3</v>
      </c>
      <c r="C296" s="11" t="s">
        <v>700</v>
      </c>
      <c r="D296" s="44" t="str">
        <f>'Horizontal Teams'!C90</f>
        <v>H2</v>
      </c>
      <c r="E296" s="36" t="s">
        <v>700</v>
      </c>
      <c r="F296" s="49" t="str">
        <f>'Horizontal Teams'!E90</f>
        <v>MetLife Test Governance</v>
      </c>
      <c r="G296" s="44" t="str">
        <f>'Horizontal Teams'!D90</f>
        <v>TEST</v>
      </c>
      <c r="H296" s="44" t="str">
        <f>'Horizontal Teams'!F90</f>
        <v>E4</v>
      </c>
      <c r="I296" s="44" t="str">
        <f>'Horizontal Teams'!G90</f>
        <v>ON</v>
      </c>
      <c r="J296" s="44" t="str">
        <f>'Horizontal Teams'!H90</f>
        <v>FTE</v>
      </c>
      <c r="K296" s="9">
        <f>'Horizontal Teams'!I90</f>
        <v>0.5</v>
      </c>
      <c r="L296" s="19">
        <v>1</v>
      </c>
      <c r="M296" s="46">
        <f t="shared" si="4"/>
        <v>0.5</v>
      </c>
      <c r="N296" s="46">
        <f>M296*INDEX('Logic Tree'!$J$75:$N$77,MATCH(I296,'Logic Tree'!$I$75:$I$77,0),MATCH(H296,'Logic Tree'!$J$74:$N$74,0))</f>
        <v>0.92500000000000004</v>
      </c>
    </row>
    <row r="297" spans="2:14" ht="15" customHeight="1">
      <c r="B297" s="19">
        <v>3</v>
      </c>
      <c r="C297" s="11" t="s">
        <v>700</v>
      </c>
      <c r="D297" s="44" t="str">
        <f>'Horizontal Teams'!C91</f>
        <v>H2</v>
      </c>
      <c r="E297" s="36" t="s">
        <v>700</v>
      </c>
      <c r="F297" s="49" t="str">
        <f>'Horizontal Teams'!E91</f>
        <v>MetLife Data &amp; Reporting Analyst</v>
      </c>
      <c r="G297" s="44" t="str">
        <f>'Horizontal Teams'!D91</f>
        <v>BSA</v>
      </c>
      <c r="H297" s="44" t="str">
        <f>'Horizontal Teams'!F91</f>
        <v>E3</v>
      </c>
      <c r="I297" s="44" t="str">
        <f>'Horizontal Teams'!G91</f>
        <v>ON</v>
      </c>
      <c r="J297" s="44" t="str">
        <f>'Horizontal Teams'!H91</f>
        <v>FTE</v>
      </c>
      <c r="K297" s="9">
        <f>'Horizontal Teams'!I91</f>
        <v>1.5</v>
      </c>
      <c r="L297" s="19">
        <v>1</v>
      </c>
      <c r="M297" s="46">
        <f t="shared" si="4"/>
        <v>1.5</v>
      </c>
      <c r="N297" s="46">
        <f>M297*INDEX('Logic Tree'!$J$75:$N$77,MATCH(I297,'Logic Tree'!$I$75:$I$77,0),MATCH(H297,'Logic Tree'!$J$74:$N$74,0))</f>
        <v>2.0250000000000004</v>
      </c>
    </row>
    <row r="298" spans="2:14" ht="15" customHeight="1">
      <c r="B298" s="19">
        <v>3</v>
      </c>
      <c r="C298" s="11" t="s">
        <v>700</v>
      </c>
      <c r="D298" s="44" t="str">
        <f>'Horizontal Teams'!C92</f>
        <v>H3</v>
      </c>
      <c r="E298" s="36" t="s">
        <v>700</v>
      </c>
      <c r="F298" s="49" t="str">
        <f>'Horizontal Teams'!E92</f>
        <v>Domain Delivery Head</v>
      </c>
      <c r="G298" s="44" t="str">
        <f>'Horizontal Teams'!D92</f>
        <v>PM</v>
      </c>
      <c r="H298" s="44" t="str">
        <f>'Horizontal Teams'!F92</f>
        <v>E5</v>
      </c>
      <c r="I298" s="44" t="str">
        <f>'Horizontal Teams'!G92</f>
        <v>ON</v>
      </c>
      <c r="J298" s="44" t="str">
        <f>'Horizontal Teams'!H92</f>
        <v>FTC</v>
      </c>
      <c r="K298" s="9">
        <f>'Horizontal Teams'!I92</f>
        <v>0.5</v>
      </c>
      <c r="L298" s="19">
        <v>1</v>
      </c>
      <c r="M298" s="46">
        <f t="shared" si="4"/>
        <v>0.5</v>
      </c>
      <c r="N298" s="46">
        <f>M298*INDEX('Logic Tree'!$J$75:$N$77,MATCH(I298,'Logic Tree'!$I$75:$I$77,0),MATCH(H298,'Logic Tree'!$J$74:$N$74,0))</f>
        <v>1.2749999999999999</v>
      </c>
    </row>
    <row r="299" spans="2:14" ht="15" customHeight="1">
      <c r="B299" s="19">
        <v>3</v>
      </c>
      <c r="C299" s="11" t="s">
        <v>700</v>
      </c>
      <c r="D299" s="44" t="str">
        <f>'Horizontal Teams'!C93</f>
        <v>H3</v>
      </c>
      <c r="E299" s="36" t="s">
        <v>700</v>
      </c>
      <c r="F299" s="49" t="str">
        <f>'Horizontal Teams'!E93</f>
        <v>Release Train Engineer</v>
      </c>
      <c r="G299" s="44" t="str">
        <f>'Horizontal Teams'!D93</f>
        <v>PM</v>
      </c>
      <c r="H299" s="44" t="str">
        <f>'Horizontal Teams'!F93</f>
        <v>E4</v>
      </c>
      <c r="I299" s="44" t="str">
        <f>'Horizontal Teams'!G93</f>
        <v>ON</v>
      </c>
      <c r="J299" s="44" t="str">
        <f>'Horizontal Teams'!H93</f>
        <v>FTC</v>
      </c>
      <c r="K299" s="9">
        <f>'Horizontal Teams'!I93</f>
        <v>0.5</v>
      </c>
      <c r="L299" s="19">
        <v>1</v>
      </c>
      <c r="M299" s="46">
        <f t="shared" si="4"/>
        <v>0.5</v>
      </c>
      <c r="N299" s="46">
        <f>M299*INDEX('Logic Tree'!$J$75:$N$77,MATCH(I299,'Logic Tree'!$I$75:$I$77,0),MATCH(H299,'Logic Tree'!$J$74:$N$74,0))</f>
        <v>0.92500000000000004</v>
      </c>
    </row>
    <row r="300" spans="2:14" ht="15" customHeight="1">
      <c r="B300" s="19">
        <v>3</v>
      </c>
      <c r="C300" s="11" t="s">
        <v>700</v>
      </c>
      <c r="D300" s="44" t="str">
        <f>'Horizontal Teams'!C94</f>
        <v>H3</v>
      </c>
      <c r="E300" s="36" t="s">
        <v>700</v>
      </c>
      <c r="F300" s="49" t="str">
        <f>'Horizontal Teams'!E94</f>
        <v>Service &amp; Contract Manager</v>
      </c>
      <c r="G300" s="44" t="str">
        <f>'Horizontal Teams'!D94</f>
        <v>PM</v>
      </c>
      <c r="H300" s="44" t="str">
        <f>'Horizontal Teams'!F94</f>
        <v>E4</v>
      </c>
      <c r="I300" s="44" t="str">
        <f>'Horizontal Teams'!G94</f>
        <v>ON</v>
      </c>
      <c r="J300" s="44" t="str">
        <f>'Horizontal Teams'!H94</f>
        <v>FTC</v>
      </c>
      <c r="K300" s="9">
        <f>'Horizontal Teams'!I94</f>
        <v>0.5</v>
      </c>
      <c r="L300" s="19">
        <v>1</v>
      </c>
      <c r="M300" s="46">
        <f t="shared" si="4"/>
        <v>0.5</v>
      </c>
      <c r="N300" s="46">
        <f>M300*INDEX('Logic Tree'!$J$75:$N$77,MATCH(I300,'Logic Tree'!$I$75:$I$77,0),MATCH(H300,'Logic Tree'!$J$74:$N$74,0))</f>
        <v>0.92500000000000004</v>
      </c>
    </row>
    <row r="301" spans="2:14" ht="15" customHeight="1">
      <c r="B301" s="19">
        <v>3</v>
      </c>
      <c r="C301" s="11" t="s">
        <v>700</v>
      </c>
      <c r="D301" s="44" t="str">
        <f>'Horizontal Teams'!C95</f>
        <v>H3</v>
      </c>
      <c r="E301" s="36" t="s">
        <v>700</v>
      </c>
      <c r="F301" s="49" t="str">
        <f>'Horizontal Teams'!E95</f>
        <v>Transition &amp; Substrate Lead</v>
      </c>
      <c r="G301" s="44" t="str">
        <f>'Horizontal Teams'!D95</f>
        <v>OTH</v>
      </c>
      <c r="H301" s="44" t="str">
        <f>'Horizontal Teams'!F95</f>
        <v>E5</v>
      </c>
      <c r="I301" s="44" t="str">
        <f>'Horizontal Teams'!G95</f>
        <v>ON</v>
      </c>
      <c r="J301" s="44" t="str">
        <f>'Horizontal Teams'!H95</f>
        <v>FTC</v>
      </c>
      <c r="K301" s="9">
        <f>'Horizontal Teams'!I95</f>
        <v>0.5</v>
      </c>
      <c r="L301" s="19">
        <v>1</v>
      </c>
      <c r="M301" s="46">
        <f t="shared" si="4"/>
        <v>0.5</v>
      </c>
      <c r="N301" s="46">
        <f>M301*INDEX('Logic Tree'!$J$75:$N$77,MATCH(I301,'Logic Tree'!$I$75:$I$77,0),MATCH(H301,'Logic Tree'!$J$74:$N$74,0))</f>
        <v>1.2749999999999999</v>
      </c>
    </row>
    <row r="302" spans="2:14" ht="15" customHeight="1">
      <c r="B302" s="19">
        <v>3</v>
      </c>
      <c r="C302" s="11" t="s">
        <v>700</v>
      </c>
      <c r="D302" s="44" t="str">
        <f>'Horizontal Teams'!C96</f>
        <v>H3</v>
      </c>
      <c r="E302" s="36" t="s">
        <v>700</v>
      </c>
      <c r="F302" s="49" t="str">
        <f>'Horizontal Teams'!E96</f>
        <v>MetLife Chief Architect — Sales</v>
      </c>
      <c r="G302" s="44" t="str">
        <f>'Horizontal Teams'!D96</f>
        <v>OTH</v>
      </c>
      <c r="H302" s="44" t="str">
        <f>'Horizontal Teams'!F96</f>
        <v>E5</v>
      </c>
      <c r="I302" s="44" t="str">
        <f>'Horizontal Teams'!G96</f>
        <v>ON</v>
      </c>
      <c r="J302" s="44" t="str">
        <f>'Horizontal Teams'!H96</f>
        <v>FTE</v>
      </c>
      <c r="K302" s="9">
        <f>'Horizontal Teams'!I96</f>
        <v>0.5</v>
      </c>
      <c r="L302" s="19">
        <v>1</v>
      </c>
      <c r="M302" s="46">
        <f t="shared" si="4"/>
        <v>0.5</v>
      </c>
      <c r="N302" s="46">
        <f>M302*INDEX('Logic Tree'!$J$75:$N$77,MATCH(I302,'Logic Tree'!$I$75:$I$77,0),MATCH(H302,'Logic Tree'!$J$74:$N$74,0))</f>
        <v>1.2749999999999999</v>
      </c>
    </row>
    <row r="303" spans="2:14" ht="15" customHeight="1">
      <c r="B303" s="19">
        <v>3</v>
      </c>
      <c r="C303" s="11" t="s">
        <v>700</v>
      </c>
      <c r="D303" s="44" t="str">
        <f>'Horizontal Teams'!C97</f>
        <v>H3</v>
      </c>
      <c r="E303" s="36" t="s">
        <v>700</v>
      </c>
      <c r="F303" s="49" t="str">
        <f>'Horizontal Teams'!E97</f>
        <v>MetLife Distribution Governance</v>
      </c>
      <c r="G303" s="44" t="str">
        <f>'Horizontal Teams'!D97</f>
        <v>BSA</v>
      </c>
      <c r="H303" s="44" t="str">
        <f>'Horizontal Teams'!F97</f>
        <v>E4</v>
      </c>
      <c r="I303" s="44" t="str">
        <f>'Horizontal Teams'!G97</f>
        <v>ON</v>
      </c>
      <c r="J303" s="44" t="str">
        <f>'Horizontal Teams'!H97</f>
        <v>FTE</v>
      </c>
      <c r="K303" s="9">
        <f>'Horizontal Teams'!I97</f>
        <v>2.5</v>
      </c>
      <c r="L303" s="19">
        <v>1</v>
      </c>
      <c r="M303" s="46">
        <f t="shared" si="4"/>
        <v>2.5</v>
      </c>
      <c r="N303" s="46">
        <f>M303*INDEX('Logic Tree'!$J$75:$N$77,MATCH(I303,'Logic Tree'!$I$75:$I$77,0),MATCH(H303,'Logic Tree'!$J$74:$N$74,0))</f>
        <v>4.625</v>
      </c>
    </row>
    <row r="304" spans="2:14" ht="15" customHeight="1">
      <c r="B304" s="19">
        <v>3</v>
      </c>
      <c r="C304" s="11" t="s">
        <v>700</v>
      </c>
      <c r="D304" s="44" t="str">
        <f>'Horizontal Teams'!C98</f>
        <v>H3</v>
      </c>
      <c r="E304" s="36" t="s">
        <v>700</v>
      </c>
      <c r="F304" s="49" t="str">
        <f>'Horizontal Teams'!E98</f>
        <v>MetLife Portfolio Manager</v>
      </c>
      <c r="G304" s="44" t="str">
        <f>'Horizontal Teams'!D98</f>
        <v>PM</v>
      </c>
      <c r="H304" s="44" t="str">
        <f>'Horizontal Teams'!F98</f>
        <v>E4</v>
      </c>
      <c r="I304" s="44" t="str">
        <f>'Horizontal Teams'!G98</f>
        <v>ON</v>
      </c>
      <c r="J304" s="44" t="str">
        <f>'Horizontal Teams'!H98</f>
        <v>FTE</v>
      </c>
      <c r="K304" s="9">
        <f>'Horizontal Teams'!I98</f>
        <v>0.5</v>
      </c>
      <c r="L304" s="19">
        <v>1</v>
      </c>
      <c r="M304" s="46">
        <f t="shared" si="4"/>
        <v>0.5</v>
      </c>
      <c r="N304" s="46">
        <f>M304*INDEX('Logic Tree'!$J$75:$N$77,MATCH(I304,'Logic Tree'!$I$75:$I$77,0),MATCH(H304,'Logic Tree'!$J$74:$N$74,0))</f>
        <v>0.92500000000000004</v>
      </c>
    </row>
    <row r="305" spans="2:14" ht="15" customHeight="1">
      <c r="B305" s="19">
        <v>4</v>
      </c>
      <c r="C305" s="11" t="s">
        <v>444</v>
      </c>
      <c r="D305" s="36" t="s">
        <v>313</v>
      </c>
      <c r="E305" s="36" t="s">
        <v>444</v>
      </c>
      <c r="F305" s="49" t="str">
        <f>'Pod Library'!E79</f>
        <v>MetLife Product Owner</v>
      </c>
      <c r="G305" s="44" t="str">
        <f>'Pod Library'!F79</f>
        <v>PM</v>
      </c>
      <c r="H305" s="44" t="str">
        <f>'Pod Library'!G79</f>
        <v>E4</v>
      </c>
      <c r="I305" s="44" t="str">
        <f>'Pod Library'!H79</f>
        <v>ON</v>
      </c>
      <c r="J305" s="44" t="str">
        <f>'Pod Library'!I79</f>
        <v>FTE</v>
      </c>
      <c r="K305" s="9">
        <f>'Pod Library'!J79</f>
        <v>0.72222222222222199</v>
      </c>
      <c r="L305" s="13">
        <f>'Pod Plan'!E23</f>
        <v>18</v>
      </c>
      <c r="M305" s="46">
        <f t="shared" si="4"/>
        <v>12.999999999999996</v>
      </c>
      <c r="N305" s="46">
        <f>M305*INDEX('Logic Tree'!$J$75:$N$77,MATCH(I305,'Logic Tree'!$I$75:$I$77,0),MATCH(H305,'Logic Tree'!$J$74:$N$74,0))</f>
        <v>24.049999999999994</v>
      </c>
    </row>
    <row r="306" spans="2:14" ht="15" customHeight="1">
      <c r="B306" s="19">
        <v>4</v>
      </c>
      <c r="C306" s="11" t="s">
        <v>444</v>
      </c>
      <c r="D306" s="36" t="s">
        <v>313</v>
      </c>
      <c r="E306" s="36" t="s">
        <v>444</v>
      </c>
      <c r="F306" s="49" t="str">
        <f>'Pod Library'!E80</f>
        <v>MetLife Domain SME</v>
      </c>
      <c r="G306" s="44" t="str">
        <f>'Pod Library'!F80</f>
        <v>BSA</v>
      </c>
      <c r="H306" s="44" t="str">
        <f>'Pod Library'!G80</f>
        <v>E4</v>
      </c>
      <c r="I306" s="44" t="str">
        <f>'Pod Library'!H80</f>
        <v>ON</v>
      </c>
      <c r="J306" s="44" t="str">
        <f>'Pod Library'!I80</f>
        <v>FTE</v>
      </c>
      <c r="K306" s="9">
        <f>'Pod Library'!J80</f>
        <v>0.47222222222222199</v>
      </c>
      <c r="L306" s="13">
        <f>'Pod Plan'!E23</f>
        <v>18</v>
      </c>
      <c r="M306" s="46">
        <f t="shared" si="4"/>
        <v>8.4999999999999964</v>
      </c>
      <c r="N306" s="46">
        <f>M306*INDEX('Logic Tree'!$J$75:$N$77,MATCH(I306,'Logic Tree'!$I$75:$I$77,0),MATCH(H306,'Logic Tree'!$J$74:$N$74,0))</f>
        <v>15.724999999999994</v>
      </c>
    </row>
    <row r="307" spans="2:14" ht="15" customHeight="1">
      <c r="B307" s="19">
        <v>4</v>
      </c>
      <c r="C307" s="11" t="s">
        <v>444</v>
      </c>
      <c r="D307" s="36" t="s">
        <v>313</v>
      </c>
      <c r="E307" s="36" t="s">
        <v>444</v>
      </c>
      <c r="F307" s="49" t="str">
        <f>'Pod Library'!E81</f>
        <v>MGCC Engineer</v>
      </c>
      <c r="G307" s="44" t="str">
        <f>'Pod Library'!F81</f>
        <v>DEV</v>
      </c>
      <c r="H307" s="44" t="str">
        <f>'Pod Library'!G81</f>
        <v>E3</v>
      </c>
      <c r="I307" s="44" t="str">
        <f>'Pod Library'!H81</f>
        <v>OFF</v>
      </c>
      <c r="J307" s="44" t="str">
        <f>'Pod Library'!I81</f>
        <v>MGCC</v>
      </c>
      <c r="K307" s="9">
        <f>'Pod Library'!J81</f>
        <v>1.3611111111111101</v>
      </c>
      <c r="L307" s="13">
        <f>'Pod Plan'!E23</f>
        <v>18</v>
      </c>
      <c r="M307" s="46">
        <f t="shared" si="4"/>
        <v>24.499999999999982</v>
      </c>
      <c r="N307" s="46">
        <f>M307*INDEX('Logic Tree'!$J$75:$N$77,MATCH(I307,'Logic Tree'!$I$75:$I$77,0),MATCH(H307,'Logic Tree'!$J$74:$N$74,0))</f>
        <v>10.289999999999992</v>
      </c>
    </row>
    <row r="308" spans="2:14" ht="15" customHeight="1">
      <c r="B308" s="19">
        <v>4</v>
      </c>
      <c r="C308" s="11" t="s">
        <v>444</v>
      </c>
      <c r="D308" s="36" t="s">
        <v>313</v>
      </c>
      <c r="E308" s="36" t="s">
        <v>444</v>
      </c>
      <c r="F308" s="49" t="str">
        <f>'Pod Library'!E82</f>
        <v>Business Analyst (bilingual)</v>
      </c>
      <c r="G308" s="44" t="str">
        <f>'Pod Library'!F82</f>
        <v>BSA</v>
      </c>
      <c r="H308" s="44" t="str">
        <f>'Pod Library'!G82</f>
        <v>E3</v>
      </c>
      <c r="I308" s="44" t="str">
        <f>'Pod Library'!H82</f>
        <v>ON</v>
      </c>
      <c r="J308" s="44" t="str">
        <f>'Pod Library'!I82</f>
        <v>FTC</v>
      </c>
      <c r="K308" s="9">
        <f>'Pod Library'!J82</f>
        <v>0.2</v>
      </c>
      <c r="L308" s="13">
        <f>'Pod Plan'!E23</f>
        <v>18</v>
      </c>
      <c r="M308" s="46">
        <f t="shared" si="4"/>
        <v>3.6</v>
      </c>
      <c r="N308" s="46">
        <f>M308*INDEX('Logic Tree'!$J$75:$N$77,MATCH(I308,'Logic Tree'!$I$75:$I$77,0),MATCH(H308,'Logic Tree'!$J$74:$N$74,0))</f>
        <v>4.8600000000000003</v>
      </c>
    </row>
    <row r="309" spans="2:14" ht="15" customHeight="1">
      <c r="B309" s="19">
        <v>4</v>
      </c>
      <c r="C309" s="11" t="s">
        <v>444</v>
      </c>
      <c r="D309" s="36" t="s">
        <v>313</v>
      </c>
      <c r="E309" s="36" t="s">
        <v>444</v>
      </c>
      <c r="F309" s="49" t="str">
        <f>'Pod Library'!E83</f>
        <v>Pod lead (onshore)</v>
      </c>
      <c r="G309" s="44" t="str">
        <f>'Pod Library'!F83</f>
        <v>DEV</v>
      </c>
      <c r="H309" s="44" t="str">
        <f>'Pod Library'!G83</f>
        <v>E4</v>
      </c>
      <c r="I309" s="44" t="str">
        <f>'Pod Library'!H83</f>
        <v>ON</v>
      </c>
      <c r="J309" s="44" t="str">
        <f>'Pod Library'!I83</f>
        <v>FTC</v>
      </c>
      <c r="K309" s="9">
        <f>'Pod Library'!J83</f>
        <v>0</v>
      </c>
      <c r="L309" s="13">
        <f>'Pod Plan'!E23</f>
        <v>18</v>
      </c>
      <c r="M309" s="46">
        <f t="shared" si="4"/>
        <v>0</v>
      </c>
      <c r="N309" s="46">
        <f>M309*INDEX('Logic Tree'!$J$75:$N$77,MATCH(I309,'Logic Tree'!$I$75:$I$77,0),MATCH(H309,'Logic Tree'!$J$74:$N$74,0))</f>
        <v>0</v>
      </c>
    </row>
    <row r="310" spans="2:14" ht="15" customHeight="1">
      <c r="B310" s="19">
        <v>4</v>
      </c>
      <c r="C310" s="11" t="s">
        <v>444</v>
      </c>
      <c r="D310" s="36" t="s">
        <v>313</v>
      </c>
      <c r="E310" s="36" t="s">
        <v>444</v>
      </c>
      <c r="F310" s="49" t="str">
        <f>'Pod Library'!E84</f>
        <v>Pod lead / senior engineer</v>
      </c>
      <c r="G310" s="44" t="str">
        <f>'Pod Library'!F84</f>
        <v>DEV</v>
      </c>
      <c r="H310" s="44" t="str">
        <f>'Pod Library'!G84</f>
        <v>E4</v>
      </c>
      <c r="I310" s="44" t="str">
        <f>'Pod Library'!H84</f>
        <v>OFF</v>
      </c>
      <c r="J310" s="44" t="str">
        <f>'Pod Library'!I84</f>
        <v>FTC</v>
      </c>
      <c r="K310" s="9">
        <f>'Pod Library'!J84</f>
        <v>0.45</v>
      </c>
      <c r="L310" s="13">
        <f>'Pod Plan'!E23</f>
        <v>18</v>
      </c>
      <c r="M310" s="46">
        <f t="shared" si="4"/>
        <v>8.1</v>
      </c>
      <c r="N310" s="46">
        <f>M310*INDEX('Logic Tree'!$J$75:$N$77,MATCH(I310,'Logic Tree'!$I$75:$I$77,0),MATCH(H310,'Logic Tree'!$J$74:$N$74,0))</f>
        <v>4.8599999999999994</v>
      </c>
    </row>
    <row r="311" spans="2:14" ht="15" customHeight="1">
      <c r="B311" s="19">
        <v>4</v>
      </c>
      <c r="C311" s="11" t="s">
        <v>444</v>
      </c>
      <c r="D311" s="36" t="s">
        <v>313</v>
      </c>
      <c r="E311" s="36" t="s">
        <v>444</v>
      </c>
      <c r="F311" s="49" t="str">
        <f>'Pod Library'!E85</f>
        <v>AI Orchestrator</v>
      </c>
      <c r="G311" s="44" t="str">
        <f>'Pod Library'!F85</f>
        <v>OTH</v>
      </c>
      <c r="H311" s="44" t="str">
        <f>'Pod Library'!G85</f>
        <v>E4</v>
      </c>
      <c r="I311" s="44" t="str">
        <f>'Pod Library'!H85</f>
        <v>OFF</v>
      </c>
      <c r="J311" s="44" t="str">
        <f>'Pod Library'!I85</f>
        <v>FTC</v>
      </c>
      <c r="K311" s="9">
        <f>'Pod Library'!J85</f>
        <v>0.25</v>
      </c>
      <c r="L311" s="13">
        <f>'Pod Plan'!E23</f>
        <v>18</v>
      </c>
      <c r="M311" s="46">
        <f t="shared" si="4"/>
        <v>4.5</v>
      </c>
      <c r="N311" s="46">
        <f>M311*INDEX('Logic Tree'!$J$75:$N$77,MATCH(I311,'Logic Tree'!$I$75:$I$77,0),MATCH(H311,'Logic Tree'!$J$74:$N$74,0))</f>
        <v>2.6999999999999997</v>
      </c>
    </row>
    <row r="312" spans="2:14" ht="15" customHeight="1">
      <c r="B312" s="19">
        <v>4</v>
      </c>
      <c r="C312" s="11" t="s">
        <v>444</v>
      </c>
      <c r="D312" s="36" t="s">
        <v>313</v>
      </c>
      <c r="E312" s="36" t="s">
        <v>444</v>
      </c>
      <c r="F312" s="49" t="str">
        <f>'Pod Library'!E86</f>
        <v>Agent engineer</v>
      </c>
      <c r="G312" s="44" t="str">
        <f>'Pod Library'!F86</f>
        <v>DEV</v>
      </c>
      <c r="H312" s="44" t="str">
        <f>'Pod Library'!G86</f>
        <v>E4</v>
      </c>
      <c r="I312" s="44" t="str">
        <f>'Pod Library'!H86</f>
        <v>OFF</v>
      </c>
      <c r="J312" s="44" t="str">
        <f>'Pod Library'!I86</f>
        <v>FTC</v>
      </c>
      <c r="K312" s="9">
        <f>'Pod Library'!J86</f>
        <v>0.83</v>
      </c>
      <c r="L312" s="13">
        <f>'Pod Plan'!E23</f>
        <v>18</v>
      </c>
      <c r="M312" s="46">
        <f t="shared" si="4"/>
        <v>14.94</v>
      </c>
      <c r="N312" s="46">
        <f>M312*INDEX('Logic Tree'!$J$75:$N$77,MATCH(I312,'Logic Tree'!$I$75:$I$77,0),MATCH(H312,'Logic Tree'!$J$74:$N$74,0))</f>
        <v>8.9639999999999986</v>
      </c>
    </row>
    <row r="313" spans="2:14" ht="15" customHeight="1">
      <c r="B313" s="19">
        <v>4</v>
      </c>
      <c r="C313" s="11" t="s">
        <v>444</v>
      </c>
      <c r="D313" s="36" t="s">
        <v>313</v>
      </c>
      <c r="E313" s="36" t="s">
        <v>444</v>
      </c>
      <c r="F313" s="49" t="str">
        <f>'Pod Library'!E87</f>
        <v>Quality Engineer (SDET)</v>
      </c>
      <c r="G313" s="44" t="str">
        <f>'Pod Library'!F87</f>
        <v>TEST</v>
      </c>
      <c r="H313" s="44" t="str">
        <f>'Pod Library'!G87</f>
        <v>E2</v>
      </c>
      <c r="I313" s="44" t="str">
        <f>'Pod Library'!H87</f>
        <v>OFF</v>
      </c>
      <c r="J313" s="44" t="str">
        <f>'Pod Library'!I87</f>
        <v>FTC</v>
      </c>
      <c r="K313" s="9">
        <f>'Pod Library'!J87</f>
        <v>0.40277777777777801</v>
      </c>
      <c r="L313" s="13">
        <f>'Pod Plan'!E23</f>
        <v>18</v>
      </c>
      <c r="M313" s="46">
        <f t="shared" si="4"/>
        <v>7.2500000000000044</v>
      </c>
      <c r="N313" s="46">
        <f>M313*INDEX('Logic Tree'!$J$75:$N$77,MATCH(I313,'Logic Tree'!$I$75:$I$77,0),MATCH(H313,'Logic Tree'!$J$74:$N$74,0))</f>
        <v>2.1750000000000012</v>
      </c>
    </row>
    <row r="314" spans="2:14" ht="15" customHeight="1">
      <c r="B314" s="19">
        <v>4</v>
      </c>
      <c r="C314" s="11" t="s">
        <v>444</v>
      </c>
      <c r="D314" s="36" t="s">
        <v>313</v>
      </c>
      <c r="E314" s="36" t="s">
        <v>444</v>
      </c>
      <c r="F314" s="49" t="str">
        <f>'Pod Library'!E88</f>
        <v>Quality Engineer (SDET)</v>
      </c>
      <c r="G314" s="44" t="str">
        <f>'Pod Library'!F88</f>
        <v>TEST</v>
      </c>
      <c r="H314" s="44" t="str">
        <f>'Pod Library'!G88</f>
        <v>E3</v>
      </c>
      <c r="I314" s="44" t="str">
        <f>'Pod Library'!H88</f>
        <v>OFF</v>
      </c>
      <c r="J314" s="44" t="str">
        <f>'Pod Library'!I88</f>
        <v>FTC</v>
      </c>
      <c r="K314" s="9">
        <f>'Pod Library'!J88</f>
        <v>0.52777777777777801</v>
      </c>
      <c r="L314" s="13">
        <f>'Pod Plan'!E23</f>
        <v>18</v>
      </c>
      <c r="M314" s="46">
        <f t="shared" si="4"/>
        <v>9.5000000000000036</v>
      </c>
      <c r="N314" s="46">
        <f>M314*INDEX('Logic Tree'!$J$75:$N$77,MATCH(I314,'Logic Tree'!$I$75:$I$77,0),MATCH(H314,'Logic Tree'!$J$74:$N$74,0))</f>
        <v>3.9900000000000015</v>
      </c>
    </row>
    <row r="315" spans="2:14" ht="15" customHeight="1">
      <c r="B315" s="19">
        <v>4</v>
      </c>
      <c r="C315" s="11" t="s">
        <v>444</v>
      </c>
      <c r="D315" s="36" t="s">
        <v>313</v>
      </c>
      <c r="E315" s="36" t="s">
        <v>444</v>
      </c>
      <c r="F315" s="49" t="str">
        <f>'Pod Library'!E89</f>
        <v>Quality Engineer (SDET)</v>
      </c>
      <c r="G315" s="44" t="str">
        <f>'Pod Library'!F89</f>
        <v>TEST</v>
      </c>
      <c r="H315" s="44" t="str">
        <f>'Pod Library'!G89</f>
        <v>E4</v>
      </c>
      <c r="I315" s="44" t="str">
        <f>'Pod Library'!H89</f>
        <v>OFF</v>
      </c>
      <c r="J315" s="44" t="str">
        <f>'Pod Library'!I89</f>
        <v>FTC</v>
      </c>
      <c r="K315" s="9">
        <f>'Pod Library'!J89</f>
        <v>0.4</v>
      </c>
      <c r="L315" s="13">
        <f>'Pod Plan'!E23</f>
        <v>18</v>
      </c>
      <c r="M315" s="46">
        <f t="shared" si="4"/>
        <v>7.2</v>
      </c>
      <c r="N315" s="46">
        <f>M315*INDEX('Logic Tree'!$J$75:$N$77,MATCH(I315,'Logic Tree'!$I$75:$I$77,0),MATCH(H315,'Logic Tree'!$J$74:$N$74,0))</f>
        <v>4.32</v>
      </c>
    </row>
    <row r="316" spans="2:14" ht="15" customHeight="1">
      <c r="B316" s="19">
        <v>4</v>
      </c>
      <c r="C316" s="11" t="s">
        <v>444</v>
      </c>
      <c r="D316" s="36" t="s">
        <v>313</v>
      </c>
      <c r="E316" s="36" t="s">
        <v>444</v>
      </c>
      <c r="F316" s="49" t="str">
        <f>'Pod Library'!E90</f>
        <v>Application Support</v>
      </c>
      <c r="G316" s="44" t="str">
        <f>'Pod Library'!F90</f>
        <v>MNT</v>
      </c>
      <c r="H316" s="44" t="str">
        <f>'Pod Library'!G90</f>
        <v>E1</v>
      </c>
      <c r="I316" s="44" t="str">
        <f>'Pod Library'!H90</f>
        <v>OFF</v>
      </c>
      <c r="J316" s="44" t="str">
        <f>'Pod Library'!I90</f>
        <v>FTC</v>
      </c>
      <c r="K316" s="9">
        <f>'Pod Library'!J90</f>
        <v>0.15</v>
      </c>
      <c r="L316" s="13">
        <f>'Pod Plan'!E23</f>
        <v>18</v>
      </c>
      <c r="M316" s="46">
        <f t="shared" si="4"/>
        <v>2.6999999999999997</v>
      </c>
      <c r="N316" s="46">
        <f>M316*INDEX('Logic Tree'!$J$75:$N$77,MATCH(I316,'Logic Tree'!$I$75:$I$77,0),MATCH(H316,'Logic Tree'!$J$74:$N$74,0))</f>
        <v>0.59399999999999997</v>
      </c>
    </row>
    <row r="317" spans="2:14" ht="15" customHeight="1">
      <c r="B317" s="19">
        <v>4</v>
      </c>
      <c r="C317" s="11" t="s">
        <v>444</v>
      </c>
      <c r="D317" s="36" t="s">
        <v>313</v>
      </c>
      <c r="E317" s="36" t="s">
        <v>444</v>
      </c>
      <c r="F317" s="49" t="str">
        <f>'Pod Library'!E91</f>
        <v>Application Support</v>
      </c>
      <c r="G317" s="44" t="str">
        <f>'Pod Library'!F91</f>
        <v>MNT</v>
      </c>
      <c r="H317" s="44" t="str">
        <f>'Pod Library'!G91</f>
        <v>E2</v>
      </c>
      <c r="I317" s="44" t="str">
        <f>'Pod Library'!H91</f>
        <v>OFF</v>
      </c>
      <c r="J317" s="44" t="str">
        <f>'Pod Library'!I91</f>
        <v>FTC</v>
      </c>
      <c r="K317" s="9">
        <f>'Pod Library'!J91</f>
        <v>0.05</v>
      </c>
      <c r="L317" s="13">
        <f>'Pod Plan'!E23</f>
        <v>18</v>
      </c>
      <c r="M317" s="46">
        <f t="shared" si="4"/>
        <v>0.9</v>
      </c>
      <c r="N317" s="46">
        <f>M317*INDEX('Logic Tree'!$J$75:$N$77,MATCH(I317,'Logic Tree'!$I$75:$I$77,0),MATCH(H317,'Logic Tree'!$J$74:$N$74,0))</f>
        <v>0.27</v>
      </c>
    </row>
    <row r="318" spans="2:14" ht="15" customHeight="1">
      <c r="B318" s="19">
        <v>4</v>
      </c>
      <c r="C318" s="11" t="s">
        <v>444</v>
      </c>
      <c r="D318" s="36" t="s">
        <v>314</v>
      </c>
      <c r="E318" s="36" t="s">
        <v>444</v>
      </c>
      <c r="F318" s="49" t="str">
        <f>'Pod Library'!E79</f>
        <v>MetLife Product Owner</v>
      </c>
      <c r="G318" s="44" t="str">
        <f>'Pod Library'!F79</f>
        <v>PM</v>
      </c>
      <c r="H318" s="44" t="str">
        <f>'Pod Library'!G79</f>
        <v>E4</v>
      </c>
      <c r="I318" s="44" t="str">
        <f>'Pod Library'!H79</f>
        <v>ON</v>
      </c>
      <c r="J318" s="44" t="str">
        <f>'Pod Library'!I79</f>
        <v>FTE</v>
      </c>
      <c r="K318" s="9">
        <f>'Pod Library'!J79</f>
        <v>0.72222222222222199</v>
      </c>
      <c r="L318" s="13">
        <f>'Pod Plan'!E24</f>
        <v>13</v>
      </c>
      <c r="M318" s="46">
        <f t="shared" si="4"/>
        <v>9.3888888888888857</v>
      </c>
      <c r="N318" s="46">
        <f>M318*INDEX('Logic Tree'!$J$75:$N$77,MATCH(I318,'Logic Tree'!$I$75:$I$77,0),MATCH(H318,'Logic Tree'!$J$74:$N$74,0))</f>
        <v>17.36944444444444</v>
      </c>
    </row>
    <row r="319" spans="2:14" ht="15" customHeight="1">
      <c r="B319" s="19">
        <v>4</v>
      </c>
      <c r="C319" s="11" t="s">
        <v>444</v>
      </c>
      <c r="D319" s="36" t="s">
        <v>314</v>
      </c>
      <c r="E319" s="36" t="s">
        <v>444</v>
      </c>
      <c r="F319" s="49" t="str">
        <f>'Pod Library'!E80</f>
        <v>MetLife Domain SME</v>
      </c>
      <c r="G319" s="44" t="str">
        <f>'Pod Library'!F80</f>
        <v>BSA</v>
      </c>
      <c r="H319" s="44" t="str">
        <f>'Pod Library'!G80</f>
        <v>E4</v>
      </c>
      <c r="I319" s="44" t="str">
        <f>'Pod Library'!H80</f>
        <v>ON</v>
      </c>
      <c r="J319" s="44" t="str">
        <f>'Pod Library'!I80</f>
        <v>FTE</v>
      </c>
      <c r="K319" s="9">
        <f>'Pod Library'!J80</f>
        <v>0.47222222222222199</v>
      </c>
      <c r="L319" s="13">
        <f>'Pod Plan'!E24</f>
        <v>13</v>
      </c>
      <c r="M319" s="46">
        <f t="shared" si="4"/>
        <v>6.1388888888888857</v>
      </c>
      <c r="N319" s="46">
        <f>M319*INDEX('Logic Tree'!$J$75:$N$77,MATCH(I319,'Logic Tree'!$I$75:$I$77,0),MATCH(H319,'Logic Tree'!$J$74:$N$74,0))</f>
        <v>11.356944444444439</v>
      </c>
    </row>
    <row r="320" spans="2:14" ht="15" customHeight="1">
      <c r="B320" s="19">
        <v>4</v>
      </c>
      <c r="C320" s="11" t="s">
        <v>444</v>
      </c>
      <c r="D320" s="36" t="s">
        <v>314</v>
      </c>
      <c r="E320" s="36" t="s">
        <v>444</v>
      </c>
      <c r="F320" s="49" t="str">
        <f>'Pod Library'!E81</f>
        <v>MGCC Engineer</v>
      </c>
      <c r="G320" s="44" t="str">
        <f>'Pod Library'!F81</f>
        <v>DEV</v>
      </c>
      <c r="H320" s="44" t="str">
        <f>'Pod Library'!G81</f>
        <v>E3</v>
      </c>
      <c r="I320" s="44" t="str">
        <f>'Pod Library'!H81</f>
        <v>OFF</v>
      </c>
      <c r="J320" s="44" t="str">
        <f>'Pod Library'!I81</f>
        <v>MGCC</v>
      </c>
      <c r="K320" s="9">
        <f>'Pod Library'!J81</f>
        <v>1.3611111111111101</v>
      </c>
      <c r="L320" s="13">
        <f>'Pod Plan'!E24</f>
        <v>13</v>
      </c>
      <c r="M320" s="46">
        <f t="shared" si="4"/>
        <v>17.694444444444432</v>
      </c>
      <c r="N320" s="46">
        <f>M320*INDEX('Logic Tree'!$J$75:$N$77,MATCH(I320,'Logic Tree'!$I$75:$I$77,0),MATCH(H320,'Logic Tree'!$J$74:$N$74,0))</f>
        <v>7.4316666666666613</v>
      </c>
    </row>
    <row r="321" spans="2:14" ht="15" customHeight="1">
      <c r="B321" s="19">
        <v>4</v>
      </c>
      <c r="C321" s="11" t="s">
        <v>444</v>
      </c>
      <c r="D321" s="36" t="s">
        <v>314</v>
      </c>
      <c r="E321" s="36" t="s">
        <v>444</v>
      </c>
      <c r="F321" s="49" t="str">
        <f>'Pod Library'!E82</f>
        <v>Business Analyst (bilingual)</v>
      </c>
      <c r="G321" s="44" t="str">
        <f>'Pod Library'!F82</f>
        <v>BSA</v>
      </c>
      <c r="H321" s="44" t="str">
        <f>'Pod Library'!G82</f>
        <v>E3</v>
      </c>
      <c r="I321" s="44" t="str">
        <f>'Pod Library'!H82</f>
        <v>ON</v>
      </c>
      <c r="J321" s="44" t="str">
        <f>'Pod Library'!I82</f>
        <v>FTC</v>
      </c>
      <c r="K321" s="9">
        <f>'Pod Library'!J82</f>
        <v>0.2</v>
      </c>
      <c r="L321" s="13">
        <f>'Pod Plan'!E24</f>
        <v>13</v>
      </c>
      <c r="M321" s="46">
        <f t="shared" si="4"/>
        <v>2.6</v>
      </c>
      <c r="N321" s="46">
        <f>M321*INDEX('Logic Tree'!$J$75:$N$77,MATCH(I321,'Logic Tree'!$I$75:$I$77,0),MATCH(H321,'Logic Tree'!$J$74:$N$74,0))</f>
        <v>3.5100000000000002</v>
      </c>
    </row>
    <row r="322" spans="2:14" ht="15" customHeight="1">
      <c r="B322" s="19">
        <v>4</v>
      </c>
      <c r="C322" s="11" t="s">
        <v>444</v>
      </c>
      <c r="D322" s="36" t="s">
        <v>314</v>
      </c>
      <c r="E322" s="36" t="s">
        <v>444</v>
      </c>
      <c r="F322" s="49" t="str">
        <f>'Pod Library'!E83</f>
        <v>Pod lead (onshore)</v>
      </c>
      <c r="G322" s="44" t="str">
        <f>'Pod Library'!F83</f>
        <v>DEV</v>
      </c>
      <c r="H322" s="44" t="str">
        <f>'Pod Library'!G83</f>
        <v>E4</v>
      </c>
      <c r="I322" s="44" t="str">
        <f>'Pod Library'!H83</f>
        <v>ON</v>
      </c>
      <c r="J322" s="44" t="str">
        <f>'Pod Library'!I83</f>
        <v>FTC</v>
      </c>
      <c r="K322" s="9">
        <f>'Pod Library'!J83</f>
        <v>0</v>
      </c>
      <c r="L322" s="13">
        <f>'Pod Plan'!E24</f>
        <v>13</v>
      </c>
      <c r="M322" s="46">
        <f t="shared" si="4"/>
        <v>0</v>
      </c>
      <c r="N322" s="46">
        <f>M322*INDEX('Logic Tree'!$J$75:$N$77,MATCH(I322,'Logic Tree'!$I$75:$I$77,0),MATCH(H322,'Logic Tree'!$J$74:$N$74,0))</f>
        <v>0</v>
      </c>
    </row>
    <row r="323" spans="2:14" ht="15" customHeight="1">
      <c r="B323" s="19">
        <v>4</v>
      </c>
      <c r="C323" s="11" t="s">
        <v>444</v>
      </c>
      <c r="D323" s="36" t="s">
        <v>314</v>
      </c>
      <c r="E323" s="36" t="s">
        <v>444</v>
      </c>
      <c r="F323" s="49" t="str">
        <f>'Pod Library'!E84</f>
        <v>Pod lead / senior engineer</v>
      </c>
      <c r="G323" s="44" t="str">
        <f>'Pod Library'!F84</f>
        <v>DEV</v>
      </c>
      <c r="H323" s="44" t="str">
        <f>'Pod Library'!G84</f>
        <v>E4</v>
      </c>
      <c r="I323" s="44" t="str">
        <f>'Pod Library'!H84</f>
        <v>OFF</v>
      </c>
      <c r="J323" s="44" t="str">
        <f>'Pod Library'!I84</f>
        <v>FTC</v>
      </c>
      <c r="K323" s="9">
        <f>'Pod Library'!J84</f>
        <v>0.45</v>
      </c>
      <c r="L323" s="13">
        <f>'Pod Plan'!E24</f>
        <v>13</v>
      </c>
      <c r="M323" s="46">
        <f t="shared" si="4"/>
        <v>5.8500000000000005</v>
      </c>
      <c r="N323" s="46">
        <f>M323*INDEX('Logic Tree'!$J$75:$N$77,MATCH(I323,'Logic Tree'!$I$75:$I$77,0),MATCH(H323,'Logic Tree'!$J$74:$N$74,0))</f>
        <v>3.5100000000000002</v>
      </c>
    </row>
    <row r="324" spans="2:14" ht="15" customHeight="1">
      <c r="B324" s="19">
        <v>4</v>
      </c>
      <c r="C324" s="11" t="s">
        <v>444</v>
      </c>
      <c r="D324" s="36" t="s">
        <v>314</v>
      </c>
      <c r="E324" s="36" t="s">
        <v>444</v>
      </c>
      <c r="F324" s="49" t="str">
        <f>'Pod Library'!E85</f>
        <v>AI Orchestrator</v>
      </c>
      <c r="G324" s="44" t="str">
        <f>'Pod Library'!F85</f>
        <v>OTH</v>
      </c>
      <c r="H324" s="44" t="str">
        <f>'Pod Library'!G85</f>
        <v>E4</v>
      </c>
      <c r="I324" s="44" t="str">
        <f>'Pod Library'!H85</f>
        <v>OFF</v>
      </c>
      <c r="J324" s="44" t="str">
        <f>'Pod Library'!I85</f>
        <v>FTC</v>
      </c>
      <c r="K324" s="9">
        <f>'Pod Library'!J85</f>
        <v>0.25</v>
      </c>
      <c r="L324" s="13">
        <f>'Pod Plan'!E24</f>
        <v>13</v>
      </c>
      <c r="M324" s="46">
        <f t="shared" si="4"/>
        <v>3.25</v>
      </c>
      <c r="N324" s="46">
        <f>M324*INDEX('Logic Tree'!$J$75:$N$77,MATCH(I324,'Logic Tree'!$I$75:$I$77,0),MATCH(H324,'Logic Tree'!$J$74:$N$74,0))</f>
        <v>1.95</v>
      </c>
    </row>
    <row r="325" spans="2:14" ht="15" customHeight="1">
      <c r="B325" s="19">
        <v>4</v>
      </c>
      <c r="C325" s="11" t="s">
        <v>444</v>
      </c>
      <c r="D325" s="36" t="s">
        <v>314</v>
      </c>
      <c r="E325" s="36" t="s">
        <v>444</v>
      </c>
      <c r="F325" s="49" t="str">
        <f>'Pod Library'!E86</f>
        <v>Agent engineer</v>
      </c>
      <c r="G325" s="44" t="str">
        <f>'Pod Library'!F86</f>
        <v>DEV</v>
      </c>
      <c r="H325" s="44" t="str">
        <f>'Pod Library'!G86</f>
        <v>E4</v>
      </c>
      <c r="I325" s="44" t="str">
        <f>'Pod Library'!H86</f>
        <v>OFF</v>
      </c>
      <c r="J325" s="44" t="str">
        <f>'Pod Library'!I86</f>
        <v>FTC</v>
      </c>
      <c r="K325" s="9">
        <f>'Pod Library'!J86</f>
        <v>0.83</v>
      </c>
      <c r="L325" s="13">
        <f>'Pod Plan'!E24</f>
        <v>13</v>
      </c>
      <c r="M325" s="46">
        <f t="shared" ref="M325:M388" si="5">K325*L325</f>
        <v>10.79</v>
      </c>
      <c r="N325" s="46">
        <f>M325*INDEX('Logic Tree'!$J$75:$N$77,MATCH(I325,'Logic Tree'!$I$75:$I$77,0),MATCH(H325,'Logic Tree'!$J$74:$N$74,0))</f>
        <v>6.4739999999999993</v>
      </c>
    </row>
    <row r="326" spans="2:14" ht="15" customHeight="1">
      <c r="B326" s="19">
        <v>4</v>
      </c>
      <c r="C326" s="11" t="s">
        <v>444</v>
      </c>
      <c r="D326" s="36" t="s">
        <v>314</v>
      </c>
      <c r="E326" s="36" t="s">
        <v>444</v>
      </c>
      <c r="F326" s="49" t="str">
        <f>'Pod Library'!E87</f>
        <v>Quality Engineer (SDET)</v>
      </c>
      <c r="G326" s="44" t="str">
        <f>'Pod Library'!F87</f>
        <v>TEST</v>
      </c>
      <c r="H326" s="44" t="str">
        <f>'Pod Library'!G87</f>
        <v>E2</v>
      </c>
      <c r="I326" s="44" t="str">
        <f>'Pod Library'!H87</f>
        <v>OFF</v>
      </c>
      <c r="J326" s="44" t="str">
        <f>'Pod Library'!I87</f>
        <v>FTC</v>
      </c>
      <c r="K326" s="9">
        <f>'Pod Library'!J87</f>
        <v>0.40277777777777801</v>
      </c>
      <c r="L326" s="13">
        <f>'Pod Plan'!E24</f>
        <v>13</v>
      </c>
      <c r="M326" s="46">
        <f t="shared" si="5"/>
        <v>5.2361111111111143</v>
      </c>
      <c r="N326" s="46">
        <f>M326*INDEX('Logic Tree'!$J$75:$N$77,MATCH(I326,'Logic Tree'!$I$75:$I$77,0),MATCH(H326,'Logic Tree'!$J$74:$N$74,0))</f>
        <v>1.5708333333333342</v>
      </c>
    </row>
    <row r="327" spans="2:14" ht="15" customHeight="1">
      <c r="B327" s="19">
        <v>4</v>
      </c>
      <c r="C327" s="11" t="s">
        <v>444</v>
      </c>
      <c r="D327" s="36" t="s">
        <v>314</v>
      </c>
      <c r="E327" s="36" t="s">
        <v>444</v>
      </c>
      <c r="F327" s="49" t="str">
        <f>'Pod Library'!E88</f>
        <v>Quality Engineer (SDET)</v>
      </c>
      <c r="G327" s="44" t="str">
        <f>'Pod Library'!F88</f>
        <v>TEST</v>
      </c>
      <c r="H327" s="44" t="str">
        <f>'Pod Library'!G88</f>
        <v>E3</v>
      </c>
      <c r="I327" s="44" t="str">
        <f>'Pod Library'!H88</f>
        <v>OFF</v>
      </c>
      <c r="J327" s="44" t="str">
        <f>'Pod Library'!I88</f>
        <v>FTC</v>
      </c>
      <c r="K327" s="9">
        <f>'Pod Library'!J88</f>
        <v>0.52777777777777801</v>
      </c>
      <c r="L327" s="13">
        <f>'Pod Plan'!E24</f>
        <v>13</v>
      </c>
      <c r="M327" s="46">
        <f t="shared" si="5"/>
        <v>6.8611111111111143</v>
      </c>
      <c r="N327" s="46">
        <f>M327*INDEX('Logic Tree'!$J$75:$N$77,MATCH(I327,'Logic Tree'!$I$75:$I$77,0),MATCH(H327,'Logic Tree'!$J$74:$N$74,0))</f>
        <v>2.8816666666666677</v>
      </c>
    </row>
    <row r="328" spans="2:14" ht="15" customHeight="1">
      <c r="B328" s="19">
        <v>4</v>
      </c>
      <c r="C328" s="11" t="s">
        <v>444</v>
      </c>
      <c r="D328" s="36" t="s">
        <v>314</v>
      </c>
      <c r="E328" s="36" t="s">
        <v>444</v>
      </c>
      <c r="F328" s="49" t="str">
        <f>'Pod Library'!E89</f>
        <v>Quality Engineer (SDET)</v>
      </c>
      <c r="G328" s="44" t="str">
        <f>'Pod Library'!F89</f>
        <v>TEST</v>
      </c>
      <c r="H328" s="44" t="str">
        <f>'Pod Library'!G89</f>
        <v>E4</v>
      </c>
      <c r="I328" s="44" t="str">
        <f>'Pod Library'!H89</f>
        <v>OFF</v>
      </c>
      <c r="J328" s="44" t="str">
        <f>'Pod Library'!I89</f>
        <v>FTC</v>
      </c>
      <c r="K328" s="9">
        <f>'Pod Library'!J89</f>
        <v>0.4</v>
      </c>
      <c r="L328" s="13">
        <f>'Pod Plan'!E24</f>
        <v>13</v>
      </c>
      <c r="M328" s="46">
        <f t="shared" si="5"/>
        <v>5.2</v>
      </c>
      <c r="N328" s="46">
        <f>M328*INDEX('Logic Tree'!$J$75:$N$77,MATCH(I328,'Logic Tree'!$I$75:$I$77,0),MATCH(H328,'Logic Tree'!$J$74:$N$74,0))</f>
        <v>3.12</v>
      </c>
    </row>
    <row r="329" spans="2:14" ht="15" customHeight="1">
      <c r="B329" s="19">
        <v>4</v>
      </c>
      <c r="C329" s="11" t="s">
        <v>444</v>
      </c>
      <c r="D329" s="36" t="s">
        <v>314</v>
      </c>
      <c r="E329" s="36" t="s">
        <v>444</v>
      </c>
      <c r="F329" s="49" t="str">
        <f>'Pod Library'!E90</f>
        <v>Application Support</v>
      </c>
      <c r="G329" s="44" t="str">
        <f>'Pod Library'!F90</f>
        <v>MNT</v>
      </c>
      <c r="H329" s="44" t="str">
        <f>'Pod Library'!G90</f>
        <v>E1</v>
      </c>
      <c r="I329" s="44" t="str">
        <f>'Pod Library'!H90</f>
        <v>OFF</v>
      </c>
      <c r="J329" s="44" t="str">
        <f>'Pod Library'!I90</f>
        <v>FTC</v>
      </c>
      <c r="K329" s="9">
        <f>'Pod Library'!J90</f>
        <v>0.15</v>
      </c>
      <c r="L329" s="13">
        <f>'Pod Plan'!E24</f>
        <v>13</v>
      </c>
      <c r="M329" s="46">
        <f t="shared" si="5"/>
        <v>1.95</v>
      </c>
      <c r="N329" s="46">
        <f>M329*INDEX('Logic Tree'!$J$75:$N$77,MATCH(I329,'Logic Tree'!$I$75:$I$77,0),MATCH(H329,'Logic Tree'!$J$74:$N$74,0))</f>
        <v>0.42899999999999999</v>
      </c>
    </row>
    <row r="330" spans="2:14" ht="15" customHeight="1">
      <c r="B330" s="19">
        <v>4</v>
      </c>
      <c r="C330" s="11" t="s">
        <v>444</v>
      </c>
      <c r="D330" s="36" t="s">
        <v>314</v>
      </c>
      <c r="E330" s="36" t="s">
        <v>444</v>
      </c>
      <c r="F330" s="49" t="str">
        <f>'Pod Library'!E91</f>
        <v>Application Support</v>
      </c>
      <c r="G330" s="44" t="str">
        <f>'Pod Library'!F91</f>
        <v>MNT</v>
      </c>
      <c r="H330" s="44" t="str">
        <f>'Pod Library'!G91</f>
        <v>E2</v>
      </c>
      <c r="I330" s="44" t="str">
        <f>'Pod Library'!H91</f>
        <v>OFF</v>
      </c>
      <c r="J330" s="44" t="str">
        <f>'Pod Library'!I91</f>
        <v>FTC</v>
      </c>
      <c r="K330" s="9">
        <f>'Pod Library'!J91</f>
        <v>0.05</v>
      </c>
      <c r="L330" s="13">
        <f>'Pod Plan'!E24</f>
        <v>13</v>
      </c>
      <c r="M330" s="46">
        <f t="shared" si="5"/>
        <v>0.65</v>
      </c>
      <c r="N330" s="46">
        <f>M330*INDEX('Logic Tree'!$J$75:$N$77,MATCH(I330,'Logic Tree'!$I$75:$I$77,0),MATCH(H330,'Logic Tree'!$J$74:$N$74,0))</f>
        <v>0.19500000000000001</v>
      </c>
    </row>
    <row r="331" spans="2:14" ht="15" customHeight="1">
      <c r="B331" s="19">
        <v>4</v>
      </c>
      <c r="C331" s="11" t="s">
        <v>444</v>
      </c>
      <c r="D331" s="36" t="s">
        <v>315</v>
      </c>
      <c r="E331" s="36" t="s">
        <v>444</v>
      </c>
      <c r="F331" s="49" t="str">
        <f>'Pod Library'!E79</f>
        <v>MetLife Product Owner</v>
      </c>
      <c r="G331" s="44" t="str">
        <f>'Pod Library'!F79</f>
        <v>PM</v>
      </c>
      <c r="H331" s="44" t="str">
        <f>'Pod Library'!G79</f>
        <v>E4</v>
      </c>
      <c r="I331" s="44" t="str">
        <f>'Pod Library'!H79</f>
        <v>ON</v>
      </c>
      <c r="J331" s="44" t="str">
        <f>'Pod Library'!I79</f>
        <v>FTE</v>
      </c>
      <c r="K331" s="9">
        <f>'Pod Library'!J79</f>
        <v>0.72222222222222199</v>
      </c>
      <c r="L331" s="13">
        <f>'Pod Plan'!E25</f>
        <v>3</v>
      </c>
      <c r="M331" s="46">
        <f t="shared" si="5"/>
        <v>2.1666666666666661</v>
      </c>
      <c r="N331" s="46">
        <f>M331*INDEX('Logic Tree'!$J$75:$N$77,MATCH(I331,'Logic Tree'!$I$75:$I$77,0),MATCH(H331,'Logic Tree'!$J$74:$N$74,0))</f>
        <v>4.0083333333333329</v>
      </c>
    </row>
    <row r="332" spans="2:14" ht="15" customHeight="1">
      <c r="B332" s="19">
        <v>4</v>
      </c>
      <c r="C332" s="11" t="s">
        <v>444</v>
      </c>
      <c r="D332" s="36" t="s">
        <v>315</v>
      </c>
      <c r="E332" s="36" t="s">
        <v>444</v>
      </c>
      <c r="F332" s="49" t="str">
        <f>'Pod Library'!E80</f>
        <v>MetLife Domain SME</v>
      </c>
      <c r="G332" s="44" t="str">
        <f>'Pod Library'!F80</f>
        <v>BSA</v>
      </c>
      <c r="H332" s="44" t="str">
        <f>'Pod Library'!G80</f>
        <v>E4</v>
      </c>
      <c r="I332" s="44" t="str">
        <f>'Pod Library'!H80</f>
        <v>ON</v>
      </c>
      <c r="J332" s="44" t="str">
        <f>'Pod Library'!I80</f>
        <v>FTE</v>
      </c>
      <c r="K332" s="9">
        <f>'Pod Library'!J80</f>
        <v>0.47222222222222199</v>
      </c>
      <c r="L332" s="13">
        <f>'Pod Plan'!E25</f>
        <v>3</v>
      </c>
      <c r="M332" s="46">
        <f t="shared" si="5"/>
        <v>1.4166666666666661</v>
      </c>
      <c r="N332" s="46">
        <f>M332*INDEX('Logic Tree'!$J$75:$N$77,MATCH(I332,'Logic Tree'!$I$75:$I$77,0),MATCH(H332,'Logic Tree'!$J$74:$N$74,0))</f>
        <v>2.6208333333333322</v>
      </c>
    </row>
    <row r="333" spans="2:14" ht="15" customHeight="1">
      <c r="B333" s="19">
        <v>4</v>
      </c>
      <c r="C333" s="11" t="s">
        <v>444</v>
      </c>
      <c r="D333" s="36" t="s">
        <v>315</v>
      </c>
      <c r="E333" s="36" t="s">
        <v>444</v>
      </c>
      <c r="F333" s="49" t="str">
        <f>'Pod Library'!E81</f>
        <v>MGCC Engineer</v>
      </c>
      <c r="G333" s="44" t="str">
        <f>'Pod Library'!F81</f>
        <v>DEV</v>
      </c>
      <c r="H333" s="44" t="str">
        <f>'Pod Library'!G81</f>
        <v>E3</v>
      </c>
      <c r="I333" s="44" t="str">
        <f>'Pod Library'!H81</f>
        <v>OFF</v>
      </c>
      <c r="J333" s="44" t="str">
        <f>'Pod Library'!I81</f>
        <v>MGCC</v>
      </c>
      <c r="K333" s="9">
        <f>'Pod Library'!J81</f>
        <v>1.3611111111111101</v>
      </c>
      <c r="L333" s="13">
        <f>'Pod Plan'!E25</f>
        <v>3</v>
      </c>
      <c r="M333" s="46">
        <f t="shared" si="5"/>
        <v>4.0833333333333304</v>
      </c>
      <c r="N333" s="46">
        <f>M333*INDEX('Logic Tree'!$J$75:$N$77,MATCH(I333,'Logic Tree'!$I$75:$I$77,0),MATCH(H333,'Logic Tree'!$J$74:$N$74,0))</f>
        <v>1.7149999999999987</v>
      </c>
    </row>
    <row r="334" spans="2:14" ht="15" customHeight="1">
      <c r="B334" s="19">
        <v>4</v>
      </c>
      <c r="C334" s="11" t="s">
        <v>444</v>
      </c>
      <c r="D334" s="36" t="s">
        <v>315</v>
      </c>
      <c r="E334" s="36" t="s">
        <v>444</v>
      </c>
      <c r="F334" s="49" t="str">
        <f>'Pod Library'!E82</f>
        <v>Business Analyst (bilingual)</v>
      </c>
      <c r="G334" s="44" t="str">
        <f>'Pod Library'!F82</f>
        <v>BSA</v>
      </c>
      <c r="H334" s="44" t="str">
        <f>'Pod Library'!G82</f>
        <v>E3</v>
      </c>
      <c r="I334" s="44" t="str">
        <f>'Pod Library'!H82</f>
        <v>ON</v>
      </c>
      <c r="J334" s="44" t="str">
        <f>'Pod Library'!I82</f>
        <v>FTC</v>
      </c>
      <c r="K334" s="9">
        <f>'Pod Library'!J82</f>
        <v>0.2</v>
      </c>
      <c r="L334" s="13">
        <f>'Pod Plan'!E25</f>
        <v>3</v>
      </c>
      <c r="M334" s="46">
        <f t="shared" si="5"/>
        <v>0.60000000000000009</v>
      </c>
      <c r="N334" s="46">
        <f>M334*INDEX('Logic Tree'!$J$75:$N$77,MATCH(I334,'Logic Tree'!$I$75:$I$77,0),MATCH(H334,'Logic Tree'!$J$74:$N$74,0))</f>
        <v>0.81000000000000016</v>
      </c>
    </row>
    <row r="335" spans="2:14" ht="15" customHeight="1">
      <c r="B335" s="19">
        <v>4</v>
      </c>
      <c r="C335" s="11" t="s">
        <v>444</v>
      </c>
      <c r="D335" s="36" t="s">
        <v>315</v>
      </c>
      <c r="E335" s="36" t="s">
        <v>444</v>
      </c>
      <c r="F335" s="49" t="str">
        <f>'Pod Library'!E83</f>
        <v>Pod lead (onshore)</v>
      </c>
      <c r="G335" s="44" t="str">
        <f>'Pod Library'!F83</f>
        <v>DEV</v>
      </c>
      <c r="H335" s="44" t="str">
        <f>'Pod Library'!G83</f>
        <v>E4</v>
      </c>
      <c r="I335" s="44" t="str">
        <f>'Pod Library'!H83</f>
        <v>ON</v>
      </c>
      <c r="J335" s="44" t="str">
        <f>'Pod Library'!I83</f>
        <v>FTC</v>
      </c>
      <c r="K335" s="9">
        <f>'Pod Library'!J83</f>
        <v>0</v>
      </c>
      <c r="L335" s="13">
        <f>'Pod Plan'!E25</f>
        <v>3</v>
      </c>
      <c r="M335" s="46">
        <f t="shared" si="5"/>
        <v>0</v>
      </c>
      <c r="N335" s="46">
        <f>M335*INDEX('Logic Tree'!$J$75:$N$77,MATCH(I335,'Logic Tree'!$I$75:$I$77,0),MATCH(H335,'Logic Tree'!$J$74:$N$74,0))</f>
        <v>0</v>
      </c>
    </row>
    <row r="336" spans="2:14" ht="15" customHeight="1">
      <c r="B336" s="19">
        <v>4</v>
      </c>
      <c r="C336" s="11" t="s">
        <v>444</v>
      </c>
      <c r="D336" s="36" t="s">
        <v>315</v>
      </c>
      <c r="E336" s="36" t="s">
        <v>444</v>
      </c>
      <c r="F336" s="49" t="str">
        <f>'Pod Library'!E84</f>
        <v>Pod lead / senior engineer</v>
      </c>
      <c r="G336" s="44" t="str">
        <f>'Pod Library'!F84</f>
        <v>DEV</v>
      </c>
      <c r="H336" s="44" t="str">
        <f>'Pod Library'!G84</f>
        <v>E4</v>
      </c>
      <c r="I336" s="44" t="str">
        <f>'Pod Library'!H84</f>
        <v>OFF</v>
      </c>
      <c r="J336" s="44" t="str">
        <f>'Pod Library'!I84</f>
        <v>FTC</v>
      </c>
      <c r="K336" s="9">
        <f>'Pod Library'!J84</f>
        <v>0.45</v>
      </c>
      <c r="L336" s="13">
        <f>'Pod Plan'!E25</f>
        <v>3</v>
      </c>
      <c r="M336" s="46">
        <f t="shared" si="5"/>
        <v>1.35</v>
      </c>
      <c r="N336" s="46">
        <f>M336*INDEX('Logic Tree'!$J$75:$N$77,MATCH(I336,'Logic Tree'!$I$75:$I$77,0),MATCH(H336,'Logic Tree'!$J$74:$N$74,0))</f>
        <v>0.81</v>
      </c>
    </row>
    <row r="337" spans="2:14" ht="15" customHeight="1">
      <c r="B337" s="19">
        <v>4</v>
      </c>
      <c r="C337" s="11" t="s">
        <v>444</v>
      </c>
      <c r="D337" s="36" t="s">
        <v>315</v>
      </c>
      <c r="E337" s="36" t="s">
        <v>444</v>
      </c>
      <c r="F337" s="49" t="str">
        <f>'Pod Library'!E85</f>
        <v>AI Orchestrator</v>
      </c>
      <c r="G337" s="44" t="str">
        <f>'Pod Library'!F85</f>
        <v>OTH</v>
      </c>
      <c r="H337" s="44" t="str">
        <f>'Pod Library'!G85</f>
        <v>E4</v>
      </c>
      <c r="I337" s="44" t="str">
        <f>'Pod Library'!H85</f>
        <v>OFF</v>
      </c>
      <c r="J337" s="44" t="str">
        <f>'Pod Library'!I85</f>
        <v>FTC</v>
      </c>
      <c r="K337" s="9">
        <f>'Pod Library'!J85</f>
        <v>0.25</v>
      </c>
      <c r="L337" s="13">
        <f>'Pod Plan'!E25</f>
        <v>3</v>
      </c>
      <c r="M337" s="46">
        <f t="shared" si="5"/>
        <v>0.75</v>
      </c>
      <c r="N337" s="46">
        <f>M337*INDEX('Logic Tree'!$J$75:$N$77,MATCH(I337,'Logic Tree'!$I$75:$I$77,0),MATCH(H337,'Logic Tree'!$J$74:$N$74,0))</f>
        <v>0.44999999999999996</v>
      </c>
    </row>
    <row r="338" spans="2:14" ht="15" customHeight="1">
      <c r="B338" s="19">
        <v>4</v>
      </c>
      <c r="C338" s="11" t="s">
        <v>444</v>
      </c>
      <c r="D338" s="36" t="s">
        <v>315</v>
      </c>
      <c r="E338" s="36" t="s">
        <v>444</v>
      </c>
      <c r="F338" s="49" t="str">
        <f>'Pod Library'!E86</f>
        <v>Agent engineer</v>
      </c>
      <c r="G338" s="44" t="str">
        <f>'Pod Library'!F86</f>
        <v>DEV</v>
      </c>
      <c r="H338" s="44" t="str">
        <f>'Pod Library'!G86</f>
        <v>E4</v>
      </c>
      <c r="I338" s="44" t="str">
        <f>'Pod Library'!H86</f>
        <v>OFF</v>
      </c>
      <c r="J338" s="44" t="str">
        <f>'Pod Library'!I86</f>
        <v>FTC</v>
      </c>
      <c r="K338" s="9">
        <f>'Pod Library'!J86</f>
        <v>0.83</v>
      </c>
      <c r="L338" s="13">
        <f>'Pod Plan'!E25</f>
        <v>3</v>
      </c>
      <c r="M338" s="46">
        <f t="shared" si="5"/>
        <v>2.4899999999999998</v>
      </c>
      <c r="N338" s="46">
        <f>M338*INDEX('Logic Tree'!$J$75:$N$77,MATCH(I338,'Logic Tree'!$I$75:$I$77,0),MATCH(H338,'Logic Tree'!$J$74:$N$74,0))</f>
        <v>1.4939999999999998</v>
      </c>
    </row>
    <row r="339" spans="2:14" ht="15" customHeight="1">
      <c r="B339" s="19">
        <v>4</v>
      </c>
      <c r="C339" s="11" t="s">
        <v>444</v>
      </c>
      <c r="D339" s="36" t="s">
        <v>315</v>
      </c>
      <c r="E339" s="36" t="s">
        <v>444</v>
      </c>
      <c r="F339" s="49" t="str">
        <f>'Pod Library'!E87</f>
        <v>Quality Engineer (SDET)</v>
      </c>
      <c r="G339" s="44" t="str">
        <f>'Pod Library'!F87</f>
        <v>TEST</v>
      </c>
      <c r="H339" s="44" t="str">
        <f>'Pod Library'!G87</f>
        <v>E2</v>
      </c>
      <c r="I339" s="44" t="str">
        <f>'Pod Library'!H87</f>
        <v>OFF</v>
      </c>
      <c r="J339" s="44" t="str">
        <f>'Pod Library'!I87</f>
        <v>FTC</v>
      </c>
      <c r="K339" s="9">
        <f>'Pod Library'!J87</f>
        <v>0.40277777777777801</v>
      </c>
      <c r="L339" s="13">
        <f>'Pod Plan'!E25</f>
        <v>3</v>
      </c>
      <c r="M339" s="46">
        <f t="shared" si="5"/>
        <v>1.2083333333333339</v>
      </c>
      <c r="N339" s="46">
        <f>M339*INDEX('Logic Tree'!$J$75:$N$77,MATCH(I339,'Logic Tree'!$I$75:$I$77,0),MATCH(H339,'Logic Tree'!$J$74:$N$74,0))</f>
        <v>0.36250000000000016</v>
      </c>
    </row>
    <row r="340" spans="2:14" ht="15" customHeight="1">
      <c r="B340" s="19">
        <v>4</v>
      </c>
      <c r="C340" s="11" t="s">
        <v>444</v>
      </c>
      <c r="D340" s="36" t="s">
        <v>315</v>
      </c>
      <c r="E340" s="36" t="s">
        <v>444</v>
      </c>
      <c r="F340" s="49" t="str">
        <f>'Pod Library'!E88</f>
        <v>Quality Engineer (SDET)</v>
      </c>
      <c r="G340" s="44" t="str">
        <f>'Pod Library'!F88</f>
        <v>TEST</v>
      </c>
      <c r="H340" s="44" t="str">
        <f>'Pod Library'!G88</f>
        <v>E3</v>
      </c>
      <c r="I340" s="44" t="str">
        <f>'Pod Library'!H88</f>
        <v>OFF</v>
      </c>
      <c r="J340" s="44" t="str">
        <f>'Pod Library'!I88</f>
        <v>FTC</v>
      </c>
      <c r="K340" s="9">
        <f>'Pod Library'!J88</f>
        <v>0.52777777777777801</v>
      </c>
      <c r="L340" s="13">
        <f>'Pod Plan'!E25</f>
        <v>3</v>
      </c>
      <c r="M340" s="46">
        <f t="shared" si="5"/>
        <v>1.5833333333333339</v>
      </c>
      <c r="N340" s="46">
        <f>M340*INDEX('Logic Tree'!$J$75:$N$77,MATCH(I340,'Logic Tree'!$I$75:$I$77,0),MATCH(H340,'Logic Tree'!$J$74:$N$74,0))</f>
        <v>0.66500000000000026</v>
      </c>
    </row>
    <row r="341" spans="2:14" ht="15" customHeight="1">
      <c r="B341" s="19">
        <v>4</v>
      </c>
      <c r="C341" s="11" t="s">
        <v>444</v>
      </c>
      <c r="D341" s="36" t="s">
        <v>315</v>
      </c>
      <c r="E341" s="36" t="s">
        <v>444</v>
      </c>
      <c r="F341" s="49" t="str">
        <f>'Pod Library'!E89</f>
        <v>Quality Engineer (SDET)</v>
      </c>
      <c r="G341" s="44" t="str">
        <f>'Pod Library'!F89</f>
        <v>TEST</v>
      </c>
      <c r="H341" s="44" t="str">
        <f>'Pod Library'!G89</f>
        <v>E4</v>
      </c>
      <c r="I341" s="44" t="str">
        <f>'Pod Library'!H89</f>
        <v>OFF</v>
      </c>
      <c r="J341" s="44" t="str">
        <f>'Pod Library'!I89</f>
        <v>FTC</v>
      </c>
      <c r="K341" s="9">
        <f>'Pod Library'!J89</f>
        <v>0.4</v>
      </c>
      <c r="L341" s="13">
        <f>'Pod Plan'!E25</f>
        <v>3</v>
      </c>
      <c r="M341" s="46">
        <f t="shared" si="5"/>
        <v>1.2000000000000002</v>
      </c>
      <c r="N341" s="46">
        <f>M341*INDEX('Logic Tree'!$J$75:$N$77,MATCH(I341,'Logic Tree'!$I$75:$I$77,0),MATCH(H341,'Logic Tree'!$J$74:$N$74,0))</f>
        <v>0.72000000000000008</v>
      </c>
    </row>
    <row r="342" spans="2:14" ht="15" customHeight="1">
      <c r="B342" s="19">
        <v>4</v>
      </c>
      <c r="C342" s="11" t="s">
        <v>444</v>
      </c>
      <c r="D342" s="36" t="s">
        <v>315</v>
      </c>
      <c r="E342" s="36" t="s">
        <v>444</v>
      </c>
      <c r="F342" s="49" t="str">
        <f>'Pod Library'!E90</f>
        <v>Application Support</v>
      </c>
      <c r="G342" s="44" t="str">
        <f>'Pod Library'!F90</f>
        <v>MNT</v>
      </c>
      <c r="H342" s="44" t="str">
        <f>'Pod Library'!G90</f>
        <v>E1</v>
      </c>
      <c r="I342" s="44" t="str">
        <f>'Pod Library'!H90</f>
        <v>OFF</v>
      </c>
      <c r="J342" s="44" t="str">
        <f>'Pod Library'!I90</f>
        <v>FTC</v>
      </c>
      <c r="K342" s="9">
        <f>'Pod Library'!J90</f>
        <v>0.15</v>
      </c>
      <c r="L342" s="13">
        <f>'Pod Plan'!E25</f>
        <v>3</v>
      </c>
      <c r="M342" s="46">
        <f t="shared" si="5"/>
        <v>0.44999999999999996</v>
      </c>
      <c r="N342" s="46">
        <f>M342*INDEX('Logic Tree'!$J$75:$N$77,MATCH(I342,'Logic Tree'!$I$75:$I$77,0),MATCH(H342,'Logic Tree'!$J$74:$N$74,0))</f>
        <v>9.8999999999999991E-2</v>
      </c>
    </row>
    <row r="343" spans="2:14" ht="15" customHeight="1">
      <c r="B343" s="19">
        <v>4</v>
      </c>
      <c r="C343" s="11" t="s">
        <v>444</v>
      </c>
      <c r="D343" s="36" t="s">
        <v>315</v>
      </c>
      <c r="E343" s="36" t="s">
        <v>444</v>
      </c>
      <c r="F343" s="49" t="str">
        <f>'Pod Library'!E91</f>
        <v>Application Support</v>
      </c>
      <c r="G343" s="44" t="str">
        <f>'Pod Library'!F91</f>
        <v>MNT</v>
      </c>
      <c r="H343" s="44" t="str">
        <f>'Pod Library'!G91</f>
        <v>E2</v>
      </c>
      <c r="I343" s="44" t="str">
        <f>'Pod Library'!H91</f>
        <v>OFF</v>
      </c>
      <c r="J343" s="44" t="str">
        <f>'Pod Library'!I91</f>
        <v>FTC</v>
      </c>
      <c r="K343" s="9">
        <f>'Pod Library'!J91</f>
        <v>0.05</v>
      </c>
      <c r="L343" s="13">
        <f>'Pod Plan'!E25</f>
        <v>3</v>
      </c>
      <c r="M343" s="46">
        <f t="shared" si="5"/>
        <v>0.15000000000000002</v>
      </c>
      <c r="N343" s="46">
        <f>M343*INDEX('Logic Tree'!$J$75:$N$77,MATCH(I343,'Logic Tree'!$I$75:$I$77,0),MATCH(H343,'Logic Tree'!$J$74:$N$74,0))</f>
        <v>4.5000000000000005E-2</v>
      </c>
    </row>
    <row r="344" spans="2:14" ht="15" customHeight="1">
      <c r="B344" s="19">
        <v>4</v>
      </c>
      <c r="C344" s="11" t="s">
        <v>444</v>
      </c>
      <c r="D344" s="36" t="s">
        <v>316</v>
      </c>
      <c r="E344" s="36" t="s">
        <v>444</v>
      </c>
      <c r="F344" s="49" t="str">
        <f>'Pod Library'!E79</f>
        <v>MetLife Product Owner</v>
      </c>
      <c r="G344" s="44" t="str">
        <f>'Pod Library'!F79</f>
        <v>PM</v>
      </c>
      <c r="H344" s="44" t="str">
        <f>'Pod Library'!G79</f>
        <v>E4</v>
      </c>
      <c r="I344" s="44" t="str">
        <f>'Pod Library'!H79</f>
        <v>ON</v>
      </c>
      <c r="J344" s="44" t="str">
        <f>'Pod Library'!I79</f>
        <v>FTE</v>
      </c>
      <c r="K344" s="9">
        <f>'Pod Library'!J79</f>
        <v>0.72222222222222199</v>
      </c>
      <c r="L344" s="13">
        <f>'Pod Plan'!E26</f>
        <v>2</v>
      </c>
      <c r="M344" s="46">
        <f t="shared" si="5"/>
        <v>1.444444444444444</v>
      </c>
      <c r="N344" s="46">
        <f>M344*INDEX('Logic Tree'!$J$75:$N$77,MATCH(I344,'Logic Tree'!$I$75:$I$77,0),MATCH(H344,'Logic Tree'!$J$74:$N$74,0))</f>
        <v>2.6722222222222216</v>
      </c>
    </row>
    <row r="345" spans="2:14" ht="15" customHeight="1">
      <c r="B345" s="19">
        <v>4</v>
      </c>
      <c r="C345" s="11" t="s">
        <v>444</v>
      </c>
      <c r="D345" s="36" t="s">
        <v>316</v>
      </c>
      <c r="E345" s="36" t="s">
        <v>444</v>
      </c>
      <c r="F345" s="49" t="str">
        <f>'Pod Library'!E80</f>
        <v>MetLife Domain SME</v>
      </c>
      <c r="G345" s="44" t="str">
        <f>'Pod Library'!F80</f>
        <v>BSA</v>
      </c>
      <c r="H345" s="44" t="str">
        <f>'Pod Library'!G80</f>
        <v>E4</v>
      </c>
      <c r="I345" s="44" t="str">
        <f>'Pod Library'!H80</f>
        <v>ON</v>
      </c>
      <c r="J345" s="44" t="str">
        <f>'Pod Library'!I80</f>
        <v>FTE</v>
      </c>
      <c r="K345" s="9">
        <f>'Pod Library'!J80</f>
        <v>0.47222222222222199</v>
      </c>
      <c r="L345" s="13">
        <f>'Pod Plan'!E26</f>
        <v>2</v>
      </c>
      <c r="M345" s="46">
        <f t="shared" si="5"/>
        <v>0.94444444444444398</v>
      </c>
      <c r="N345" s="46">
        <f>M345*INDEX('Logic Tree'!$J$75:$N$77,MATCH(I345,'Logic Tree'!$I$75:$I$77,0),MATCH(H345,'Logic Tree'!$J$74:$N$74,0))</f>
        <v>1.7472222222222213</v>
      </c>
    </row>
    <row r="346" spans="2:14" ht="15" customHeight="1">
      <c r="B346" s="19">
        <v>4</v>
      </c>
      <c r="C346" s="11" t="s">
        <v>444</v>
      </c>
      <c r="D346" s="36" t="s">
        <v>316</v>
      </c>
      <c r="E346" s="36" t="s">
        <v>444</v>
      </c>
      <c r="F346" s="49" t="str">
        <f>'Pod Library'!E81</f>
        <v>MGCC Engineer</v>
      </c>
      <c r="G346" s="44" t="str">
        <f>'Pod Library'!F81</f>
        <v>DEV</v>
      </c>
      <c r="H346" s="44" t="str">
        <f>'Pod Library'!G81</f>
        <v>E3</v>
      </c>
      <c r="I346" s="44" t="str">
        <f>'Pod Library'!H81</f>
        <v>OFF</v>
      </c>
      <c r="J346" s="44" t="str">
        <f>'Pod Library'!I81</f>
        <v>MGCC</v>
      </c>
      <c r="K346" s="9">
        <f>'Pod Library'!J81</f>
        <v>1.3611111111111101</v>
      </c>
      <c r="L346" s="13">
        <f>'Pod Plan'!E26</f>
        <v>2</v>
      </c>
      <c r="M346" s="46">
        <f t="shared" si="5"/>
        <v>2.7222222222222201</v>
      </c>
      <c r="N346" s="46">
        <f>M346*INDEX('Logic Tree'!$J$75:$N$77,MATCH(I346,'Logic Tree'!$I$75:$I$77,0),MATCH(H346,'Logic Tree'!$J$74:$N$74,0))</f>
        <v>1.1433333333333324</v>
      </c>
    </row>
    <row r="347" spans="2:14" ht="15" customHeight="1">
      <c r="B347" s="19">
        <v>4</v>
      </c>
      <c r="C347" s="11" t="s">
        <v>444</v>
      </c>
      <c r="D347" s="36" t="s">
        <v>316</v>
      </c>
      <c r="E347" s="36" t="s">
        <v>444</v>
      </c>
      <c r="F347" s="49" t="str">
        <f>'Pod Library'!E82</f>
        <v>Business Analyst (bilingual)</v>
      </c>
      <c r="G347" s="44" t="str">
        <f>'Pod Library'!F82</f>
        <v>BSA</v>
      </c>
      <c r="H347" s="44" t="str">
        <f>'Pod Library'!G82</f>
        <v>E3</v>
      </c>
      <c r="I347" s="44" t="str">
        <f>'Pod Library'!H82</f>
        <v>ON</v>
      </c>
      <c r="J347" s="44" t="str">
        <f>'Pod Library'!I82</f>
        <v>FTC</v>
      </c>
      <c r="K347" s="9">
        <f>'Pod Library'!J82</f>
        <v>0.2</v>
      </c>
      <c r="L347" s="13">
        <f>'Pod Plan'!E26</f>
        <v>2</v>
      </c>
      <c r="M347" s="46">
        <f t="shared" si="5"/>
        <v>0.4</v>
      </c>
      <c r="N347" s="46">
        <f>M347*INDEX('Logic Tree'!$J$75:$N$77,MATCH(I347,'Logic Tree'!$I$75:$I$77,0),MATCH(H347,'Logic Tree'!$J$74:$N$74,0))</f>
        <v>0.54</v>
      </c>
    </row>
    <row r="348" spans="2:14" ht="15" customHeight="1">
      <c r="B348" s="19">
        <v>4</v>
      </c>
      <c r="C348" s="11" t="s">
        <v>444</v>
      </c>
      <c r="D348" s="36" t="s">
        <v>316</v>
      </c>
      <c r="E348" s="36" t="s">
        <v>444</v>
      </c>
      <c r="F348" s="49" t="str">
        <f>'Pod Library'!E83</f>
        <v>Pod lead (onshore)</v>
      </c>
      <c r="G348" s="44" t="str">
        <f>'Pod Library'!F83</f>
        <v>DEV</v>
      </c>
      <c r="H348" s="44" t="str">
        <f>'Pod Library'!G83</f>
        <v>E4</v>
      </c>
      <c r="I348" s="44" t="str">
        <f>'Pod Library'!H83</f>
        <v>ON</v>
      </c>
      <c r="J348" s="44" t="str">
        <f>'Pod Library'!I83</f>
        <v>FTC</v>
      </c>
      <c r="K348" s="9">
        <f>'Pod Library'!J83</f>
        <v>0</v>
      </c>
      <c r="L348" s="13">
        <f>'Pod Plan'!E26</f>
        <v>2</v>
      </c>
      <c r="M348" s="46">
        <f t="shared" si="5"/>
        <v>0</v>
      </c>
      <c r="N348" s="46">
        <f>M348*INDEX('Logic Tree'!$J$75:$N$77,MATCH(I348,'Logic Tree'!$I$75:$I$77,0),MATCH(H348,'Logic Tree'!$J$74:$N$74,0))</f>
        <v>0</v>
      </c>
    </row>
    <row r="349" spans="2:14" ht="15" customHeight="1">
      <c r="B349" s="19">
        <v>4</v>
      </c>
      <c r="C349" s="11" t="s">
        <v>444</v>
      </c>
      <c r="D349" s="36" t="s">
        <v>316</v>
      </c>
      <c r="E349" s="36" t="s">
        <v>444</v>
      </c>
      <c r="F349" s="49" t="str">
        <f>'Pod Library'!E84</f>
        <v>Pod lead / senior engineer</v>
      </c>
      <c r="G349" s="44" t="str">
        <f>'Pod Library'!F84</f>
        <v>DEV</v>
      </c>
      <c r="H349" s="44" t="str">
        <f>'Pod Library'!G84</f>
        <v>E4</v>
      </c>
      <c r="I349" s="44" t="str">
        <f>'Pod Library'!H84</f>
        <v>OFF</v>
      </c>
      <c r="J349" s="44" t="str">
        <f>'Pod Library'!I84</f>
        <v>FTC</v>
      </c>
      <c r="K349" s="9">
        <f>'Pod Library'!J84</f>
        <v>0.45</v>
      </c>
      <c r="L349" s="13">
        <f>'Pod Plan'!E26</f>
        <v>2</v>
      </c>
      <c r="M349" s="46">
        <f t="shared" si="5"/>
        <v>0.9</v>
      </c>
      <c r="N349" s="46">
        <f>M349*INDEX('Logic Tree'!$J$75:$N$77,MATCH(I349,'Logic Tree'!$I$75:$I$77,0),MATCH(H349,'Logic Tree'!$J$74:$N$74,0))</f>
        <v>0.54</v>
      </c>
    </row>
    <row r="350" spans="2:14" ht="15" customHeight="1">
      <c r="B350" s="19">
        <v>4</v>
      </c>
      <c r="C350" s="11" t="s">
        <v>444</v>
      </c>
      <c r="D350" s="36" t="s">
        <v>316</v>
      </c>
      <c r="E350" s="36" t="s">
        <v>444</v>
      </c>
      <c r="F350" s="49" t="str">
        <f>'Pod Library'!E85</f>
        <v>AI Orchestrator</v>
      </c>
      <c r="G350" s="44" t="str">
        <f>'Pod Library'!F85</f>
        <v>OTH</v>
      </c>
      <c r="H350" s="44" t="str">
        <f>'Pod Library'!G85</f>
        <v>E4</v>
      </c>
      <c r="I350" s="44" t="str">
        <f>'Pod Library'!H85</f>
        <v>OFF</v>
      </c>
      <c r="J350" s="44" t="str">
        <f>'Pod Library'!I85</f>
        <v>FTC</v>
      </c>
      <c r="K350" s="9">
        <f>'Pod Library'!J85</f>
        <v>0.25</v>
      </c>
      <c r="L350" s="13">
        <f>'Pod Plan'!E26</f>
        <v>2</v>
      </c>
      <c r="M350" s="46">
        <f t="shared" si="5"/>
        <v>0.5</v>
      </c>
      <c r="N350" s="46">
        <f>M350*INDEX('Logic Tree'!$J$75:$N$77,MATCH(I350,'Logic Tree'!$I$75:$I$77,0),MATCH(H350,'Logic Tree'!$J$74:$N$74,0))</f>
        <v>0.3</v>
      </c>
    </row>
    <row r="351" spans="2:14" ht="15" customHeight="1">
      <c r="B351" s="19">
        <v>4</v>
      </c>
      <c r="C351" s="11" t="s">
        <v>444</v>
      </c>
      <c r="D351" s="36" t="s">
        <v>316</v>
      </c>
      <c r="E351" s="36" t="s">
        <v>444</v>
      </c>
      <c r="F351" s="49" t="str">
        <f>'Pod Library'!E86</f>
        <v>Agent engineer</v>
      </c>
      <c r="G351" s="44" t="str">
        <f>'Pod Library'!F86</f>
        <v>DEV</v>
      </c>
      <c r="H351" s="44" t="str">
        <f>'Pod Library'!G86</f>
        <v>E4</v>
      </c>
      <c r="I351" s="44" t="str">
        <f>'Pod Library'!H86</f>
        <v>OFF</v>
      </c>
      <c r="J351" s="44" t="str">
        <f>'Pod Library'!I86</f>
        <v>FTC</v>
      </c>
      <c r="K351" s="9">
        <f>'Pod Library'!J86</f>
        <v>0.83</v>
      </c>
      <c r="L351" s="13">
        <f>'Pod Plan'!E26</f>
        <v>2</v>
      </c>
      <c r="M351" s="46">
        <f t="shared" si="5"/>
        <v>1.66</v>
      </c>
      <c r="N351" s="46">
        <f>M351*INDEX('Logic Tree'!$J$75:$N$77,MATCH(I351,'Logic Tree'!$I$75:$I$77,0),MATCH(H351,'Logic Tree'!$J$74:$N$74,0))</f>
        <v>0.99599999999999989</v>
      </c>
    </row>
    <row r="352" spans="2:14" ht="15" customHeight="1">
      <c r="B352" s="19">
        <v>4</v>
      </c>
      <c r="C352" s="11" t="s">
        <v>444</v>
      </c>
      <c r="D352" s="36" t="s">
        <v>316</v>
      </c>
      <c r="E352" s="36" t="s">
        <v>444</v>
      </c>
      <c r="F352" s="49" t="str">
        <f>'Pod Library'!E87</f>
        <v>Quality Engineer (SDET)</v>
      </c>
      <c r="G352" s="44" t="str">
        <f>'Pod Library'!F87</f>
        <v>TEST</v>
      </c>
      <c r="H352" s="44" t="str">
        <f>'Pod Library'!G87</f>
        <v>E2</v>
      </c>
      <c r="I352" s="44" t="str">
        <f>'Pod Library'!H87</f>
        <v>OFF</v>
      </c>
      <c r="J352" s="44" t="str">
        <f>'Pod Library'!I87</f>
        <v>FTC</v>
      </c>
      <c r="K352" s="9">
        <f>'Pod Library'!J87</f>
        <v>0.40277777777777801</v>
      </c>
      <c r="L352" s="13">
        <f>'Pod Plan'!E26</f>
        <v>2</v>
      </c>
      <c r="M352" s="46">
        <f t="shared" si="5"/>
        <v>0.80555555555555602</v>
      </c>
      <c r="N352" s="46">
        <f>M352*INDEX('Logic Tree'!$J$75:$N$77,MATCH(I352,'Logic Tree'!$I$75:$I$77,0),MATCH(H352,'Logic Tree'!$J$74:$N$74,0))</f>
        <v>0.24166666666666681</v>
      </c>
    </row>
    <row r="353" spans="2:14" ht="15" customHeight="1">
      <c r="B353" s="19">
        <v>4</v>
      </c>
      <c r="C353" s="11" t="s">
        <v>444</v>
      </c>
      <c r="D353" s="36" t="s">
        <v>316</v>
      </c>
      <c r="E353" s="36" t="s">
        <v>444</v>
      </c>
      <c r="F353" s="49" t="str">
        <f>'Pod Library'!E88</f>
        <v>Quality Engineer (SDET)</v>
      </c>
      <c r="G353" s="44" t="str">
        <f>'Pod Library'!F88</f>
        <v>TEST</v>
      </c>
      <c r="H353" s="44" t="str">
        <f>'Pod Library'!G88</f>
        <v>E3</v>
      </c>
      <c r="I353" s="44" t="str">
        <f>'Pod Library'!H88</f>
        <v>OFF</v>
      </c>
      <c r="J353" s="44" t="str">
        <f>'Pod Library'!I88</f>
        <v>FTC</v>
      </c>
      <c r="K353" s="9">
        <f>'Pod Library'!J88</f>
        <v>0.52777777777777801</v>
      </c>
      <c r="L353" s="13">
        <f>'Pod Plan'!E26</f>
        <v>2</v>
      </c>
      <c r="M353" s="46">
        <f t="shared" si="5"/>
        <v>1.055555555555556</v>
      </c>
      <c r="N353" s="46">
        <f>M353*INDEX('Logic Tree'!$J$75:$N$77,MATCH(I353,'Logic Tree'!$I$75:$I$77,0),MATCH(H353,'Logic Tree'!$J$74:$N$74,0))</f>
        <v>0.44333333333333352</v>
      </c>
    </row>
    <row r="354" spans="2:14" ht="15" customHeight="1">
      <c r="B354" s="19">
        <v>4</v>
      </c>
      <c r="C354" s="11" t="s">
        <v>444</v>
      </c>
      <c r="D354" s="36" t="s">
        <v>316</v>
      </c>
      <c r="E354" s="36" t="s">
        <v>444</v>
      </c>
      <c r="F354" s="49" t="str">
        <f>'Pod Library'!E89</f>
        <v>Quality Engineer (SDET)</v>
      </c>
      <c r="G354" s="44" t="str">
        <f>'Pod Library'!F89</f>
        <v>TEST</v>
      </c>
      <c r="H354" s="44" t="str">
        <f>'Pod Library'!G89</f>
        <v>E4</v>
      </c>
      <c r="I354" s="44" t="str">
        <f>'Pod Library'!H89</f>
        <v>OFF</v>
      </c>
      <c r="J354" s="44" t="str">
        <f>'Pod Library'!I89</f>
        <v>FTC</v>
      </c>
      <c r="K354" s="9">
        <f>'Pod Library'!J89</f>
        <v>0.4</v>
      </c>
      <c r="L354" s="13">
        <f>'Pod Plan'!E26</f>
        <v>2</v>
      </c>
      <c r="M354" s="46">
        <f t="shared" si="5"/>
        <v>0.8</v>
      </c>
      <c r="N354" s="46">
        <f>M354*INDEX('Logic Tree'!$J$75:$N$77,MATCH(I354,'Logic Tree'!$I$75:$I$77,0),MATCH(H354,'Logic Tree'!$J$74:$N$74,0))</f>
        <v>0.48</v>
      </c>
    </row>
    <row r="355" spans="2:14" ht="15" customHeight="1">
      <c r="B355" s="19">
        <v>4</v>
      </c>
      <c r="C355" s="11" t="s">
        <v>444</v>
      </c>
      <c r="D355" s="36" t="s">
        <v>316</v>
      </c>
      <c r="E355" s="36" t="s">
        <v>444</v>
      </c>
      <c r="F355" s="49" t="str">
        <f>'Pod Library'!E90</f>
        <v>Application Support</v>
      </c>
      <c r="G355" s="44" t="str">
        <f>'Pod Library'!F90</f>
        <v>MNT</v>
      </c>
      <c r="H355" s="44" t="str">
        <f>'Pod Library'!G90</f>
        <v>E1</v>
      </c>
      <c r="I355" s="44" t="str">
        <f>'Pod Library'!H90</f>
        <v>OFF</v>
      </c>
      <c r="J355" s="44" t="str">
        <f>'Pod Library'!I90</f>
        <v>FTC</v>
      </c>
      <c r="K355" s="9">
        <f>'Pod Library'!J90</f>
        <v>0.15</v>
      </c>
      <c r="L355" s="13">
        <f>'Pod Plan'!E26</f>
        <v>2</v>
      </c>
      <c r="M355" s="46">
        <f t="shared" si="5"/>
        <v>0.3</v>
      </c>
      <c r="N355" s="46">
        <f>M355*INDEX('Logic Tree'!$J$75:$N$77,MATCH(I355,'Logic Tree'!$I$75:$I$77,0),MATCH(H355,'Logic Tree'!$J$74:$N$74,0))</f>
        <v>6.6000000000000003E-2</v>
      </c>
    </row>
    <row r="356" spans="2:14" ht="15" customHeight="1">
      <c r="B356" s="19">
        <v>4</v>
      </c>
      <c r="C356" s="11" t="s">
        <v>444</v>
      </c>
      <c r="D356" s="36" t="s">
        <v>316</v>
      </c>
      <c r="E356" s="36" t="s">
        <v>444</v>
      </c>
      <c r="F356" s="49" t="str">
        <f>'Pod Library'!E91</f>
        <v>Application Support</v>
      </c>
      <c r="G356" s="44" t="str">
        <f>'Pod Library'!F91</f>
        <v>MNT</v>
      </c>
      <c r="H356" s="44" t="str">
        <f>'Pod Library'!G91</f>
        <v>E2</v>
      </c>
      <c r="I356" s="44" t="str">
        <f>'Pod Library'!H91</f>
        <v>OFF</v>
      </c>
      <c r="J356" s="44" t="str">
        <f>'Pod Library'!I91</f>
        <v>FTC</v>
      </c>
      <c r="K356" s="9">
        <f>'Pod Library'!J91</f>
        <v>0.05</v>
      </c>
      <c r="L356" s="13">
        <f>'Pod Plan'!E26</f>
        <v>2</v>
      </c>
      <c r="M356" s="46">
        <f t="shared" si="5"/>
        <v>0.1</v>
      </c>
      <c r="N356" s="46">
        <f>M356*INDEX('Logic Tree'!$J$75:$N$77,MATCH(I356,'Logic Tree'!$I$75:$I$77,0),MATCH(H356,'Logic Tree'!$J$74:$N$74,0))</f>
        <v>0.03</v>
      </c>
    </row>
    <row r="357" spans="2:14" ht="15" customHeight="1">
      <c r="B357" s="19">
        <v>4</v>
      </c>
      <c r="C357" s="11" t="s">
        <v>700</v>
      </c>
      <c r="D357" s="44" t="str">
        <f>'Horizontal Teams'!C101</f>
        <v>H1</v>
      </c>
      <c r="E357" s="36" t="s">
        <v>700</v>
      </c>
      <c r="F357" s="49" t="str">
        <f>'Horizontal Teams'!E101</f>
        <v>Service Delivery Manager</v>
      </c>
      <c r="G357" s="44" t="str">
        <f>'Horizontal Teams'!D101</f>
        <v>MNT</v>
      </c>
      <c r="H357" s="44" t="str">
        <f>'Horizontal Teams'!F101</f>
        <v>E5</v>
      </c>
      <c r="I357" s="44" t="str">
        <f>'Horizontal Teams'!G101</f>
        <v>ON</v>
      </c>
      <c r="J357" s="44" t="str">
        <f>'Horizontal Teams'!H101</f>
        <v>FTC</v>
      </c>
      <c r="K357" s="9">
        <f>'Horizontal Teams'!I101</f>
        <v>0.5</v>
      </c>
      <c r="L357" s="19">
        <v>1</v>
      </c>
      <c r="M357" s="46">
        <f t="shared" si="5"/>
        <v>0.5</v>
      </c>
      <c r="N357" s="46">
        <f>M357*INDEX('Logic Tree'!$J$75:$N$77,MATCH(I357,'Logic Tree'!$I$75:$I$77,0),MATCH(H357,'Logic Tree'!$J$74:$N$74,0))</f>
        <v>1.2749999999999999</v>
      </c>
    </row>
    <row r="358" spans="2:14" ht="15" customHeight="1">
      <c r="B358" s="19">
        <v>4</v>
      </c>
      <c r="C358" s="11" t="s">
        <v>700</v>
      </c>
      <c r="D358" s="44" t="str">
        <f>'Horizontal Teams'!C102</f>
        <v>H1</v>
      </c>
      <c r="E358" s="36" t="s">
        <v>700</v>
      </c>
      <c r="F358" s="49" t="str">
        <f>'Horizontal Teams'!E102</f>
        <v>Release &amp; Environment Manager</v>
      </c>
      <c r="G358" s="44" t="str">
        <f>'Horizontal Teams'!D102</f>
        <v>MNT</v>
      </c>
      <c r="H358" s="44" t="str">
        <f>'Horizontal Teams'!F102</f>
        <v>E4</v>
      </c>
      <c r="I358" s="44" t="str">
        <f>'Horizontal Teams'!G102</f>
        <v>ON</v>
      </c>
      <c r="J358" s="44" t="str">
        <f>'Horizontal Teams'!H102</f>
        <v>FTC</v>
      </c>
      <c r="K358" s="9">
        <f>'Horizontal Teams'!I102</f>
        <v>0.5</v>
      </c>
      <c r="L358" s="19">
        <v>1</v>
      </c>
      <c r="M358" s="46">
        <f t="shared" si="5"/>
        <v>0.5</v>
      </c>
      <c r="N358" s="46">
        <f>M358*INDEX('Logic Tree'!$J$75:$N$77,MATCH(I358,'Logic Tree'!$I$75:$I$77,0),MATCH(H358,'Logic Tree'!$J$74:$N$74,0))</f>
        <v>0.92500000000000004</v>
      </c>
    </row>
    <row r="359" spans="2:14" ht="15" customHeight="1">
      <c r="B359" s="19">
        <v>4</v>
      </c>
      <c r="C359" s="11" t="s">
        <v>700</v>
      </c>
      <c r="D359" s="44" t="str">
        <f>'Horizontal Teams'!C103</f>
        <v>H1</v>
      </c>
      <c r="E359" s="36" t="s">
        <v>700</v>
      </c>
      <c r="F359" s="49" t="str">
        <f>'Horizontal Teams'!E103</f>
        <v>L2 Application Support</v>
      </c>
      <c r="G359" s="44" t="str">
        <f>'Horizontal Teams'!D103</f>
        <v>MNT</v>
      </c>
      <c r="H359" s="44" t="str">
        <f>'Horizontal Teams'!F103</f>
        <v>E1</v>
      </c>
      <c r="I359" s="44" t="str">
        <f>'Horizontal Teams'!G103</f>
        <v>OFF</v>
      </c>
      <c r="J359" s="44" t="str">
        <f>'Horizontal Teams'!H103</f>
        <v>FTC</v>
      </c>
      <c r="K359" s="9">
        <f>'Horizontal Teams'!I103</f>
        <v>0.5</v>
      </c>
      <c r="L359" s="19">
        <v>1</v>
      </c>
      <c r="M359" s="46">
        <f t="shared" si="5"/>
        <v>0.5</v>
      </c>
      <c r="N359" s="46">
        <f>M359*INDEX('Logic Tree'!$J$75:$N$77,MATCH(I359,'Logic Tree'!$I$75:$I$77,0),MATCH(H359,'Logic Tree'!$J$74:$N$74,0))</f>
        <v>0.11</v>
      </c>
    </row>
    <row r="360" spans="2:14" ht="15" customHeight="1">
      <c r="B360" s="19">
        <v>4</v>
      </c>
      <c r="C360" s="11" t="s">
        <v>700</v>
      </c>
      <c r="D360" s="44" t="str">
        <f>'Horizontal Teams'!C104</f>
        <v>H1</v>
      </c>
      <c r="E360" s="36" t="s">
        <v>700</v>
      </c>
      <c r="F360" s="49" t="str">
        <f>'Horizontal Teams'!E104</f>
        <v>L2 Application Support</v>
      </c>
      <c r="G360" s="44" t="str">
        <f>'Horizontal Teams'!D104</f>
        <v>MNT</v>
      </c>
      <c r="H360" s="44" t="str">
        <f>'Horizontal Teams'!F104</f>
        <v>E2</v>
      </c>
      <c r="I360" s="44" t="str">
        <f>'Horizontal Teams'!G104</f>
        <v>OFF</v>
      </c>
      <c r="J360" s="44" t="str">
        <f>'Horizontal Teams'!H104</f>
        <v>FTC</v>
      </c>
      <c r="K360" s="9">
        <f>'Horizontal Teams'!I104</f>
        <v>0.5</v>
      </c>
      <c r="L360" s="19">
        <v>1</v>
      </c>
      <c r="M360" s="46">
        <f t="shared" si="5"/>
        <v>0.5</v>
      </c>
      <c r="N360" s="46">
        <f>M360*INDEX('Logic Tree'!$J$75:$N$77,MATCH(I360,'Logic Tree'!$I$75:$I$77,0),MATCH(H360,'Logic Tree'!$J$74:$N$74,0))</f>
        <v>0.15</v>
      </c>
    </row>
    <row r="361" spans="2:14" ht="15" customHeight="1">
      <c r="B361" s="19">
        <v>4</v>
      </c>
      <c r="C361" s="11" t="s">
        <v>700</v>
      </c>
      <c r="D361" s="44" t="str">
        <f>'Horizontal Teams'!C105</f>
        <v>H1</v>
      </c>
      <c r="E361" s="36" t="s">
        <v>700</v>
      </c>
      <c r="F361" s="49" t="str">
        <f>'Horizontal Teams'!E105</f>
        <v>Incident &amp; Problem Analyst</v>
      </c>
      <c r="G361" s="44" t="str">
        <f>'Horizontal Teams'!D105</f>
        <v>MNT</v>
      </c>
      <c r="H361" s="44" t="str">
        <f>'Horizontal Teams'!F105</f>
        <v>E3</v>
      </c>
      <c r="I361" s="44" t="str">
        <f>'Horizontal Teams'!G105</f>
        <v>ON</v>
      </c>
      <c r="J361" s="44" t="str">
        <f>'Horizontal Teams'!H105</f>
        <v>FTC</v>
      </c>
      <c r="K361" s="9">
        <f>'Horizontal Teams'!I105</f>
        <v>0.5</v>
      </c>
      <c r="L361" s="19">
        <v>1</v>
      </c>
      <c r="M361" s="46">
        <f t="shared" si="5"/>
        <v>0.5</v>
      </c>
      <c r="N361" s="46">
        <f>M361*INDEX('Logic Tree'!$J$75:$N$77,MATCH(I361,'Logic Tree'!$I$75:$I$77,0),MATCH(H361,'Logic Tree'!$J$74:$N$74,0))</f>
        <v>0.67500000000000004</v>
      </c>
    </row>
    <row r="362" spans="2:14" ht="15" customHeight="1">
      <c r="B362" s="19">
        <v>4</v>
      </c>
      <c r="C362" s="11" t="s">
        <v>700</v>
      </c>
      <c r="D362" s="44" t="str">
        <f>'Horizontal Teams'!C106</f>
        <v>H1</v>
      </c>
      <c r="E362" s="36" t="s">
        <v>700</v>
      </c>
      <c r="F362" s="49" t="str">
        <f>'Horizontal Teams'!E106</f>
        <v>Observability / AIOps Engineer</v>
      </c>
      <c r="G362" s="44" t="str">
        <f>'Horizontal Teams'!D106</f>
        <v>OTH</v>
      </c>
      <c r="H362" s="44" t="str">
        <f>'Horizontal Teams'!F106</f>
        <v>E3</v>
      </c>
      <c r="I362" s="44" t="str">
        <f>'Horizontal Teams'!G106</f>
        <v>OFF</v>
      </c>
      <c r="J362" s="44" t="str">
        <f>'Horizontal Teams'!H106</f>
        <v>FTC</v>
      </c>
      <c r="K362" s="9">
        <f>'Horizontal Teams'!I106</f>
        <v>0.5</v>
      </c>
      <c r="L362" s="19">
        <v>1</v>
      </c>
      <c r="M362" s="46">
        <f t="shared" si="5"/>
        <v>0.5</v>
      </c>
      <c r="N362" s="46">
        <f>M362*INDEX('Logic Tree'!$J$75:$N$77,MATCH(I362,'Logic Tree'!$I$75:$I$77,0),MATCH(H362,'Logic Tree'!$J$74:$N$74,0))</f>
        <v>0.21</v>
      </c>
    </row>
    <row r="363" spans="2:14" ht="15" customHeight="1">
      <c r="B363" s="19">
        <v>4</v>
      </c>
      <c r="C363" s="11" t="s">
        <v>700</v>
      </c>
      <c r="D363" s="44" t="str">
        <f>'Horizontal Teams'!C107</f>
        <v>H1</v>
      </c>
      <c r="E363" s="36" t="s">
        <v>700</v>
      </c>
      <c r="F363" s="49" t="str">
        <f>'Horizontal Teams'!E107</f>
        <v>Platform &amp; Integration Engineer</v>
      </c>
      <c r="G363" s="44" t="str">
        <f>'Horizontal Teams'!D107</f>
        <v>DEV</v>
      </c>
      <c r="H363" s="44" t="str">
        <f>'Horizontal Teams'!F107</f>
        <v>E3</v>
      </c>
      <c r="I363" s="44" t="str">
        <f>'Horizontal Teams'!G107</f>
        <v>ON</v>
      </c>
      <c r="J363" s="44" t="str">
        <f>'Horizontal Teams'!H107</f>
        <v>FTC</v>
      </c>
      <c r="K363" s="9">
        <f>'Horizontal Teams'!I107</f>
        <v>0.5</v>
      </c>
      <c r="L363" s="19">
        <v>1</v>
      </c>
      <c r="M363" s="46">
        <f t="shared" si="5"/>
        <v>0.5</v>
      </c>
      <c r="N363" s="46">
        <f>M363*INDEX('Logic Tree'!$J$75:$N$77,MATCH(I363,'Logic Tree'!$I$75:$I$77,0),MATCH(H363,'Logic Tree'!$J$74:$N$74,0))</f>
        <v>0.67500000000000004</v>
      </c>
    </row>
    <row r="364" spans="2:14" ht="15" customHeight="1">
      <c r="B364" s="19">
        <v>4</v>
      </c>
      <c r="C364" s="11" t="s">
        <v>700</v>
      </c>
      <c r="D364" s="44" t="str">
        <f>'Horizontal Teams'!C108</f>
        <v>H1</v>
      </c>
      <c r="E364" s="36" t="s">
        <v>700</v>
      </c>
      <c r="F364" s="49" t="str">
        <f>'Horizontal Teams'!E108</f>
        <v>Platform &amp; Integration Engineer</v>
      </c>
      <c r="G364" s="44" t="str">
        <f>'Horizontal Teams'!D108</f>
        <v>DEV</v>
      </c>
      <c r="H364" s="44" t="str">
        <f>'Horizontal Teams'!F108</f>
        <v>E3</v>
      </c>
      <c r="I364" s="44" t="str">
        <f>'Horizontal Teams'!G108</f>
        <v>OFF</v>
      </c>
      <c r="J364" s="44" t="str">
        <f>'Horizontal Teams'!H108</f>
        <v>FTC</v>
      </c>
      <c r="K364" s="9">
        <f>'Horizontal Teams'!I108</f>
        <v>0.5</v>
      </c>
      <c r="L364" s="19">
        <v>1</v>
      </c>
      <c r="M364" s="46">
        <f t="shared" si="5"/>
        <v>0.5</v>
      </c>
      <c r="N364" s="46">
        <f>M364*INDEX('Logic Tree'!$J$75:$N$77,MATCH(I364,'Logic Tree'!$I$75:$I$77,0),MATCH(H364,'Logic Tree'!$J$74:$N$74,0))</f>
        <v>0.21</v>
      </c>
    </row>
    <row r="365" spans="2:14" ht="15" customHeight="1">
      <c r="B365" s="19">
        <v>4</v>
      </c>
      <c r="C365" s="11" t="s">
        <v>700</v>
      </c>
      <c r="D365" s="44" t="str">
        <f>'Horizontal Teams'!C109</f>
        <v>H1</v>
      </c>
      <c r="E365" s="36" t="s">
        <v>700</v>
      </c>
      <c r="F365" s="49" t="str">
        <f>'Horizontal Teams'!E109</f>
        <v>Offshore Engineering Lead</v>
      </c>
      <c r="G365" s="44" t="str">
        <f>'Horizontal Teams'!D109</f>
        <v>DEV</v>
      </c>
      <c r="H365" s="44" t="str">
        <f>'Horizontal Teams'!F109</f>
        <v>E5</v>
      </c>
      <c r="I365" s="44" t="str">
        <f>'Horizontal Teams'!G109</f>
        <v>OFF</v>
      </c>
      <c r="J365" s="44" t="str">
        <f>'Horizontal Teams'!H109</f>
        <v>FTC</v>
      </c>
      <c r="K365" s="9">
        <f>'Horizontal Teams'!I109</f>
        <v>0.5</v>
      </c>
      <c r="L365" s="19">
        <v>1</v>
      </c>
      <c r="M365" s="46">
        <f t="shared" si="5"/>
        <v>0.5</v>
      </c>
      <c r="N365" s="46">
        <f>M365*INDEX('Logic Tree'!$J$75:$N$77,MATCH(I365,'Logic Tree'!$I$75:$I$77,0),MATCH(H365,'Logic Tree'!$J$74:$N$74,0))</f>
        <v>0.42499999999999999</v>
      </c>
    </row>
    <row r="366" spans="2:14" ht="15" customHeight="1">
      <c r="B366" s="19">
        <v>4</v>
      </c>
      <c r="C366" s="11" t="s">
        <v>700</v>
      </c>
      <c r="D366" s="44" t="str">
        <f>'Horizontal Teams'!C110</f>
        <v>H1</v>
      </c>
      <c r="E366" s="36" t="s">
        <v>700</v>
      </c>
      <c r="F366" s="49" t="str">
        <f>'Horizontal Teams'!E110</f>
        <v>MGCC Platform SRE</v>
      </c>
      <c r="G366" s="44" t="str">
        <f>'Horizontal Teams'!D110</f>
        <v>DEV</v>
      </c>
      <c r="H366" s="44" t="str">
        <f>'Horizontal Teams'!F110</f>
        <v>E3</v>
      </c>
      <c r="I366" s="44" t="str">
        <f>'Horizontal Teams'!G110</f>
        <v>OFF</v>
      </c>
      <c r="J366" s="44" t="str">
        <f>'Horizontal Teams'!H110</f>
        <v>MGCC</v>
      </c>
      <c r="K366" s="9">
        <f>'Horizontal Teams'!I110</f>
        <v>4.5</v>
      </c>
      <c r="L366" s="19">
        <v>1</v>
      </c>
      <c r="M366" s="46">
        <f t="shared" si="5"/>
        <v>4.5</v>
      </c>
      <c r="N366" s="46">
        <f>M366*INDEX('Logic Tree'!$J$75:$N$77,MATCH(I366,'Logic Tree'!$I$75:$I$77,0),MATCH(H366,'Logic Tree'!$J$74:$N$74,0))</f>
        <v>1.89</v>
      </c>
    </row>
    <row r="367" spans="2:14" ht="15" customHeight="1">
      <c r="B367" s="19">
        <v>4</v>
      </c>
      <c r="C367" s="11" t="s">
        <v>700</v>
      </c>
      <c r="D367" s="44" t="str">
        <f>'Horizontal Teams'!C111</f>
        <v>H1</v>
      </c>
      <c r="E367" s="36" t="s">
        <v>700</v>
      </c>
      <c r="F367" s="49" t="str">
        <f>'Horizontal Teams'!E111</f>
        <v>MetLife Service Owner</v>
      </c>
      <c r="G367" s="44" t="str">
        <f>'Horizontal Teams'!D111</f>
        <v>PM</v>
      </c>
      <c r="H367" s="44" t="str">
        <f>'Horizontal Teams'!F111</f>
        <v>E4</v>
      </c>
      <c r="I367" s="44" t="str">
        <f>'Horizontal Teams'!G111</f>
        <v>ON</v>
      </c>
      <c r="J367" s="44" t="str">
        <f>'Horizontal Teams'!H111</f>
        <v>FTE</v>
      </c>
      <c r="K367" s="9">
        <f>'Horizontal Teams'!I111</f>
        <v>2.5</v>
      </c>
      <c r="L367" s="19">
        <v>1</v>
      </c>
      <c r="M367" s="46">
        <f t="shared" si="5"/>
        <v>2.5</v>
      </c>
      <c r="N367" s="46">
        <f>M367*INDEX('Logic Tree'!$J$75:$N$77,MATCH(I367,'Logic Tree'!$I$75:$I$77,0),MATCH(H367,'Logic Tree'!$J$74:$N$74,0))</f>
        <v>4.625</v>
      </c>
    </row>
    <row r="368" spans="2:14" ht="15" customHeight="1">
      <c r="B368" s="19">
        <v>4</v>
      </c>
      <c r="C368" s="11" t="s">
        <v>700</v>
      </c>
      <c r="D368" s="44" t="str">
        <f>'Horizontal Teams'!C112</f>
        <v>H1</v>
      </c>
      <c r="E368" s="36" t="s">
        <v>700</v>
      </c>
      <c r="F368" s="49" t="str">
        <f>'Horizontal Teams'!E112</f>
        <v>MetLife Distribution Ops Analyst</v>
      </c>
      <c r="G368" s="44" t="str">
        <f>'Horizontal Teams'!D112</f>
        <v>MNT</v>
      </c>
      <c r="H368" s="44" t="str">
        <f>'Horizontal Teams'!F112</f>
        <v>E3</v>
      </c>
      <c r="I368" s="44" t="str">
        <f>'Horizontal Teams'!G112</f>
        <v>ON</v>
      </c>
      <c r="J368" s="44" t="str">
        <f>'Horizontal Teams'!H112</f>
        <v>FTE</v>
      </c>
      <c r="K368" s="9">
        <f>'Horizontal Teams'!I112</f>
        <v>5</v>
      </c>
      <c r="L368" s="19">
        <v>1</v>
      </c>
      <c r="M368" s="46">
        <f t="shared" si="5"/>
        <v>5</v>
      </c>
      <c r="N368" s="46">
        <f>M368*INDEX('Logic Tree'!$J$75:$N$77,MATCH(I368,'Logic Tree'!$I$75:$I$77,0),MATCH(H368,'Logic Tree'!$J$74:$N$74,0))</f>
        <v>6.75</v>
      </c>
    </row>
    <row r="369" spans="2:14" ht="15" customHeight="1">
      <c r="B369" s="19">
        <v>4</v>
      </c>
      <c r="C369" s="11" t="s">
        <v>700</v>
      </c>
      <c r="D369" s="44" t="str">
        <f>'Horizontal Teams'!C113</f>
        <v>H2</v>
      </c>
      <c r="E369" s="36" t="s">
        <v>700</v>
      </c>
      <c r="F369" s="49" t="str">
        <f>'Horizontal Teams'!E113</f>
        <v>Head of Quality Engineering</v>
      </c>
      <c r="G369" s="44" t="str">
        <f>'Horizontal Teams'!D113</f>
        <v>TEST</v>
      </c>
      <c r="H369" s="44" t="str">
        <f>'Horizontal Teams'!F113</f>
        <v>E5</v>
      </c>
      <c r="I369" s="44" t="str">
        <f>'Horizontal Teams'!G113</f>
        <v>ON</v>
      </c>
      <c r="J369" s="44" t="str">
        <f>'Horizontal Teams'!H113</f>
        <v>FTC</v>
      </c>
      <c r="K369" s="9">
        <f>'Horizontal Teams'!I113</f>
        <v>0.5</v>
      </c>
      <c r="L369" s="19">
        <v>1</v>
      </c>
      <c r="M369" s="46">
        <f t="shared" si="5"/>
        <v>0.5</v>
      </c>
      <c r="N369" s="46">
        <f>M369*INDEX('Logic Tree'!$J$75:$N$77,MATCH(I369,'Logic Tree'!$I$75:$I$77,0),MATCH(H369,'Logic Tree'!$J$74:$N$74,0))</f>
        <v>1.2749999999999999</v>
      </c>
    </row>
    <row r="370" spans="2:14" ht="15" customHeight="1">
      <c r="B370" s="19">
        <v>4</v>
      </c>
      <c r="C370" s="11" t="s">
        <v>700</v>
      </c>
      <c r="D370" s="44" t="str">
        <f>'Horizontal Teams'!C114</f>
        <v>H2</v>
      </c>
      <c r="E370" s="36" t="s">
        <v>700</v>
      </c>
      <c r="F370" s="49" t="str">
        <f>'Horizontal Teams'!E114</f>
        <v>Test Architect</v>
      </c>
      <c r="G370" s="44" t="str">
        <f>'Horizontal Teams'!D114</f>
        <v>TEST</v>
      </c>
      <c r="H370" s="44" t="str">
        <f>'Horizontal Teams'!F114</f>
        <v>E4</v>
      </c>
      <c r="I370" s="44" t="str">
        <f>'Horizontal Teams'!G114</f>
        <v>ON</v>
      </c>
      <c r="J370" s="44" t="str">
        <f>'Horizontal Teams'!H114</f>
        <v>FTC</v>
      </c>
      <c r="K370" s="9">
        <f>'Horizontal Teams'!I114</f>
        <v>0.5</v>
      </c>
      <c r="L370" s="19">
        <v>1</v>
      </c>
      <c r="M370" s="46">
        <f t="shared" si="5"/>
        <v>0.5</v>
      </c>
      <c r="N370" s="46">
        <f>M370*INDEX('Logic Tree'!$J$75:$N$77,MATCH(I370,'Logic Tree'!$I$75:$I$77,0),MATCH(H370,'Logic Tree'!$J$74:$N$74,0))</f>
        <v>0.92500000000000004</v>
      </c>
    </row>
    <row r="371" spans="2:14" ht="15" customHeight="1">
      <c r="B371" s="19">
        <v>4</v>
      </c>
      <c r="C371" s="11" t="s">
        <v>700</v>
      </c>
      <c r="D371" s="44" t="str">
        <f>'Horizontal Teams'!C115</f>
        <v>H2</v>
      </c>
      <c r="E371" s="36" t="s">
        <v>700</v>
      </c>
      <c r="F371" s="49" t="str">
        <f>'Horizontal Teams'!E115</f>
        <v>Performance Test Engineer</v>
      </c>
      <c r="G371" s="44" t="str">
        <f>'Horizontal Teams'!D115</f>
        <v>TEST</v>
      </c>
      <c r="H371" s="44" t="str">
        <f>'Horizontal Teams'!F115</f>
        <v>E3</v>
      </c>
      <c r="I371" s="44" t="str">
        <f>'Horizontal Teams'!G115</f>
        <v>ON</v>
      </c>
      <c r="J371" s="44" t="str">
        <f>'Horizontal Teams'!H115</f>
        <v>FTC</v>
      </c>
      <c r="K371" s="9">
        <f>'Horizontal Teams'!I115</f>
        <v>0.5</v>
      </c>
      <c r="L371" s="19">
        <v>1</v>
      </c>
      <c r="M371" s="46">
        <f t="shared" si="5"/>
        <v>0.5</v>
      </c>
      <c r="N371" s="46">
        <f>M371*INDEX('Logic Tree'!$J$75:$N$77,MATCH(I371,'Logic Tree'!$I$75:$I$77,0),MATCH(H371,'Logic Tree'!$J$74:$N$74,0))</f>
        <v>0.67500000000000004</v>
      </c>
    </row>
    <row r="372" spans="2:14" ht="15" customHeight="1">
      <c r="B372" s="19">
        <v>4</v>
      </c>
      <c r="C372" s="11" t="s">
        <v>700</v>
      </c>
      <c r="D372" s="44" t="str">
        <f>'Horizontal Teams'!C116</f>
        <v>H2</v>
      </c>
      <c r="E372" s="36" t="s">
        <v>700</v>
      </c>
      <c r="F372" s="49" t="str">
        <f>'Horizontal Teams'!E116</f>
        <v>Regression Automation Engineer</v>
      </c>
      <c r="G372" s="44" t="str">
        <f>'Horizontal Teams'!D116</f>
        <v>TEST</v>
      </c>
      <c r="H372" s="44" t="str">
        <f>'Horizontal Teams'!F116</f>
        <v>E3</v>
      </c>
      <c r="I372" s="44" t="str">
        <f>'Horizontal Teams'!G116</f>
        <v>OFF</v>
      </c>
      <c r="J372" s="44" t="str">
        <f>'Horizontal Teams'!H116</f>
        <v>FTC</v>
      </c>
      <c r="K372" s="9">
        <f>'Horizontal Teams'!I116</f>
        <v>0.5</v>
      </c>
      <c r="L372" s="19">
        <v>1</v>
      </c>
      <c r="M372" s="46">
        <f t="shared" si="5"/>
        <v>0.5</v>
      </c>
      <c r="N372" s="46">
        <f>M372*INDEX('Logic Tree'!$J$75:$N$77,MATCH(I372,'Logic Tree'!$I$75:$I$77,0),MATCH(H372,'Logic Tree'!$J$74:$N$74,0))</f>
        <v>0.21</v>
      </c>
    </row>
    <row r="373" spans="2:14" ht="15" customHeight="1">
      <c r="B373" s="19">
        <v>4</v>
      </c>
      <c r="C373" s="11" t="s">
        <v>700</v>
      </c>
      <c r="D373" s="44" t="str">
        <f>'Horizontal Teams'!C117</f>
        <v>H2</v>
      </c>
      <c r="E373" s="36" t="s">
        <v>700</v>
      </c>
      <c r="F373" s="49" t="str">
        <f>'Horizontal Teams'!E117</f>
        <v>Regression Automation Engineer</v>
      </c>
      <c r="G373" s="44" t="str">
        <f>'Horizontal Teams'!D117</f>
        <v>TEST</v>
      </c>
      <c r="H373" s="44" t="str">
        <f>'Horizontal Teams'!F117</f>
        <v>E4</v>
      </c>
      <c r="I373" s="44" t="str">
        <f>'Horizontal Teams'!G117</f>
        <v>OFF</v>
      </c>
      <c r="J373" s="44" t="str">
        <f>'Horizontal Teams'!H117</f>
        <v>FTC</v>
      </c>
      <c r="K373" s="9">
        <f>'Horizontal Teams'!I117</f>
        <v>0.5</v>
      </c>
      <c r="L373" s="19">
        <v>1</v>
      </c>
      <c r="M373" s="46">
        <f t="shared" si="5"/>
        <v>0.5</v>
      </c>
      <c r="N373" s="46">
        <f>M373*INDEX('Logic Tree'!$J$75:$N$77,MATCH(I373,'Logic Tree'!$I$75:$I$77,0),MATCH(H373,'Logic Tree'!$J$74:$N$74,0))</f>
        <v>0.3</v>
      </c>
    </row>
    <row r="374" spans="2:14" ht="15" customHeight="1">
      <c r="B374" s="19">
        <v>4</v>
      </c>
      <c r="C374" s="11" t="s">
        <v>700</v>
      </c>
      <c r="D374" s="44" t="str">
        <f>'Horizontal Teams'!C118</f>
        <v>H2</v>
      </c>
      <c r="E374" s="36" t="s">
        <v>700</v>
      </c>
      <c r="F374" s="49" t="str">
        <f>'Horizontal Teams'!E118</f>
        <v>Test Automation Principal</v>
      </c>
      <c r="G374" s="44" t="str">
        <f>'Horizontal Teams'!D118</f>
        <v>TEST</v>
      </c>
      <c r="H374" s="44" t="str">
        <f>'Horizontal Teams'!F118</f>
        <v>E5</v>
      </c>
      <c r="I374" s="44" t="str">
        <f>'Horizontal Teams'!G118</f>
        <v>OFF</v>
      </c>
      <c r="J374" s="44" t="str">
        <f>'Horizontal Teams'!H118</f>
        <v>FTC</v>
      </c>
      <c r="K374" s="9">
        <f>'Horizontal Teams'!I118</f>
        <v>0.5</v>
      </c>
      <c r="L374" s="19">
        <v>1</v>
      </c>
      <c r="M374" s="46">
        <f t="shared" si="5"/>
        <v>0.5</v>
      </c>
      <c r="N374" s="46">
        <f>M374*INDEX('Logic Tree'!$J$75:$N$77,MATCH(I374,'Logic Tree'!$I$75:$I$77,0),MATCH(H374,'Logic Tree'!$J$74:$N$74,0))</f>
        <v>0.42499999999999999</v>
      </c>
    </row>
    <row r="375" spans="2:14" ht="15" customHeight="1">
      <c r="B375" s="19">
        <v>4</v>
      </c>
      <c r="C375" s="11" t="s">
        <v>700</v>
      </c>
      <c r="D375" s="44" t="str">
        <f>'Horizontal Teams'!C119</f>
        <v>H2</v>
      </c>
      <c r="E375" s="36" t="s">
        <v>700</v>
      </c>
      <c r="F375" s="49" t="str">
        <f>'Horizontal Teams'!E119</f>
        <v>Test Data Engineer</v>
      </c>
      <c r="G375" s="44" t="str">
        <f>'Horizontal Teams'!D119</f>
        <v>TEST</v>
      </c>
      <c r="H375" s="44" t="str">
        <f>'Horizontal Teams'!F119</f>
        <v>E1</v>
      </c>
      <c r="I375" s="44" t="str">
        <f>'Horizontal Teams'!G119</f>
        <v>OFF</v>
      </c>
      <c r="J375" s="44" t="str">
        <f>'Horizontal Teams'!H119</f>
        <v>FTC</v>
      </c>
      <c r="K375" s="9">
        <f>'Horizontal Teams'!I119</f>
        <v>0.5</v>
      </c>
      <c r="L375" s="19">
        <v>1</v>
      </c>
      <c r="M375" s="46">
        <f t="shared" si="5"/>
        <v>0.5</v>
      </c>
      <c r="N375" s="46">
        <f>M375*INDEX('Logic Tree'!$J$75:$N$77,MATCH(I375,'Logic Tree'!$I$75:$I$77,0),MATCH(H375,'Logic Tree'!$J$74:$N$74,0))</f>
        <v>0.11</v>
      </c>
    </row>
    <row r="376" spans="2:14" ht="15" customHeight="1">
      <c r="B376" s="19">
        <v>4</v>
      </c>
      <c r="C376" s="11" t="s">
        <v>700</v>
      </c>
      <c r="D376" s="44" t="str">
        <f>'Horizontal Teams'!C120</f>
        <v>H2</v>
      </c>
      <c r="E376" s="36" t="s">
        <v>700</v>
      </c>
      <c r="F376" s="49" t="str">
        <f>'Horizontal Teams'!E120</f>
        <v>Test Data Engineer</v>
      </c>
      <c r="G376" s="44" t="str">
        <f>'Horizontal Teams'!D120</f>
        <v>TEST</v>
      </c>
      <c r="H376" s="44" t="str">
        <f>'Horizontal Teams'!F120</f>
        <v>E2</v>
      </c>
      <c r="I376" s="44" t="str">
        <f>'Horizontal Teams'!G120</f>
        <v>OFF</v>
      </c>
      <c r="J376" s="44" t="str">
        <f>'Horizontal Teams'!H120</f>
        <v>FTC</v>
      </c>
      <c r="K376" s="9">
        <f>'Horizontal Teams'!I120</f>
        <v>0.5</v>
      </c>
      <c r="L376" s="19">
        <v>1</v>
      </c>
      <c r="M376" s="46">
        <f t="shared" si="5"/>
        <v>0.5</v>
      </c>
      <c r="N376" s="46">
        <f>M376*INDEX('Logic Tree'!$J$75:$N$77,MATCH(I376,'Logic Tree'!$I$75:$I$77,0),MATCH(H376,'Logic Tree'!$J$74:$N$74,0))</f>
        <v>0.15</v>
      </c>
    </row>
    <row r="377" spans="2:14" ht="15" customHeight="1">
      <c r="B377" s="19">
        <v>4</v>
      </c>
      <c r="C377" s="11" t="s">
        <v>700</v>
      </c>
      <c r="D377" s="44" t="str">
        <f>'Horizontal Teams'!C121</f>
        <v>H2</v>
      </c>
      <c r="E377" s="36" t="s">
        <v>700</v>
      </c>
      <c r="F377" s="49" t="str">
        <f>'Horizontal Teams'!E121</f>
        <v>MGCC Regression Automation</v>
      </c>
      <c r="G377" s="44" t="str">
        <f>'Horizontal Teams'!D121</f>
        <v>TEST</v>
      </c>
      <c r="H377" s="44" t="str">
        <f>'Horizontal Teams'!F121</f>
        <v>E3</v>
      </c>
      <c r="I377" s="44" t="str">
        <f>'Horizontal Teams'!G121</f>
        <v>OFF</v>
      </c>
      <c r="J377" s="44" t="str">
        <f>'Horizontal Teams'!H121</f>
        <v>MGCC</v>
      </c>
      <c r="K377" s="9">
        <f>'Horizontal Teams'!I121</f>
        <v>5</v>
      </c>
      <c r="L377" s="19">
        <v>1</v>
      </c>
      <c r="M377" s="46">
        <f t="shared" si="5"/>
        <v>5</v>
      </c>
      <c r="N377" s="46">
        <f>M377*INDEX('Logic Tree'!$J$75:$N$77,MATCH(I377,'Logic Tree'!$I$75:$I$77,0),MATCH(H377,'Logic Tree'!$J$74:$N$74,0))</f>
        <v>2.1</v>
      </c>
    </row>
    <row r="378" spans="2:14" ht="15" customHeight="1">
      <c r="B378" s="19">
        <v>4</v>
      </c>
      <c r="C378" s="11" t="s">
        <v>700</v>
      </c>
      <c r="D378" s="44" t="str">
        <f>'Horizontal Teams'!C122</f>
        <v>H2</v>
      </c>
      <c r="E378" s="36" t="s">
        <v>700</v>
      </c>
      <c r="F378" s="49" t="str">
        <f>'Horizontal Teams'!E122</f>
        <v>MetLife Test Governance</v>
      </c>
      <c r="G378" s="44" t="str">
        <f>'Horizontal Teams'!D122</f>
        <v>TEST</v>
      </c>
      <c r="H378" s="44" t="str">
        <f>'Horizontal Teams'!F122</f>
        <v>E4</v>
      </c>
      <c r="I378" s="44" t="str">
        <f>'Horizontal Teams'!G122</f>
        <v>ON</v>
      </c>
      <c r="J378" s="44" t="str">
        <f>'Horizontal Teams'!H122</f>
        <v>FTE</v>
      </c>
      <c r="K378" s="9">
        <f>'Horizontal Teams'!I122</f>
        <v>3.5</v>
      </c>
      <c r="L378" s="19">
        <v>1</v>
      </c>
      <c r="M378" s="46">
        <f t="shared" si="5"/>
        <v>3.5</v>
      </c>
      <c r="N378" s="46">
        <f>M378*INDEX('Logic Tree'!$J$75:$N$77,MATCH(I378,'Logic Tree'!$I$75:$I$77,0),MATCH(H378,'Logic Tree'!$J$74:$N$74,0))</f>
        <v>6.4750000000000005</v>
      </c>
    </row>
    <row r="379" spans="2:14" ht="15" customHeight="1">
      <c r="B379" s="19">
        <v>4</v>
      </c>
      <c r="C379" s="11" t="s">
        <v>700</v>
      </c>
      <c r="D379" s="44" t="str">
        <f>'Horizontal Teams'!C123</f>
        <v>H2</v>
      </c>
      <c r="E379" s="36" t="s">
        <v>700</v>
      </c>
      <c r="F379" s="49" t="str">
        <f>'Horizontal Teams'!E123</f>
        <v>MetLife Data &amp; Reporting Analyst</v>
      </c>
      <c r="G379" s="44" t="str">
        <f>'Horizontal Teams'!D123</f>
        <v>BSA</v>
      </c>
      <c r="H379" s="44" t="str">
        <f>'Horizontal Teams'!F123</f>
        <v>E3</v>
      </c>
      <c r="I379" s="44" t="str">
        <f>'Horizontal Teams'!G123</f>
        <v>ON</v>
      </c>
      <c r="J379" s="44" t="str">
        <f>'Horizontal Teams'!H123</f>
        <v>FTE</v>
      </c>
      <c r="K379" s="9">
        <f>'Horizontal Teams'!I123</f>
        <v>2</v>
      </c>
      <c r="L379" s="19">
        <v>1</v>
      </c>
      <c r="M379" s="46">
        <f t="shared" si="5"/>
        <v>2</v>
      </c>
      <c r="N379" s="46">
        <f>M379*INDEX('Logic Tree'!$J$75:$N$77,MATCH(I379,'Logic Tree'!$I$75:$I$77,0),MATCH(H379,'Logic Tree'!$J$74:$N$74,0))</f>
        <v>2.7</v>
      </c>
    </row>
    <row r="380" spans="2:14" ht="15" customHeight="1">
      <c r="B380" s="19">
        <v>4</v>
      </c>
      <c r="C380" s="11" t="s">
        <v>700</v>
      </c>
      <c r="D380" s="44" t="str">
        <f>'Horizontal Teams'!C124</f>
        <v>H3</v>
      </c>
      <c r="E380" s="36" t="s">
        <v>700</v>
      </c>
      <c r="F380" s="49" t="str">
        <f>'Horizontal Teams'!E124</f>
        <v>Domain Delivery Head</v>
      </c>
      <c r="G380" s="44" t="str">
        <f>'Horizontal Teams'!D124</f>
        <v>PM</v>
      </c>
      <c r="H380" s="44" t="str">
        <f>'Horizontal Teams'!F124</f>
        <v>E5</v>
      </c>
      <c r="I380" s="44" t="str">
        <f>'Horizontal Teams'!G124</f>
        <v>ON</v>
      </c>
      <c r="J380" s="44" t="str">
        <f>'Horizontal Teams'!H124</f>
        <v>FTC</v>
      </c>
      <c r="K380" s="9">
        <f>'Horizontal Teams'!I124</f>
        <v>0.5</v>
      </c>
      <c r="L380" s="19">
        <v>1</v>
      </c>
      <c r="M380" s="46">
        <f t="shared" si="5"/>
        <v>0.5</v>
      </c>
      <c r="N380" s="46">
        <f>M380*INDEX('Logic Tree'!$J$75:$N$77,MATCH(I380,'Logic Tree'!$I$75:$I$77,0),MATCH(H380,'Logic Tree'!$J$74:$N$74,0))</f>
        <v>1.2749999999999999</v>
      </c>
    </row>
    <row r="381" spans="2:14" ht="15" customHeight="1">
      <c r="B381" s="19">
        <v>4</v>
      </c>
      <c r="C381" s="11" t="s">
        <v>700</v>
      </c>
      <c r="D381" s="44" t="str">
        <f>'Horizontal Teams'!C125</f>
        <v>H3</v>
      </c>
      <c r="E381" s="36" t="s">
        <v>700</v>
      </c>
      <c r="F381" s="49" t="str">
        <f>'Horizontal Teams'!E125</f>
        <v>Release Train Engineer</v>
      </c>
      <c r="G381" s="44" t="str">
        <f>'Horizontal Teams'!D125</f>
        <v>PM</v>
      </c>
      <c r="H381" s="44" t="str">
        <f>'Horizontal Teams'!F125</f>
        <v>E4</v>
      </c>
      <c r="I381" s="44" t="str">
        <f>'Horizontal Teams'!G125</f>
        <v>ON</v>
      </c>
      <c r="J381" s="44" t="str">
        <f>'Horizontal Teams'!H125</f>
        <v>FTC</v>
      </c>
      <c r="K381" s="9">
        <f>'Horizontal Teams'!I125</f>
        <v>0.5</v>
      </c>
      <c r="L381" s="19">
        <v>1</v>
      </c>
      <c r="M381" s="46">
        <f t="shared" si="5"/>
        <v>0.5</v>
      </c>
      <c r="N381" s="46">
        <f>M381*INDEX('Logic Tree'!$J$75:$N$77,MATCH(I381,'Logic Tree'!$I$75:$I$77,0),MATCH(H381,'Logic Tree'!$J$74:$N$74,0))</f>
        <v>0.92500000000000004</v>
      </c>
    </row>
    <row r="382" spans="2:14" ht="15" customHeight="1">
      <c r="B382" s="19">
        <v>4</v>
      </c>
      <c r="C382" s="11" t="s">
        <v>700</v>
      </c>
      <c r="D382" s="44" t="str">
        <f>'Horizontal Teams'!C126</f>
        <v>H3</v>
      </c>
      <c r="E382" s="36" t="s">
        <v>700</v>
      </c>
      <c r="F382" s="49" t="str">
        <f>'Horizontal Teams'!E126</f>
        <v>Service &amp; Contract Manager</v>
      </c>
      <c r="G382" s="44" t="str">
        <f>'Horizontal Teams'!D126</f>
        <v>PM</v>
      </c>
      <c r="H382" s="44" t="str">
        <f>'Horizontal Teams'!F126</f>
        <v>E4</v>
      </c>
      <c r="I382" s="44" t="str">
        <f>'Horizontal Teams'!G126</f>
        <v>ON</v>
      </c>
      <c r="J382" s="44" t="str">
        <f>'Horizontal Teams'!H126</f>
        <v>FTC</v>
      </c>
      <c r="K382" s="9">
        <f>'Horizontal Teams'!I126</f>
        <v>0.5</v>
      </c>
      <c r="L382" s="19">
        <v>1</v>
      </c>
      <c r="M382" s="46">
        <f t="shared" si="5"/>
        <v>0.5</v>
      </c>
      <c r="N382" s="46">
        <f>M382*INDEX('Logic Tree'!$J$75:$N$77,MATCH(I382,'Logic Tree'!$I$75:$I$77,0),MATCH(H382,'Logic Tree'!$J$74:$N$74,0))</f>
        <v>0.92500000000000004</v>
      </c>
    </row>
    <row r="383" spans="2:14" ht="15" customHeight="1">
      <c r="B383" s="19">
        <v>4</v>
      </c>
      <c r="C383" s="11" t="s">
        <v>700</v>
      </c>
      <c r="D383" s="44" t="str">
        <f>'Horizontal Teams'!C127</f>
        <v>H3</v>
      </c>
      <c r="E383" s="36" t="s">
        <v>700</v>
      </c>
      <c r="F383" s="49" t="str">
        <f>'Horizontal Teams'!E127</f>
        <v>Transition &amp; Substrate Lead</v>
      </c>
      <c r="G383" s="44" t="str">
        <f>'Horizontal Teams'!D127</f>
        <v>OTH</v>
      </c>
      <c r="H383" s="44" t="str">
        <f>'Horizontal Teams'!F127</f>
        <v>E5</v>
      </c>
      <c r="I383" s="44" t="str">
        <f>'Horizontal Teams'!G127</f>
        <v>ON</v>
      </c>
      <c r="J383" s="44" t="str">
        <f>'Horizontal Teams'!H127</f>
        <v>FTC</v>
      </c>
      <c r="K383" s="9">
        <f>'Horizontal Teams'!I127</f>
        <v>0.5</v>
      </c>
      <c r="L383" s="19">
        <v>1</v>
      </c>
      <c r="M383" s="46">
        <f t="shared" si="5"/>
        <v>0.5</v>
      </c>
      <c r="N383" s="46">
        <f>M383*INDEX('Logic Tree'!$J$75:$N$77,MATCH(I383,'Logic Tree'!$I$75:$I$77,0),MATCH(H383,'Logic Tree'!$J$74:$N$74,0))</f>
        <v>1.2749999999999999</v>
      </c>
    </row>
    <row r="384" spans="2:14" ht="15" customHeight="1">
      <c r="B384" s="19">
        <v>4</v>
      </c>
      <c r="C384" s="11" t="s">
        <v>700</v>
      </c>
      <c r="D384" s="44" t="str">
        <f>'Horizontal Teams'!C128</f>
        <v>H3</v>
      </c>
      <c r="E384" s="36" t="s">
        <v>700</v>
      </c>
      <c r="F384" s="49" t="str">
        <f>'Horizontal Teams'!E128</f>
        <v>MetLife Chief Architect — Sales</v>
      </c>
      <c r="G384" s="44" t="str">
        <f>'Horizontal Teams'!D128</f>
        <v>OTH</v>
      </c>
      <c r="H384" s="44" t="str">
        <f>'Horizontal Teams'!F128</f>
        <v>E5</v>
      </c>
      <c r="I384" s="44" t="str">
        <f>'Horizontal Teams'!G128</f>
        <v>ON</v>
      </c>
      <c r="J384" s="44" t="str">
        <f>'Horizontal Teams'!H128</f>
        <v>FTE</v>
      </c>
      <c r="K384" s="9">
        <f>'Horizontal Teams'!I128</f>
        <v>3.5</v>
      </c>
      <c r="L384" s="19">
        <v>1</v>
      </c>
      <c r="M384" s="46">
        <f t="shared" si="5"/>
        <v>3.5</v>
      </c>
      <c r="N384" s="46">
        <f>M384*INDEX('Logic Tree'!$J$75:$N$77,MATCH(I384,'Logic Tree'!$I$75:$I$77,0),MATCH(H384,'Logic Tree'!$J$74:$N$74,0))</f>
        <v>8.9249999999999989</v>
      </c>
    </row>
    <row r="385" spans="2:14" ht="15" customHeight="1">
      <c r="B385" s="19">
        <v>4</v>
      </c>
      <c r="C385" s="11" t="s">
        <v>700</v>
      </c>
      <c r="D385" s="44" t="str">
        <f>'Horizontal Teams'!C129</f>
        <v>H3</v>
      </c>
      <c r="E385" s="36" t="s">
        <v>700</v>
      </c>
      <c r="F385" s="49" t="str">
        <f>'Horizontal Teams'!E129</f>
        <v>MetLife Distribution Governance</v>
      </c>
      <c r="G385" s="44" t="str">
        <f>'Horizontal Teams'!D129</f>
        <v>BSA</v>
      </c>
      <c r="H385" s="44" t="str">
        <f>'Horizontal Teams'!F129</f>
        <v>E4</v>
      </c>
      <c r="I385" s="44" t="str">
        <f>'Horizontal Teams'!G129</f>
        <v>ON</v>
      </c>
      <c r="J385" s="44" t="str">
        <f>'Horizontal Teams'!H129</f>
        <v>FTE</v>
      </c>
      <c r="K385" s="9">
        <f>'Horizontal Teams'!I129</f>
        <v>2.5</v>
      </c>
      <c r="L385" s="19">
        <v>1</v>
      </c>
      <c r="M385" s="46">
        <f t="shared" si="5"/>
        <v>2.5</v>
      </c>
      <c r="N385" s="46">
        <f>M385*INDEX('Logic Tree'!$J$75:$N$77,MATCH(I385,'Logic Tree'!$I$75:$I$77,0),MATCH(H385,'Logic Tree'!$J$74:$N$74,0))</f>
        <v>4.625</v>
      </c>
    </row>
    <row r="386" spans="2:14" ht="15" customHeight="1">
      <c r="B386" s="19">
        <v>4</v>
      </c>
      <c r="C386" s="11" t="s">
        <v>700</v>
      </c>
      <c r="D386" s="44" t="str">
        <f>'Horizontal Teams'!C130</f>
        <v>H3</v>
      </c>
      <c r="E386" s="36" t="s">
        <v>700</v>
      </c>
      <c r="F386" s="49" t="str">
        <f>'Horizontal Teams'!E130</f>
        <v>MetLife Portfolio Manager</v>
      </c>
      <c r="G386" s="44" t="str">
        <f>'Horizontal Teams'!D130</f>
        <v>PM</v>
      </c>
      <c r="H386" s="44" t="str">
        <f>'Horizontal Teams'!F130</f>
        <v>E4</v>
      </c>
      <c r="I386" s="44" t="str">
        <f>'Horizontal Teams'!G130</f>
        <v>ON</v>
      </c>
      <c r="J386" s="44" t="str">
        <f>'Horizontal Teams'!H130</f>
        <v>FTE</v>
      </c>
      <c r="K386" s="9">
        <f>'Horizontal Teams'!I130</f>
        <v>2</v>
      </c>
      <c r="L386" s="19">
        <v>1</v>
      </c>
      <c r="M386" s="46">
        <f t="shared" si="5"/>
        <v>2</v>
      </c>
      <c r="N386" s="46">
        <f>M386*INDEX('Logic Tree'!$J$75:$N$77,MATCH(I386,'Logic Tree'!$I$75:$I$77,0),MATCH(H386,'Logic Tree'!$J$74:$N$74,0))</f>
        <v>3.7</v>
      </c>
    </row>
    <row r="387" spans="2:14" ht="15" customHeight="1">
      <c r="B387" s="19">
        <v>5</v>
      </c>
      <c r="C387" s="11" t="s">
        <v>444</v>
      </c>
      <c r="D387" s="36" t="s">
        <v>313</v>
      </c>
      <c r="E387" s="36" t="s">
        <v>444</v>
      </c>
      <c r="F387" s="49" t="str">
        <f>'Pod Library'!E94</f>
        <v>MetLife Product Owner</v>
      </c>
      <c r="G387" s="44" t="str">
        <f>'Pod Library'!F94</f>
        <v>PM</v>
      </c>
      <c r="H387" s="44" t="str">
        <f>'Pod Library'!G94</f>
        <v>E4</v>
      </c>
      <c r="I387" s="44" t="str">
        <f>'Pod Library'!H94</f>
        <v>ON</v>
      </c>
      <c r="J387" s="44" t="str">
        <f>'Pod Library'!I94</f>
        <v>FTE</v>
      </c>
      <c r="K387" s="9">
        <f>'Pod Library'!J94</f>
        <v>0.72727272727272696</v>
      </c>
      <c r="L387" s="13">
        <f>'Pod Plan'!E29</f>
        <v>16</v>
      </c>
      <c r="M387" s="46">
        <f t="shared" si="5"/>
        <v>11.636363636363631</v>
      </c>
      <c r="N387" s="46">
        <f>M387*INDEX('Logic Tree'!$J$75:$N$77,MATCH(I387,'Logic Tree'!$I$75:$I$77,0),MATCH(H387,'Logic Tree'!$J$74:$N$74,0))</f>
        <v>21.52727272727272</v>
      </c>
    </row>
    <row r="388" spans="2:14" ht="15" customHeight="1">
      <c r="B388" s="19">
        <v>5</v>
      </c>
      <c r="C388" s="11" t="s">
        <v>444</v>
      </c>
      <c r="D388" s="36" t="s">
        <v>313</v>
      </c>
      <c r="E388" s="36" t="s">
        <v>444</v>
      </c>
      <c r="F388" s="49" t="str">
        <f>'Pod Library'!E95</f>
        <v>MetLife Domain SME</v>
      </c>
      <c r="G388" s="44" t="str">
        <f>'Pod Library'!F95</f>
        <v>BSA</v>
      </c>
      <c r="H388" s="44" t="str">
        <f>'Pod Library'!G95</f>
        <v>E4</v>
      </c>
      <c r="I388" s="44" t="str">
        <f>'Pod Library'!H95</f>
        <v>ON</v>
      </c>
      <c r="J388" s="44" t="str">
        <f>'Pod Library'!I95</f>
        <v>FTE</v>
      </c>
      <c r="K388" s="9">
        <f>'Pod Library'!J95</f>
        <v>0.5</v>
      </c>
      <c r="L388" s="13">
        <f>'Pod Plan'!E29</f>
        <v>16</v>
      </c>
      <c r="M388" s="46">
        <f t="shared" si="5"/>
        <v>8</v>
      </c>
      <c r="N388" s="46">
        <f>M388*INDEX('Logic Tree'!$J$75:$N$77,MATCH(I388,'Logic Tree'!$I$75:$I$77,0),MATCH(H388,'Logic Tree'!$J$74:$N$74,0))</f>
        <v>14.8</v>
      </c>
    </row>
    <row r="389" spans="2:14" ht="15" customHeight="1">
      <c r="B389" s="19">
        <v>5</v>
      </c>
      <c r="C389" s="11" t="s">
        <v>444</v>
      </c>
      <c r="D389" s="36" t="s">
        <v>313</v>
      </c>
      <c r="E389" s="36" t="s">
        <v>444</v>
      </c>
      <c r="F389" s="49" t="str">
        <f>'Pod Library'!E96</f>
        <v>MGCC Engineer</v>
      </c>
      <c r="G389" s="44" t="str">
        <f>'Pod Library'!F96</f>
        <v>DEV</v>
      </c>
      <c r="H389" s="44" t="str">
        <f>'Pod Library'!G96</f>
        <v>E3</v>
      </c>
      <c r="I389" s="44" t="str">
        <f>'Pod Library'!H96</f>
        <v>OFF</v>
      </c>
      <c r="J389" s="44" t="str">
        <f>'Pod Library'!I96</f>
        <v>MGCC</v>
      </c>
      <c r="K389" s="9">
        <f>'Pod Library'!J96</f>
        <v>1.34848484848485</v>
      </c>
      <c r="L389" s="13">
        <f>'Pod Plan'!E29</f>
        <v>16</v>
      </c>
      <c r="M389" s="46">
        <f t="shared" ref="M389:M452" si="6">K389*L389</f>
        <v>21.575757575757599</v>
      </c>
      <c r="N389" s="46">
        <f>M389*INDEX('Logic Tree'!$J$75:$N$77,MATCH(I389,'Logic Tree'!$I$75:$I$77,0),MATCH(H389,'Logic Tree'!$J$74:$N$74,0))</f>
        <v>9.0618181818181913</v>
      </c>
    </row>
    <row r="390" spans="2:14" ht="15" customHeight="1">
      <c r="B390" s="19">
        <v>5</v>
      </c>
      <c r="C390" s="11" t="s">
        <v>444</v>
      </c>
      <c r="D390" s="36" t="s">
        <v>313</v>
      </c>
      <c r="E390" s="36" t="s">
        <v>444</v>
      </c>
      <c r="F390" s="49" t="str">
        <f>'Pod Library'!E97</f>
        <v>Business Analyst (bilingual)</v>
      </c>
      <c r="G390" s="44" t="str">
        <f>'Pod Library'!F97</f>
        <v>BSA</v>
      </c>
      <c r="H390" s="44" t="str">
        <f>'Pod Library'!G97</f>
        <v>E3</v>
      </c>
      <c r="I390" s="44" t="str">
        <f>'Pod Library'!H97</f>
        <v>ON</v>
      </c>
      <c r="J390" s="44" t="str">
        <f>'Pod Library'!I97</f>
        <v>FTC</v>
      </c>
      <c r="K390" s="9">
        <f>'Pod Library'!J97</f>
        <v>0.08</v>
      </c>
      <c r="L390" s="13">
        <f>'Pod Plan'!E29</f>
        <v>16</v>
      </c>
      <c r="M390" s="46">
        <f t="shared" si="6"/>
        <v>1.28</v>
      </c>
      <c r="N390" s="46">
        <f>M390*INDEX('Logic Tree'!$J$75:$N$77,MATCH(I390,'Logic Tree'!$I$75:$I$77,0),MATCH(H390,'Logic Tree'!$J$74:$N$74,0))</f>
        <v>1.7280000000000002</v>
      </c>
    </row>
    <row r="391" spans="2:14" ht="15" customHeight="1">
      <c r="B391" s="19">
        <v>5</v>
      </c>
      <c r="C391" s="11" t="s">
        <v>444</v>
      </c>
      <c r="D391" s="36" t="s">
        <v>313</v>
      </c>
      <c r="E391" s="36" t="s">
        <v>444</v>
      </c>
      <c r="F391" s="49" t="str">
        <f>'Pod Library'!E98</f>
        <v>Pod lead (onshore)</v>
      </c>
      <c r="G391" s="44" t="str">
        <f>'Pod Library'!F98</f>
        <v>DEV</v>
      </c>
      <c r="H391" s="44" t="str">
        <f>'Pod Library'!G98</f>
        <v>E4</v>
      </c>
      <c r="I391" s="44" t="str">
        <f>'Pod Library'!H98</f>
        <v>ON</v>
      </c>
      <c r="J391" s="44" t="str">
        <f>'Pod Library'!I98</f>
        <v>FTC</v>
      </c>
      <c r="K391" s="9">
        <f>'Pod Library'!J98</f>
        <v>3.03030303030303E-2</v>
      </c>
      <c r="L391" s="13">
        <f>'Pod Plan'!E29</f>
        <v>16</v>
      </c>
      <c r="M391" s="46">
        <f t="shared" si="6"/>
        <v>0.48484848484848481</v>
      </c>
      <c r="N391" s="46">
        <f>M391*INDEX('Logic Tree'!$J$75:$N$77,MATCH(I391,'Logic Tree'!$I$75:$I$77,0),MATCH(H391,'Logic Tree'!$J$74:$N$74,0))</f>
        <v>0.89696969696969697</v>
      </c>
    </row>
    <row r="392" spans="2:14" ht="15" customHeight="1">
      <c r="B392" s="19">
        <v>5</v>
      </c>
      <c r="C392" s="11" t="s">
        <v>444</v>
      </c>
      <c r="D392" s="36" t="s">
        <v>313</v>
      </c>
      <c r="E392" s="36" t="s">
        <v>444</v>
      </c>
      <c r="F392" s="49" t="str">
        <f>'Pod Library'!E99</f>
        <v>Pod lead / senior engineer</v>
      </c>
      <c r="G392" s="44" t="str">
        <f>'Pod Library'!F99</f>
        <v>DEV</v>
      </c>
      <c r="H392" s="44" t="str">
        <f>'Pod Library'!G99</f>
        <v>E4</v>
      </c>
      <c r="I392" s="44" t="str">
        <f>'Pod Library'!H99</f>
        <v>OFF</v>
      </c>
      <c r="J392" s="44" t="str">
        <f>'Pod Library'!I99</f>
        <v>FTC</v>
      </c>
      <c r="K392" s="9">
        <f>'Pod Library'!J99</f>
        <v>0.45</v>
      </c>
      <c r="L392" s="13">
        <f>'Pod Plan'!E29</f>
        <v>16</v>
      </c>
      <c r="M392" s="46">
        <f t="shared" si="6"/>
        <v>7.2</v>
      </c>
      <c r="N392" s="46">
        <f>M392*INDEX('Logic Tree'!$J$75:$N$77,MATCH(I392,'Logic Tree'!$I$75:$I$77,0),MATCH(H392,'Logic Tree'!$J$74:$N$74,0))</f>
        <v>4.32</v>
      </c>
    </row>
    <row r="393" spans="2:14" ht="15" customHeight="1">
      <c r="B393" s="19">
        <v>5</v>
      </c>
      <c r="C393" s="11" t="s">
        <v>444</v>
      </c>
      <c r="D393" s="36" t="s">
        <v>313</v>
      </c>
      <c r="E393" s="36" t="s">
        <v>444</v>
      </c>
      <c r="F393" s="49" t="str">
        <f>'Pod Library'!E100</f>
        <v>AI Orchestrator</v>
      </c>
      <c r="G393" s="44" t="str">
        <f>'Pod Library'!F100</f>
        <v>OTH</v>
      </c>
      <c r="H393" s="44" t="str">
        <f>'Pod Library'!G100</f>
        <v>E4</v>
      </c>
      <c r="I393" s="44" t="str">
        <f>'Pod Library'!H100</f>
        <v>OFF</v>
      </c>
      <c r="J393" s="44" t="str">
        <f>'Pod Library'!I100</f>
        <v>FTC</v>
      </c>
      <c r="K393" s="9">
        <f>'Pod Library'!J100</f>
        <v>0.37878787878787901</v>
      </c>
      <c r="L393" s="13">
        <f>'Pod Plan'!E29</f>
        <v>16</v>
      </c>
      <c r="M393" s="46">
        <f t="shared" si="6"/>
        <v>6.0606060606060641</v>
      </c>
      <c r="N393" s="46">
        <f>M393*INDEX('Logic Tree'!$J$75:$N$77,MATCH(I393,'Logic Tree'!$I$75:$I$77,0),MATCH(H393,'Logic Tree'!$J$74:$N$74,0))</f>
        <v>3.6363636363636385</v>
      </c>
    </row>
    <row r="394" spans="2:14" ht="15" customHeight="1">
      <c r="B394" s="19">
        <v>5</v>
      </c>
      <c r="C394" s="11" t="s">
        <v>444</v>
      </c>
      <c r="D394" s="36" t="s">
        <v>313</v>
      </c>
      <c r="E394" s="36" t="s">
        <v>444</v>
      </c>
      <c r="F394" s="49" t="str">
        <f>'Pod Library'!E101</f>
        <v>Agent engineer</v>
      </c>
      <c r="G394" s="44" t="str">
        <f>'Pod Library'!F101</f>
        <v>DEV</v>
      </c>
      <c r="H394" s="44" t="str">
        <f>'Pod Library'!G101</f>
        <v>E4</v>
      </c>
      <c r="I394" s="44" t="str">
        <f>'Pod Library'!H101</f>
        <v>OFF</v>
      </c>
      <c r="J394" s="44" t="str">
        <f>'Pod Library'!I101</f>
        <v>FTC</v>
      </c>
      <c r="K394" s="9">
        <f>'Pod Library'!J101</f>
        <v>0.83</v>
      </c>
      <c r="L394" s="13">
        <f>'Pod Plan'!E29</f>
        <v>16</v>
      </c>
      <c r="M394" s="46">
        <f t="shared" si="6"/>
        <v>13.28</v>
      </c>
      <c r="N394" s="46">
        <f>M394*INDEX('Logic Tree'!$J$75:$N$77,MATCH(I394,'Logic Tree'!$I$75:$I$77,0),MATCH(H394,'Logic Tree'!$J$74:$N$74,0))</f>
        <v>7.9679999999999991</v>
      </c>
    </row>
    <row r="395" spans="2:14" ht="15" customHeight="1">
      <c r="B395" s="19">
        <v>5</v>
      </c>
      <c r="C395" s="11" t="s">
        <v>444</v>
      </c>
      <c r="D395" s="36" t="s">
        <v>313</v>
      </c>
      <c r="E395" s="36" t="s">
        <v>444</v>
      </c>
      <c r="F395" s="49" t="str">
        <f>'Pod Library'!E102</f>
        <v>Quality Engineer (SDET)</v>
      </c>
      <c r="G395" s="44" t="str">
        <f>'Pod Library'!F102</f>
        <v>TEST</v>
      </c>
      <c r="H395" s="44" t="str">
        <f>'Pod Library'!G102</f>
        <v>E2</v>
      </c>
      <c r="I395" s="44" t="str">
        <f>'Pod Library'!H102</f>
        <v>OFF</v>
      </c>
      <c r="J395" s="44" t="str">
        <f>'Pod Library'!I102</f>
        <v>FTC</v>
      </c>
      <c r="K395" s="9">
        <f>'Pod Library'!J102</f>
        <v>0.39</v>
      </c>
      <c r="L395" s="13">
        <f>'Pod Plan'!E29</f>
        <v>16</v>
      </c>
      <c r="M395" s="46">
        <f t="shared" si="6"/>
        <v>6.24</v>
      </c>
      <c r="N395" s="46">
        <f>M395*INDEX('Logic Tree'!$J$75:$N$77,MATCH(I395,'Logic Tree'!$I$75:$I$77,0),MATCH(H395,'Logic Tree'!$J$74:$N$74,0))</f>
        <v>1.8719999999999999</v>
      </c>
    </row>
    <row r="396" spans="2:14" ht="15" customHeight="1">
      <c r="B396" s="19">
        <v>5</v>
      </c>
      <c r="C396" s="11" t="s">
        <v>444</v>
      </c>
      <c r="D396" s="36" t="s">
        <v>313</v>
      </c>
      <c r="E396" s="36" t="s">
        <v>444</v>
      </c>
      <c r="F396" s="49" t="str">
        <f>'Pod Library'!E103</f>
        <v>Quality Engineer (SDET)</v>
      </c>
      <c r="G396" s="44" t="str">
        <f>'Pod Library'!F103</f>
        <v>TEST</v>
      </c>
      <c r="H396" s="44" t="str">
        <f>'Pod Library'!G103</f>
        <v>E3</v>
      </c>
      <c r="I396" s="44" t="str">
        <f>'Pod Library'!H103</f>
        <v>OFF</v>
      </c>
      <c r="J396" s="44" t="str">
        <f>'Pod Library'!I103</f>
        <v>FTC</v>
      </c>
      <c r="K396" s="9">
        <f>'Pod Library'!J103</f>
        <v>0.53030303030303005</v>
      </c>
      <c r="L396" s="13">
        <f>'Pod Plan'!E29</f>
        <v>16</v>
      </c>
      <c r="M396" s="46">
        <f t="shared" si="6"/>
        <v>8.4848484848484809</v>
      </c>
      <c r="N396" s="46">
        <f>M396*INDEX('Logic Tree'!$J$75:$N$77,MATCH(I396,'Logic Tree'!$I$75:$I$77,0),MATCH(H396,'Logic Tree'!$J$74:$N$74,0))</f>
        <v>3.5636363636363617</v>
      </c>
    </row>
    <row r="397" spans="2:14" ht="15" customHeight="1">
      <c r="B397" s="19">
        <v>5</v>
      </c>
      <c r="C397" s="11" t="s">
        <v>444</v>
      </c>
      <c r="D397" s="36" t="s">
        <v>313</v>
      </c>
      <c r="E397" s="36" t="s">
        <v>444</v>
      </c>
      <c r="F397" s="49" t="str">
        <f>'Pod Library'!E104</f>
        <v>Quality Engineer (SDET)</v>
      </c>
      <c r="G397" s="44" t="str">
        <f>'Pod Library'!F104</f>
        <v>TEST</v>
      </c>
      <c r="H397" s="44" t="str">
        <f>'Pod Library'!G104</f>
        <v>E4</v>
      </c>
      <c r="I397" s="44" t="str">
        <f>'Pod Library'!H104</f>
        <v>OFF</v>
      </c>
      <c r="J397" s="44" t="str">
        <f>'Pod Library'!I104</f>
        <v>FTC</v>
      </c>
      <c r="K397" s="9">
        <f>'Pod Library'!J104</f>
        <v>0.39</v>
      </c>
      <c r="L397" s="13">
        <f>'Pod Plan'!E29</f>
        <v>16</v>
      </c>
      <c r="M397" s="46">
        <f t="shared" si="6"/>
        <v>6.24</v>
      </c>
      <c r="N397" s="46">
        <f>M397*INDEX('Logic Tree'!$J$75:$N$77,MATCH(I397,'Logic Tree'!$I$75:$I$77,0),MATCH(H397,'Logic Tree'!$J$74:$N$74,0))</f>
        <v>3.7439999999999998</v>
      </c>
    </row>
    <row r="398" spans="2:14" ht="15" customHeight="1">
      <c r="B398" s="19">
        <v>5</v>
      </c>
      <c r="C398" s="11" t="s">
        <v>444</v>
      </c>
      <c r="D398" s="36" t="s">
        <v>313</v>
      </c>
      <c r="E398" s="36" t="s">
        <v>444</v>
      </c>
      <c r="F398" s="49" t="str">
        <f>'Pod Library'!E105</f>
        <v>Application Support</v>
      </c>
      <c r="G398" s="44" t="str">
        <f>'Pod Library'!F105</f>
        <v>MNT</v>
      </c>
      <c r="H398" s="44" t="str">
        <f>'Pod Library'!G105</f>
        <v>E1</v>
      </c>
      <c r="I398" s="44" t="str">
        <f>'Pod Library'!H105</f>
        <v>OFF</v>
      </c>
      <c r="J398" s="44" t="str">
        <f>'Pod Library'!I105</f>
        <v>FTC</v>
      </c>
      <c r="K398" s="9">
        <f>'Pod Library'!J105</f>
        <v>0.15</v>
      </c>
      <c r="L398" s="13">
        <f>'Pod Plan'!E29</f>
        <v>16</v>
      </c>
      <c r="M398" s="46">
        <f t="shared" si="6"/>
        <v>2.4</v>
      </c>
      <c r="N398" s="46">
        <f>M398*INDEX('Logic Tree'!$J$75:$N$77,MATCH(I398,'Logic Tree'!$I$75:$I$77,0),MATCH(H398,'Logic Tree'!$J$74:$N$74,0))</f>
        <v>0.52800000000000002</v>
      </c>
    </row>
    <row r="399" spans="2:14" ht="15" customHeight="1">
      <c r="B399" s="19">
        <v>5</v>
      </c>
      <c r="C399" s="11" t="s">
        <v>444</v>
      </c>
      <c r="D399" s="36" t="s">
        <v>313</v>
      </c>
      <c r="E399" s="36" t="s">
        <v>444</v>
      </c>
      <c r="F399" s="49" t="str">
        <f>'Pod Library'!E106</f>
        <v>Application Support</v>
      </c>
      <c r="G399" s="44" t="str">
        <f>'Pod Library'!F106</f>
        <v>MNT</v>
      </c>
      <c r="H399" s="44" t="str">
        <f>'Pod Library'!G106</f>
        <v>E2</v>
      </c>
      <c r="I399" s="44" t="str">
        <f>'Pod Library'!H106</f>
        <v>OFF</v>
      </c>
      <c r="J399" s="44" t="str">
        <f>'Pod Library'!I106</f>
        <v>FTC</v>
      </c>
      <c r="K399" s="9">
        <f>'Pod Library'!J106</f>
        <v>0.05</v>
      </c>
      <c r="L399" s="13">
        <f>'Pod Plan'!E29</f>
        <v>16</v>
      </c>
      <c r="M399" s="46">
        <f t="shared" si="6"/>
        <v>0.8</v>
      </c>
      <c r="N399" s="46">
        <f>M399*INDEX('Logic Tree'!$J$75:$N$77,MATCH(I399,'Logic Tree'!$I$75:$I$77,0),MATCH(H399,'Logic Tree'!$J$74:$N$74,0))</f>
        <v>0.24</v>
      </c>
    </row>
    <row r="400" spans="2:14" ht="15" customHeight="1">
      <c r="B400" s="19">
        <v>5</v>
      </c>
      <c r="C400" s="11" t="s">
        <v>444</v>
      </c>
      <c r="D400" s="36" t="s">
        <v>314</v>
      </c>
      <c r="E400" s="36" t="s">
        <v>444</v>
      </c>
      <c r="F400" s="49" t="str">
        <f>'Pod Library'!E94</f>
        <v>MetLife Product Owner</v>
      </c>
      <c r="G400" s="44" t="str">
        <f>'Pod Library'!F94</f>
        <v>PM</v>
      </c>
      <c r="H400" s="44" t="str">
        <f>'Pod Library'!G94</f>
        <v>E4</v>
      </c>
      <c r="I400" s="44" t="str">
        <f>'Pod Library'!H94</f>
        <v>ON</v>
      </c>
      <c r="J400" s="44" t="str">
        <f>'Pod Library'!I94</f>
        <v>FTE</v>
      </c>
      <c r="K400" s="9">
        <f>'Pod Library'!J94</f>
        <v>0.72727272727272696</v>
      </c>
      <c r="L400" s="13">
        <f>'Pod Plan'!E30</f>
        <v>12</v>
      </c>
      <c r="M400" s="46">
        <f t="shared" si="6"/>
        <v>8.7272727272727231</v>
      </c>
      <c r="N400" s="46">
        <f>M400*INDEX('Logic Tree'!$J$75:$N$77,MATCH(I400,'Logic Tree'!$I$75:$I$77,0),MATCH(H400,'Logic Tree'!$J$74:$N$74,0))</f>
        <v>16.145454545454538</v>
      </c>
    </row>
    <row r="401" spans="2:14" ht="15" customHeight="1">
      <c r="B401" s="19">
        <v>5</v>
      </c>
      <c r="C401" s="11" t="s">
        <v>444</v>
      </c>
      <c r="D401" s="36" t="s">
        <v>314</v>
      </c>
      <c r="E401" s="36" t="s">
        <v>444</v>
      </c>
      <c r="F401" s="49" t="str">
        <f>'Pod Library'!E95</f>
        <v>MetLife Domain SME</v>
      </c>
      <c r="G401" s="44" t="str">
        <f>'Pod Library'!F95</f>
        <v>BSA</v>
      </c>
      <c r="H401" s="44" t="str">
        <f>'Pod Library'!G95</f>
        <v>E4</v>
      </c>
      <c r="I401" s="44" t="str">
        <f>'Pod Library'!H95</f>
        <v>ON</v>
      </c>
      <c r="J401" s="44" t="str">
        <f>'Pod Library'!I95</f>
        <v>FTE</v>
      </c>
      <c r="K401" s="9">
        <f>'Pod Library'!J95</f>
        <v>0.5</v>
      </c>
      <c r="L401" s="13">
        <f>'Pod Plan'!E30</f>
        <v>12</v>
      </c>
      <c r="M401" s="46">
        <f t="shared" si="6"/>
        <v>6</v>
      </c>
      <c r="N401" s="46">
        <f>M401*INDEX('Logic Tree'!$J$75:$N$77,MATCH(I401,'Logic Tree'!$I$75:$I$77,0),MATCH(H401,'Logic Tree'!$J$74:$N$74,0))</f>
        <v>11.100000000000001</v>
      </c>
    </row>
    <row r="402" spans="2:14" ht="15" customHeight="1">
      <c r="B402" s="19">
        <v>5</v>
      </c>
      <c r="C402" s="11" t="s">
        <v>444</v>
      </c>
      <c r="D402" s="36" t="s">
        <v>314</v>
      </c>
      <c r="E402" s="36" t="s">
        <v>444</v>
      </c>
      <c r="F402" s="49" t="str">
        <f>'Pod Library'!E96</f>
        <v>MGCC Engineer</v>
      </c>
      <c r="G402" s="44" t="str">
        <f>'Pod Library'!F96</f>
        <v>DEV</v>
      </c>
      <c r="H402" s="44" t="str">
        <f>'Pod Library'!G96</f>
        <v>E3</v>
      </c>
      <c r="I402" s="44" t="str">
        <f>'Pod Library'!H96</f>
        <v>OFF</v>
      </c>
      <c r="J402" s="44" t="str">
        <f>'Pod Library'!I96</f>
        <v>MGCC</v>
      </c>
      <c r="K402" s="9">
        <f>'Pod Library'!J96</f>
        <v>1.34848484848485</v>
      </c>
      <c r="L402" s="13">
        <f>'Pod Plan'!E30</f>
        <v>12</v>
      </c>
      <c r="M402" s="46">
        <f t="shared" si="6"/>
        <v>16.181818181818201</v>
      </c>
      <c r="N402" s="46">
        <f>M402*INDEX('Logic Tree'!$J$75:$N$77,MATCH(I402,'Logic Tree'!$I$75:$I$77,0),MATCH(H402,'Logic Tree'!$J$74:$N$74,0))</f>
        <v>6.7963636363636439</v>
      </c>
    </row>
    <row r="403" spans="2:14" ht="15" customHeight="1">
      <c r="B403" s="19">
        <v>5</v>
      </c>
      <c r="C403" s="11" t="s">
        <v>444</v>
      </c>
      <c r="D403" s="36" t="s">
        <v>314</v>
      </c>
      <c r="E403" s="36" t="s">
        <v>444</v>
      </c>
      <c r="F403" s="49" t="str">
        <f>'Pod Library'!E97</f>
        <v>Business Analyst (bilingual)</v>
      </c>
      <c r="G403" s="44" t="str">
        <f>'Pod Library'!F97</f>
        <v>BSA</v>
      </c>
      <c r="H403" s="44" t="str">
        <f>'Pod Library'!G97</f>
        <v>E3</v>
      </c>
      <c r="I403" s="44" t="str">
        <f>'Pod Library'!H97</f>
        <v>ON</v>
      </c>
      <c r="J403" s="44" t="str">
        <f>'Pod Library'!I97</f>
        <v>FTC</v>
      </c>
      <c r="K403" s="9">
        <f>'Pod Library'!J97</f>
        <v>0.08</v>
      </c>
      <c r="L403" s="13">
        <f>'Pod Plan'!E30</f>
        <v>12</v>
      </c>
      <c r="M403" s="46">
        <f t="shared" si="6"/>
        <v>0.96</v>
      </c>
      <c r="N403" s="46">
        <f>M403*INDEX('Logic Tree'!$J$75:$N$77,MATCH(I403,'Logic Tree'!$I$75:$I$77,0),MATCH(H403,'Logic Tree'!$J$74:$N$74,0))</f>
        <v>1.296</v>
      </c>
    </row>
    <row r="404" spans="2:14" ht="15" customHeight="1">
      <c r="B404" s="19">
        <v>5</v>
      </c>
      <c r="C404" s="11" t="s">
        <v>444</v>
      </c>
      <c r="D404" s="36" t="s">
        <v>314</v>
      </c>
      <c r="E404" s="36" t="s">
        <v>444</v>
      </c>
      <c r="F404" s="49" t="str">
        <f>'Pod Library'!E98</f>
        <v>Pod lead (onshore)</v>
      </c>
      <c r="G404" s="44" t="str">
        <f>'Pod Library'!F98</f>
        <v>DEV</v>
      </c>
      <c r="H404" s="44" t="str">
        <f>'Pod Library'!G98</f>
        <v>E4</v>
      </c>
      <c r="I404" s="44" t="str">
        <f>'Pod Library'!H98</f>
        <v>ON</v>
      </c>
      <c r="J404" s="44" t="str">
        <f>'Pod Library'!I98</f>
        <v>FTC</v>
      </c>
      <c r="K404" s="9">
        <f>'Pod Library'!J98</f>
        <v>3.03030303030303E-2</v>
      </c>
      <c r="L404" s="13">
        <f>'Pod Plan'!E30</f>
        <v>12</v>
      </c>
      <c r="M404" s="46">
        <f t="shared" si="6"/>
        <v>0.36363636363636359</v>
      </c>
      <c r="N404" s="46">
        <f>M404*INDEX('Logic Tree'!$J$75:$N$77,MATCH(I404,'Logic Tree'!$I$75:$I$77,0),MATCH(H404,'Logic Tree'!$J$74:$N$74,0))</f>
        <v>0.67272727272727273</v>
      </c>
    </row>
    <row r="405" spans="2:14" ht="15" customHeight="1">
      <c r="B405" s="19">
        <v>5</v>
      </c>
      <c r="C405" s="11" t="s">
        <v>444</v>
      </c>
      <c r="D405" s="36" t="s">
        <v>314</v>
      </c>
      <c r="E405" s="36" t="s">
        <v>444</v>
      </c>
      <c r="F405" s="49" t="str">
        <f>'Pod Library'!E99</f>
        <v>Pod lead / senior engineer</v>
      </c>
      <c r="G405" s="44" t="str">
        <f>'Pod Library'!F99</f>
        <v>DEV</v>
      </c>
      <c r="H405" s="44" t="str">
        <f>'Pod Library'!G99</f>
        <v>E4</v>
      </c>
      <c r="I405" s="44" t="str">
        <f>'Pod Library'!H99</f>
        <v>OFF</v>
      </c>
      <c r="J405" s="44" t="str">
        <f>'Pod Library'!I99</f>
        <v>FTC</v>
      </c>
      <c r="K405" s="9">
        <f>'Pod Library'!J99</f>
        <v>0.45</v>
      </c>
      <c r="L405" s="13">
        <f>'Pod Plan'!E30</f>
        <v>12</v>
      </c>
      <c r="M405" s="46">
        <f t="shared" si="6"/>
        <v>5.4</v>
      </c>
      <c r="N405" s="46">
        <f>M405*INDEX('Logic Tree'!$J$75:$N$77,MATCH(I405,'Logic Tree'!$I$75:$I$77,0),MATCH(H405,'Logic Tree'!$J$74:$N$74,0))</f>
        <v>3.24</v>
      </c>
    </row>
    <row r="406" spans="2:14" ht="15" customHeight="1">
      <c r="B406" s="19">
        <v>5</v>
      </c>
      <c r="C406" s="11" t="s">
        <v>444</v>
      </c>
      <c r="D406" s="36" t="s">
        <v>314</v>
      </c>
      <c r="E406" s="36" t="s">
        <v>444</v>
      </c>
      <c r="F406" s="49" t="str">
        <f>'Pod Library'!E100</f>
        <v>AI Orchestrator</v>
      </c>
      <c r="G406" s="44" t="str">
        <f>'Pod Library'!F100</f>
        <v>OTH</v>
      </c>
      <c r="H406" s="44" t="str">
        <f>'Pod Library'!G100</f>
        <v>E4</v>
      </c>
      <c r="I406" s="44" t="str">
        <f>'Pod Library'!H100</f>
        <v>OFF</v>
      </c>
      <c r="J406" s="44" t="str">
        <f>'Pod Library'!I100</f>
        <v>FTC</v>
      </c>
      <c r="K406" s="9">
        <f>'Pod Library'!J100</f>
        <v>0.37878787878787901</v>
      </c>
      <c r="L406" s="13">
        <f>'Pod Plan'!E30</f>
        <v>12</v>
      </c>
      <c r="M406" s="46">
        <f t="shared" si="6"/>
        <v>4.5454545454545485</v>
      </c>
      <c r="N406" s="46">
        <f>M406*INDEX('Logic Tree'!$J$75:$N$77,MATCH(I406,'Logic Tree'!$I$75:$I$77,0),MATCH(H406,'Logic Tree'!$J$74:$N$74,0))</f>
        <v>2.7272727272727288</v>
      </c>
    </row>
    <row r="407" spans="2:14" ht="15" customHeight="1">
      <c r="B407" s="19">
        <v>5</v>
      </c>
      <c r="C407" s="11" t="s">
        <v>444</v>
      </c>
      <c r="D407" s="36" t="s">
        <v>314</v>
      </c>
      <c r="E407" s="36" t="s">
        <v>444</v>
      </c>
      <c r="F407" s="49" t="str">
        <f>'Pod Library'!E101</f>
        <v>Agent engineer</v>
      </c>
      <c r="G407" s="44" t="str">
        <f>'Pod Library'!F101</f>
        <v>DEV</v>
      </c>
      <c r="H407" s="44" t="str">
        <f>'Pod Library'!G101</f>
        <v>E4</v>
      </c>
      <c r="I407" s="44" t="str">
        <f>'Pod Library'!H101</f>
        <v>OFF</v>
      </c>
      <c r="J407" s="44" t="str">
        <f>'Pod Library'!I101</f>
        <v>FTC</v>
      </c>
      <c r="K407" s="9">
        <f>'Pod Library'!J101</f>
        <v>0.83</v>
      </c>
      <c r="L407" s="13">
        <f>'Pod Plan'!E30</f>
        <v>12</v>
      </c>
      <c r="M407" s="46">
        <f t="shared" si="6"/>
        <v>9.9599999999999991</v>
      </c>
      <c r="N407" s="46">
        <f>M407*INDEX('Logic Tree'!$J$75:$N$77,MATCH(I407,'Logic Tree'!$I$75:$I$77,0),MATCH(H407,'Logic Tree'!$J$74:$N$74,0))</f>
        <v>5.9759999999999991</v>
      </c>
    </row>
    <row r="408" spans="2:14" ht="15" customHeight="1">
      <c r="B408" s="19">
        <v>5</v>
      </c>
      <c r="C408" s="11" t="s">
        <v>444</v>
      </c>
      <c r="D408" s="36" t="s">
        <v>314</v>
      </c>
      <c r="E408" s="36" t="s">
        <v>444</v>
      </c>
      <c r="F408" s="49" t="str">
        <f>'Pod Library'!E102</f>
        <v>Quality Engineer (SDET)</v>
      </c>
      <c r="G408" s="44" t="str">
        <f>'Pod Library'!F102</f>
        <v>TEST</v>
      </c>
      <c r="H408" s="44" t="str">
        <f>'Pod Library'!G102</f>
        <v>E2</v>
      </c>
      <c r="I408" s="44" t="str">
        <f>'Pod Library'!H102</f>
        <v>OFF</v>
      </c>
      <c r="J408" s="44" t="str">
        <f>'Pod Library'!I102</f>
        <v>FTC</v>
      </c>
      <c r="K408" s="9">
        <f>'Pod Library'!J102</f>
        <v>0.39</v>
      </c>
      <c r="L408" s="13">
        <f>'Pod Plan'!E30</f>
        <v>12</v>
      </c>
      <c r="M408" s="46">
        <f t="shared" si="6"/>
        <v>4.68</v>
      </c>
      <c r="N408" s="46">
        <f>M408*INDEX('Logic Tree'!$J$75:$N$77,MATCH(I408,'Logic Tree'!$I$75:$I$77,0),MATCH(H408,'Logic Tree'!$J$74:$N$74,0))</f>
        <v>1.4039999999999999</v>
      </c>
    </row>
    <row r="409" spans="2:14" ht="15" customHeight="1">
      <c r="B409" s="19">
        <v>5</v>
      </c>
      <c r="C409" s="11" t="s">
        <v>444</v>
      </c>
      <c r="D409" s="36" t="s">
        <v>314</v>
      </c>
      <c r="E409" s="36" t="s">
        <v>444</v>
      </c>
      <c r="F409" s="49" t="str">
        <f>'Pod Library'!E103</f>
        <v>Quality Engineer (SDET)</v>
      </c>
      <c r="G409" s="44" t="str">
        <f>'Pod Library'!F103</f>
        <v>TEST</v>
      </c>
      <c r="H409" s="44" t="str">
        <f>'Pod Library'!G103</f>
        <v>E3</v>
      </c>
      <c r="I409" s="44" t="str">
        <f>'Pod Library'!H103</f>
        <v>OFF</v>
      </c>
      <c r="J409" s="44" t="str">
        <f>'Pod Library'!I103</f>
        <v>FTC</v>
      </c>
      <c r="K409" s="9">
        <f>'Pod Library'!J103</f>
        <v>0.53030303030303005</v>
      </c>
      <c r="L409" s="13">
        <f>'Pod Plan'!E30</f>
        <v>12</v>
      </c>
      <c r="M409" s="46">
        <f t="shared" si="6"/>
        <v>6.3636363636363606</v>
      </c>
      <c r="N409" s="46">
        <f>M409*INDEX('Logic Tree'!$J$75:$N$77,MATCH(I409,'Logic Tree'!$I$75:$I$77,0),MATCH(H409,'Logic Tree'!$J$74:$N$74,0))</f>
        <v>2.6727272727272715</v>
      </c>
    </row>
    <row r="410" spans="2:14" ht="15" customHeight="1">
      <c r="B410" s="19">
        <v>5</v>
      </c>
      <c r="C410" s="11" t="s">
        <v>444</v>
      </c>
      <c r="D410" s="36" t="s">
        <v>314</v>
      </c>
      <c r="E410" s="36" t="s">
        <v>444</v>
      </c>
      <c r="F410" s="49" t="str">
        <f>'Pod Library'!E104</f>
        <v>Quality Engineer (SDET)</v>
      </c>
      <c r="G410" s="44" t="str">
        <f>'Pod Library'!F104</f>
        <v>TEST</v>
      </c>
      <c r="H410" s="44" t="str">
        <f>'Pod Library'!G104</f>
        <v>E4</v>
      </c>
      <c r="I410" s="44" t="str">
        <f>'Pod Library'!H104</f>
        <v>OFF</v>
      </c>
      <c r="J410" s="44" t="str">
        <f>'Pod Library'!I104</f>
        <v>FTC</v>
      </c>
      <c r="K410" s="9">
        <f>'Pod Library'!J104</f>
        <v>0.39</v>
      </c>
      <c r="L410" s="13">
        <f>'Pod Plan'!E30</f>
        <v>12</v>
      </c>
      <c r="M410" s="46">
        <f t="shared" si="6"/>
        <v>4.68</v>
      </c>
      <c r="N410" s="46">
        <f>M410*INDEX('Logic Tree'!$J$75:$N$77,MATCH(I410,'Logic Tree'!$I$75:$I$77,0),MATCH(H410,'Logic Tree'!$J$74:$N$74,0))</f>
        <v>2.8079999999999998</v>
      </c>
    </row>
    <row r="411" spans="2:14" ht="15" customHeight="1">
      <c r="B411" s="19">
        <v>5</v>
      </c>
      <c r="C411" s="11" t="s">
        <v>444</v>
      </c>
      <c r="D411" s="36" t="s">
        <v>314</v>
      </c>
      <c r="E411" s="36" t="s">
        <v>444</v>
      </c>
      <c r="F411" s="49" t="str">
        <f>'Pod Library'!E105</f>
        <v>Application Support</v>
      </c>
      <c r="G411" s="44" t="str">
        <f>'Pod Library'!F105</f>
        <v>MNT</v>
      </c>
      <c r="H411" s="44" t="str">
        <f>'Pod Library'!G105</f>
        <v>E1</v>
      </c>
      <c r="I411" s="44" t="str">
        <f>'Pod Library'!H105</f>
        <v>OFF</v>
      </c>
      <c r="J411" s="44" t="str">
        <f>'Pod Library'!I105</f>
        <v>FTC</v>
      </c>
      <c r="K411" s="9">
        <f>'Pod Library'!J105</f>
        <v>0.15</v>
      </c>
      <c r="L411" s="13">
        <f>'Pod Plan'!E30</f>
        <v>12</v>
      </c>
      <c r="M411" s="46">
        <f t="shared" si="6"/>
        <v>1.7999999999999998</v>
      </c>
      <c r="N411" s="46">
        <f>M411*INDEX('Logic Tree'!$J$75:$N$77,MATCH(I411,'Logic Tree'!$I$75:$I$77,0),MATCH(H411,'Logic Tree'!$J$74:$N$74,0))</f>
        <v>0.39599999999999996</v>
      </c>
    </row>
    <row r="412" spans="2:14" ht="15" customHeight="1">
      <c r="B412" s="19">
        <v>5</v>
      </c>
      <c r="C412" s="11" t="s">
        <v>444</v>
      </c>
      <c r="D412" s="36" t="s">
        <v>314</v>
      </c>
      <c r="E412" s="36" t="s">
        <v>444</v>
      </c>
      <c r="F412" s="49" t="str">
        <f>'Pod Library'!E106</f>
        <v>Application Support</v>
      </c>
      <c r="G412" s="44" t="str">
        <f>'Pod Library'!F106</f>
        <v>MNT</v>
      </c>
      <c r="H412" s="44" t="str">
        <f>'Pod Library'!G106</f>
        <v>E2</v>
      </c>
      <c r="I412" s="44" t="str">
        <f>'Pod Library'!H106</f>
        <v>OFF</v>
      </c>
      <c r="J412" s="44" t="str">
        <f>'Pod Library'!I106</f>
        <v>FTC</v>
      </c>
      <c r="K412" s="9">
        <f>'Pod Library'!J106</f>
        <v>0.05</v>
      </c>
      <c r="L412" s="13">
        <f>'Pod Plan'!E30</f>
        <v>12</v>
      </c>
      <c r="M412" s="46">
        <f t="shared" si="6"/>
        <v>0.60000000000000009</v>
      </c>
      <c r="N412" s="46">
        <f>M412*INDEX('Logic Tree'!$J$75:$N$77,MATCH(I412,'Logic Tree'!$I$75:$I$77,0),MATCH(H412,'Logic Tree'!$J$74:$N$74,0))</f>
        <v>0.18000000000000002</v>
      </c>
    </row>
    <row r="413" spans="2:14" ht="15" customHeight="1">
      <c r="B413" s="19">
        <v>5</v>
      </c>
      <c r="C413" s="11" t="s">
        <v>444</v>
      </c>
      <c r="D413" s="36" t="s">
        <v>315</v>
      </c>
      <c r="E413" s="36" t="s">
        <v>444</v>
      </c>
      <c r="F413" s="49" t="str">
        <f>'Pod Library'!E94</f>
        <v>MetLife Product Owner</v>
      </c>
      <c r="G413" s="44" t="str">
        <f>'Pod Library'!F94</f>
        <v>PM</v>
      </c>
      <c r="H413" s="44" t="str">
        <f>'Pod Library'!G94</f>
        <v>E4</v>
      </c>
      <c r="I413" s="44" t="str">
        <f>'Pod Library'!H94</f>
        <v>ON</v>
      </c>
      <c r="J413" s="44" t="str">
        <f>'Pod Library'!I94</f>
        <v>FTE</v>
      </c>
      <c r="K413" s="9">
        <f>'Pod Library'!J94</f>
        <v>0.72727272727272696</v>
      </c>
      <c r="L413" s="13">
        <f>'Pod Plan'!E31</f>
        <v>3</v>
      </c>
      <c r="M413" s="46">
        <f t="shared" si="6"/>
        <v>2.1818181818181808</v>
      </c>
      <c r="N413" s="46">
        <f>M413*INDEX('Logic Tree'!$J$75:$N$77,MATCH(I413,'Logic Tree'!$I$75:$I$77,0),MATCH(H413,'Logic Tree'!$J$74:$N$74,0))</f>
        <v>4.0363636363636344</v>
      </c>
    </row>
    <row r="414" spans="2:14" ht="15" customHeight="1">
      <c r="B414" s="19">
        <v>5</v>
      </c>
      <c r="C414" s="11" t="s">
        <v>444</v>
      </c>
      <c r="D414" s="36" t="s">
        <v>315</v>
      </c>
      <c r="E414" s="36" t="s">
        <v>444</v>
      </c>
      <c r="F414" s="49" t="str">
        <f>'Pod Library'!E95</f>
        <v>MetLife Domain SME</v>
      </c>
      <c r="G414" s="44" t="str">
        <f>'Pod Library'!F95</f>
        <v>BSA</v>
      </c>
      <c r="H414" s="44" t="str">
        <f>'Pod Library'!G95</f>
        <v>E4</v>
      </c>
      <c r="I414" s="44" t="str">
        <f>'Pod Library'!H95</f>
        <v>ON</v>
      </c>
      <c r="J414" s="44" t="str">
        <f>'Pod Library'!I95</f>
        <v>FTE</v>
      </c>
      <c r="K414" s="9">
        <f>'Pod Library'!J95</f>
        <v>0.5</v>
      </c>
      <c r="L414" s="13">
        <f>'Pod Plan'!E31</f>
        <v>3</v>
      </c>
      <c r="M414" s="46">
        <f t="shared" si="6"/>
        <v>1.5</v>
      </c>
      <c r="N414" s="46">
        <f>M414*INDEX('Logic Tree'!$J$75:$N$77,MATCH(I414,'Logic Tree'!$I$75:$I$77,0),MATCH(H414,'Logic Tree'!$J$74:$N$74,0))</f>
        <v>2.7750000000000004</v>
      </c>
    </row>
    <row r="415" spans="2:14" ht="15" customHeight="1">
      <c r="B415" s="19">
        <v>5</v>
      </c>
      <c r="C415" s="11" t="s">
        <v>444</v>
      </c>
      <c r="D415" s="36" t="s">
        <v>315</v>
      </c>
      <c r="E415" s="36" t="s">
        <v>444</v>
      </c>
      <c r="F415" s="49" t="str">
        <f>'Pod Library'!E96</f>
        <v>MGCC Engineer</v>
      </c>
      <c r="G415" s="44" t="str">
        <f>'Pod Library'!F96</f>
        <v>DEV</v>
      </c>
      <c r="H415" s="44" t="str">
        <f>'Pod Library'!G96</f>
        <v>E3</v>
      </c>
      <c r="I415" s="44" t="str">
        <f>'Pod Library'!H96</f>
        <v>OFF</v>
      </c>
      <c r="J415" s="44" t="str">
        <f>'Pod Library'!I96</f>
        <v>MGCC</v>
      </c>
      <c r="K415" s="9">
        <f>'Pod Library'!J96</f>
        <v>1.34848484848485</v>
      </c>
      <c r="L415" s="13">
        <f>'Pod Plan'!E31</f>
        <v>3</v>
      </c>
      <c r="M415" s="46">
        <f t="shared" si="6"/>
        <v>4.0454545454545503</v>
      </c>
      <c r="N415" s="46">
        <f>M415*INDEX('Logic Tree'!$J$75:$N$77,MATCH(I415,'Logic Tree'!$I$75:$I$77,0),MATCH(H415,'Logic Tree'!$J$74:$N$74,0))</f>
        <v>1.699090909090911</v>
      </c>
    </row>
    <row r="416" spans="2:14" ht="15" customHeight="1">
      <c r="B416" s="19">
        <v>5</v>
      </c>
      <c r="C416" s="11" t="s">
        <v>444</v>
      </c>
      <c r="D416" s="36" t="s">
        <v>315</v>
      </c>
      <c r="E416" s="36" t="s">
        <v>444</v>
      </c>
      <c r="F416" s="49" t="str">
        <f>'Pod Library'!E97</f>
        <v>Business Analyst (bilingual)</v>
      </c>
      <c r="G416" s="44" t="str">
        <f>'Pod Library'!F97</f>
        <v>BSA</v>
      </c>
      <c r="H416" s="44" t="str">
        <f>'Pod Library'!G97</f>
        <v>E3</v>
      </c>
      <c r="I416" s="44" t="str">
        <f>'Pod Library'!H97</f>
        <v>ON</v>
      </c>
      <c r="J416" s="44" t="str">
        <f>'Pod Library'!I97</f>
        <v>FTC</v>
      </c>
      <c r="K416" s="9">
        <f>'Pod Library'!J97</f>
        <v>0.08</v>
      </c>
      <c r="L416" s="13">
        <f>'Pod Plan'!E31</f>
        <v>3</v>
      </c>
      <c r="M416" s="46">
        <f t="shared" si="6"/>
        <v>0.24</v>
      </c>
      <c r="N416" s="46">
        <f>M416*INDEX('Logic Tree'!$J$75:$N$77,MATCH(I416,'Logic Tree'!$I$75:$I$77,0),MATCH(H416,'Logic Tree'!$J$74:$N$74,0))</f>
        <v>0.32400000000000001</v>
      </c>
    </row>
    <row r="417" spans="2:14" ht="15" customHeight="1">
      <c r="B417" s="19">
        <v>5</v>
      </c>
      <c r="C417" s="11" t="s">
        <v>444</v>
      </c>
      <c r="D417" s="36" t="s">
        <v>315</v>
      </c>
      <c r="E417" s="36" t="s">
        <v>444</v>
      </c>
      <c r="F417" s="49" t="str">
        <f>'Pod Library'!E98</f>
        <v>Pod lead (onshore)</v>
      </c>
      <c r="G417" s="44" t="str">
        <f>'Pod Library'!F98</f>
        <v>DEV</v>
      </c>
      <c r="H417" s="44" t="str">
        <f>'Pod Library'!G98</f>
        <v>E4</v>
      </c>
      <c r="I417" s="44" t="str">
        <f>'Pod Library'!H98</f>
        <v>ON</v>
      </c>
      <c r="J417" s="44" t="str">
        <f>'Pod Library'!I98</f>
        <v>FTC</v>
      </c>
      <c r="K417" s="9">
        <f>'Pod Library'!J98</f>
        <v>3.03030303030303E-2</v>
      </c>
      <c r="L417" s="13">
        <f>'Pod Plan'!E31</f>
        <v>3</v>
      </c>
      <c r="M417" s="46">
        <f t="shared" si="6"/>
        <v>9.0909090909090898E-2</v>
      </c>
      <c r="N417" s="46">
        <f>M417*INDEX('Logic Tree'!$J$75:$N$77,MATCH(I417,'Logic Tree'!$I$75:$I$77,0),MATCH(H417,'Logic Tree'!$J$74:$N$74,0))</f>
        <v>0.16818181818181818</v>
      </c>
    </row>
    <row r="418" spans="2:14" ht="15" customHeight="1">
      <c r="B418" s="19">
        <v>5</v>
      </c>
      <c r="C418" s="11" t="s">
        <v>444</v>
      </c>
      <c r="D418" s="36" t="s">
        <v>315</v>
      </c>
      <c r="E418" s="36" t="s">
        <v>444</v>
      </c>
      <c r="F418" s="49" t="str">
        <f>'Pod Library'!E99</f>
        <v>Pod lead / senior engineer</v>
      </c>
      <c r="G418" s="44" t="str">
        <f>'Pod Library'!F99</f>
        <v>DEV</v>
      </c>
      <c r="H418" s="44" t="str">
        <f>'Pod Library'!G99</f>
        <v>E4</v>
      </c>
      <c r="I418" s="44" t="str">
        <f>'Pod Library'!H99</f>
        <v>OFF</v>
      </c>
      <c r="J418" s="44" t="str">
        <f>'Pod Library'!I99</f>
        <v>FTC</v>
      </c>
      <c r="K418" s="9">
        <f>'Pod Library'!J99</f>
        <v>0.45</v>
      </c>
      <c r="L418" s="13">
        <f>'Pod Plan'!E31</f>
        <v>3</v>
      </c>
      <c r="M418" s="46">
        <f t="shared" si="6"/>
        <v>1.35</v>
      </c>
      <c r="N418" s="46">
        <f>M418*INDEX('Logic Tree'!$J$75:$N$77,MATCH(I418,'Logic Tree'!$I$75:$I$77,0),MATCH(H418,'Logic Tree'!$J$74:$N$74,0))</f>
        <v>0.81</v>
      </c>
    </row>
    <row r="419" spans="2:14" ht="15" customHeight="1">
      <c r="B419" s="19">
        <v>5</v>
      </c>
      <c r="C419" s="11" t="s">
        <v>444</v>
      </c>
      <c r="D419" s="36" t="s">
        <v>315</v>
      </c>
      <c r="E419" s="36" t="s">
        <v>444</v>
      </c>
      <c r="F419" s="49" t="str">
        <f>'Pod Library'!E100</f>
        <v>AI Orchestrator</v>
      </c>
      <c r="G419" s="44" t="str">
        <f>'Pod Library'!F100</f>
        <v>OTH</v>
      </c>
      <c r="H419" s="44" t="str">
        <f>'Pod Library'!G100</f>
        <v>E4</v>
      </c>
      <c r="I419" s="44" t="str">
        <f>'Pod Library'!H100</f>
        <v>OFF</v>
      </c>
      <c r="J419" s="44" t="str">
        <f>'Pod Library'!I100</f>
        <v>FTC</v>
      </c>
      <c r="K419" s="9">
        <f>'Pod Library'!J100</f>
        <v>0.37878787878787901</v>
      </c>
      <c r="L419" s="13">
        <f>'Pod Plan'!E31</f>
        <v>3</v>
      </c>
      <c r="M419" s="46">
        <f t="shared" si="6"/>
        <v>1.1363636363636371</v>
      </c>
      <c r="N419" s="46">
        <f>M419*INDEX('Logic Tree'!$J$75:$N$77,MATCH(I419,'Logic Tree'!$I$75:$I$77,0),MATCH(H419,'Logic Tree'!$J$74:$N$74,0))</f>
        <v>0.68181818181818221</v>
      </c>
    </row>
    <row r="420" spans="2:14" ht="15" customHeight="1">
      <c r="B420" s="19">
        <v>5</v>
      </c>
      <c r="C420" s="11" t="s">
        <v>444</v>
      </c>
      <c r="D420" s="36" t="s">
        <v>315</v>
      </c>
      <c r="E420" s="36" t="s">
        <v>444</v>
      </c>
      <c r="F420" s="49" t="str">
        <f>'Pod Library'!E101</f>
        <v>Agent engineer</v>
      </c>
      <c r="G420" s="44" t="str">
        <f>'Pod Library'!F101</f>
        <v>DEV</v>
      </c>
      <c r="H420" s="44" t="str">
        <f>'Pod Library'!G101</f>
        <v>E4</v>
      </c>
      <c r="I420" s="44" t="str">
        <f>'Pod Library'!H101</f>
        <v>OFF</v>
      </c>
      <c r="J420" s="44" t="str">
        <f>'Pod Library'!I101</f>
        <v>FTC</v>
      </c>
      <c r="K420" s="9">
        <f>'Pod Library'!J101</f>
        <v>0.83</v>
      </c>
      <c r="L420" s="13">
        <f>'Pod Plan'!E31</f>
        <v>3</v>
      </c>
      <c r="M420" s="46">
        <f t="shared" si="6"/>
        <v>2.4899999999999998</v>
      </c>
      <c r="N420" s="46">
        <f>M420*INDEX('Logic Tree'!$J$75:$N$77,MATCH(I420,'Logic Tree'!$I$75:$I$77,0),MATCH(H420,'Logic Tree'!$J$74:$N$74,0))</f>
        <v>1.4939999999999998</v>
      </c>
    </row>
    <row r="421" spans="2:14" ht="15" customHeight="1">
      <c r="B421" s="19">
        <v>5</v>
      </c>
      <c r="C421" s="11" t="s">
        <v>444</v>
      </c>
      <c r="D421" s="36" t="s">
        <v>315</v>
      </c>
      <c r="E421" s="36" t="s">
        <v>444</v>
      </c>
      <c r="F421" s="49" t="str">
        <f>'Pod Library'!E102</f>
        <v>Quality Engineer (SDET)</v>
      </c>
      <c r="G421" s="44" t="str">
        <f>'Pod Library'!F102</f>
        <v>TEST</v>
      </c>
      <c r="H421" s="44" t="str">
        <f>'Pod Library'!G102</f>
        <v>E2</v>
      </c>
      <c r="I421" s="44" t="str">
        <f>'Pod Library'!H102</f>
        <v>OFF</v>
      </c>
      <c r="J421" s="44" t="str">
        <f>'Pod Library'!I102</f>
        <v>FTC</v>
      </c>
      <c r="K421" s="9">
        <f>'Pod Library'!J102</f>
        <v>0.39</v>
      </c>
      <c r="L421" s="13">
        <f>'Pod Plan'!E31</f>
        <v>3</v>
      </c>
      <c r="M421" s="46">
        <f t="shared" si="6"/>
        <v>1.17</v>
      </c>
      <c r="N421" s="46">
        <f>M421*INDEX('Logic Tree'!$J$75:$N$77,MATCH(I421,'Logic Tree'!$I$75:$I$77,0),MATCH(H421,'Logic Tree'!$J$74:$N$74,0))</f>
        <v>0.35099999999999998</v>
      </c>
    </row>
    <row r="422" spans="2:14" ht="15" customHeight="1">
      <c r="B422" s="19">
        <v>5</v>
      </c>
      <c r="C422" s="11" t="s">
        <v>444</v>
      </c>
      <c r="D422" s="36" t="s">
        <v>315</v>
      </c>
      <c r="E422" s="36" t="s">
        <v>444</v>
      </c>
      <c r="F422" s="49" t="str">
        <f>'Pod Library'!E103</f>
        <v>Quality Engineer (SDET)</v>
      </c>
      <c r="G422" s="44" t="str">
        <f>'Pod Library'!F103</f>
        <v>TEST</v>
      </c>
      <c r="H422" s="44" t="str">
        <f>'Pod Library'!G103</f>
        <v>E3</v>
      </c>
      <c r="I422" s="44" t="str">
        <f>'Pod Library'!H103</f>
        <v>OFF</v>
      </c>
      <c r="J422" s="44" t="str">
        <f>'Pod Library'!I103</f>
        <v>FTC</v>
      </c>
      <c r="K422" s="9">
        <f>'Pod Library'!J103</f>
        <v>0.53030303030303005</v>
      </c>
      <c r="L422" s="13">
        <f>'Pod Plan'!E31</f>
        <v>3</v>
      </c>
      <c r="M422" s="46">
        <f t="shared" si="6"/>
        <v>1.5909090909090902</v>
      </c>
      <c r="N422" s="46">
        <f>M422*INDEX('Logic Tree'!$J$75:$N$77,MATCH(I422,'Logic Tree'!$I$75:$I$77,0),MATCH(H422,'Logic Tree'!$J$74:$N$74,0))</f>
        <v>0.66818181818181788</v>
      </c>
    </row>
    <row r="423" spans="2:14" ht="15" customHeight="1">
      <c r="B423" s="19">
        <v>5</v>
      </c>
      <c r="C423" s="11" t="s">
        <v>444</v>
      </c>
      <c r="D423" s="36" t="s">
        <v>315</v>
      </c>
      <c r="E423" s="36" t="s">
        <v>444</v>
      </c>
      <c r="F423" s="49" t="str">
        <f>'Pod Library'!E104</f>
        <v>Quality Engineer (SDET)</v>
      </c>
      <c r="G423" s="44" t="str">
        <f>'Pod Library'!F104</f>
        <v>TEST</v>
      </c>
      <c r="H423" s="44" t="str">
        <f>'Pod Library'!G104</f>
        <v>E4</v>
      </c>
      <c r="I423" s="44" t="str">
        <f>'Pod Library'!H104</f>
        <v>OFF</v>
      </c>
      <c r="J423" s="44" t="str">
        <f>'Pod Library'!I104</f>
        <v>FTC</v>
      </c>
      <c r="K423" s="9">
        <f>'Pod Library'!J104</f>
        <v>0.39</v>
      </c>
      <c r="L423" s="13">
        <f>'Pod Plan'!E31</f>
        <v>3</v>
      </c>
      <c r="M423" s="46">
        <f t="shared" si="6"/>
        <v>1.17</v>
      </c>
      <c r="N423" s="46">
        <f>M423*INDEX('Logic Tree'!$J$75:$N$77,MATCH(I423,'Logic Tree'!$I$75:$I$77,0),MATCH(H423,'Logic Tree'!$J$74:$N$74,0))</f>
        <v>0.70199999999999996</v>
      </c>
    </row>
    <row r="424" spans="2:14" ht="15" customHeight="1">
      <c r="B424" s="19">
        <v>5</v>
      </c>
      <c r="C424" s="11" t="s">
        <v>444</v>
      </c>
      <c r="D424" s="36" t="s">
        <v>315</v>
      </c>
      <c r="E424" s="36" t="s">
        <v>444</v>
      </c>
      <c r="F424" s="49" t="str">
        <f>'Pod Library'!E105</f>
        <v>Application Support</v>
      </c>
      <c r="G424" s="44" t="str">
        <f>'Pod Library'!F105</f>
        <v>MNT</v>
      </c>
      <c r="H424" s="44" t="str">
        <f>'Pod Library'!G105</f>
        <v>E1</v>
      </c>
      <c r="I424" s="44" t="str">
        <f>'Pod Library'!H105</f>
        <v>OFF</v>
      </c>
      <c r="J424" s="44" t="str">
        <f>'Pod Library'!I105</f>
        <v>FTC</v>
      </c>
      <c r="K424" s="9">
        <f>'Pod Library'!J105</f>
        <v>0.15</v>
      </c>
      <c r="L424" s="13">
        <f>'Pod Plan'!E31</f>
        <v>3</v>
      </c>
      <c r="M424" s="46">
        <f t="shared" si="6"/>
        <v>0.44999999999999996</v>
      </c>
      <c r="N424" s="46">
        <f>M424*INDEX('Logic Tree'!$J$75:$N$77,MATCH(I424,'Logic Tree'!$I$75:$I$77,0),MATCH(H424,'Logic Tree'!$J$74:$N$74,0))</f>
        <v>9.8999999999999991E-2</v>
      </c>
    </row>
    <row r="425" spans="2:14" ht="15" customHeight="1">
      <c r="B425" s="19">
        <v>5</v>
      </c>
      <c r="C425" s="11" t="s">
        <v>444</v>
      </c>
      <c r="D425" s="36" t="s">
        <v>315</v>
      </c>
      <c r="E425" s="36" t="s">
        <v>444</v>
      </c>
      <c r="F425" s="49" t="str">
        <f>'Pod Library'!E106</f>
        <v>Application Support</v>
      </c>
      <c r="G425" s="44" t="str">
        <f>'Pod Library'!F106</f>
        <v>MNT</v>
      </c>
      <c r="H425" s="44" t="str">
        <f>'Pod Library'!G106</f>
        <v>E2</v>
      </c>
      <c r="I425" s="44" t="str">
        <f>'Pod Library'!H106</f>
        <v>OFF</v>
      </c>
      <c r="J425" s="44" t="str">
        <f>'Pod Library'!I106</f>
        <v>FTC</v>
      </c>
      <c r="K425" s="9">
        <f>'Pod Library'!J106</f>
        <v>0.05</v>
      </c>
      <c r="L425" s="13">
        <f>'Pod Plan'!E31</f>
        <v>3</v>
      </c>
      <c r="M425" s="46">
        <f t="shared" si="6"/>
        <v>0.15000000000000002</v>
      </c>
      <c r="N425" s="46">
        <f>M425*INDEX('Logic Tree'!$J$75:$N$77,MATCH(I425,'Logic Tree'!$I$75:$I$77,0),MATCH(H425,'Logic Tree'!$J$74:$N$74,0))</f>
        <v>4.5000000000000005E-2</v>
      </c>
    </row>
    <row r="426" spans="2:14" ht="15" customHeight="1">
      <c r="B426" s="19">
        <v>5</v>
      </c>
      <c r="C426" s="11" t="s">
        <v>444</v>
      </c>
      <c r="D426" s="36" t="s">
        <v>316</v>
      </c>
      <c r="E426" s="36" t="s">
        <v>444</v>
      </c>
      <c r="F426" s="49" t="str">
        <f>'Pod Library'!E94</f>
        <v>MetLife Product Owner</v>
      </c>
      <c r="G426" s="44" t="str">
        <f>'Pod Library'!F94</f>
        <v>PM</v>
      </c>
      <c r="H426" s="44" t="str">
        <f>'Pod Library'!G94</f>
        <v>E4</v>
      </c>
      <c r="I426" s="44" t="str">
        <f>'Pod Library'!H94</f>
        <v>ON</v>
      </c>
      <c r="J426" s="44" t="str">
        <f>'Pod Library'!I94</f>
        <v>FTE</v>
      </c>
      <c r="K426" s="9">
        <f>'Pod Library'!J94</f>
        <v>0.72727272727272696</v>
      </c>
      <c r="L426" s="13">
        <f>'Pod Plan'!E32</f>
        <v>2</v>
      </c>
      <c r="M426" s="46">
        <f t="shared" si="6"/>
        <v>1.4545454545454539</v>
      </c>
      <c r="N426" s="46">
        <f>M426*INDEX('Logic Tree'!$J$75:$N$77,MATCH(I426,'Logic Tree'!$I$75:$I$77,0),MATCH(H426,'Logic Tree'!$J$74:$N$74,0))</f>
        <v>2.69090909090909</v>
      </c>
    </row>
    <row r="427" spans="2:14" ht="15" customHeight="1">
      <c r="B427" s="19">
        <v>5</v>
      </c>
      <c r="C427" s="11" t="s">
        <v>444</v>
      </c>
      <c r="D427" s="36" t="s">
        <v>316</v>
      </c>
      <c r="E427" s="36" t="s">
        <v>444</v>
      </c>
      <c r="F427" s="49" t="str">
        <f>'Pod Library'!E95</f>
        <v>MetLife Domain SME</v>
      </c>
      <c r="G427" s="44" t="str">
        <f>'Pod Library'!F95</f>
        <v>BSA</v>
      </c>
      <c r="H427" s="44" t="str">
        <f>'Pod Library'!G95</f>
        <v>E4</v>
      </c>
      <c r="I427" s="44" t="str">
        <f>'Pod Library'!H95</f>
        <v>ON</v>
      </c>
      <c r="J427" s="44" t="str">
        <f>'Pod Library'!I95</f>
        <v>FTE</v>
      </c>
      <c r="K427" s="9">
        <f>'Pod Library'!J95</f>
        <v>0.5</v>
      </c>
      <c r="L427" s="13">
        <f>'Pod Plan'!E32</f>
        <v>2</v>
      </c>
      <c r="M427" s="46">
        <f t="shared" si="6"/>
        <v>1</v>
      </c>
      <c r="N427" s="46">
        <f>M427*INDEX('Logic Tree'!$J$75:$N$77,MATCH(I427,'Logic Tree'!$I$75:$I$77,0),MATCH(H427,'Logic Tree'!$J$74:$N$74,0))</f>
        <v>1.85</v>
      </c>
    </row>
    <row r="428" spans="2:14" ht="15" customHeight="1">
      <c r="B428" s="19">
        <v>5</v>
      </c>
      <c r="C428" s="11" t="s">
        <v>444</v>
      </c>
      <c r="D428" s="36" t="s">
        <v>316</v>
      </c>
      <c r="E428" s="36" t="s">
        <v>444</v>
      </c>
      <c r="F428" s="49" t="str">
        <f>'Pod Library'!E96</f>
        <v>MGCC Engineer</v>
      </c>
      <c r="G428" s="44" t="str">
        <f>'Pod Library'!F96</f>
        <v>DEV</v>
      </c>
      <c r="H428" s="44" t="str">
        <f>'Pod Library'!G96</f>
        <v>E3</v>
      </c>
      <c r="I428" s="44" t="str">
        <f>'Pod Library'!H96</f>
        <v>OFF</v>
      </c>
      <c r="J428" s="44" t="str">
        <f>'Pod Library'!I96</f>
        <v>MGCC</v>
      </c>
      <c r="K428" s="9">
        <f>'Pod Library'!J96</f>
        <v>1.34848484848485</v>
      </c>
      <c r="L428" s="13">
        <f>'Pod Plan'!E32</f>
        <v>2</v>
      </c>
      <c r="M428" s="46">
        <f t="shared" si="6"/>
        <v>2.6969696969696999</v>
      </c>
      <c r="N428" s="46">
        <f>M428*INDEX('Logic Tree'!$J$75:$N$77,MATCH(I428,'Logic Tree'!$I$75:$I$77,0),MATCH(H428,'Logic Tree'!$J$74:$N$74,0))</f>
        <v>1.1327272727272739</v>
      </c>
    </row>
    <row r="429" spans="2:14" ht="15" customHeight="1">
      <c r="B429" s="19">
        <v>5</v>
      </c>
      <c r="C429" s="11" t="s">
        <v>444</v>
      </c>
      <c r="D429" s="36" t="s">
        <v>316</v>
      </c>
      <c r="E429" s="36" t="s">
        <v>444</v>
      </c>
      <c r="F429" s="49" t="str">
        <f>'Pod Library'!E97</f>
        <v>Business Analyst (bilingual)</v>
      </c>
      <c r="G429" s="44" t="str">
        <f>'Pod Library'!F97</f>
        <v>BSA</v>
      </c>
      <c r="H429" s="44" t="str">
        <f>'Pod Library'!G97</f>
        <v>E3</v>
      </c>
      <c r="I429" s="44" t="str">
        <f>'Pod Library'!H97</f>
        <v>ON</v>
      </c>
      <c r="J429" s="44" t="str">
        <f>'Pod Library'!I97</f>
        <v>FTC</v>
      </c>
      <c r="K429" s="9">
        <f>'Pod Library'!J97</f>
        <v>0.08</v>
      </c>
      <c r="L429" s="13">
        <f>'Pod Plan'!E32</f>
        <v>2</v>
      </c>
      <c r="M429" s="46">
        <f t="shared" si="6"/>
        <v>0.16</v>
      </c>
      <c r="N429" s="46">
        <f>M429*INDEX('Logic Tree'!$J$75:$N$77,MATCH(I429,'Logic Tree'!$I$75:$I$77,0),MATCH(H429,'Logic Tree'!$J$74:$N$74,0))</f>
        <v>0.21600000000000003</v>
      </c>
    </row>
    <row r="430" spans="2:14" ht="15" customHeight="1">
      <c r="B430" s="19">
        <v>5</v>
      </c>
      <c r="C430" s="11" t="s">
        <v>444</v>
      </c>
      <c r="D430" s="36" t="s">
        <v>316</v>
      </c>
      <c r="E430" s="36" t="s">
        <v>444</v>
      </c>
      <c r="F430" s="49" t="str">
        <f>'Pod Library'!E98</f>
        <v>Pod lead (onshore)</v>
      </c>
      <c r="G430" s="44" t="str">
        <f>'Pod Library'!F98</f>
        <v>DEV</v>
      </c>
      <c r="H430" s="44" t="str">
        <f>'Pod Library'!G98</f>
        <v>E4</v>
      </c>
      <c r="I430" s="44" t="str">
        <f>'Pod Library'!H98</f>
        <v>ON</v>
      </c>
      <c r="J430" s="44" t="str">
        <f>'Pod Library'!I98</f>
        <v>FTC</v>
      </c>
      <c r="K430" s="9">
        <f>'Pod Library'!J98</f>
        <v>3.03030303030303E-2</v>
      </c>
      <c r="L430" s="13">
        <f>'Pod Plan'!E32</f>
        <v>2</v>
      </c>
      <c r="M430" s="46">
        <f t="shared" si="6"/>
        <v>6.0606060606060601E-2</v>
      </c>
      <c r="N430" s="46">
        <f>M430*INDEX('Logic Tree'!$J$75:$N$77,MATCH(I430,'Logic Tree'!$I$75:$I$77,0),MATCH(H430,'Logic Tree'!$J$74:$N$74,0))</f>
        <v>0.11212121212121212</v>
      </c>
    </row>
    <row r="431" spans="2:14" ht="15" customHeight="1">
      <c r="B431" s="19">
        <v>5</v>
      </c>
      <c r="C431" s="11" t="s">
        <v>444</v>
      </c>
      <c r="D431" s="36" t="s">
        <v>316</v>
      </c>
      <c r="E431" s="36" t="s">
        <v>444</v>
      </c>
      <c r="F431" s="49" t="str">
        <f>'Pod Library'!E99</f>
        <v>Pod lead / senior engineer</v>
      </c>
      <c r="G431" s="44" t="str">
        <f>'Pod Library'!F99</f>
        <v>DEV</v>
      </c>
      <c r="H431" s="44" t="str">
        <f>'Pod Library'!G99</f>
        <v>E4</v>
      </c>
      <c r="I431" s="44" t="str">
        <f>'Pod Library'!H99</f>
        <v>OFF</v>
      </c>
      <c r="J431" s="44" t="str">
        <f>'Pod Library'!I99</f>
        <v>FTC</v>
      </c>
      <c r="K431" s="9">
        <f>'Pod Library'!J99</f>
        <v>0.45</v>
      </c>
      <c r="L431" s="13">
        <f>'Pod Plan'!E32</f>
        <v>2</v>
      </c>
      <c r="M431" s="46">
        <f t="shared" si="6"/>
        <v>0.9</v>
      </c>
      <c r="N431" s="46">
        <f>M431*INDEX('Logic Tree'!$J$75:$N$77,MATCH(I431,'Logic Tree'!$I$75:$I$77,0),MATCH(H431,'Logic Tree'!$J$74:$N$74,0))</f>
        <v>0.54</v>
      </c>
    </row>
    <row r="432" spans="2:14" ht="15" customHeight="1">
      <c r="B432" s="19">
        <v>5</v>
      </c>
      <c r="C432" s="11" t="s">
        <v>444</v>
      </c>
      <c r="D432" s="36" t="s">
        <v>316</v>
      </c>
      <c r="E432" s="36" t="s">
        <v>444</v>
      </c>
      <c r="F432" s="49" t="str">
        <f>'Pod Library'!E100</f>
        <v>AI Orchestrator</v>
      </c>
      <c r="G432" s="44" t="str">
        <f>'Pod Library'!F100</f>
        <v>OTH</v>
      </c>
      <c r="H432" s="44" t="str">
        <f>'Pod Library'!G100</f>
        <v>E4</v>
      </c>
      <c r="I432" s="44" t="str">
        <f>'Pod Library'!H100</f>
        <v>OFF</v>
      </c>
      <c r="J432" s="44" t="str">
        <f>'Pod Library'!I100</f>
        <v>FTC</v>
      </c>
      <c r="K432" s="9">
        <f>'Pod Library'!J100</f>
        <v>0.37878787878787901</v>
      </c>
      <c r="L432" s="13">
        <f>'Pod Plan'!E32</f>
        <v>2</v>
      </c>
      <c r="M432" s="46">
        <f t="shared" si="6"/>
        <v>0.75757575757575801</v>
      </c>
      <c r="N432" s="46">
        <f>M432*INDEX('Logic Tree'!$J$75:$N$77,MATCH(I432,'Logic Tree'!$I$75:$I$77,0),MATCH(H432,'Logic Tree'!$J$74:$N$74,0))</f>
        <v>0.45454545454545481</v>
      </c>
    </row>
    <row r="433" spans="2:14" ht="15" customHeight="1">
      <c r="B433" s="19">
        <v>5</v>
      </c>
      <c r="C433" s="11" t="s">
        <v>444</v>
      </c>
      <c r="D433" s="36" t="s">
        <v>316</v>
      </c>
      <c r="E433" s="36" t="s">
        <v>444</v>
      </c>
      <c r="F433" s="49" t="str">
        <f>'Pod Library'!E101</f>
        <v>Agent engineer</v>
      </c>
      <c r="G433" s="44" t="str">
        <f>'Pod Library'!F101</f>
        <v>DEV</v>
      </c>
      <c r="H433" s="44" t="str">
        <f>'Pod Library'!G101</f>
        <v>E4</v>
      </c>
      <c r="I433" s="44" t="str">
        <f>'Pod Library'!H101</f>
        <v>OFF</v>
      </c>
      <c r="J433" s="44" t="str">
        <f>'Pod Library'!I101</f>
        <v>FTC</v>
      </c>
      <c r="K433" s="9">
        <f>'Pod Library'!J101</f>
        <v>0.83</v>
      </c>
      <c r="L433" s="13">
        <f>'Pod Plan'!E32</f>
        <v>2</v>
      </c>
      <c r="M433" s="46">
        <f t="shared" si="6"/>
        <v>1.66</v>
      </c>
      <c r="N433" s="46">
        <f>M433*INDEX('Logic Tree'!$J$75:$N$77,MATCH(I433,'Logic Tree'!$I$75:$I$77,0),MATCH(H433,'Logic Tree'!$J$74:$N$74,0))</f>
        <v>0.99599999999999989</v>
      </c>
    </row>
    <row r="434" spans="2:14" ht="15" customHeight="1">
      <c r="B434" s="19">
        <v>5</v>
      </c>
      <c r="C434" s="11" t="s">
        <v>444</v>
      </c>
      <c r="D434" s="36" t="s">
        <v>316</v>
      </c>
      <c r="E434" s="36" t="s">
        <v>444</v>
      </c>
      <c r="F434" s="49" t="str">
        <f>'Pod Library'!E102</f>
        <v>Quality Engineer (SDET)</v>
      </c>
      <c r="G434" s="44" t="str">
        <f>'Pod Library'!F102</f>
        <v>TEST</v>
      </c>
      <c r="H434" s="44" t="str">
        <f>'Pod Library'!G102</f>
        <v>E2</v>
      </c>
      <c r="I434" s="44" t="str">
        <f>'Pod Library'!H102</f>
        <v>OFF</v>
      </c>
      <c r="J434" s="44" t="str">
        <f>'Pod Library'!I102</f>
        <v>FTC</v>
      </c>
      <c r="K434" s="9">
        <f>'Pod Library'!J102</f>
        <v>0.39</v>
      </c>
      <c r="L434" s="13">
        <f>'Pod Plan'!E32</f>
        <v>2</v>
      </c>
      <c r="M434" s="46">
        <f t="shared" si="6"/>
        <v>0.78</v>
      </c>
      <c r="N434" s="46">
        <f>M434*INDEX('Logic Tree'!$J$75:$N$77,MATCH(I434,'Logic Tree'!$I$75:$I$77,0),MATCH(H434,'Logic Tree'!$J$74:$N$74,0))</f>
        <v>0.23399999999999999</v>
      </c>
    </row>
    <row r="435" spans="2:14" ht="15" customHeight="1">
      <c r="B435" s="19">
        <v>5</v>
      </c>
      <c r="C435" s="11" t="s">
        <v>444</v>
      </c>
      <c r="D435" s="36" t="s">
        <v>316</v>
      </c>
      <c r="E435" s="36" t="s">
        <v>444</v>
      </c>
      <c r="F435" s="49" t="str">
        <f>'Pod Library'!E103</f>
        <v>Quality Engineer (SDET)</v>
      </c>
      <c r="G435" s="44" t="str">
        <f>'Pod Library'!F103</f>
        <v>TEST</v>
      </c>
      <c r="H435" s="44" t="str">
        <f>'Pod Library'!G103</f>
        <v>E3</v>
      </c>
      <c r="I435" s="44" t="str">
        <f>'Pod Library'!H103</f>
        <v>OFF</v>
      </c>
      <c r="J435" s="44" t="str">
        <f>'Pod Library'!I103</f>
        <v>FTC</v>
      </c>
      <c r="K435" s="9">
        <f>'Pod Library'!J103</f>
        <v>0.53030303030303005</v>
      </c>
      <c r="L435" s="13">
        <f>'Pod Plan'!E32</f>
        <v>2</v>
      </c>
      <c r="M435" s="46">
        <f t="shared" si="6"/>
        <v>1.0606060606060601</v>
      </c>
      <c r="N435" s="46">
        <f>M435*INDEX('Logic Tree'!$J$75:$N$77,MATCH(I435,'Logic Tree'!$I$75:$I$77,0),MATCH(H435,'Logic Tree'!$J$74:$N$74,0))</f>
        <v>0.44545454545454521</v>
      </c>
    </row>
    <row r="436" spans="2:14" ht="15" customHeight="1">
      <c r="B436" s="19">
        <v>5</v>
      </c>
      <c r="C436" s="11" t="s">
        <v>444</v>
      </c>
      <c r="D436" s="36" t="s">
        <v>316</v>
      </c>
      <c r="E436" s="36" t="s">
        <v>444</v>
      </c>
      <c r="F436" s="49" t="str">
        <f>'Pod Library'!E104</f>
        <v>Quality Engineer (SDET)</v>
      </c>
      <c r="G436" s="44" t="str">
        <f>'Pod Library'!F104</f>
        <v>TEST</v>
      </c>
      <c r="H436" s="44" t="str">
        <f>'Pod Library'!G104</f>
        <v>E4</v>
      </c>
      <c r="I436" s="44" t="str">
        <f>'Pod Library'!H104</f>
        <v>OFF</v>
      </c>
      <c r="J436" s="44" t="str">
        <f>'Pod Library'!I104</f>
        <v>FTC</v>
      </c>
      <c r="K436" s="9">
        <f>'Pod Library'!J104</f>
        <v>0.39</v>
      </c>
      <c r="L436" s="13">
        <f>'Pod Plan'!E32</f>
        <v>2</v>
      </c>
      <c r="M436" s="46">
        <f t="shared" si="6"/>
        <v>0.78</v>
      </c>
      <c r="N436" s="46">
        <f>M436*INDEX('Logic Tree'!$J$75:$N$77,MATCH(I436,'Logic Tree'!$I$75:$I$77,0),MATCH(H436,'Logic Tree'!$J$74:$N$74,0))</f>
        <v>0.46799999999999997</v>
      </c>
    </row>
    <row r="437" spans="2:14" ht="15" customHeight="1">
      <c r="B437" s="19">
        <v>5</v>
      </c>
      <c r="C437" s="11" t="s">
        <v>444</v>
      </c>
      <c r="D437" s="36" t="s">
        <v>316</v>
      </c>
      <c r="E437" s="36" t="s">
        <v>444</v>
      </c>
      <c r="F437" s="49" t="str">
        <f>'Pod Library'!E105</f>
        <v>Application Support</v>
      </c>
      <c r="G437" s="44" t="str">
        <f>'Pod Library'!F105</f>
        <v>MNT</v>
      </c>
      <c r="H437" s="44" t="str">
        <f>'Pod Library'!G105</f>
        <v>E1</v>
      </c>
      <c r="I437" s="44" t="str">
        <f>'Pod Library'!H105</f>
        <v>OFF</v>
      </c>
      <c r="J437" s="44" t="str">
        <f>'Pod Library'!I105</f>
        <v>FTC</v>
      </c>
      <c r="K437" s="9">
        <f>'Pod Library'!J105</f>
        <v>0.15</v>
      </c>
      <c r="L437" s="13">
        <f>'Pod Plan'!E32</f>
        <v>2</v>
      </c>
      <c r="M437" s="46">
        <f t="shared" si="6"/>
        <v>0.3</v>
      </c>
      <c r="N437" s="46">
        <f>M437*INDEX('Logic Tree'!$J$75:$N$77,MATCH(I437,'Logic Tree'!$I$75:$I$77,0),MATCH(H437,'Logic Tree'!$J$74:$N$74,0))</f>
        <v>6.6000000000000003E-2</v>
      </c>
    </row>
    <row r="438" spans="2:14" ht="15" customHeight="1">
      <c r="B438" s="19">
        <v>5</v>
      </c>
      <c r="C438" s="11" t="s">
        <v>444</v>
      </c>
      <c r="D438" s="36" t="s">
        <v>316</v>
      </c>
      <c r="E438" s="36" t="s">
        <v>444</v>
      </c>
      <c r="F438" s="49" t="str">
        <f>'Pod Library'!E106</f>
        <v>Application Support</v>
      </c>
      <c r="G438" s="44" t="str">
        <f>'Pod Library'!F106</f>
        <v>MNT</v>
      </c>
      <c r="H438" s="44" t="str">
        <f>'Pod Library'!G106</f>
        <v>E2</v>
      </c>
      <c r="I438" s="44" t="str">
        <f>'Pod Library'!H106</f>
        <v>OFF</v>
      </c>
      <c r="J438" s="44" t="str">
        <f>'Pod Library'!I106</f>
        <v>FTC</v>
      </c>
      <c r="K438" s="9">
        <f>'Pod Library'!J106</f>
        <v>0.05</v>
      </c>
      <c r="L438" s="13">
        <f>'Pod Plan'!E32</f>
        <v>2</v>
      </c>
      <c r="M438" s="46">
        <f t="shared" si="6"/>
        <v>0.1</v>
      </c>
      <c r="N438" s="46">
        <f>M438*INDEX('Logic Tree'!$J$75:$N$77,MATCH(I438,'Logic Tree'!$I$75:$I$77,0),MATCH(H438,'Logic Tree'!$J$74:$N$74,0))</f>
        <v>0.03</v>
      </c>
    </row>
    <row r="439" spans="2:14" ht="15" customHeight="1">
      <c r="B439" s="19">
        <v>5</v>
      </c>
      <c r="C439" s="11" t="s">
        <v>700</v>
      </c>
      <c r="D439" s="44" t="str">
        <f>'Horizontal Teams'!C133</f>
        <v>H1</v>
      </c>
      <c r="E439" s="36" t="s">
        <v>700</v>
      </c>
      <c r="F439" s="49" t="str">
        <f>'Horizontal Teams'!E133</f>
        <v>Service Delivery Manager</v>
      </c>
      <c r="G439" s="44" t="str">
        <f>'Horizontal Teams'!D133</f>
        <v>MNT</v>
      </c>
      <c r="H439" s="44" t="str">
        <f>'Horizontal Teams'!F133</f>
        <v>E5</v>
      </c>
      <c r="I439" s="44" t="str">
        <f>'Horizontal Teams'!G133</f>
        <v>ON</v>
      </c>
      <c r="J439" s="44" t="str">
        <f>'Horizontal Teams'!H133</f>
        <v>FTC</v>
      </c>
      <c r="K439" s="9">
        <f>'Horizontal Teams'!I133</f>
        <v>0.5</v>
      </c>
      <c r="L439" s="19">
        <v>1</v>
      </c>
      <c r="M439" s="46">
        <f t="shared" si="6"/>
        <v>0.5</v>
      </c>
      <c r="N439" s="46">
        <f>M439*INDEX('Logic Tree'!$J$75:$N$77,MATCH(I439,'Logic Tree'!$I$75:$I$77,0),MATCH(H439,'Logic Tree'!$J$74:$N$74,0))</f>
        <v>1.2749999999999999</v>
      </c>
    </row>
    <row r="440" spans="2:14" ht="15" customHeight="1">
      <c r="B440" s="19">
        <v>5</v>
      </c>
      <c r="C440" s="11" t="s">
        <v>700</v>
      </c>
      <c r="D440" s="44" t="str">
        <f>'Horizontal Teams'!C134</f>
        <v>H1</v>
      </c>
      <c r="E440" s="36" t="s">
        <v>700</v>
      </c>
      <c r="F440" s="49" t="str">
        <f>'Horizontal Teams'!E134</f>
        <v>Release &amp; Environment Manager</v>
      </c>
      <c r="G440" s="44" t="str">
        <f>'Horizontal Teams'!D134</f>
        <v>MNT</v>
      </c>
      <c r="H440" s="44" t="str">
        <f>'Horizontal Teams'!F134</f>
        <v>E4</v>
      </c>
      <c r="I440" s="44" t="str">
        <f>'Horizontal Teams'!G134</f>
        <v>ON</v>
      </c>
      <c r="J440" s="44" t="str">
        <f>'Horizontal Teams'!H134</f>
        <v>FTC</v>
      </c>
      <c r="K440" s="9">
        <f>'Horizontal Teams'!I134</f>
        <v>0.5</v>
      </c>
      <c r="L440" s="19">
        <v>1</v>
      </c>
      <c r="M440" s="46">
        <f t="shared" si="6"/>
        <v>0.5</v>
      </c>
      <c r="N440" s="46">
        <f>M440*INDEX('Logic Tree'!$J$75:$N$77,MATCH(I440,'Logic Tree'!$I$75:$I$77,0),MATCH(H440,'Logic Tree'!$J$74:$N$74,0))</f>
        <v>0.92500000000000004</v>
      </c>
    </row>
    <row r="441" spans="2:14" ht="15" customHeight="1">
      <c r="B441" s="19">
        <v>5</v>
      </c>
      <c r="C441" s="11" t="s">
        <v>700</v>
      </c>
      <c r="D441" s="44" t="str">
        <f>'Horizontal Teams'!C135</f>
        <v>H1</v>
      </c>
      <c r="E441" s="36" t="s">
        <v>700</v>
      </c>
      <c r="F441" s="49" t="str">
        <f>'Horizontal Teams'!E135</f>
        <v>L2 Application Support</v>
      </c>
      <c r="G441" s="44" t="str">
        <f>'Horizontal Teams'!D135</f>
        <v>MNT</v>
      </c>
      <c r="H441" s="44" t="str">
        <f>'Horizontal Teams'!F135</f>
        <v>E1</v>
      </c>
      <c r="I441" s="44" t="str">
        <f>'Horizontal Teams'!G135</f>
        <v>OFF</v>
      </c>
      <c r="J441" s="44" t="str">
        <f>'Horizontal Teams'!H135</f>
        <v>FTC</v>
      </c>
      <c r="K441" s="9">
        <f>'Horizontal Teams'!I135</f>
        <v>0.5</v>
      </c>
      <c r="L441" s="19">
        <v>1</v>
      </c>
      <c r="M441" s="46">
        <f t="shared" si="6"/>
        <v>0.5</v>
      </c>
      <c r="N441" s="46">
        <f>M441*INDEX('Logic Tree'!$J$75:$N$77,MATCH(I441,'Logic Tree'!$I$75:$I$77,0),MATCH(H441,'Logic Tree'!$J$74:$N$74,0))</f>
        <v>0.11</v>
      </c>
    </row>
    <row r="442" spans="2:14" ht="15" customHeight="1">
      <c r="B442" s="19">
        <v>5</v>
      </c>
      <c r="C442" s="11" t="s">
        <v>700</v>
      </c>
      <c r="D442" s="44" t="str">
        <f>'Horizontal Teams'!C136</f>
        <v>H1</v>
      </c>
      <c r="E442" s="36" t="s">
        <v>700</v>
      </c>
      <c r="F442" s="49" t="str">
        <f>'Horizontal Teams'!E136</f>
        <v>L2 Application Support</v>
      </c>
      <c r="G442" s="44" t="str">
        <f>'Horizontal Teams'!D136</f>
        <v>MNT</v>
      </c>
      <c r="H442" s="44" t="str">
        <f>'Horizontal Teams'!F136</f>
        <v>E2</v>
      </c>
      <c r="I442" s="44" t="str">
        <f>'Horizontal Teams'!G136</f>
        <v>OFF</v>
      </c>
      <c r="J442" s="44" t="str">
        <f>'Horizontal Teams'!H136</f>
        <v>FTC</v>
      </c>
      <c r="K442" s="9">
        <f>'Horizontal Teams'!I136</f>
        <v>0.5</v>
      </c>
      <c r="L442" s="19">
        <v>1</v>
      </c>
      <c r="M442" s="46">
        <f t="shared" si="6"/>
        <v>0.5</v>
      </c>
      <c r="N442" s="46">
        <f>M442*INDEX('Logic Tree'!$J$75:$N$77,MATCH(I442,'Logic Tree'!$I$75:$I$77,0),MATCH(H442,'Logic Tree'!$J$74:$N$74,0))</f>
        <v>0.15</v>
      </c>
    </row>
    <row r="443" spans="2:14" ht="15" customHeight="1">
      <c r="B443" s="19">
        <v>5</v>
      </c>
      <c r="C443" s="11" t="s">
        <v>700</v>
      </c>
      <c r="D443" s="44" t="str">
        <f>'Horizontal Teams'!C137</f>
        <v>H1</v>
      </c>
      <c r="E443" s="36" t="s">
        <v>700</v>
      </c>
      <c r="F443" s="49" t="str">
        <f>'Horizontal Teams'!E137</f>
        <v>Incident &amp; Problem Analyst</v>
      </c>
      <c r="G443" s="44" t="str">
        <f>'Horizontal Teams'!D137</f>
        <v>MNT</v>
      </c>
      <c r="H443" s="44" t="str">
        <f>'Horizontal Teams'!F137</f>
        <v>E3</v>
      </c>
      <c r="I443" s="44" t="str">
        <f>'Horizontal Teams'!G137</f>
        <v>ON</v>
      </c>
      <c r="J443" s="44" t="str">
        <f>'Horizontal Teams'!H137</f>
        <v>FTC</v>
      </c>
      <c r="K443" s="9">
        <f>'Horizontal Teams'!I137</f>
        <v>0.5</v>
      </c>
      <c r="L443" s="19">
        <v>1</v>
      </c>
      <c r="M443" s="46">
        <f t="shared" si="6"/>
        <v>0.5</v>
      </c>
      <c r="N443" s="46">
        <f>M443*INDEX('Logic Tree'!$J$75:$N$77,MATCH(I443,'Logic Tree'!$I$75:$I$77,0),MATCH(H443,'Logic Tree'!$J$74:$N$74,0))</f>
        <v>0.67500000000000004</v>
      </c>
    </row>
    <row r="444" spans="2:14" ht="15" customHeight="1">
      <c r="B444" s="19">
        <v>5</v>
      </c>
      <c r="C444" s="11" t="s">
        <v>700</v>
      </c>
      <c r="D444" s="44" t="str">
        <f>'Horizontal Teams'!C138</f>
        <v>H1</v>
      </c>
      <c r="E444" s="36" t="s">
        <v>700</v>
      </c>
      <c r="F444" s="49" t="str">
        <f>'Horizontal Teams'!E138</f>
        <v>Observability / AIOps Engineer</v>
      </c>
      <c r="G444" s="44" t="str">
        <f>'Horizontal Teams'!D138</f>
        <v>OTH</v>
      </c>
      <c r="H444" s="44" t="str">
        <f>'Horizontal Teams'!F138</f>
        <v>E3</v>
      </c>
      <c r="I444" s="44" t="str">
        <f>'Horizontal Teams'!G138</f>
        <v>OFF</v>
      </c>
      <c r="J444" s="44" t="str">
        <f>'Horizontal Teams'!H138</f>
        <v>FTC</v>
      </c>
      <c r="K444" s="9">
        <f>'Horizontal Teams'!I138</f>
        <v>0.5</v>
      </c>
      <c r="L444" s="19">
        <v>1</v>
      </c>
      <c r="M444" s="46">
        <f t="shared" si="6"/>
        <v>0.5</v>
      </c>
      <c r="N444" s="46">
        <f>M444*INDEX('Logic Tree'!$J$75:$N$77,MATCH(I444,'Logic Tree'!$I$75:$I$77,0),MATCH(H444,'Logic Tree'!$J$74:$N$74,0))</f>
        <v>0.21</v>
      </c>
    </row>
    <row r="445" spans="2:14" ht="15" customHeight="1">
      <c r="B445" s="19">
        <v>5</v>
      </c>
      <c r="C445" s="11" t="s">
        <v>700</v>
      </c>
      <c r="D445" s="44" t="str">
        <f>'Horizontal Teams'!C139</f>
        <v>H1</v>
      </c>
      <c r="E445" s="36" t="s">
        <v>700</v>
      </c>
      <c r="F445" s="49" t="str">
        <f>'Horizontal Teams'!E139</f>
        <v>Platform &amp; Integration Engineer</v>
      </c>
      <c r="G445" s="44" t="str">
        <f>'Horizontal Teams'!D139</f>
        <v>DEV</v>
      </c>
      <c r="H445" s="44" t="str">
        <f>'Horizontal Teams'!F139</f>
        <v>E3</v>
      </c>
      <c r="I445" s="44" t="str">
        <f>'Horizontal Teams'!G139</f>
        <v>ON</v>
      </c>
      <c r="J445" s="44" t="str">
        <f>'Horizontal Teams'!H139</f>
        <v>FTC</v>
      </c>
      <c r="K445" s="9">
        <f>'Horizontal Teams'!I139</f>
        <v>0.5</v>
      </c>
      <c r="L445" s="19">
        <v>1</v>
      </c>
      <c r="M445" s="46">
        <f t="shared" si="6"/>
        <v>0.5</v>
      </c>
      <c r="N445" s="46">
        <f>M445*INDEX('Logic Tree'!$J$75:$N$77,MATCH(I445,'Logic Tree'!$I$75:$I$77,0),MATCH(H445,'Logic Tree'!$J$74:$N$74,0))</f>
        <v>0.67500000000000004</v>
      </c>
    </row>
    <row r="446" spans="2:14" ht="15" customHeight="1">
      <c r="B446" s="19">
        <v>5</v>
      </c>
      <c r="C446" s="11" t="s">
        <v>700</v>
      </c>
      <c r="D446" s="44" t="str">
        <f>'Horizontal Teams'!C140</f>
        <v>H1</v>
      </c>
      <c r="E446" s="36" t="s">
        <v>700</v>
      </c>
      <c r="F446" s="49" t="str">
        <f>'Horizontal Teams'!E140</f>
        <v>Platform &amp; Integration Engineer</v>
      </c>
      <c r="G446" s="44" t="str">
        <f>'Horizontal Teams'!D140</f>
        <v>DEV</v>
      </c>
      <c r="H446" s="44" t="str">
        <f>'Horizontal Teams'!F140</f>
        <v>E3</v>
      </c>
      <c r="I446" s="44" t="str">
        <f>'Horizontal Teams'!G140</f>
        <v>OFF</v>
      </c>
      <c r="J446" s="44" t="str">
        <f>'Horizontal Teams'!H140</f>
        <v>FTC</v>
      </c>
      <c r="K446" s="9">
        <f>'Horizontal Teams'!I140</f>
        <v>0.5</v>
      </c>
      <c r="L446" s="19">
        <v>1</v>
      </c>
      <c r="M446" s="46">
        <f t="shared" si="6"/>
        <v>0.5</v>
      </c>
      <c r="N446" s="46">
        <f>M446*INDEX('Logic Tree'!$J$75:$N$77,MATCH(I446,'Logic Tree'!$I$75:$I$77,0),MATCH(H446,'Logic Tree'!$J$74:$N$74,0))</f>
        <v>0.21</v>
      </c>
    </row>
    <row r="447" spans="2:14" ht="15" customHeight="1">
      <c r="B447" s="19">
        <v>5</v>
      </c>
      <c r="C447" s="11" t="s">
        <v>700</v>
      </c>
      <c r="D447" s="44" t="str">
        <f>'Horizontal Teams'!C141</f>
        <v>H1</v>
      </c>
      <c r="E447" s="36" t="s">
        <v>700</v>
      </c>
      <c r="F447" s="49" t="str">
        <f>'Horizontal Teams'!E141</f>
        <v>Offshore Engineering Lead</v>
      </c>
      <c r="G447" s="44" t="str">
        <f>'Horizontal Teams'!D141</f>
        <v>DEV</v>
      </c>
      <c r="H447" s="44" t="str">
        <f>'Horizontal Teams'!F141</f>
        <v>E5</v>
      </c>
      <c r="I447" s="44" t="str">
        <f>'Horizontal Teams'!G141</f>
        <v>OFF</v>
      </c>
      <c r="J447" s="44" t="str">
        <f>'Horizontal Teams'!H141</f>
        <v>FTC</v>
      </c>
      <c r="K447" s="9">
        <f>'Horizontal Teams'!I141</f>
        <v>0.5</v>
      </c>
      <c r="L447" s="19">
        <v>1</v>
      </c>
      <c r="M447" s="46">
        <f t="shared" si="6"/>
        <v>0.5</v>
      </c>
      <c r="N447" s="46">
        <f>M447*INDEX('Logic Tree'!$J$75:$N$77,MATCH(I447,'Logic Tree'!$I$75:$I$77,0),MATCH(H447,'Logic Tree'!$J$74:$N$74,0))</f>
        <v>0.42499999999999999</v>
      </c>
    </row>
    <row r="448" spans="2:14" ht="15" customHeight="1">
      <c r="B448" s="19">
        <v>5</v>
      </c>
      <c r="C448" s="11" t="s">
        <v>700</v>
      </c>
      <c r="D448" s="44" t="str">
        <f>'Horizontal Teams'!C142</f>
        <v>H1</v>
      </c>
      <c r="E448" s="36" t="s">
        <v>700</v>
      </c>
      <c r="F448" s="49" t="str">
        <f>'Horizontal Teams'!E142</f>
        <v>MGCC Platform SRE</v>
      </c>
      <c r="G448" s="44" t="str">
        <f>'Horizontal Teams'!D142</f>
        <v>DEV</v>
      </c>
      <c r="H448" s="44" t="str">
        <f>'Horizontal Teams'!F142</f>
        <v>E3</v>
      </c>
      <c r="I448" s="44" t="str">
        <f>'Horizontal Teams'!G142</f>
        <v>OFF</v>
      </c>
      <c r="J448" s="44" t="str">
        <f>'Horizontal Teams'!H142</f>
        <v>MGCC</v>
      </c>
      <c r="K448" s="9">
        <f>'Horizontal Teams'!I142</f>
        <v>4.5</v>
      </c>
      <c r="L448" s="19">
        <v>1</v>
      </c>
      <c r="M448" s="46">
        <f t="shared" si="6"/>
        <v>4.5</v>
      </c>
      <c r="N448" s="46">
        <f>M448*INDEX('Logic Tree'!$J$75:$N$77,MATCH(I448,'Logic Tree'!$I$75:$I$77,0),MATCH(H448,'Logic Tree'!$J$74:$N$74,0))</f>
        <v>1.89</v>
      </c>
    </row>
    <row r="449" spans="2:14" ht="15" customHeight="1">
      <c r="B449" s="19">
        <v>5</v>
      </c>
      <c r="C449" s="11" t="s">
        <v>700</v>
      </c>
      <c r="D449" s="44" t="str">
        <f>'Horizontal Teams'!C143</f>
        <v>H1</v>
      </c>
      <c r="E449" s="36" t="s">
        <v>700</v>
      </c>
      <c r="F449" s="49" t="str">
        <f>'Horizontal Teams'!E143</f>
        <v>MetLife Service Owner</v>
      </c>
      <c r="G449" s="44" t="str">
        <f>'Horizontal Teams'!D143</f>
        <v>PM</v>
      </c>
      <c r="H449" s="44" t="str">
        <f>'Horizontal Teams'!F143</f>
        <v>E4</v>
      </c>
      <c r="I449" s="44" t="str">
        <f>'Horizontal Teams'!G143</f>
        <v>ON</v>
      </c>
      <c r="J449" s="44" t="str">
        <f>'Horizontal Teams'!H143</f>
        <v>FTE</v>
      </c>
      <c r="K449" s="9">
        <f>'Horizontal Teams'!I143</f>
        <v>2</v>
      </c>
      <c r="L449" s="19">
        <v>1</v>
      </c>
      <c r="M449" s="46">
        <f t="shared" si="6"/>
        <v>2</v>
      </c>
      <c r="N449" s="46">
        <f>M449*INDEX('Logic Tree'!$J$75:$N$77,MATCH(I449,'Logic Tree'!$I$75:$I$77,0),MATCH(H449,'Logic Tree'!$J$74:$N$74,0))</f>
        <v>3.7</v>
      </c>
    </row>
    <row r="450" spans="2:14" ht="15" customHeight="1">
      <c r="B450" s="19">
        <v>5</v>
      </c>
      <c r="C450" s="11" t="s">
        <v>700</v>
      </c>
      <c r="D450" s="44" t="str">
        <f>'Horizontal Teams'!C144</f>
        <v>H1</v>
      </c>
      <c r="E450" s="36" t="s">
        <v>700</v>
      </c>
      <c r="F450" s="49" t="str">
        <f>'Horizontal Teams'!E144</f>
        <v>MetLife Distribution Ops Analyst</v>
      </c>
      <c r="G450" s="44" t="str">
        <f>'Horizontal Teams'!D144</f>
        <v>MNT</v>
      </c>
      <c r="H450" s="44" t="str">
        <f>'Horizontal Teams'!F144</f>
        <v>E3</v>
      </c>
      <c r="I450" s="44" t="str">
        <f>'Horizontal Teams'!G144</f>
        <v>ON</v>
      </c>
      <c r="J450" s="44" t="str">
        <f>'Horizontal Teams'!H144</f>
        <v>FTE</v>
      </c>
      <c r="K450" s="9">
        <f>'Horizontal Teams'!I144</f>
        <v>4.5</v>
      </c>
      <c r="L450" s="19">
        <v>1</v>
      </c>
      <c r="M450" s="46">
        <f t="shared" si="6"/>
        <v>4.5</v>
      </c>
      <c r="N450" s="46">
        <f>M450*INDEX('Logic Tree'!$J$75:$N$77,MATCH(I450,'Logic Tree'!$I$75:$I$77,0),MATCH(H450,'Logic Tree'!$J$74:$N$74,0))</f>
        <v>6.0750000000000002</v>
      </c>
    </row>
    <row r="451" spans="2:14" ht="15" customHeight="1">
      <c r="B451" s="19">
        <v>5</v>
      </c>
      <c r="C451" s="11" t="s">
        <v>700</v>
      </c>
      <c r="D451" s="44" t="str">
        <f>'Horizontal Teams'!C145</f>
        <v>H2</v>
      </c>
      <c r="E451" s="36" t="s">
        <v>700</v>
      </c>
      <c r="F451" s="49" t="str">
        <f>'Horizontal Teams'!E145</f>
        <v>Head of Quality Engineering</v>
      </c>
      <c r="G451" s="44" t="str">
        <f>'Horizontal Teams'!D145</f>
        <v>TEST</v>
      </c>
      <c r="H451" s="44" t="str">
        <f>'Horizontal Teams'!F145</f>
        <v>E5</v>
      </c>
      <c r="I451" s="44" t="str">
        <f>'Horizontal Teams'!G145</f>
        <v>ON</v>
      </c>
      <c r="J451" s="44" t="str">
        <f>'Horizontal Teams'!H145</f>
        <v>FTC</v>
      </c>
      <c r="K451" s="9">
        <f>'Horizontal Teams'!I145</f>
        <v>0.5</v>
      </c>
      <c r="L451" s="19">
        <v>1</v>
      </c>
      <c r="M451" s="46">
        <f t="shared" si="6"/>
        <v>0.5</v>
      </c>
      <c r="N451" s="46">
        <f>M451*INDEX('Logic Tree'!$J$75:$N$77,MATCH(I451,'Logic Tree'!$I$75:$I$77,0),MATCH(H451,'Logic Tree'!$J$74:$N$74,0))</f>
        <v>1.2749999999999999</v>
      </c>
    </row>
    <row r="452" spans="2:14" ht="15" customHeight="1">
      <c r="B452" s="19">
        <v>5</v>
      </c>
      <c r="C452" s="11" t="s">
        <v>700</v>
      </c>
      <c r="D452" s="44" t="str">
        <f>'Horizontal Teams'!C146</f>
        <v>H2</v>
      </c>
      <c r="E452" s="36" t="s">
        <v>700</v>
      </c>
      <c r="F452" s="49" t="str">
        <f>'Horizontal Teams'!E146</f>
        <v>Test Architect</v>
      </c>
      <c r="G452" s="44" t="str">
        <f>'Horizontal Teams'!D146</f>
        <v>TEST</v>
      </c>
      <c r="H452" s="44" t="str">
        <f>'Horizontal Teams'!F146</f>
        <v>E4</v>
      </c>
      <c r="I452" s="44" t="str">
        <f>'Horizontal Teams'!G146</f>
        <v>ON</v>
      </c>
      <c r="J452" s="44" t="str">
        <f>'Horizontal Teams'!H146</f>
        <v>FTC</v>
      </c>
      <c r="K452" s="9">
        <f>'Horizontal Teams'!I146</f>
        <v>0.5</v>
      </c>
      <c r="L452" s="19">
        <v>1</v>
      </c>
      <c r="M452" s="46">
        <f t="shared" si="6"/>
        <v>0.5</v>
      </c>
      <c r="N452" s="46">
        <f>M452*INDEX('Logic Tree'!$J$75:$N$77,MATCH(I452,'Logic Tree'!$I$75:$I$77,0),MATCH(H452,'Logic Tree'!$J$74:$N$74,0))</f>
        <v>0.92500000000000004</v>
      </c>
    </row>
    <row r="453" spans="2:14" ht="15" customHeight="1">
      <c r="B453" s="19">
        <v>5</v>
      </c>
      <c r="C453" s="11" t="s">
        <v>700</v>
      </c>
      <c r="D453" s="44" t="str">
        <f>'Horizontal Teams'!C147</f>
        <v>H2</v>
      </c>
      <c r="E453" s="36" t="s">
        <v>700</v>
      </c>
      <c r="F453" s="49" t="str">
        <f>'Horizontal Teams'!E147</f>
        <v>Performance Test Engineer</v>
      </c>
      <c r="G453" s="44" t="str">
        <f>'Horizontal Teams'!D147</f>
        <v>TEST</v>
      </c>
      <c r="H453" s="44" t="str">
        <f>'Horizontal Teams'!F147</f>
        <v>E3</v>
      </c>
      <c r="I453" s="44" t="str">
        <f>'Horizontal Teams'!G147</f>
        <v>ON</v>
      </c>
      <c r="J453" s="44" t="str">
        <f>'Horizontal Teams'!H147</f>
        <v>FTC</v>
      </c>
      <c r="K453" s="9">
        <f>'Horizontal Teams'!I147</f>
        <v>0.5</v>
      </c>
      <c r="L453" s="19">
        <v>1</v>
      </c>
      <c r="M453" s="46">
        <f t="shared" ref="M453:M468" si="7">K453*L453</f>
        <v>0.5</v>
      </c>
      <c r="N453" s="46">
        <f>M453*INDEX('Logic Tree'!$J$75:$N$77,MATCH(I453,'Logic Tree'!$I$75:$I$77,0),MATCH(H453,'Logic Tree'!$J$74:$N$74,0))</f>
        <v>0.67500000000000004</v>
      </c>
    </row>
    <row r="454" spans="2:14" ht="15" customHeight="1">
      <c r="B454" s="19">
        <v>5</v>
      </c>
      <c r="C454" s="11" t="s">
        <v>700</v>
      </c>
      <c r="D454" s="44" t="str">
        <f>'Horizontal Teams'!C148</f>
        <v>H2</v>
      </c>
      <c r="E454" s="36" t="s">
        <v>700</v>
      </c>
      <c r="F454" s="49" t="str">
        <f>'Horizontal Teams'!E148</f>
        <v>Regression Automation Engineer</v>
      </c>
      <c r="G454" s="44" t="str">
        <f>'Horizontal Teams'!D148</f>
        <v>TEST</v>
      </c>
      <c r="H454" s="44" t="str">
        <f>'Horizontal Teams'!F148</f>
        <v>E3</v>
      </c>
      <c r="I454" s="44" t="str">
        <f>'Horizontal Teams'!G148</f>
        <v>OFF</v>
      </c>
      <c r="J454" s="44" t="str">
        <f>'Horizontal Teams'!H148</f>
        <v>FTC</v>
      </c>
      <c r="K454" s="9">
        <f>'Horizontal Teams'!I148</f>
        <v>0.5</v>
      </c>
      <c r="L454" s="19">
        <v>1</v>
      </c>
      <c r="M454" s="46">
        <f t="shared" si="7"/>
        <v>0.5</v>
      </c>
      <c r="N454" s="46">
        <f>M454*INDEX('Logic Tree'!$J$75:$N$77,MATCH(I454,'Logic Tree'!$I$75:$I$77,0),MATCH(H454,'Logic Tree'!$J$74:$N$74,0))</f>
        <v>0.21</v>
      </c>
    </row>
    <row r="455" spans="2:14" ht="15" customHeight="1">
      <c r="B455" s="19">
        <v>5</v>
      </c>
      <c r="C455" s="11" t="s">
        <v>700</v>
      </c>
      <c r="D455" s="44" t="str">
        <f>'Horizontal Teams'!C149</f>
        <v>H2</v>
      </c>
      <c r="E455" s="36" t="s">
        <v>700</v>
      </c>
      <c r="F455" s="49" t="str">
        <f>'Horizontal Teams'!E149</f>
        <v>Regression Automation Engineer</v>
      </c>
      <c r="G455" s="44" t="str">
        <f>'Horizontal Teams'!D149</f>
        <v>TEST</v>
      </c>
      <c r="H455" s="44" t="str">
        <f>'Horizontal Teams'!F149</f>
        <v>E4</v>
      </c>
      <c r="I455" s="44" t="str">
        <f>'Horizontal Teams'!G149</f>
        <v>OFF</v>
      </c>
      <c r="J455" s="44" t="str">
        <f>'Horizontal Teams'!H149</f>
        <v>FTC</v>
      </c>
      <c r="K455" s="9">
        <f>'Horizontal Teams'!I149</f>
        <v>0.5</v>
      </c>
      <c r="L455" s="19">
        <v>1</v>
      </c>
      <c r="M455" s="46">
        <f t="shared" si="7"/>
        <v>0.5</v>
      </c>
      <c r="N455" s="46">
        <f>M455*INDEX('Logic Tree'!$J$75:$N$77,MATCH(I455,'Logic Tree'!$I$75:$I$77,0),MATCH(H455,'Logic Tree'!$J$74:$N$74,0))</f>
        <v>0.3</v>
      </c>
    </row>
    <row r="456" spans="2:14" ht="15" customHeight="1">
      <c r="B456" s="19">
        <v>5</v>
      </c>
      <c r="C456" s="11" t="s">
        <v>700</v>
      </c>
      <c r="D456" s="44" t="str">
        <f>'Horizontal Teams'!C150</f>
        <v>H2</v>
      </c>
      <c r="E456" s="36" t="s">
        <v>700</v>
      </c>
      <c r="F456" s="49" t="str">
        <f>'Horizontal Teams'!E150</f>
        <v>Test Automation Principal</v>
      </c>
      <c r="G456" s="44" t="str">
        <f>'Horizontal Teams'!D150</f>
        <v>TEST</v>
      </c>
      <c r="H456" s="44" t="str">
        <f>'Horizontal Teams'!F150</f>
        <v>E5</v>
      </c>
      <c r="I456" s="44" t="str">
        <f>'Horizontal Teams'!G150</f>
        <v>OFF</v>
      </c>
      <c r="J456" s="44" t="str">
        <f>'Horizontal Teams'!H150</f>
        <v>FTC</v>
      </c>
      <c r="K456" s="9">
        <f>'Horizontal Teams'!I150</f>
        <v>0.5</v>
      </c>
      <c r="L456" s="19">
        <v>1</v>
      </c>
      <c r="M456" s="46">
        <f t="shared" si="7"/>
        <v>0.5</v>
      </c>
      <c r="N456" s="46">
        <f>M456*INDEX('Logic Tree'!$J$75:$N$77,MATCH(I456,'Logic Tree'!$I$75:$I$77,0),MATCH(H456,'Logic Tree'!$J$74:$N$74,0))</f>
        <v>0.42499999999999999</v>
      </c>
    </row>
    <row r="457" spans="2:14" ht="15" customHeight="1">
      <c r="B457" s="19">
        <v>5</v>
      </c>
      <c r="C457" s="11" t="s">
        <v>700</v>
      </c>
      <c r="D457" s="44" t="str">
        <f>'Horizontal Teams'!C151</f>
        <v>H2</v>
      </c>
      <c r="E457" s="36" t="s">
        <v>700</v>
      </c>
      <c r="F457" s="49" t="str">
        <f>'Horizontal Teams'!E151</f>
        <v>Test Data Engineer</v>
      </c>
      <c r="G457" s="44" t="str">
        <f>'Horizontal Teams'!D151</f>
        <v>TEST</v>
      </c>
      <c r="H457" s="44" t="str">
        <f>'Horizontal Teams'!F151</f>
        <v>E1</v>
      </c>
      <c r="I457" s="44" t="str">
        <f>'Horizontal Teams'!G151</f>
        <v>OFF</v>
      </c>
      <c r="J457" s="44" t="str">
        <f>'Horizontal Teams'!H151</f>
        <v>FTC</v>
      </c>
      <c r="K457" s="9">
        <f>'Horizontal Teams'!I151</f>
        <v>0.5</v>
      </c>
      <c r="L457" s="19">
        <v>1</v>
      </c>
      <c r="M457" s="46">
        <f t="shared" si="7"/>
        <v>0.5</v>
      </c>
      <c r="N457" s="46">
        <f>M457*INDEX('Logic Tree'!$J$75:$N$77,MATCH(I457,'Logic Tree'!$I$75:$I$77,0),MATCH(H457,'Logic Tree'!$J$74:$N$74,0))</f>
        <v>0.11</v>
      </c>
    </row>
    <row r="458" spans="2:14" ht="15" customHeight="1">
      <c r="B458" s="19">
        <v>5</v>
      </c>
      <c r="C458" s="11" t="s">
        <v>700</v>
      </c>
      <c r="D458" s="44" t="str">
        <f>'Horizontal Teams'!C152</f>
        <v>H2</v>
      </c>
      <c r="E458" s="36" t="s">
        <v>700</v>
      </c>
      <c r="F458" s="49" t="str">
        <f>'Horizontal Teams'!E152</f>
        <v>Test Data Engineer</v>
      </c>
      <c r="G458" s="44" t="str">
        <f>'Horizontal Teams'!D152</f>
        <v>TEST</v>
      </c>
      <c r="H458" s="44" t="str">
        <f>'Horizontal Teams'!F152</f>
        <v>E2</v>
      </c>
      <c r="I458" s="44" t="str">
        <f>'Horizontal Teams'!G152</f>
        <v>OFF</v>
      </c>
      <c r="J458" s="44" t="str">
        <f>'Horizontal Teams'!H152</f>
        <v>FTC</v>
      </c>
      <c r="K458" s="9">
        <f>'Horizontal Teams'!I152</f>
        <v>0.5</v>
      </c>
      <c r="L458" s="19">
        <v>1</v>
      </c>
      <c r="M458" s="46">
        <f t="shared" si="7"/>
        <v>0.5</v>
      </c>
      <c r="N458" s="46">
        <f>M458*INDEX('Logic Tree'!$J$75:$N$77,MATCH(I458,'Logic Tree'!$I$75:$I$77,0),MATCH(H458,'Logic Tree'!$J$74:$N$74,0))</f>
        <v>0.15</v>
      </c>
    </row>
    <row r="459" spans="2:14" ht="15" customHeight="1">
      <c r="B459" s="19">
        <v>5</v>
      </c>
      <c r="C459" s="11" t="s">
        <v>700</v>
      </c>
      <c r="D459" s="44" t="str">
        <f>'Horizontal Teams'!C153</f>
        <v>H2</v>
      </c>
      <c r="E459" s="36" t="s">
        <v>700</v>
      </c>
      <c r="F459" s="49" t="str">
        <f>'Horizontal Teams'!E153</f>
        <v>MGCC Regression Automation</v>
      </c>
      <c r="G459" s="44" t="str">
        <f>'Horizontal Teams'!D153</f>
        <v>TEST</v>
      </c>
      <c r="H459" s="44" t="str">
        <f>'Horizontal Teams'!F153</f>
        <v>E3</v>
      </c>
      <c r="I459" s="44" t="str">
        <f>'Horizontal Teams'!G153</f>
        <v>OFF</v>
      </c>
      <c r="J459" s="44" t="str">
        <f>'Horizontal Teams'!H153</f>
        <v>MGCC</v>
      </c>
      <c r="K459" s="9">
        <f>'Horizontal Teams'!I153</f>
        <v>1.5</v>
      </c>
      <c r="L459" s="19">
        <v>1</v>
      </c>
      <c r="M459" s="46">
        <f t="shared" si="7"/>
        <v>1.5</v>
      </c>
      <c r="N459" s="46">
        <f>M459*INDEX('Logic Tree'!$J$75:$N$77,MATCH(I459,'Logic Tree'!$I$75:$I$77,0),MATCH(H459,'Logic Tree'!$J$74:$N$74,0))</f>
        <v>0.63</v>
      </c>
    </row>
    <row r="460" spans="2:14" ht="15" customHeight="1">
      <c r="B460" s="19">
        <v>5</v>
      </c>
      <c r="C460" s="11" t="s">
        <v>700</v>
      </c>
      <c r="D460" s="44" t="str">
        <f>'Horizontal Teams'!C154</f>
        <v>H2</v>
      </c>
      <c r="E460" s="36" t="s">
        <v>700</v>
      </c>
      <c r="F460" s="49" t="str">
        <f>'Horizontal Teams'!E154</f>
        <v>MetLife Test Governance</v>
      </c>
      <c r="G460" s="44" t="str">
        <f>'Horizontal Teams'!D154</f>
        <v>TEST</v>
      </c>
      <c r="H460" s="44" t="str">
        <f>'Horizontal Teams'!F154</f>
        <v>E4</v>
      </c>
      <c r="I460" s="44" t="str">
        <f>'Horizontal Teams'!G154</f>
        <v>ON</v>
      </c>
      <c r="J460" s="44" t="str">
        <f>'Horizontal Teams'!H154</f>
        <v>FTE</v>
      </c>
      <c r="K460" s="9">
        <f>'Horizontal Teams'!I154</f>
        <v>0.5</v>
      </c>
      <c r="L460" s="19">
        <v>1</v>
      </c>
      <c r="M460" s="46">
        <f t="shared" si="7"/>
        <v>0.5</v>
      </c>
      <c r="N460" s="46">
        <f>M460*INDEX('Logic Tree'!$J$75:$N$77,MATCH(I460,'Logic Tree'!$I$75:$I$77,0),MATCH(H460,'Logic Tree'!$J$74:$N$74,0))</f>
        <v>0.92500000000000004</v>
      </c>
    </row>
    <row r="461" spans="2:14" ht="15" customHeight="1">
      <c r="B461" s="19">
        <v>5</v>
      </c>
      <c r="C461" s="11" t="s">
        <v>700</v>
      </c>
      <c r="D461" s="44" t="str">
        <f>'Horizontal Teams'!C155</f>
        <v>H2</v>
      </c>
      <c r="E461" s="36" t="s">
        <v>700</v>
      </c>
      <c r="F461" s="49" t="str">
        <f>'Horizontal Teams'!E155</f>
        <v>MetLife Data &amp; Reporting Analyst</v>
      </c>
      <c r="G461" s="44" t="str">
        <f>'Horizontal Teams'!D155</f>
        <v>BSA</v>
      </c>
      <c r="H461" s="44" t="str">
        <f>'Horizontal Teams'!F155</f>
        <v>E3</v>
      </c>
      <c r="I461" s="44" t="str">
        <f>'Horizontal Teams'!G155</f>
        <v>ON</v>
      </c>
      <c r="J461" s="44" t="str">
        <f>'Horizontal Teams'!H155</f>
        <v>FTE</v>
      </c>
      <c r="K461" s="9">
        <f>'Horizontal Teams'!I155</f>
        <v>2.5</v>
      </c>
      <c r="L461" s="19">
        <v>1</v>
      </c>
      <c r="M461" s="46">
        <f t="shared" si="7"/>
        <v>2.5</v>
      </c>
      <c r="N461" s="46">
        <f>M461*INDEX('Logic Tree'!$J$75:$N$77,MATCH(I461,'Logic Tree'!$I$75:$I$77,0),MATCH(H461,'Logic Tree'!$J$74:$N$74,0))</f>
        <v>3.375</v>
      </c>
    </row>
    <row r="462" spans="2:14" ht="15" customHeight="1">
      <c r="B462" s="19">
        <v>5</v>
      </c>
      <c r="C462" s="11" t="s">
        <v>700</v>
      </c>
      <c r="D462" s="44" t="str">
        <f>'Horizontal Teams'!C156</f>
        <v>H3</v>
      </c>
      <c r="E462" s="36" t="s">
        <v>700</v>
      </c>
      <c r="F462" s="49" t="str">
        <f>'Horizontal Teams'!E156</f>
        <v>Domain Delivery Head</v>
      </c>
      <c r="G462" s="44" t="str">
        <f>'Horizontal Teams'!D156</f>
        <v>PM</v>
      </c>
      <c r="H462" s="44" t="str">
        <f>'Horizontal Teams'!F156</f>
        <v>E5</v>
      </c>
      <c r="I462" s="44" t="str">
        <f>'Horizontal Teams'!G156</f>
        <v>ON</v>
      </c>
      <c r="J462" s="44" t="str">
        <f>'Horizontal Teams'!H156</f>
        <v>FTC</v>
      </c>
      <c r="K462" s="9">
        <f>'Horizontal Teams'!I156</f>
        <v>0.5</v>
      </c>
      <c r="L462" s="19">
        <v>1</v>
      </c>
      <c r="M462" s="46">
        <f t="shared" si="7"/>
        <v>0.5</v>
      </c>
      <c r="N462" s="46">
        <f>M462*INDEX('Logic Tree'!$J$75:$N$77,MATCH(I462,'Logic Tree'!$I$75:$I$77,0),MATCH(H462,'Logic Tree'!$J$74:$N$74,0))</f>
        <v>1.2749999999999999</v>
      </c>
    </row>
    <row r="463" spans="2:14" ht="15" customHeight="1">
      <c r="B463" s="19">
        <v>5</v>
      </c>
      <c r="C463" s="11" t="s">
        <v>700</v>
      </c>
      <c r="D463" s="44" t="str">
        <f>'Horizontal Teams'!C157</f>
        <v>H3</v>
      </c>
      <c r="E463" s="36" t="s">
        <v>700</v>
      </c>
      <c r="F463" s="49" t="str">
        <f>'Horizontal Teams'!E157</f>
        <v>Release Train Engineer</v>
      </c>
      <c r="G463" s="44" t="str">
        <f>'Horizontal Teams'!D157</f>
        <v>PM</v>
      </c>
      <c r="H463" s="44" t="str">
        <f>'Horizontal Teams'!F157</f>
        <v>E4</v>
      </c>
      <c r="I463" s="44" t="str">
        <f>'Horizontal Teams'!G157</f>
        <v>ON</v>
      </c>
      <c r="J463" s="44" t="str">
        <f>'Horizontal Teams'!H157</f>
        <v>FTC</v>
      </c>
      <c r="K463" s="9">
        <f>'Horizontal Teams'!I157</f>
        <v>0.5</v>
      </c>
      <c r="L463" s="19">
        <v>1</v>
      </c>
      <c r="M463" s="46">
        <f t="shared" si="7"/>
        <v>0.5</v>
      </c>
      <c r="N463" s="46">
        <f>M463*INDEX('Logic Tree'!$J$75:$N$77,MATCH(I463,'Logic Tree'!$I$75:$I$77,0),MATCH(H463,'Logic Tree'!$J$74:$N$74,0))</f>
        <v>0.92500000000000004</v>
      </c>
    </row>
    <row r="464" spans="2:14" ht="15" customHeight="1">
      <c r="B464" s="19">
        <v>5</v>
      </c>
      <c r="C464" s="11" t="s">
        <v>700</v>
      </c>
      <c r="D464" s="44" t="str">
        <f>'Horizontal Teams'!C158</f>
        <v>H3</v>
      </c>
      <c r="E464" s="36" t="s">
        <v>700</v>
      </c>
      <c r="F464" s="49" t="str">
        <f>'Horizontal Teams'!E158</f>
        <v>Service &amp; Contract Manager</v>
      </c>
      <c r="G464" s="44" t="str">
        <f>'Horizontal Teams'!D158</f>
        <v>PM</v>
      </c>
      <c r="H464" s="44" t="str">
        <f>'Horizontal Teams'!F158</f>
        <v>E4</v>
      </c>
      <c r="I464" s="44" t="str">
        <f>'Horizontal Teams'!G158</f>
        <v>ON</v>
      </c>
      <c r="J464" s="44" t="str">
        <f>'Horizontal Teams'!H158</f>
        <v>FTC</v>
      </c>
      <c r="K464" s="9">
        <f>'Horizontal Teams'!I158</f>
        <v>0.5</v>
      </c>
      <c r="L464" s="19">
        <v>1</v>
      </c>
      <c r="M464" s="46">
        <f t="shared" si="7"/>
        <v>0.5</v>
      </c>
      <c r="N464" s="46">
        <f>M464*INDEX('Logic Tree'!$J$75:$N$77,MATCH(I464,'Logic Tree'!$I$75:$I$77,0),MATCH(H464,'Logic Tree'!$J$74:$N$74,0))</f>
        <v>0.92500000000000004</v>
      </c>
    </row>
    <row r="465" spans="2:14" ht="15" customHeight="1">
      <c r="B465" s="19">
        <v>5</v>
      </c>
      <c r="C465" s="11" t="s">
        <v>700</v>
      </c>
      <c r="D465" s="44" t="str">
        <f>'Horizontal Teams'!C159</f>
        <v>H3</v>
      </c>
      <c r="E465" s="36" t="s">
        <v>700</v>
      </c>
      <c r="F465" s="49" t="str">
        <f>'Horizontal Teams'!E159</f>
        <v>Transition &amp; Substrate Lead</v>
      </c>
      <c r="G465" s="44" t="str">
        <f>'Horizontal Teams'!D159</f>
        <v>OTH</v>
      </c>
      <c r="H465" s="44" t="str">
        <f>'Horizontal Teams'!F159</f>
        <v>E5</v>
      </c>
      <c r="I465" s="44" t="str">
        <f>'Horizontal Teams'!G159</f>
        <v>ON</v>
      </c>
      <c r="J465" s="44" t="str">
        <f>'Horizontal Teams'!H159</f>
        <v>FTC</v>
      </c>
      <c r="K465" s="9">
        <f>'Horizontal Teams'!I159</f>
        <v>0.5</v>
      </c>
      <c r="L465" s="19">
        <v>1</v>
      </c>
      <c r="M465" s="46">
        <f t="shared" si="7"/>
        <v>0.5</v>
      </c>
      <c r="N465" s="46">
        <f>M465*INDEX('Logic Tree'!$J$75:$N$77,MATCH(I465,'Logic Tree'!$I$75:$I$77,0),MATCH(H465,'Logic Tree'!$J$74:$N$74,0))</f>
        <v>1.2749999999999999</v>
      </c>
    </row>
    <row r="466" spans="2:14" ht="15" customHeight="1">
      <c r="B466" s="19">
        <v>5</v>
      </c>
      <c r="C466" s="11" t="s">
        <v>700</v>
      </c>
      <c r="D466" s="44" t="str">
        <f>'Horizontal Teams'!C160</f>
        <v>H3</v>
      </c>
      <c r="E466" s="36" t="s">
        <v>700</v>
      </c>
      <c r="F466" s="49" t="str">
        <f>'Horizontal Teams'!E160</f>
        <v>MetLife Chief Architect — Sales</v>
      </c>
      <c r="G466" s="44" t="str">
        <f>'Horizontal Teams'!D160</f>
        <v>OTH</v>
      </c>
      <c r="H466" s="44" t="str">
        <f>'Horizontal Teams'!F160</f>
        <v>E5</v>
      </c>
      <c r="I466" s="44" t="str">
        <f>'Horizontal Teams'!G160</f>
        <v>ON</v>
      </c>
      <c r="J466" s="44" t="str">
        <f>'Horizontal Teams'!H160</f>
        <v>FTE</v>
      </c>
      <c r="K466" s="9">
        <f>'Horizontal Teams'!I160</f>
        <v>3.5</v>
      </c>
      <c r="L466" s="19">
        <v>1</v>
      </c>
      <c r="M466" s="46">
        <f t="shared" si="7"/>
        <v>3.5</v>
      </c>
      <c r="N466" s="46">
        <f>M466*INDEX('Logic Tree'!$J$75:$N$77,MATCH(I466,'Logic Tree'!$I$75:$I$77,0),MATCH(H466,'Logic Tree'!$J$74:$N$74,0))</f>
        <v>8.9249999999999989</v>
      </c>
    </row>
    <row r="467" spans="2:14" ht="15" customHeight="1">
      <c r="B467" s="19">
        <v>5</v>
      </c>
      <c r="C467" s="11" t="s">
        <v>700</v>
      </c>
      <c r="D467" s="44" t="str">
        <f>'Horizontal Teams'!C161</f>
        <v>H3</v>
      </c>
      <c r="E467" s="36" t="s">
        <v>700</v>
      </c>
      <c r="F467" s="49" t="str">
        <f>'Horizontal Teams'!E161</f>
        <v>MetLife Distribution Governance</v>
      </c>
      <c r="G467" s="44" t="str">
        <f>'Horizontal Teams'!D161</f>
        <v>BSA</v>
      </c>
      <c r="H467" s="44" t="str">
        <f>'Horizontal Teams'!F161</f>
        <v>E4</v>
      </c>
      <c r="I467" s="44" t="str">
        <f>'Horizontal Teams'!G161</f>
        <v>ON</v>
      </c>
      <c r="J467" s="44" t="str">
        <f>'Horizontal Teams'!H161</f>
        <v>FTE</v>
      </c>
      <c r="K467" s="9">
        <f>'Horizontal Teams'!I161</f>
        <v>3.5</v>
      </c>
      <c r="L467" s="19">
        <v>1</v>
      </c>
      <c r="M467" s="46">
        <f t="shared" si="7"/>
        <v>3.5</v>
      </c>
      <c r="N467" s="46">
        <f>M467*INDEX('Logic Tree'!$J$75:$N$77,MATCH(I467,'Logic Tree'!$I$75:$I$77,0),MATCH(H467,'Logic Tree'!$J$74:$N$74,0))</f>
        <v>6.4750000000000005</v>
      </c>
    </row>
    <row r="468" spans="2:14" ht="15" customHeight="1">
      <c r="B468" s="19">
        <v>5</v>
      </c>
      <c r="C468" s="11" t="s">
        <v>700</v>
      </c>
      <c r="D468" s="44" t="str">
        <f>'Horizontal Teams'!C162</f>
        <v>H3</v>
      </c>
      <c r="E468" s="36" t="s">
        <v>700</v>
      </c>
      <c r="F468" s="49" t="str">
        <f>'Horizontal Teams'!E162</f>
        <v>MetLife Portfolio Manager</v>
      </c>
      <c r="G468" s="44" t="str">
        <f>'Horizontal Teams'!D162</f>
        <v>PM</v>
      </c>
      <c r="H468" s="44" t="str">
        <f>'Horizontal Teams'!F162</f>
        <v>E4</v>
      </c>
      <c r="I468" s="44" t="str">
        <f>'Horizontal Teams'!G162</f>
        <v>ON</v>
      </c>
      <c r="J468" s="44" t="str">
        <f>'Horizontal Teams'!H162</f>
        <v>FTE</v>
      </c>
      <c r="K468" s="9">
        <f>'Horizontal Teams'!I162</f>
        <v>0.5</v>
      </c>
      <c r="L468" s="19">
        <v>1</v>
      </c>
      <c r="M468" s="46">
        <f t="shared" si="7"/>
        <v>0.5</v>
      </c>
      <c r="N468" s="46">
        <f>M468*INDEX('Logic Tree'!$J$75:$N$77,MATCH(I468,'Logic Tree'!$I$75:$I$77,0),MATCH(H468,'Logic Tree'!$J$74:$N$74,0))</f>
        <v>0.92500000000000004</v>
      </c>
    </row>
  </sheetData>
  <mergeCells count="2">
    <mergeCell ref="A1:N1"/>
    <mergeCell ref="A2:N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240"/>
  <sheetViews>
    <sheetView zoomScaleNormal="100" workbookViewId="0">
      <pane xSplit="1" ySplit="27" topLeftCell="B28" activePane="bottomRight" state="frozen"/>
      <selection pane="topRight" activeCell="B1" sqref="B1"/>
      <selection pane="bottomLeft" activeCell="A28" sqref="A28"/>
      <selection pane="bottomRight"/>
    </sheetView>
  </sheetViews>
  <sheetFormatPr defaultColWidth="8.6328125" defaultRowHeight="14.5"/>
  <cols>
    <col min="1" max="1" width="2.453125" customWidth="1"/>
    <col min="2" max="2" width="30" customWidth="1"/>
    <col min="3" max="5" width="9" customWidth="1"/>
    <col min="6" max="6" width="11" customWidth="1"/>
    <col min="7" max="8" width="10" customWidth="1"/>
    <col min="9" max="9" width="11" customWidth="1"/>
    <col min="10" max="11" width="10" customWidth="1"/>
    <col min="12" max="12" width="54" customWidth="1"/>
  </cols>
  <sheetData>
    <row r="1" spans="1:12" ht="25.5" customHeight="1">
      <c r="A1" s="61" t="s">
        <v>701</v>
      </c>
      <c r="B1" s="61"/>
      <c r="C1" s="61"/>
      <c r="D1" s="61"/>
      <c r="E1" s="61"/>
      <c r="F1" s="61"/>
      <c r="G1" s="61"/>
      <c r="H1" s="61"/>
      <c r="I1" s="61"/>
      <c r="J1" s="61"/>
      <c r="K1" s="61"/>
      <c r="L1" s="61"/>
    </row>
    <row r="2" spans="1:12" ht="15" customHeight="1">
      <c r="A2" s="62" t="s">
        <v>702</v>
      </c>
      <c r="B2" s="62"/>
      <c r="C2" s="62"/>
      <c r="D2" s="62"/>
      <c r="E2" s="62"/>
      <c r="F2" s="62"/>
      <c r="G2" s="62"/>
      <c r="H2" s="62"/>
      <c r="I2" s="62"/>
      <c r="J2" s="62"/>
      <c r="K2" s="62"/>
      <c r="L2" s="62"/>
    </row>
    <row r="4" spans="1:12" ht="15" customHeight="1">
      <c r="A4" s="60" t="s">
        <v>703</v>
      </c>
      <c r="B4" s="60"/>
      <c r="C4" s="60"/>
      <c r="D4" s="60"/>
      <c r="E4" s="60"/>
      <c r="F4" s="60"/>
      <c r="G4" s="60"/>
      <c r="H4" s="60"/>
      <c r="I4" s="60"/>
      <c r="J4" s="60"/>
      <c r="K4" s="60"/>
      <c r="L4" s="60"/>
    </row>
    <row r="5" spans="1:12">
      <c r="B5" s="5" t="s">
        <v>704</v>
      </c>
      <c r="C5" s="5" t="s">
        <v>92</v>
      </c>
      <c r="D5" s="5" t="s">
        <v>93</v>
      </c>
      <c r="E5" s="5" t="s">
        <v>94</v>
      </c>
      <c r="F5" s="5" t="s">
        <v>95</v>
      </c>
      <c r="G5" s="5" t="s">
        <v>96</v>
      </c>
      <c r="H5" s="5" t="s">
        <v>39</v>
      </c>
    </row>
    <row r="6" spans="1:12" ht="24">
      <c r="B6" s="14" t="s">
        <v>705</v>
      </c>
      <c r="C6" s="15">
        <v>466.5</v>
      </c>
      <c r="D6" s="15">
        <v>359.5</v>
      </c>
      <c r="E6" s="15">
        <v>290</v>
      </c>
      <c r="F6" s="15">
        <v>250.5</v>
      </c>
      <c r="G6" s="15">
        <v>227</v>
      </c>
    </row>
    <row r="7" spans="1:12" ht="30" customHeight="1">
      <c r="B7" s="50" t="s">
        <v>706</v>
      </c>
      <c r="C7" s="51">
        <v>517</v>
      </c>
      <c r="D7" s="51">
        <v>393</v>
      </c>
      <c r="E7" s="51">
        <v>325</v>
      </c>
      <c r="F7" s="51">
        <v>285</v>
      </c>
      <c r="G7" s="51">
        <v>266</v>
      </c>
      <c r="H7" s="1" t="s">
        <v>707</v>
      </c>
    </row>
    <row r="8" spans="1:12" ht="30" customHeight="1">
      <c r="B8" s="52" t="s">
        <v>708</v>
      </c>
      <c r="C8" s="16">
        <v>468</v>
      </c>
      <c r="D8" s="16">
        <v>360</v>
      </c>
      <c r="E8" s="16">
        <v>280</v>
      </c>
      <c r="F8" s="16">
        <v>236</v>
      </c>
      <c r="G8" s="16">
        <v>215</v>
      </c>
      <c r="H8" s="1" t="s">
        <v>709</v>
      </c>
    </row>
    <row r="9" spans="1:12" ht="30" customHeight="1">
      <c r="B9" s="14" t="s">
        <v>710</v>
      </c>
      <c r="C9" s="15">
        <v>466.5</v>
      </c>
      <c r="D9" s="15">
        <v>359.5</v>
      </c>
      <c r="E9" s="15">
        <v>290</v>
      </c>
      <c r="F9" s="15">
        <v>250.5</v>
      </c>
      <c r="G9" s="15">
        <v>227</v>
      </c>
      <c r="H9" s="1" t="s">
        <v>711</v>
      </c>
    </row>
    <row r="11" spans="1:12" ht="15" customHeight="1">
      <c r="A11" s="60" t="s">
        <v>712</v>
      </c>
      <c r="B11" s="60"/>
      <c r="C11" s="60"/>
      <c r="D11" s="60"/>
      <c r="E11" s="60"/>
      <c r="F11" s="60"/>
      <c r="G11" s="60"/>
      <c r="H11" s="60"/>
      <c r="I11" s="60"/>
      <c r="J11" s="60"/>
      <c r="K11" s="60"/>
      <c r="L11" s="60"/>
    </row>
    <row r="12" spans="1:12" ht="27.75" customHeight="1">
      <c r="B12" s="63" t="s">
        <v>713</v>
      </c>
      <c r="C12" s="63"/>
      <c r="D12" s="63"/>
      <c r="E12" s="63"/>
      <c r="F12" s="63"/>
      <c r="G12" s="63"/>
      <c r="H12" s="63"/>
      <c r="I12" s="63"/>
      <c r="J12" s="63"/>
      <c r="K12" s="63"/>
      <c r="L12" s="63"/>
    </row>
    <row r="13" spans="1:12" ht="22">
      <c r="B13" s="5" t="s">
        <v>714</v>
      </c>
      <c r="C13" s="5" t="s">
        <v>715</v>
      </c>
      <c r="D13" s="5" t="s">
        <v>716</v>
      </c>
      <c r="E13" s="5" t="s">
        <v>717</v>
      </c>
    </row>
    <row r="14" spans="1:12" ht="42" customHeight="1">
      <c r="B14" s="24" t="s">
        <v>718</v>
      </c>
      <c r="C14" s="65" t="s">
        <v>719</v>
      </c>
      <c r="D14" s="65"/>
      <c r="E14" s="65"/>
      <c r="F14" s="65"/>
      <c r="G14" s="65" t="s">
        <v>720</v>
      </c>
      <c r="H14" s="65"/>
      <c r="I14" s="65"/>
      <c r="J14" s="67" t="s">
        <v>721</v>
      </c>
      <c r="K14" s="67"/>
      <c r="L14" s="67"/>
    </row>
    <row r="15" spans="1:12" ht="42" customHeight="1">
      <c r="B15" s="24" t="s">
        <v>722</v>
      </c>
      <c r="C15" s="65" t="s">
        <v>723</v>
      </c>
      <c r="D15" s="65"/>
      <c r="E15" s="65"/>
      <c r="F15" s="65"/>
      <c r="G15" s="65" t="s">
        <v>724</v>
      </c>
      <c r="H15" s="65"/>
      <c r="I15" s="65"/>
      <c r="J15" s="67" t="s">
        <v>725</v>
      </c>
      <c r="K15" s="67"/>
      <c r="L15" s="67"/>
    </row>
    <row r="16" spans="1:12" ht="15" customHeight="1">
      <c r="B16" s="64" t="s">
        <v>726</v>
      </c>
      <c r="C16" s="64"/>
      <c r="D16" s="64"/>
      <c r="E16" s="64"/>
      <c r="F16" s="64"/>
      <c r="G16" s="64"/>
      <c r="H16" s="64"/>
      <c r="I16" s="64"/>
      <c r="J16" s="64"/>
      <c r="K16" s="64"/>
      <c r="L16" s="64"/>
    </row>
    <row r="18" spans="1:13" ht="15" customHeight="1">
      <c r="A18" s="60" t="s">
        <v>727</v>
      </c>
      <c r="B18" s="60"/>
      <c r="C18" s="60"/>
      <c r="D18" s="60"/>
      <c r="E18" s="60"/>
      <c r="F18" s="60"/>
      <c r="G18" s="60"/>
      <c r="H18" s="60"/>
      <c r="I18" s="60"/>
      <c r="J18" s="60"/>
      <c r="K18" s="60"/>
      <c r="L18" s="60"/>
    </row>
    <row r="19" spans="1:13">
      <c r="B19" s="5" t="s">
        <v>258</v>
      </c>
      <c r="C19" s="5" t="s">
        <v>92</v>
      </c>
      <c r="D19" s="5" t="s">
        <v>93</v>
      </c>
      <c r="E19" s="5" t="s">
        <v>94</v>
      </c>
      <c r="F19" s="5" t="s">
        <v>95</v>
      </c>
      <c r="G19" s="5" t="s">
        <v>96</v>
      </c>
      <c r="H19" s="5" t="s">
        <v>728</v>
      </c>
    </row>
    <row r="20" spans="1:13" ht="25.5" customHeight="1">
      <c r="B20" s="14" t="s">
        <v>729</v>
      </c>
      <c r="C20" s="15">
        <v>466.5</v>
      </c>
      <c r="D20" s="15">
        <v>359.5</v>
      </c>
      <c r="E20" s="15">
        <v>290</v>
      </c>
      <c r="F20" s="15">
        <v>250.5</v>
      </c>
      <c r="G20" s="15">
        <v>227</v>
      </c>
      <c r="H20" s="1" t="s">
        <v>730</v>
      </c>
    </row>
    <row r="21" spans="1:13" ht="25.5" customHeight="1">
      <c r="B21" s="14" t="s">
        <v>731</v>
      </c>
      <c r="C21" s="37">
        <v>5598</v>
      </c>
      <c r="D21" s="37">
        <v>4314</v>
      </c>
      <c r="E21" s="37">
        <v>3480</v>
      </c>
      <c r="F21" s="37">
        <v>3006</v>
      </c>
      <c r="G21" s="37">
        <v>2724</v>
      </c>
      <c r="H21" s="1" t="s">
        <v>732</v>
      </c>
    </row>
    <row r="22" spans="1:13" ht="25.5" customHeight="1">
      <c r="B22" s="2" t="s">
        <v>733</v>
      </c>
      <c r="C22" s="13">
        <v>477</v>
      </c>
      <c r="D22" s="13">
        <v>369</v>
      </c>
      <c r="E22" s="13">
        <v>302</v>
      </c>
      <c r="F22" s="13">
        <v>264</v>
      </c>
      <c r="G22" s="13">
        <v>244</v>
      </c>
      <c r="H22" s="1" t="s">
        <v>734</v>
      </c>
    </row>
    <row r="23" spans="1:13" ht="25.5" customHeight="1">
      <c r="B23" s="2" t="s">
        <v>735</v>
      </c>
      <c r="C23" s="13">
        <v>456</v>
      </c>
      <c r="D23" s="13">
        <v>350</v>
      </c>
      <c r="E23" s="13">
        <v>278</v>
      </c>
      <c r="F23" s="13">
        <v>237</v>
      </c>
      <c r="G23" s="13">
        <v>210</v>
      </c>
      <c r="H23" s="1" t="s">
        <v>736</v>
      </c>
    </row>
    <row r="24" spans="1:13" ht="25.5" customHeight="1">
      <c r="B24" s="2" t="s">
        <v>737</v>
      </c>
      <c r="C24" s="31">
        <v>0.97798742138364803</v>
      </c>
      <c r="D24" s="31">
        <v>0.97425474254742495</v>
      </c>
      <c r="E24" s="31">
        <v>0.96026490066225201</v>
      </c>
      <c r="F24" s="31">
        <v>0.94886363636363602</v>
      </c>
      <c r="G24" s="31">
        <v>0.93032786885245899</v>
      </c>
      <c r="H24" s="1" t="s">
        <v>738</v>
      </c>
    </row>
    <row r="26" spans="1:13" ht="15" customHeight="1">
      <c r="A26" s="60" t="s">
        <v>739</v>
      </c>
      <c r="B26" s="60"/>
      <c r="C26" s="60"/>
      <c r="D26" s="60"/>
      <c r="E26" s="60"/>
      <c r="F26" s="60"/>
      <c r="G26" s="60"/>
      <c r="H26" s="60"/>
      <c r="I26" s="60"/>
      <c r="J26" s="60"/>
      <c r="K26" s="60"/>
      <c r="L26" s="60"/>
    </row>
    <row r="27" spans="1:13" ht="33">
      <c r="B27" s="5" t="s">
        <v>434</v>
      </c>
      <c r="C27" s="5" t="s">
        <v>441</v>
      </c>
      <c r="D27" s="5" t="s">
        <v>438</v>
      </c>
      <c r="E27" s="5" t="s">
        <v>581</v>
      </c>
      <c r="F27" s="5" t="s">
        <v>210</v>
      </c>
      <c r="G27" s="5" t="s">
        <v>740</v>
      </c>
      <c r="H27" s="5" t="s">
        <v>729</v>
      </c>
      <c r="I27" s="5" t="s">
        <v>741</v>
      </c>
      <c r="J27" s="5" t="s">
        <v>714</v>
      </c>
      <c r="K27" s="5" t="s">
        <v>742</v>
      </c>
      <c r="L27" s="5" t="s">
        <v>743</v>
      </c>
      <c r="M27" s="5" t="s">
        <v>744</v>
      </c>
    </row>
    <row r="28" spans="1:13">
      <c r="B28" s="19">
        <v>1</v>
      </c>
      <c r="C28" s="11" t="s">
        <v>367</v>
      </c>
      <c r="D28" s="11" t="s">
        <v>230</v>
      </c>
      <c r="E28" s="36" t="s">
        <v>213</v>
      </c>
      <c r="F28" s="36" t="s">
        <v>221</v>
      </c>
      <c r="G28" s="36" t="s">
        <v>745</v>
      </c>
      <c r="H28" s="53">
        <v>46.5</v>
      </c>
      <c r="I28" s="27">
        <v>558</v>
      </c>
      <c r="J28" s="54" t="s">
        <v>718</v>
      </c>
      <c r="K28" s="55">
        <v>46</v>
      </c>
      <c r="L28" s="9">
        <v>6</v>
      </c>
      <c r="M28" s="31"/>
    </row>
    <row r="29" spans="1:13">
      <c r="B29" s="19">
        <v>1</v>
      </c>
      <c r="C29" s="11" t="s">
        <v>367</v>
      </c>
      <c r="D29" s="11" t="s">
        <v>447</v>
      </c>
      <c r="E29" s="36" t="s">
        <v>211</v>
      </c>
      <c r="F29" s="36" t="s">
        <v>222</v>
      </c>
      <c r="G29" s="36" t="s">
        <v>745</v>
      </c>
      <c r="H29" s="53">
        <v>5.5</v>
      </c>
      <c r="I29" s="27">
        <v>66.000000000000099</v>
      </c>
      <c r="J29" s="54" t="s">
        <v>718</v>
      </c>
      <c r="K29" s="55">
        <v>5</v>
      </c>
      <c r="L29" s="9">
        <v>6</v>
      </c>
      <c r="M29" s="31"/>
    </row>
    <row r="30" spans="1:13">
      <c r="B30" s="19">
        <v>1</v>
      </c>
      <c r="C30" s="11" t="s">
        <v>367</v>
      </c>
      <c r="D30" s="11" t="s">
        <v>447</v>
      </c>
      <c r="E30" s="36" t="s">
        <v>212</v>
      </c>
      <c r="F30" s="36" t="s">
        <v>222</v>
      </c>
      <c r="G30" s="36" t="s">
        <v>745</v>
      </c>
      <c r="H30" s="53">
        <v>20.5</v>
      </c>
      <c r="I30" s="27">
        <v>246</v>
      </c>
      <c r="J30" s="54" t="s">
        <v>718</v>
      </c>
      <c r="K30" s="55">
        <v>20</v>
      </c>
      <c r="L30" s="9">
        <v>6</v>
      </c>
      <c r="M30" s="31"/>
    </row>
    <row r="31" spans="1:13">
      <c r="B31" s="19">
        <v>1</v>
      </c>
      <c r="C31" s="11" t="s">
        <v>367</v>
      </c>
      <c r="D31" s="11" t="s">
        <v>447</v>
      </c>
      <c r="E31" s="36" t="s">
        <v>213</v>
      </c>
      <c r="F31" s="36" t="s">
        <v>222</v>
      </c>
      <c r="G31" s="36" t="s">
        <v>745</v>
      </c>
      <c r="H31" s="53">
        <v>18.5</v>
      </c>
      <c r="I31" s="27">
        <v>222</v>
      </c>
      <c r="J31" s="54" t="s">
        <v>718</v>
      </c>
      <c r="K31" s="55">
        <v>18</v>
      </c>
      <c r="L31" s="9">
        <v>6</v>
      </c>
      <c r="M31" s="31"/>
    </row>
    <row r="32" spans="1:13">
      <c r="B32" s="19">
        <v>1</v>
      </c>
      <c r="C32" s="11" t="s">
        <v>367</v>
      </c>
      <c r="D32" s="11" t="s">
        <v>447</v>
      </c>
      <c r="E32" s="36" t="s">
        <v>213</v>
      </c>
      <c r="F32" s="36" t="s">
        <v>221</v>
      </c>
      <c r="G32" s="36" t="s">
        <v>745</v>
      </c>
      <c r="H32" s="53">
        <v>51</v>
      </c>
      <c r="I32" s="27">
        <v>612.00000000000102</v>
      </c>
      <c r="J32" s="54" t="s">
        <v>718</v>
      </c>
      <c r="K32" s="55">
        <v>51</v>
      </c>
      <c r="L32" s="9"/>
      <c r="M32" s="31"/>
    </row>
    <row r="33" spans="2:13">
      <c r="B33" s="19">
        <v>1</v>
      </c>
      <c r="C33" s="11" t="s">
        <v>367</v>
      </c>
      <c r="D33" s="11" t="s">
        <v>447</v>
      </c>
      <c r="E33" s="36" t="s">
        <v>214</v>
      </c>
      <c r="F33" s="36" t="s">
        <v>222</v>
      </c>
      <c r="G33" s="36" t="s">
        <v>745</v>
      </c>
      <c r="H33" s="53">
        <v>1.5</v>
      </c>
      <c r="I33" s="27">
        <v>18</v>
      </c>
      <c r="J33" s="54" t="s">
        <v>718</v>
      </c>
      <c r="K33" s="55">
        <v>1</v>
      </c>
      <c r="L33" s="9">
        <v>6</v>
      </c>
      <c r="M33" s="31"/>
    </row>
    <row r="34" spans="2:13">
      <c r="B34" s="19">
        <v>1</v>
      </c>
      <c r="C34" s="11" t="s">
        <v>367</v>
      </c>
      <c r="D34" s="11" t="s">
        <v>447</v>
      </c>
      <c r="E34" s="36" t="s">
        <v>214</v>
      </c>
      <c r="F34" s="36" t="s">
        <v>221</v>
      </c>
      <c r="G34" s="36" t="s">
        <v>745</v>
      </c>
      <c r="H34" s="53">
        <v>10.5</v>
      </c>
      <c r="I34" s="27">
        <v>126</v>
      </c>
      <c r="J34" s="54" t="s">
        <v>718</v>
      </c>
      <c r="K34" s="55">
        <v>10</v>
      </c>
      <c r="L34" s="9">
        <v>6</v>
      </c>
      <c r="M34" s="31"/>
    </row>
    <row r="35" spans="2:13">
      <c r="B35" s="19">
        <v>1</v>
      </c>
      <c r="C35" s="11" t="s">
        <v>367</v>
      </c>
      <c r="D35" s="11" t="s">
        <v>454</v>
      </c>
      <c r="E35" s="36" t="s">
        <v>211</v>
      </c>
      <c r="F35" s="36" t="s">
        <v>222</v>
      </c>
      <c r="G35" s="36" t="s">
        <v>745</v>
      </c>
      <c r="H35" s="53">
        <v>1</v>
      </c>
      <c r="I35" s="27">
        <v>12</v>
      </c>
      <c r="J35" s="54" t="s">
        <v>718</v>
      </c>
      <c r="K35" s="55">
        <v>1</v>
      </c>
      <c r="L35" s="9"/>
      <c r="M35" s="31"/>
    </row>
    <row r="36" spans="2:13">
      <c r="B36" s="19">
        <v>1</v>
      </c>
      <c r="C36" s="11" t="s">
        <v>367</v>
      </c>
      <c r="D36" s="11" t="s">
        <v>454</v>
      </c>
      <c r="E36" s="36" t="s">
        <v>212</v>
      </c>
      <c r="F36" s="36" t="s">
        <v>222</v>
      </c>
      <c r="G36" s="36" t="s">
        <v>745</v>
      </c>
      <c r="H36" s="53">
        <v>5</v>
      </c>
      <c r="I36" s="27">
        <v>60</v>
      </c>
      <c r="J36" s="54" t="s">
        <v>718</v>
      </c>
      <c r="K36" s="55">
        <v>5</v>
      </c>
      <c r="L36" s="9"/>
      <c r="M36" s="31"/>
    </row>
    <row r="37" spans="2:13">
      <c r="B37" s="19">
        <v>1</v>
      </c>
      <c r="C37" s="11" t="s">
        <v>367</v>
      </c>
      <c r="D37" s="11" t="s">
        <v>452</v>
      </c>
      <c r="E37" s="36" t="s">
        <v>212</v>
      </c>
      <c r="F37" s="36" t="s">
        <v>222</v>
      </c>
      <c r="G37" s="36" t="s">
        <v>745</v>
      </c>
      <c r="H37" s="53">
        <v>16</v>
      </c>
      <c r="I37" s="27">
        <v>192</v>
      </c>
      <c r="J37" s="54" t="s">
        <v>718</v>
      </c>
      <c r="K37" s="55">
        <v>16</v>
      </c>
      <c r="L37" s="9"/>
      <c r="M37" s="31"/>
    </row>
    <row r="38" spans="2:13">
      <c r="B38" s="19">
        <v>1</v>
      </c>
      <c r="C38" s="11" t="s">
        <v>367</v>
      </c>
      <c r="D38" s="11" t="s">
        <v>452</v>
      </c>
      <c r="E38" s="36" t="s">
        <v>213</v>
      </c>
      <c r="F38" s="36" t="s">
        <v>222</v>
      </c>
      <c r="G38" s="36" t="s">
        <v>745</v>
      </c>
      <c r="H38" s="53">
        <v>16.5</v>
      </c>
      <c r="I38" s="27">
        <v>198</v>
      </c>
      <c r="J38" s="54" t="s">
        <v>718</v>
      </c>
      <c r="K38" s="55">
        <v>16</v>
      </c>
      <c r="L38" s="9">
        <v>6</v>
      </c>
      <c r="M38" s="31"/>
    </row>
    <row r="39" spans="2:13">
      <c r="B39" s="19">
        <v>1</v>
      </c>
      <c r="C39" s="11" t="s">
        <v>367</v>
      </c>
      <c r="D39" s="11" t="s">
        <v>452</v>
      </c>
      <c r="E39" s="36" t="s">
        <v>213</v>
      </c>
      <c r="F39" s="36" t="s">
        <v>221</v>
      </c>
      <c r="G39" s="36" t="s">
        <v>745</v>
      </c>
      <c r="H39" s="53">
        <v>52</v>
      </c>
      <c r="I39" s="27">
        <v>624</v>
      </c>
      <c r="J39" s="54" t="s">
        <v>718</v>
      </c>
      <c r="K39" s="55">
        <v>52</v>
      </c>
      <c r="L39" s="9"/>
      <c r="M39" s="31"/>
    </row>
    <row r="40" spans="2:13">
      <c r="B40" s="19">
        <v>1</v>
      </c>
      <c r="C40" s="11" t="s">
        <v>367</v>
      </c>
      <c r="D40" s="11" t="s">
        <v>452</v>
      </c>
      <c r="E40" s="36" t="s">
        <v>214</v>
      </c>
      <c r="F40" s="36" t="s">
        <v>222</v>
      </c>
      <c r="G40" s="36" t="s">
        <v>745</v>
      </c>
      <c r="H40" s="53">
        <v>2</v>
      </c>
      <c r="I40" s="27">
        <v>24</v>
      </c>
      <c r="J40" s="54" t="s">
        <v>718</v>
      </c>
      <c r="K40" s="55">
        <v>2</v>
      </c>
      <c r="L40" s="9"/>
      <c r="M40" s="31"/>
    </row>
    <row r="41" spans="2:13">
      <c r="B41" s="19">
        <v>1</v>
      </c>
      <c r="C41" s="11" t="s">
        <v>367</v>
      </c>
      <c r="D41" s="11" t="s">
        <v>447</v>
      </c>
      <c r="E41" s="36" t="s">
        <v>213</v>
      </c>
      <c r="F41" s="36" t="s">
        <v>222</v>
      </c>
      <c r="G41" s="36" t="s">
        <v>746</v>
      </c>
      <c r="H41" s="53">
        <v>3</v>
      </c>
      <c r="I41" s="27">
        <v>36</v>
      </c>
      <c r="J41" s="56" t="s">
        <v>722</v>
      </c>
      <c r="K41" s="55">
        <v>3</v>
      </c>
      <c r="L41" s="9"/>
      <c r="M41" s="31"/>
    </row>
    <row r="42" spans="2:13">
      <c r="B42" s="19">
        <v>1</v>
      </c>
      <c r="C42" s="11" t="s">
        <v>367</v>
      </c>
      <c r="D42" s="11" t="s">
        <v>447</v>
      </c>
      <c r="E42" s="36" t="s">
        <v>213</v>
      </c>
      <c r="F42" s="36" t="s">
        <v>221</v>
      </c>
      <c r="G42" s="36" t="s">
        <v>746</v>
      </c>
      <c r="H42" s="53">
        <v>3.5</v>
      </c>
      <c r="I42" s="27">
        <v>42</v>
      </c>
      <c r="J42" s="56" t="s">
        <v>722</v>
      </c>
      <c r="K42" s="55">
        <v>3</v>
      </c>
      <c r="L42" s="9">
        <v>6</v>
      </c>
      <c r="M42" s="31">
        <v>0.5</v>
      </c>
    </row>
    <row r="43" spans="2:13">
      <c r="B43" s="19">
        <v>1</v>
      </c>
      <c r="C43" s="11" t="s">
        <v>367</v>
      </c>
      <c r="D43" s="11" t="s">
        <v>447</v>
      </c>
      <c r="E43" s="36" t="s">
        <v>215</v>
      </c>
      <c r="F43" s="36" t="s">
        <v>222</v>
      </c>
      <c r="G43" s="36" t="s">
        <v>746</v>
      </c>
      <c r="H43" s="53">
        <v>1</v>
      </c>
      <c r="I43" s="27">
        <v>12</v>
      </c>
      <c r="J43" s="56" t="s">
        <v>722</v>
      </c>
      <c r="K43" s="55">
        <v>1</v>
      </c>
      <c r="L43" s="9"/>
      <c r="M43" s="31"/>
    </row>
    <row r="44" spans="2:13">
      <c r="B44" s="19">
        <v>1</v>
      </c>
      <c r="C44" s="11" t="s">
        <v>367</v>
      </c>
      <c r="D44" s="11" t="s">
        <v>454</v>
      </c>
      <c r="E44" s="36" t="s">
        <v>211</v>
      </c>
      <c r="F44" s="36" t="s">
        <v>222</v>
      </c>
      <c r="G44" s="36" t="s">
        <v>746</v>
      </c>
      <c r="H44" s="53">
        <v>2</v>
      </c>
      <c r="I44" s="27">
        <v>24</v>
      </c>
      <c r="J44" s="56" t="s">
        <v>722</v>
      </c>
      <c r="K44" s="55">
        <v>2</v>
      </c>
      <c r="L44" s="9"/>
      <c r="M44" s="31"/>
    </row>
    <row r="45" spans="2:13">
      <c r="B45" s="19">
        <v>1</v>
      </c>
      <c r="C45" s="11" t="s">
        <v>367</v>
      </c>
      <c r="D45" s="11" t="s">
        <v>454</v>
      </c>
      <c r="E45" s="36" t="s">
        <v>212</v>
      </c>
      <c r="F45" s="36" t="s">
        <v>222</v>
      </c>
      <c r="G45" s="36" t="s">
        <v>746</v>
      </c>
      <c r="H45" s="53">
        <v>1</v>
      </c>
      <c r="I45" s="27">
        <v>12</v>
      </c>
      <c r="J45" s="56" t="s">
        <v>722</v>
      </c>
      <c r="K45" s="55">
        <v>1</v>
      </c>
      <c r="L45" s="9"/>
      <c r="M45" s="31"/>
    </row>
    <row r="46" spans="2:13">
      <c r="B46" s="19">
        <v>1</v>
      </c>
      <c r="C46" s="11" t="s">
        <v>367</v>
      </c>
      <c r="D46" s="11" t="s">
        <v>454</v>
      </c>
      <c r="E46" s="36" t="s">
        <v>213</v>
      </c>
      <c r="F46" s="36" t="s">
        <v>221</v>
      </c>
      <c r="G46" s="36" t="s">
        <v>746</v>
      </c>
      <c r="H46" s="53">
        <v>1</v>
      </c>
      <c r="I46" s="27">
        <v>12</v>
      </c>
      <c r="J46" s="56" t="s">
        <v>722</v>
      </c>
      <c r="K46" s="55">
        <v>1</v>
      </c>
      <c r="L46" s="9"/>
      <c r="M46" s="31"/>
    </row>
    <row r="47" spans="2:13">
      <c r="B47" s="19">
        <v>1</v>
      </c>
      <c r="C47" s="11" t="s">
        <v>367</v>
      </c>
      <c r="D47" s="11" t="s">
        <v>454</v>
      </c>
      <c r="E47" s="36" t="s">
        <v>214</v>
      </c>
      <c r="F47" s="36" t="s">
        <v>221</v>
      </c>
      <c r="G47" s="36" t="s">
        <v>746</v>
      </c>
      <c r="H47" s="53">
        <v>2.5</v>
      </c>
      <c r="I47" s="27">
        <v>30</v>
      </c>
      <c r="J47" s="56" t="s">
        <v>722</v>
      </c>
      <c r="K47" s="55">
        <v>2</v>
      </c>
      <c r="L47" s="9">
        <v>6</v>
      </c>
      <c r="M47" s="31">
        <v>0.5</v>
      </c>
    </row>
    <row r="48" spans="2:13">
      <c r="B48" s="19">
        <v>1</v>
      </c>
      <c r="C48" s="11" t="s">
        <v>367</v>
      </c>
      <c r="D48" s="11" t="s">
        <v>454</v>
      </c>
      <c r="E48" s="36" t="s">
        <v>215</v>
      </c>
      <c r="F48" s="36" t="s">
        <v>221</v>
      </c>
      <c r="G48" s="36" t="s">
        <v>746</v>
      </c>
      <c r="H48" s="53">
        <v>1</v>
      </c>
      <c r="I48" s="27">
        <v>12</v>
      </c>
      <c r="J48" s="56" t="s">
        <v>722</v>
      </c>
      <c r="K48" s="55">
        <v>1</v>
      </c>
      <c r="L48" s="9"/>
      <c r="M48" s="31"/>
    </row>
    <row r="49" spans="2:13">
      <c r="B49" s="19">
        <v>1</v>
      </c>
      <c r="C49" s="11" t="s">
        <v>367</v>
      </c>
      <c r="D49" s="11" t="s">
        <v>466</v>
      </c>
      <c r="E49" s="36" t="s">
        <v>213</v>
      </c>
      <c r="F49" s="36" t="s">
        <v>222</v>
      </c>
      <c r="G49" s="36" t="s">
        <v>746</v>
      </c>
      <c r="H49" s="53">
        <v>1</v>
      </c>
      <c r="I49" s="27">
        <v>12</v>
      </c>
      <c r="J49" s="56" t="s">
        <v>722</v>
      </c>
      <c r="K49" s="55">
        <v>1</v>
      </c>
      <c r="L49" s="9"/>
      <c r="M49" s="31"/>
    </row>
    <row r="50" spans="2:13">
      <c r="B50" s="19">
        <v>1</v>
      </c>
      <c r="C50" s="11" t="s">
        <v>367</v>
      </c>
      <c r="D50" s="11" t="s">
        <v>466</v>
      </c>
      <c r="E50" s="36" t="s">
        <v>215</v>
      </c>
      <c r="F50" s="36" t="s">
        <v>221</v>
      </c>
      <c r="G50" s="36" t="s">
        <v>746</v>
      </c>
      <c r="H50" s="53">
        <v>1</v>
      </c>
      <c r="I50" s="27">
        <v>12</v>
      </c>
      <c r="J50" s="56" t="s">
        <v>722</v>
      </c>
      <c r="K50" s="55">
        <v>1</v>
      </c>
      <c r="L50" s="9"/>
      <c r="M50" s="31"/>
    </row>
    <row r="51" spans="2:13">
      <c r="B51" s="19">
        <v>1</v>
      </c>
      <c r="C51" s="11" t="s">
        <v>367</v>
      </c>
      <c r="D51" s="11" t="s">
        <v>375</v>
      </c>
      <c r="E51" s="36" t="s">
        <v>214</v>
      </c>
      <c r="F51" s="36" t="s">
        <v>221</v>
      </c>
      <c r="G51" s="36" t="s">
        <v>746</v>
      </c>
      <c r="H51" s="53">
        <v>3.5</v>
      </c>
      <c r="I51" s="27">
        <v>42</v>
      </c>
      <c r="J51" s="56" t="s">
        <v>722</v>
      </c>
      <c r="K51" s="55">
        <v>3</v>
      </c>
      <c r="L51" s="9">
        <v>6</v>
      </c>
      <c r="M51" s="31">
        <v>0.5</v>
      </c>
    </row>
    <row r="52" spans="2:13">
      <c r="B52" s="19">
        <v>1</v>
      </c>
      <c r="C52" s="11" t="s">
        <v>367</v>
      </c>
      <c r="D52" s="11" t="s">
        <v>375</v>
      </c>
      <c r="E52" s="36" t="s">
        <v>215</v>
      </c>
      <c r="F52" s="36" t="s">
        <v>221</v>
      </c>
      <c r="G52" s="36" t="s">
        <v>746</v>
      </c>
      <c r="H52" s="53">
        <v>1</v>
      </c>
      <c r="I52" s="27">
        <v>12</v>
      </c>
      <c r="J52" s="56" t="s">
        <v>722</v>
      </c>
      <c r="K52" s="55">
        <v>1</v>
      </c>
      <c r="L52" s="9"/>
      <c r="M52" s="31"/>
    </row>
    <row r="53" spans="2:13">
      <c r="B53" s="19">
        <v>1</v>
      </c>
      <c r="C53" s="11" t="s">
        <v>367</v>
      </c>
      <c r="D53" s="11" t="s">
        <v>452</v>
      </c>
      <c r="E53" s="36" t="s">
        <v>211</v>
      </c>
      <c r="F53" s="36" t="s">
        <v>222</v>
      </c>
      <c r="G53" s="36" t="s">
        <v>746</v>
      </c>
      <c r="H53" s="53">
        <v>3</v>
      </c>
      <c r="I53" s="27">
        <v>36</v>
      </c>
      <c r="J53" s="56" t="s">
        <v>722</v>
      </c>
      <c r="K53" s="55">
        <v>3</v>
      </c>
      <c r="L53" s="9"/>
      <c r="M53" s="31"/>
    </row>
    <row r="54" spans="2:13">
      <c r="B54" s="19">
        <v>1</v>
      </c>
      <c r="C54" s="11" t="s">
        <v>367</v>
      </c>
      <c r="D54" s="11" t="s">
        <v>452</v>
      </c>
      <c r="E54" s="36" t="s">
        <v>212</v>
      </c>
      <c r="F54" s="36" t="s">
        <v>222</v>
      </c>
      <c r="G54" s="36" t="s">
        <v>746</v>
      </c>
      <c r="H54" s="53">
        <v>3</v>
      </c>
      <c r="I54" s="27">
        <v>36</v>
      </c>
      <c r="J54" s="56" t="s">
        <v>722</v>
      </c>
      <c r="K54" s="55">
        <v>3</v>
      </c>
      <c r="L54" s="9"/>
      <c r="M54" s="31"/>
    </row>
    <row r="55" spans="2:13">
      <c r="B55" s="19">
        <v>1</v>
      </c>
      <c r="C55" s="11" t="s">
        <v>367</v>
      </c>
      <c r="D55" s="11" t="s">
        <v>452</v>
      </c>
      <c r="E55" s="36" t="s">
        <v>213</v>
      </c>
      <c r="F55" s="36" t="s">
        <v>222</v>
      </c>
      <c r="G55" s="36" t="s">
        <v>746</v>
      </c>
      <c r="H55" s="53">
        <v>4</v>
      </c>
      <c r="I55" s="27">
        <v>48</v>
      </c>
      <c r="J55" s="56" t="s">
        <v>722</v>
      </c>
      <c r="K55" s="55">
        <v>4</v>
      </c>
      <c r="L55" s="9"/>
      <c r="M55" s="31"/>
    </row>
    <row r="56" spans="2:13">
      <c r="B56" s="19">
        <v>1</v>
      </c>
      <c r="C56" s="11" t="s">
        <v>367</v>
      </c>
      <c r="D56" s="11" t="s">
        <v>452</v>
      </c>
      <c r="E56" s="36" t="s">
        <v>213</v>
      </c>
      <c r="F56" s="36" t="s">
        <v>221</v>
      </c>
      <c r="G56" s="36" t="s">
        <v>746</v>
      </c>
      <c r="H56" s="53">
        <v>2.5</v>
      </c>
      <c r="I56" s="27">
        <v>30</v>
      </c>
      <c r="J56" s="56" t="s">
        <v>722</v>
      </c>
      <c r="K56" s="55">
        <v>2</v>
      </c>
      <c r="L56" s="9">
        <v>6</v>
      </c>
      <c r="M56" s="31">
        <v>0.5</v>
      </c>
    </row>
    <row r="57" spans="2:13">
      <c r="B57" s="19">
        <v>1</v>
      </c>
      <c r="C57" s="11" t="s">
        <v>367</v>
      </c>
      <c r="D57" s="11" t="s">
        <v>452</v>
      </c>
      <c r="E57" s="36" t="s">
        <v>214</v>
      </c>
      <c r="F57" s="36" t="s">
        <v>222</v>
      </c>
      <c r="G57" s="36" t="s">
        <v>746</v>
      </c>
      <c r="H57" s="53">
        <v>2</v>
      </c>
      <c r="I57" s="27">
        <v>24</v>
      </c>
      <c r="J57" s="56" t="s">
        <v>722</v>
      </c>
      <c r="K57" s="55">
        <v>2</v>
      </c>
      <c r="L57" s="9"/>
      <c r="M57" s="31"/>
    </row>
    <row r="58" spans="2:13">
      <c r="B58" s="19">
        <v>1</v>
      </c>
      <c r="C58" s="11" t="s">
        <v>367</v>
      </c>
      <c r="D58" s="11" t="s">
        <v>452</v>
      </c>
      <c r="E58" s="36" t="s">
        <v>214</v>
      </c>
      <c r="F58" s="36" t="s">
        <v>221</v>
      </c>
      <c r="G58" s="36" t="s">
        <v>746</v>
      </c>
      <c r="H58" s="53">
        <v>0.5</v>
      </c>
      <c r="I58" s="27">
        <v>6</v>
      </c>
      <c r="J58" s="56" t="s">
        <v>722</v>
      </c>
      <c r="K58" s="55">
        <v>0</v>
      </c>
      <c r="L58" s="9">
        <v>6</v>
      </c>
      <c r="M58" s="31">
        <v>0.5</v>
      </c>
    </row>
    <row r="59" spans="2:13">
      <c r="B59" s="19">
        <v>1</v>
      </c>
      <c r="C59" s="11" t="s">
        <v>367</v>
      </c>
      <c r="D59" s="11" t="s">
        <v>452</v>
      </c>
      <c r="E59" s="36" t="s">
        <v>215</v>
      </c>
      <c r="F59" s="36" t="s">
        <v>222</v>
      </c>
      <c r="G59" s="36" t="s">
        <v>746</v>
      </c>
      <c r="H59" s="53">
        <v>1</v>
      </c>
      <c r="I59" s="27">
        <v>12</v>
      </c>
      <c r="J59" s="56" t="s">
        <v>722</v>
      </c>
      <c r="K59" s="55">
        <v>1</v>
      </c>
      <c r="L59" s="9"/>
      <c r="M59" s="31"/>
    </row>
    <row r="60" spans="2:13">
      <c r="B60" s="19">
        <v>1</v>
      </c>
      <c r="C60" s="11" t="s">
        <v>367</v>
      </c>
      <c r="D60" s="11" t="s">
        <v>452</v>
      </c>
      <c r="E60" s="36" t="s">
        <v>215</v>
      </c>
      <c r="F60" s="36" t="s">
        <v>221</v>
      </c>
      <c r="G60" s="36" t="s">
        <v>746</v>
      </c>
      <c r="H60" s="53">
        <v>0.5</v>
      </c>
      <c r="I60" s="27">
        <v>6</v>
      </c>
      <c r="J60" s="56" t="s">
        <v>722</v>
      </c>
      <c r="K60" s="55">
        <v>0</v>
      </c>
      <c r="L60" s="9">
        <v>6</v>
      </c>
      <c r="M60" s="31">
        <v>0.5</v>
      </c>
    </row>
    <row r="61" spans="2:13">
      <c r="B61" s="19">
        <v>1</v>
      </c>
      <c r="C61" s="11" t="s">
        <v>368</v>
      </c>
      <c r="D61" s="11" t="s">
        <v>230</v>
      </c>
      <c r="E61" s="36" t="s">
        <v>214</v>
      </c>
      <c r="F61" s="36" t="s">
        <v>221</v>
      </c>
      <c r="G61" s="36" t="s">
        <v>745</v>
      </c>
      <c r="H61" s="53">
        <v>27.5</v>
      </c>
      <c r="I61" s="27">
        <v>330</v>
      </c>
      <c r="J61" s="54" t="s">
        <v>718</v>
      </c>
      <c r="K61" s="55">
        <v>27</v>
      </c>
      <c r="L61" s="9">
        <v>6</v>
      </c>
      <c r="M61" s="31"/>
    </row>
    <row r="62" spans="2:13">
      <c r="B62" s="19">
        <v>1</v>
      </c>
      <c r="C62" s="11" t="s">
        <v>368</v>
      </c>
      <c r="D62" s="11" t="s">
        <v>454</v>
      </c>
      <c r="E62" s="36" t="s">
        <v>213</v>
      </c>
      <c r="F62" s="36" t="s">
        <v>221</v>
      </c>
      <c r="G62" s="36" t="s">
        <v>745</v>
      </c>
      <c r="H62" s="53">
        <v>13</v>
      </c>
      <c r="I62" s="27">
        <v>156</v>
      </c>
      <c r="J62" s="54" t="s">
        <v>718</v>
      </c>
      <c r="K62" s="55">
        <v>13</v>
      </c>
      <c r="L62" s="9"/>
      <c r="M62" s="31"/>
    </row>
    <row r="63" spans="2:13">
      <c r="B63" s="19">
        <v>1</v>
      </c>
      <c r="C63" s="11" t="s">
        <v>368</v>
      </c>
      <c r="D63" s="11" t="s">
        <v>375</v>
      </c>
      <c r="E63" s="36" t="s">
        <v>214</v>
      </c>
      <c r="F63" s="36" t="s">
        <v>221</v>
      </c>
      <c r="G63" s="36" t="s">
        <v>745</v>
      </c>
      <c r="H63" s="53">
        <v>27.5</v>
      </c>
      <c r="I63" s="27">
        <v>330</v>
      </c>
      <c r="J63" s="56" t="s">
        <v>722</v>
      </c>
      <c r="K63" s="55">
        <v>27</v>
      </c>
      <c r="L63" s="9">
        <v>6</v>
      </c>
      <c r="M63" s="31">
        <v>0.5</v>
      </c>
    </row>
    <row r="64" spans="2:13">
      <c r="B64" s="19">
        <v>1</v>
      </c>
      <c r="C64" s="11" t="s">
        <v>368</v>
      </c>
      <c r="D64" s="11" t="s">
        <v>230</v>
      </c>
      <c r="E64" s="36" t="s">
        <v>213</v>
      </c>
      <c r="F64" s="36" t="s">
        <v>221</v>
      </c>
      <c r="G64" s="36" t="s">
        <v>746</v>
      </c>
      <c r="H64" s="53">
        <v>2</v>
      </c>
      <c r="I64" s="27">
        <v>24</v>
      </c>
      <c r="J64" s="56" t="s">
        <v>722</v>
      </c>
      <c r="K64" s="55">
        <v>2</v>
      </c>
      <c r="L64" s="9"/>
      <c r="M64" s="31"/>
    </row>
    <row r="65" spans="2:13">
      <c r="B65" s="19">
        <v>1</v>
      </c>
      <c r="C65" s="11" t="s">
        <v>368</v>
      </c>
      <c r="D65" s="11" t="s">
        <v>230</v>
      </c>
      <c r="E65" s="36" t="s">
        <v>214</v>
      </c>
      <c r="F65" s="36" t="s">
        <v>221</v>
      </c>
      <c r="G65" s="36" t="s">
        <v>746</v>
      </c>
      <c r="H65" s="53">
        <v>6</v>
      </c>
      <c r="I65" s="27">
        <v>72</v>
      </c>
      <c r="J65" s="56" t="s">
        <v>722</v>
      </c>
      <c r="K65" s="55">
        <v>6</v>
      </c>
      <c r="L65" s="9"/>
      <c r="M65" s="31"/>
    </row>
    <row r="66" spans="2:13">
      <c r="B66" s="19">
        <v>1</v>
      </c>
      <c r="C66" s="11" t="s">
        <v>368</v>
      </c>
      <c r="D66" s="11" t="s">
        <v>454</v>
      </c>
      <c r="E66" s="36" t="s">
        <v>213</v>
      </c>
      <c r="F66" s="36" t="s">
        <v>221</v>
      </c>
      <c r="G66" s="36" t="s">
        <v>746</v>
      </c>
      <c r="H66" s="53">
        <v>5</v>
      </c>
      <c r="I66" s="27">
        <v>60</v>
      </c>
      <c r="J66" s="56" t="s">
        <v>722</v>
      </c>
      <c r="K66" s="55">
        <v>5</v>
      </c>
      <c r="L66" s="9"/>
      <c r="M66" s="31"/>
    </row>
    <row r="67" spans="2:13">
      <c r="B67" s="19">
        <v>1</v>
      </c>
      <c r="C67" s="11" t="s">
        <v>368</v>
      </c>
      <c r="D67" s="11" t="s">
        <v>466</v>
      </c>
      <c r="E67" s="36" t="s">
        <v>215</v>
      </c>
      <c r="F67" s="36" t="s">
        <v>221</v>
      </c>
      <c r="G67" s="36" t="s">
        <v>746</v>
      </c>
      <c r="H67" s="53">
        <v>1.5</v>
      </c>
      <c r="I67" s="27">
        <v>18</v>
      </c>
      <c r="J67" s="56" t="s">
        <v>722</v>
      </c>
      <c r="K67" s="55">
        <v>1</v>
      </c>
      <c r="L67" s="9">
        <v>6</v>
      </c>
      <c r="M67" s="31">
        <v>0.5</v>
      </c>
    </row>
    <row r="68" spans="2:13">
      <c r="B68" s="19">
        <v>1</v>
      </c>
      <c r="C68" s="11" t="s">
        <v>368</v>
      </c>
      <c r="D68" s="11" t="s">
        <v>375</v>
      </c>
      <c r="E68" s="36" t="s">
        <v>214</v>
      </c>
      <c r="F68" s="36" t="s">
        <v>221</v>
      </c>
      <c r="G68" s="36" t="s">
        <v>746</v>
      </c>
      <c r="H68" s="53">
        <v>3.5</v>
      </c>
      <c r="I68" s="27">
        <v>42</v>
      </c>
      <c r="J68" s="56" t="s">
        <v>722</v>
      </c>
      <c r="K68" s="55">
        <v>3</v>
      </c>
      <c r="L68" s="9">
        <v>6</v>
      </c>
      <c r="M68" s="31">
        <v>0.5</v>
      </c>
    </row>
    <row r="69" spans="2:13">
      <c r="B69" s="19">
        <v>1</v>
      </c>
      <c r="C69" s="11" t="s">
        <v>368</v>
      </c>
      <c r="D69" s="11" t="s">
        <v>452</v>
      </c>
      <c r="E69" s="36" t="s">
        <v>214</v>
      </c>
      <c r="F69" s="36" t="s">
        <v>221</v>
      </c>
      <c r="G69" s="36" t="s">
        <v>746</v>
      </c>
      <c r="H69" s="53">
        <v>2.5</v>
      </c>
      <c r="I69" s="27">
        <v>30</v>
      </c>
      <c r="J69" s="56" t="s">
        <v>722</v>
      </c>
      <c r="K69" s="55">
        <v>2</v>
      </c>
      <c r="L69" s="9">
        <v>6</v>
      </c>
      <c r="M69" s="31">
        <v>0.5</v>
      </c>
    </row>
    <row r="70" spans="2:13">
      <c r="B70" s="19">
        <v>1</v>
      </c>
      <c r="C70" s="11" t="s">
        <v>369</v>
      </c>
      <c r="D70" s="11" t="s">
        <v>447</v>
      </c>
      <c r="E70" s="36" t="s">
        <v>213</v>
      </c>
      <c r="F70" s="36" t="s">
        <v>222</v>
      </c>
      <c r="G70" s="36" t="s">
        <v>745</v>
      </c>
      <c r="H70" s="53">
        <v>60.5</v>
      </c>
      <c r="I70" s="27">
        <v>726</v>
      </c>
      <c r="J70" s="54" t="s">
        <v>718</v>
      </c>
      <c r="K70" s="55">
        <v>60</v>
      </c>
      <c r="L70" s="9">
        <v>6</v>
      </c>
      <c r="M70" s="31"/>
    </row>
    <row r="71" spans="2:13">
      <c r="B71" s="19">
        <v>1</v>
      </c>
      <c r="C71" s="11" t="s">
        <v>369</v>
      </c>
      <c r="D71" s="11" t="s">
        <v>452</v>
      </c>
      <c r="E71" s="36" t="s">
        <v>212</v>
      </c>
      <c r="F71" s="36" t="s">
        <v>222</v>
      </c>
      <c r="G71" s="36" t="s">
        <v>745</v>
      </c>
      <c r="H71" s="53">
        <v>27.000000000000099</v>
      </c>
      <c r="I71" s="27">
        <v>324.00000000000102</v>
      </c>
      <c r="J71" s="54" t="s">
        <v>718</v>
      </c>
      <c r="K71" s="55">
        <v>27</v>
      </c>
      <c r="L71" s="9"/>
      <c r="M71" s="31"/>
    </row>
    <row r="72" spans="2:13">
      <c r="B72" s="19">
        <v>1</v>
      </c>
      <c r="C72" s="11" t="s">
        <v>369</v>
      </c>
      <c r="D72" s="11" t="s">
        <v>447</v>
      </c>
      <c r="E72" s="36" t="s">
        <v>213</v>
      </c>
      <c r="F72" s="36" t="s">
        <v>222</v>
      </c>
      <c r="G72" s="36" t="s">
        <v>746</v>
      </c>
      <c r="H72" s="53">
        <v>2.5</v>
      </c>
      <c r="I72" s="27">
        <v>30</v>
      </c>
      <c r="J72" s="56" t="s">
        <v>722</v>
      </c>
      <c r="K72" s="55">
        <v>2</v>
      </c>
      <c r="L72" s="9">
        <v>6</v>
      </c>
      <c r="M72" s="31">
        <v>0.5</v>
      </c>
    </row>
    <row r="73" spans="2:13">
      <c r="B73" s="19">
        <v>1</v>
      </c>
      <c r="C73" s="11" t="s">
        <v>369</v>
      </c>
      <c r="D73" s="11" t="s">
        <v>452</v>
      </c>
      <c r="E73" s="36" t="s">
        <v>213</v>
      </c>
      <c r="F73" s="36" t="s">
        <v>222</v>
      </c>
      <c r="G73" s="36" t="s">
        <v>746</v>
      </c>
      <c r="H73" s="53">
        <v>3.5</v>
      </c>
      <c r="I73" s="27">
        <v>42</v>
      </c>
      <c r="J73" s="56" t="s">
        <v>722</v>
      </c>
      <c r="K73" s="55">
        <v>3</v>
      </c>
      <c r="L73" s="9">
        <v>6</v>
      </c>
      <c r="M73" s="31">
        <v>0.5</v>
      </c>
    </row>
    <row r="74" spans="2:13">
      <c r="B74" s="19">
        <v>2</v>
      </c>
      <c r="C74" s="11" t="s">
        <v>367</v>
      </c>
      <c r="D74" s="11" t="s">
        <v>230</v>
      </c>
      <c r="E74" s="36" t="s">
        <v>213</v>
      </c>
      <c r="F74" s="36" t="s">
        <v>221</v>
      </c>
      <c r="G74" s="36" t="s">
        <v>745</v>
      </c>
      <c r="H74" s="53">
        <v>32.5</v>
      </c>
      <c r="I74" s="27">
        <v>390</v>
      </c>
      <c r="J74" s="54" t="s">
        <v>718</v>
      </c>
      <c r="K74" s="55">
        <v>32</v>
      </c>
      <c r="L74" s="9">
        <v>6</v>
      </c>
      <c r="M74" s="31"/>
    </row>
    <row r="75" spans="2:13">
      <c r="B75" s="19">
        <v>2</v>
      </c>
      <c r="C75" s="11" t="s">
        <v>367</v>
      </c>
      <c r="D75" s="11" t="s">
        <v>447</v>
      </c>
      <c r="E75" s="36" t="s">
        <v>212</v>
      </c>
      <c r="F75" s="36" t="s">
        <v>222</v>
      </c>
      <c r="G75" s="36" t="s">
        <v>745</v>
      </c>
      <c r="H75" s="53">
        <v>13</v>
      </c>
      <c r="I75" s="27">
        <v>156</v>
      </c>
      <c r="J75" s="54" t="s">
        <v>718</v>
      </c>
      <c r="K75" s="55">
        <v>13</v>
      </c>
      <c r="L75" s="9"/>
      <c r="M75" s="31"/>
    </row>
    <row r="76" spans="2:13">
      <c r="B76" s="19">
        <v>2</v>
      </c>
      <c r="C76" s="11" t="s">
        <v>367</v>
      </c>
      <c r="D76" s="11" t="s">
        <v>447</v>
      </c>
      <c r="E76" s="36" t="s">
        <v>213</v>
      </c>
      <c r="F76" s="36" t="s">
        <v>222</v>
      </c>
      <c r="G76" s="36" t="s">
        <v>745</v>
      </c>
      <c r="H76" s="53">
        <v>33.5</v>
      </c>
      <c r="I76" s="27">
        <v>402</v>
      </c>
      <c r="J76" s="54" t="s">
        <v>718</v>
      </c>
      <c r="K76" s="55">
        <v>33</v>
      </c>
      <c r="L76" s="9">
        <v>6</v>
      </c>
      <c r="M76" s="31"/>
    </row>
    <row r="77" spans="2:13">
      <c r="B77" s="19">
        <v>2</v>
      </c>
      <c r="C77" s="11" t="s">
        <v>367</v>
      </c>
      <c r="D77" s="11" t="s">
        <v>447</v>
      </c>
      <c r="E77" s="36" t="s">
        <v>213</v>
      </c>
      <c r="F77" s="36" t="s">
        <v>221</v>
      </c>
      <c r="G77" s="36" t="s">
        <v>745</v>
      </c>
      <c r="H77" s="53">
        <v>3</v>
      </c>
      <c r="I77" s="27">
        <v>36</v>
      </c>
      <c r="J77" s="54" t="s">
        <v>718</v>
      </c>
      <c r="K77" s="55">
        <v>3</v>
      </c>
      <c r="L77" s="9"/>
      <c r="M77" s="31"/>
    </row>
    <row r="78" spans="2:13">
      <c r="B78" s="19">
        <v>2</v>
      </c>
      <c r="C78" s="11" t="s">
        <v>367</v>
      </c>
      <c r="D78" s="11" t="s">
        <v>447</v>
      </c>
      <c r="E78" s="36" t="s">
        <v>214</v>
      </c>
      <c r="F78" s="36" t="s">
        <v>221</v>
      </c>
      <c r="G78" s="36" t="s">
        <v>745</v>
      </c>
      <c r="H78" s="53">
        <v>29.5</v>
      </c>
      <c r="I78" s="27">
        <v>354</v>
      </c>
      <c r="J78" s="54" t="s">
        <v>718</v>
      </c>
      <c r="K78" s="55">
        <v>29</v>
      </c>
      <c r="L78" s="9">
        <v>6</v>
      </c>
      <c r="M78" s="31"/>
    </row>
    <row r="79" spans="2:13">
      <c r="B79" s="19">
        <v>2</v>
      </c>
      <c r="C79" s="11" t="s">
        <v>367</v>
      </c>
      <c r="D79" s="11" t="s">
        <v>454</v>
      </c>
      <c r="E79" s="36" t="s">
        <v>211</v>
      </c>
      <c r="F79" s="36" t="s">
        <v>222</v>
      </c>
      <c r="G79" s="36" t="s">
        <v>745</v>
      </c>
      <c r="H79" s="53">
        <v>6.5</v>
      </c>
      <c r="I79" s="27">
        <v>78</v>
      </c>
      <c r="J79" s="54" t="s">
        <v>718</v>
      </c>
      <c r="K79" s="55">
        <v>6</v>
      </c>
      <c r="L79" s="9">
        <v>6</v>
      </c>
      <c r="M79" s="31"/>
    </row>
    <row r="80" spans="2:13">
      <c r="B80" s="19">
        <v>2</v>
      </c>
      <c r="C80" s="11" t="s">
        <v>367</v>
      </c>
      <c r="D80" s="11" t="s">
        <v>454</v>
      </c>
      <c r="E80" s="36" t="s">
        <v>212</v>
      </c>
      <c r="F80" s="36" t="s">
        <v>222</v>
      </c>
      <c r="G80" s="36" t="s">
        <v>745</v>
      </c>
      <c r="H80" s="53">
        <v>4</v>
      </c>
      <c r="I80" s="27">
        <v>48</v>
      </c>
      <c r="J80" s="54" t="s">
        <v>718</v>
      </c>
      <c r="K80" s="55">
        <v>4</v>
      </c>
      <c r="L80" s="9"/>
      <c r="M80" s="31"/>
    </row>
    <row r="81" spans="2:13">
      <c r="B81" s="19">
        <v>2</v>
      </c>
      <c r="C81" s="11" t="s">
        <v>367</v>
      </c>
      <c r="D81" s="11" t="s">
        <v>466</v>
      </c>
      <c r="E81" s="36" t="s">
        <v>214</v>
      </c>
      <c r="F81" s="36" t="s">
        <v>222</v>
      </c>
      <c r="G81" s="36" t="s">
        <v>745</v>
      </c>
      <c r="H81" s="53">
        <v>7.5</v>
      </c>
      <c r="I81" s="27">
        <v>89.999999999999901</v>
      </c>
      <c r="J81" s="56" t="s">
        <v>722</v>
      </c>
      <c r="K81" s="55">
        <v>7</v>
      </c>
      <c r="L81" s="9">
        <v>6</v>
      </c>
      <c r="M81" s="31">
        <v>0.5</v>
      </c>
    </row>
    <row r="82" spans="2:13">
      <c r="B82" s="19">
        <v>2</v>
      </c>
      <c r="C82" s="11" t="s">
        <v>367</v>
      </c>
      <c r="D82" s="11" t="s">
        <v>452</v>
      </c>
      <c r="E82" s="36" t="s">
        <v>213</v>
      </c>
      <c r="F82" s="36" t="s">
        <v>222</v>
      </c>
      <c r="G82" s="36" t="s">
        <v>745</v>
      </c>
      <c r="H82" s="53">
        <v>48</v>
      </c>
      <c r="I82" s="27">
        <v>576</v>
      </c>
      <c r="J82" s="54" t="s">
        <v>718</v>
      </c>
      <c r="K82" s="55">
        <v>48</v>
      </c>
      <c r="L82" s="9"/>
      <c r="M82" s="31"/>
    </row>
    <row r="83" spans="2:13">
      <c r="B83" s="19">
        <v>2</v>
      </c>
      <c r="C83" s="11" t="s">
        <v>367</v>
      </c>
      <c r="D83" s="11" t="s">
        <v>452</v>
      </c>
      <c r="E83" s="36" t="s">
        <v>215</v>
      </c>
      <c r="F83" s="36" t="s">
        <v>222</v>
      </c>
      <c r="G83" s="36" t="s">
        <v>745</v>
      </c>
      <c r="H83" s="53">
        <v>1</v>
      </c>
      <c r="I83" s="27">
        <v>12</v>
      </c>
      <c r="J83" s="54" t="s">
        <v>718</v>
      </c>
      <c r="K83" s="55">
        <v>1</v>
      </c>
      <c r="L83" s="9"/>
      <c r="M83" s="31"/>
    </row>
    <row r="84" spans="2:13">
      <c r="B84" s="19">
        <v>2</v>
      </c>
      <c r="C84" s="11" t="s">
        <v>367</v>
      </c>
      <c r="D84" s="11" t="s">
        <v>447</v>
      </c>
      <c r="E84" s="36" t="s">
        <v>213</v>
      </c>
      <c r="F84" s="36" t="s">
        <v>222</v>
      </c>
      <c r="G84" s="36" t="s">
        <v>746</v>
      </c>
      <c r="H84" s="53">
        <v>0.5</v>
      </c>
      <c r="I84" s="27">
        <v>6</v>
      </c>
      <c r="J84" s="56" t="s">
        <v>722</v>
      </c>
      <c r="K84" s="55">
        <v>0</v>
      </c>
      <c r="L84" s="9">
        <v>6</v>
      </c>
      <c r="M84" s="31">
        <v>0.5</v>
      </c>
    </row>
    <row r="85" spans="2:13">
      <c r="B85" s="19">
        <v>2</v>
      </c>
      <c r="C85" s="11" t="s">
        <v>367</v>
      </c>
      <c r="D85" s="11" t="s">
        <v>447</v>
      </c>
      <c r="E85" s="36" t="s">
        <v>213</v>
      </c>
      <c r="F85" s="36" t="s">
        <v>221</v>
      </c>
      <c r="G85" s="36" t="s">
        <v>746</v>
      </c>
      <c r="H85" s="53">
        <v>2.5</v>
      </c>
      <c r="I85" s="27">
        <v>30</v>
      </c>
      <c r="J85" s="56" t="s">
        <v>722</v>
      </c>
      <c r="K85" s="55">
        <v>2</v>
      </c>
      <c r="L85" s="9">
        <v>6</v>
      </c>
      <c r="M85" s="31">
        <v>0.5</v>
      </c>
    </row>
    <row r="86" spans="2:13">
      <c r="B86" s="19">
        <v>2</v>
      </c>
      <c r="C86" s="11" t="s">
        <v>367</v>
      </c>
      <c r="D86" s="11" t="s">
        <v>447</v>
      </c>
      <c r="E86" s="36" t="s">
        <v>215</v>
      </c>
      <c r="F86" s="36" t="s">
        <v>222</v>
      </c>
      <c r="G86" s="36" t="s">
        <v>746</v>
      </c>
      <c r="H86" s="53">
        <v>0.5</v>
      </c>
      <c r="I86" s="27">
        <v>6</v>
      </c>
      <c r="J86" s="56" t="s">
        <v>722</v>
      </c>
      <c r="K86" s="55">
        <v>0</v>
      </c>
      <c r="L86" s="9">
        <v>6</v>
      </c>
      <c r="M86" s="31">
        <v>0.5</v>
      </c>
    </row>
    <row r="87" spans="2:13">
      <c r="B87" s="19">
        <v>2</v>
      </c>
      <c r="C87" s="11" t="s">
        <v>367</v>
      </c>
      <c r="D87" s="11" t="s">
        <v>454</v>
      </c>
      <c r="E87" s="36" t="s">
        <v>211</v>
      </c>
      <c r="F87" s="36" t="s">
        <v>222</v>
      </c>
      <c r="G87" s="36" t="s">
        <v>746</v>
      </c>
      <c r="H87" s="53">
        <v>1</v>
      </c>
      <c r="I87" s="27">
        <v>12</v>
      </c>
      <c r="J87" s="56" t="s">
        <v>722</v>
      </c>
      <c r="K87" s="55">
        <v>1</v>
      </c>
      <c r="L87" s="9"/>
      <c r="M87" s="31"/>
    </row>
    <row r="88" spans="2:13">
      <c r="B88" s="19">
        <v>2</v>
      </c>
      <c r="C88" s="11" t="s">
        <v>367</v>
      </c>
      <c r="D88" s="11" t="s">
        <v>454</v>
      </c>
      <c r="E88" s="36" t="s">
        <v>212</v>
      </c>
      <c r="F88" s="36" t="s">
        <v>222</v>
      </c>
      <c r="G88" s="36" t="s">
        <v>746</v>
      </c>
      <c r="H88" s="53">
        <v>1</v>
      </c>
      <c r="I88" s="27">
        <v>12</v>
      </c>
      <c r="J88" s="56" t="s">
        <v>722</v>
      </c>
      <c r="K88" s="55">
        <v>1</v>
      </c>
      <c r="L88" s="9"/>
      <c r="M88" s="31"/>
    </row>
    <row r="89" spans="2:13">
      <c r="B89" s="19">
        <v>2</v>
      </c>
      <c r="C89" s="11" t="s">
        <v>367</v>
      </c>
      <c r="D89" s="11" t="s">
        <v>454</v>
      </c>
      <c r="E89" s="36" t="s">
        <v>213</v>
      </c>
      <c r="F89" s="36" t="s">
        <v>221</v>
      </c>
      <c r="G89" s="36" t="s">
        <v>746</v>
      </c>
      <c r="H89" s="53">
        <v>1</v>
      </c>
      <c r="I89" s="27">
        <v>12</v>
      </c>
      <c r="J89" s="56" t="s">
        <v>722</v>
      </c>
      <c r="K89" s="55">
        <v>1</v>
      </c>
      <c r="L89" s="9"/>
      <c r="M89" s="31"/>
    </row>
    <row r="90" spans="2:13">
      <c r="B90" s="19">
        <v>2</v>
      </c>
      <c r="C90" s="11" t="s">
        <v>367</v>
      </c>
      <c r="D90" s="11" t="s">
        <v>454</v>
      </c>
      <c r="E90" s="36" t="s">
        <v>214</v>
      </c>
      <c r="F90" s="36" t="s">
        <v>221</v>
      </c>
      <c r="G90" s="36" t="s">
        <v>746</v>
      </c>
      <c r="H90" s="53">
        <v>2.5</v>
      </c>
      <c r="I90" s="27">
        <v>30</v>
      </c>
      <c r="J90" s="56" t="s">
        <v>722</v>
      </c>
      <c r="K90" s="55">
        <v>2</v>
      </c>
      <c r="L90" s="9">
        <v>6</v>
      </c>
      <c r="M90" s="31">
        <v>0.5</v>
      </c>
    </row>
    <row r="91" spans="2:13">
      <c r="B91" s="19">
        <v>2</v>
      </c>
      <c r="C91" s="11" t="s">
        <v>367</v>
      </c>
      <c r="D91" s="11" t="s">
        <v>454</v>
      </c>
      <c r="E91" s="36" t="s">
        <v>215</v>
      </c>
      <c r="F91" s="36" t="s">
        <v>221</v>
      </c>
      <c r="G91" s="36" t="s">
        <v>746</v>
      </c>
      <c r="H91" s="53">
        <v>1.5</v>
      </c>
      <c r="I91" s="27">
        <v>18</v>
      </c>
      <c r="J91" s="56" t="s">
        <v>722</v>
      </c>
      <c r="K91" s="55">
        <v>1</v>
      </c>
      <c r="L91" s="9">
        <v>6</v>
      </c>
      <c r="M91" s="31">
        <v>0.5</v>
      </c>
    </row>
    <row r="92" spans="2:13">
      <c r="B92" s="19">
        <v>2</v>
      </c>
      <c r="C92" s="11" t="s">
        <v>367</v>
      </c>
      <c r="D92" s="11" t="s">
        <v>466</v>
      </c>
      <c r="E92" s="36" t="s">
        <v>213</v>
      </c>
      <c r="F92" s="36" t="s">
        <v>222</v>
      </c>
      <c r="G92" s="36" t="s">
        <v>746</v>
      </c>
      <c r="H92" s="53">
        <v>2.5</v>
      </c>
      <c r="I92" s="27">
        <v>30</v>
      </c>
      <c r="J92" s="56" t="s">
        <v>722</v>
      </c>
      <c r="K92" s="55">
        <v>2</v>
      </c>
      <c r="L92" s="9">
        <v>6</v>
      </c>
      <c r="M92" s="31">
        <v>0.5</v>
      </c>
    </row>
    <row r="93" spans="2:13">
      <c r="B93" s="19">
        <v>2</v>
      </c>
      <c r="C93" s="11" t="s">
        <v>367</v>
      </c>
      <c r="D93" s="11" t="s">
        <v>466</v>
      </c>
      <c r="E93" s="36" t="s">
        <v>215</v>
      </c>
      <c r="F93" s="36" t="s">
        <v>221</v>
      </c>
      <c r="G93" s="36" t="s">
        <v>746</v>
      </c>
      <c r="H93" s="53">
        <v>1.5</v>
      </c>
      <c r="I93" s="27">
        <v>18</v>
      </c>
      <c r="J93" s="56" t="s">
        <v>722</v>
      </c>
      <c r="K93" s="55">
        <v>1</v>
      </c>
      <c r="L93" s="9">
        <v>6</v>
      </c>
      <c r="M93" s="31">
        <v>0.5</v>
      </c>
    </row>
    <row r="94" spans="2:13">
      <c r="B94" s="19">
        <v>2</v>
      </c>
      <c r="C94" s="11" t="s">
        <v>367</v>
      </c>
      <c r="D94" s="11" t="s">
        <v>375</v>
      </c>
      <c r="E94" s="36" t="s">
        <v>214</v>
      </c>
      <c r="F94" s="36" t="s">
        <v>221</v>
      </c>
      <c r="G94" s="36" t="s">
        <v>746</v>
      </c>
      <c r="H94" s="53">
        <v>2.5</v>
      </c>
      <c r="I94" s="27">
        <v>30</v>
      </c>
      <c r="J94" s="56" t="s">
        <v>722</v>
      </c>
      <c r="K94" s="55">
        <v>2</v>
      </c>
      <c r="L94" s="9">
        <v>6</v>
      </c>
      <c r="M94" s="31">
        <v>0.5</v>
      </c>
    </row>
    <row r="95" spans="2:13">
      <c r="B95" s="19">
        <v>2</v>
      </c>
      <c r="C95" s="11" t="s">
        <v>367</v>
      </c>
      <c r="D95" s="11" t="s">
        <v>375</v>
      </c>
      <c r="E95" s="36" t="s">
        <v>215</v>
      </c>
      <c r="F95" s="36" t="s">
        <v>221</v>
      </c>
      <c r="G95" s="36" t="s">
        <v>746</v>
      </c>
      <c r="H95" s="53">
        <v>1</v>
      </c>
      <c r="I95" s="27">
        <v>12</v>
      </c>
      <c r="J95" s="56" t="s">
        <v>722</v>
      </c>
      <c r="K95" s="55">
        <v>1</v>
      </c>
      <c r="L95" s="9"/>
      <c r="M95" s="31"/>
    </row>
    <row r="96" spans="2:13">
      <c r="B96" s="19">
        <v>2</v>
      </c>
      <c r="C96" s="11" t="s">
        <v>367</v>
      </c>
      <c r="D96" s="11" t="s">
        <v>452</v>
      </c>
      <c r="E96" s="36" t="s">
        <v>211</v>
      </c>
      <c r="F96" s="36" t="s">
        <v>222</v>
      </c>
      <c r="G96" s="36" t="s">
        <v>746</v>
      </c>
      <c r="H96" s="53">
        <v>1</v>
      </c>
      <c r="I96" s="27">
        <v>12</v>
      </c>
      <c r="J96" s="56" t="s">
        <v>722</v>
      </c>
      <c r="K96" s="55">
        <v>1</v>
      </c>
      <c r="L96" s="9"/>
      <c r="M96" s="31"/>
    </row>
    <row r="97" spans="2:13">
      <c r="B97" s="19">
        <v>2</v>
      </c>
      <c r="C97" s="11" t="s">
        <v>367</v>
      </c>
      <c r="D97" s="11" t="s">
        <v>452</v>
      </c>
      <c r="E97" s="36" t="s">
        <v>212</v>
      </c>
      <c r="F97" s="36" t="s">
        <v>222</v>
      </c>
      <c r="G97" s="36" t="s">
        <v>746</v>
      </c>
      <c r="H97" s="53">
        <v>2.5</v>
      </c>
      <c r="I97" s="27">
        <v>30</v>
      </c>
      <c r="J97" s="56" t="s">
        <v>722</v>
      </c>
      <c r="K97" s="55">
        <v>2</v>
      </c>
      <c r="L97" s="9">
        <v>6</v>
      </c>
      <c r="M97" s="31">
        <v>0.5</v>
      </c>
    </row>
    <row r="98" spans="2:13">
      <c r="B98" s="19">
        <v>2</v>
      </c>
      <c r="C98" s="11" t="s">
        <v>367</v>
      </c>
      <c r="D98" s="11" t="s">
        <v>452</v>
      </c>
      <c r="E98" s="36" t="s">
        <v>213</v>
      </c>
      <c r="F98" s="36" t="s">
        <v>222</v>
      </c>
      <c r="G98" s="36" t="s">
        <v>746</v>
      </c>
      <c r="H98" s="53">
        <v>4</v>
      </c>
      <c r="I98" s="27">
        <v>48</v>
      </c>
      <c r="J98" s="56" t="s">
        <v>722</v>
      </c>
      <c r="K98" s="55">
        <v>4</v>
      </c>
      <c r="L98" s="9"/>
      <c r="M98" s="31"/>
    </row>
    <row r="99" spans="2:13">
      <c r="B99" s="19">
        <v>2</v>
      </c>
      <c r="C99" s="11" t="s">
        <v>367</v>
      </c>
      <c r="D99" s="11" t="s">
        <v>452</v>
      </c>
      <c r="E99" s="36" t="s">
        <v>213</v>
      </c>
      <c r="F99" s="36" t="s">
        <v>221</v>
      </c>
      <c r="G99" s="36" t="s">
        <v>746</v>
      </c>
      <c r="H99" s="53">
        <v>1.5</v>
      </c>
      <c r="I99" s="27">
        <v>18</v>
      </c>
      <c r="J99" s="56" t="s">
        <v>722</v>
      </c>
      <c r="K99" s="55">
        <v>1</v>
      </c>
      <c r="L99" s="9">
        <v>6</v>
      </c>
      <c r="M99" s="31">
        <v>0.5</v>
      </c>
    </row>
    <row r="100" spans="2:13">
      <c r="B100" s="19">
        <v>2</v>
      </c>
      <c r="C100" s="11" t="s">
        <v>367</v>
      </c>
      <c r="D100" s="11" t="s">
        <v>452</v>
      </c>
      <c r="E100" s="36" t="s">
        <v>214</v>
      </c>
      <c r="F100" s="36" t="s">
        <v>222</v>
      </c>
      <c r="G100" s="36" t="s">
        <v>746</v>
      </c>
      <c r="H100" s="53">
        <v>1</v>
      </c>
      <c r="I100" s="27">
        <v>12</v>
      </c>
      <c r="J100" s="56" t="s">
        <v>722</v>
      </c>
      <c r="K100" s="55">
        <v>1</v>
      </c>
      <c r="L100" s="9"/>
      <c r="M100" s="31"/>
    </row>
    <row r="101" spans="2:13">
      <c r="B101" s="19">
        <v>2</v>
      </c>
      <c r="C101" s="11" t="s">
        <v>367</v>
      </c>
      <c r="D101" s="11" t="s">
        <v>452</v>
      </c>
      <c r="E101" s="36" t="s">
        <v>214</v>
      </c>
      <c r="F101" s="36" t="s">
        <v>221</v>
      </c>
      <c r="G101" s="36" t="s">
        <v>746</v>
      </c>
      <c r="H101" s="53">
        <v>1</v>
      </c>
      <c r="I101" s="27">
        <v>12</v>
      </c>
      <c r="J101" s="56" t="s">
        <v>722</v>
      </c>
      <c r="K101" s="55">
        <v>1</v>
      </c>
      <c r="L101" s="9"/>
      <c r="M101" s="31"/>
    </row>
    <row r="102" spans="2:13">
      <c r="B102" s="19">
        <v>2</v>
      </c>
      <c r="C102" s="11" t="s">
        <v>367</v>
      </c>
      <c r="D102" s="11" t="s">
        <v>452</v>
      </c>
      <c r="E102" s="36" t="s">
        <v>215</v>
      </c>
      <c r="F102" s="36" t="s">
        <v>222</v>
      </c>
      <c r="G102" s="36" t="s">
        <v>746</v>
      </c>
      <c r="H102" s="53">
        <v>0.5</v>
      </c>
      <c r="I102" s="27">
        <v>6</v>
      </c>
      <c r="J102" s="56" t="s">
        <v>722</v>
      </c>
      <c r="K102" s="55">
        <v>0</v>
      </c>
      <c r="L102" s="9">
        <v>6</v>
      </c>
      <c r="M102" s="31">
        <v>0.5</v>
      </c>
    </row>
    <row r="103" spans="2:13">
      <c r="B103" s="19">
        <v>2</v>
      </c>
      <c r="C103" s="11" t="s">
        <v>367</v>
      </c>
      <c r="D103" s="11" t="s">
        <v>452</v>
      </c>
      <c r="E103" s="36" t="s">
        <v>215</v>
      </c>
      <c r="F103" s="36" t="s">
        <v>221</v>
      </c>
      <c r="G103" s="36" t="s">
        <v>746</v>
      </c>
      <c r="H103" s="53">
        <v>1.5</v>
      </c>
      <c r="I103" s="27">
        <v>18</v>
      </c>
      <c r="J103" s="56" t="s">
        <v>722</v>
      </c>
      <c r="K103" s="55">
        <v>1</v>
      </c>
      <c r="L103" s="9">
        <v>6</v>
      </c>
      <c r="M103" s="31">
        <v>0.5</v>
      </c>
    </row>
    <row r="104" spans="2:13">
      <c r="B104" s="19">
        <v>2</v>
      </c>
      <c r="C104" s="11" t="s">
        <v>368</v>
      </c>
      <c r="D104" s="11" t="s">
        <v>230</v>
      </c>
      <c r="E104" s="36" t="s">
        <v>214</v>
      </c>
      <c r="F104" s="36" t="s">
        <v>221</v>
      </c>
      <c r="G104" s="36" t="s">
        <v>745</v>
      </c>
      <c r="H104" s="53">
        <v>25.5</v>
      </c>
      <c r="I104" s="27">
        <v>306.00000000000102</v>
      </c>
      <c r="J104" s="54" t="s">
        <v>718</v>
      </c>
      <c r="K104" s="55">
        <v>25</v>
      </c>
      <c r="L104" s="9">
        <v>6</v>
      </c>
      <c r="M104" s="31"/>
    </row>
    <row r="105" spans="2:13">
      <c r="B105" s="19">
        <v>2</v>
      </c>
      <c r="C105" s="11" t="s">
        <v>368</v>
      </c>
      <c r="D105" s="11" t="s">
        <v>375</v>
      </c>
      <c r="E105" s="36" t="s">
        <v>214</v>
      </c>
      <c r="F105" s="36" t="s">
        <v>221</v>
      </c>
      <c r="G105" s="36" t="s">
        <v>745</v>
      </c>
      <c r="H105" s="53">
        <v>35</v>
      </c>
      <c r="I105" s="27">
        <v>420</v>
      </c>
      <c r="J105" s="56" t="s">
        <v>722</v>
      </c>
      <c r="K105" s="55">
        <v>35</v>
      </c>
      <c r="L105" s="9"/>
      <c r="M105" s="31"/>
    </row>
    <row r="106" spans="2:13">
      <c r="B106" s="19">
        <v>2</v>
      </c>
      <c r="C106" s="11" t="s">
        <v>368</v>
      </c>
      <c r="D106" s="11" t="s">
        <v>230</v>
      </c>
      <c r="E106" s="36" t="s">
        <v>213</v>
      </c>
      <c r="F106" s="36" t="s">
        <v>221</v>
      </c>
      <c r="G106" s="36" t="s">
        <v>746</v>
      </c>
      <c r="H106" s="53">
        <v>1</v>
      </c>
      <c r="I106" s="27">
        <v>12</v>
      </c>
      <c r="J106" s="56" t="s">
        <v>722</v>
      </c>
      <c r="K106" s="55">
        <v>1</v>
      </c>
      <c r="L106" s="9"/>
      <c r="M106" s="31"/>
    </row>
    <row r="107" spans="2:13">
      <c r="B107" s="19">
        <v>2</v>
      </c>
      <c r="C107" s="11" t="s">
        <v>368</v>
      </c>
      <c r="D107" s="11" t="s">
        <v>230</v>
      </c>
      <c r="E107" s="36" t="s">
        <v>214</v>
      </c>
      <c r="F107" s="36" t="s">
        <v>221</v>
      </c>
      <c r="G107" s="36" t="s">
        <v>746</v>
      </c>
      <c r="H107" s="53">
        <v>4</v>
      </c>
      <c r="I107" s="27">
        <v>48</v>
      </c>
      <c r="J107" s="56" t="s">
        <v>722</v>
      </c>
      <c r="K107" s="55">
        <v>4</v>
      </c>
      <c r="L107" s="9"/>
      <c r="M107" s="31"/>
    </row>
    <row r="108" spans="2:13">
      <c r="B108" s="19">
        <v>2</v>
      </c>
      <c r="C108" s="11" t="s">
        <v>368</v>
      </c>
      <c r="D108" s="11" t="s">
        <v>454</v>
      </c>
      <c r="E108" s="36" t="s">
        <v>213</v>
      </c>
      <c r="F108" s="36" t="s">
        <v>221</v>
      </c>
      <c r="G108" s="36" t="s">
        <v>746</v>
      </c>
      <c r="H108" s="53">
        <v>5</v>
      </c>
      <c r="I108" s="27">
        <v>60</v>
      </c>
      <c r="J108" s="56" t="s">
        <v>722</v>
      </c>
      <c r="K108" s="55">
        <v>5</v>
      </c>
      <c r="L108" s="9"/>
      <c r="M108" s="31"/>
    </row>
    <row r="109" spans="2:13">
      <c r="B109" s="19">
        <v>2</v>
      </c>
      <c r="C109" s="11" t="s">
        <v>368</v>
      </c>
      <c r="D109" s="11" t="s">
        <v>466</v>
      </c>
      <c r="E109" s="36" t="s">
        <v>215</v>
      </c>
      <c r="F109" s="36" t="s">
        <v>221</v>
      </c>
      <c r="G109" s="36" t="s">
        <v>746</v>
      </c>
      <c r="H109" s="53">
        <v>1</v>
      </c>
      <c r="I109" s="27">
        <v>12</v>
      </c>
      <c r="J109" s="56" t="s">
        <v>722</v>
      </c>
      <c r="K109" s="55">
        <v>1</v>
      </c>
      <c r="L109" s="9"/>
      <c r="M109" s="31"/>
    </row>
    <row r="110" spans="2:13">
      <c r="B110" s="19">
        <v>2</v>
      </c>
      <c r="C110" s="11" t="s">
        <v>368</v>
      </c>
      <c r="D110" s="11" t="s">
        <v>375</v>
      </c>
      <c r="E110" s="36" t="s">
        <v>214</v>
      </c>
      <c r="F110" s="36" t="s">
        <v>221</v>
      </c>
      <c r="G110" s="36" t="s">
        <v>746</v>
      </c>
      <c r="H110" s="53">
        <v>3</v>
      </c>
      <c r="I110" s="27">
        <v>36</v>
      </c>
      <c r="J110" s="56" t="s">
        <v>722</v>
      </c>
      <c r="K110" s="55">
        <v>3</v>
      </c>
      <c r="L110" s="9"/>
      <c r="M110" s="31"/>
    </row>
    <row r="111" spans="2:13">
      <c r="B111" s="19">
        <v>2</v>
      </c>
      <c r="C111" s="11" t="s">
        <v>368</v>
      </c>
      <c r="D111" s="11" t="s">
        <v>452</v>
      </c>
      <c r="E111" s="36" t="s">
        <v>214</v>
      </c>
      <c r="F111" s="36" t="s">
        <v>221</v>
      </c>
      <c r="G111" s="36" t="s">
        <v>746</v>
      </c>
      <c r="H111" s="53">
        <v>1</v>
      </c>
      <c r="I111" s="27">
        <v>12</v>
      </c>
      <c r="J111" s="56" t="s">
        <v>722</v>
      </c>
      <c r="K111" s="55">
        <v>1</v>
      </c>
      <c r="L111" s="9"/>
      <c r="M111" s="31"/>
    </row>
    <row r="112" spans="2:13">
      <c r="B112" s="19">
        <v>2</v>
      </c>
      <c r="C112" s="11" t="s">
        <v>369</v>
      </c>
      <c r="D112" s="11" t="s">
        <v>447</v>
      </c>
      <c r="E112" s="36" t="s">
        <v>213</v>
      </c>
      <c r="F112" s="36" t="s">
        <v>222</v>
      </c>
      <c r="G112" s="36" t="s">
        <v>745</v>
      </c>
      <c r="H112" s="53">
        <v>68</v>
      </c>
      <c r="I112" s="27">
        <v>816</v>
      </c>
      <c r="J112" s="54" t="s">
        <v>718</v>
      </c>
      <c r="K112" s="55">
        <v>68</v>
      </c>
      <c r="L112" s="9"/>
      <c r="M112" s="31"/>
    </row>
    <row r="113" spans="2:13">
      <c r="B113" s="19">
        <v>2</v>
      </c>
      <c r="C113" s="11" t="s">
        <v>369</v>
      </c>
      <c r="D113" s="11" t="s">
        <v>452</v>
      </c>
      <c r="E113" s="36" t="s">
        <v>213</v>
      </c>
      <c r="F113" s="36" t="s">
        <v>222</v>
      </c>
      <c r="G113" s="36" t="s">
        <v>745</v>
      </c>
      <c r="H113" s="53">
        <v>2.5</v>
      </c>
      <c r="I113" s="27">
        <v>30</v>
      </c>
      <c r="J113" s="54" t="s">
        <v>718</v>
      </c>
      <c r="K113" s="55">
        <v>2</v>
      </c>
      <c r="L113" s="9">
        <v>6</v>
      </c>
      <c r="M113" s="31"/>
    </row>
    <row r="114" spans="2:13">
      <c r="B114" s="19">
        <v>2</v>
      </c>
      <c r="C114" s="11" t="s">
        <v>369</v>
      </c>
      <c r="D114" s="11" t="s">
        <v>447</v>
      </c>
      <c r="E114" s="36" t="s">
        <v>213</v>
      </c>
      <c r="F114" s="36" t="s">
        <v>222</v>
      </c>
      <c r="G114" s="36" t="s">
        <v>746</v>
      </c>
      <c r="H114" s="53">
        <v>3</v>
      </c>
      <c r="I114" s="27">
        <v>36</v>
      </c>
      <c r="J114" s="56" t="s">
        <v>722</v>
      </c>
      <c r="K114" s="55">
        <v>3</v>
      </c>
      <c r="L114" s="9"/>
      <c r="M114" s="31"/>
    </row>
    <row r="115" spans="2:13">
      <c r="B115" s="19">
        <v>2</v>
      </c>
      <c r="C115" s="11" t="s">
        <v>369</v>
      </c>
      <c r="D115" s="11" t="s">
        <v>452</v>
      </c>
      <c r="E115" s="36" t="s">
        <v>213</v>
      </c>
      <c r="F115" s="36" t="s">
        <v>222</v>
      </c>
      <c r="G115" s="36" t="s">
        <v>746</v>
      </c>
      <c r="H115" s="53">
        <v>1</v>
      </c>
      <c r="I115" s="27">
        <v>12</v>
      </c>
      <c r="J115" s="56" t="s">
        <v>722</v>
      </c>
      <c r="K115" s="55">
        <v>1</v>
      </c>
      <c r="L115" s="9"/>
      <c r="M115" s="31"/>
    </row>
    <row r="116" spans="2:13">
      <c r="B116" s="19">
        <v>3</v>
      </c>
      <c r="C116" s="11" t="s">
        <v>367</v>
      </c>
      <c r="D116" s="11" t="s">
        <v>230</v>
      </c>
      <c r="E116" s="36" t="s">
        <v>213</v>
      </c>
      <c r="F116" s="36" t="s">
        <v>221</v>
      </c>
      <c r="G116" s="36" t="s">
        <v>745</v>
      </c>
      <c r="H116" s="53">
        <v>17</v>
      </c>
      <c r="I116" s="27">
        <v>204</v>
      </c>
      <c r="J116" s="54" t="s">
        <v>718</v>
      </c>
      <c r="K116" s="55">
        <v>17</v>
      </c>
      <c r="L116" s="9"/>
      <c r="M116" s="31"/>
    </row>
    <row r="117" spans="2:13">
      <c r="B117" s="19">
        <v>3</v>
      </c>
      <c r="C117" s="11" t="s">
        <v>367</v>
      </c>
      <c r="D117" s="11" t="s">
        <v>447</v>
      </c>
      <c r="E117" s="36" t="s">
        <v>212</v>
      </c>
      <c r="F117" s="36" t="s">
        <v>222</v>
      </c>
      <c r="G117" s="36" t="s">
        <v>745</v>
      </c>
      <c r="H117" s="53">
        <v>10</v>
      </c>
      <c r="I117" s="27">
        <v>120</v>
      </c>
      <c r="J117" s="54" t="s">
        <v>718</v>
      </c>
      <c r="K117" s="55">
        <v>10</v>
      </c>
      <c r="L117" s="9"/>
      <c r="M117" s="31"/>
    </row>
    <row r="118" spans="2:13">
      <c r="B118" s="19">
        <v>3</v>
      </c>
      <c r="C118" s="11" t="s">
        <v>367</v>
      </c>
      <c r="D118" s="11" t="s">
        <v>447</v>
      </c>
      <c r="E118" s="36" t="s">
        <v>213</v>
      </c>
      <c r="F118" s="36" t="s">
        <v>222</v>
      </c>
      <c r="G118" s="36" t="s">
        <v>745</v>
      </c>
      <c r="H118" s="53">
        <v>33</v>
      </c>
      <c r="I118" s="27">
        <v>396</v>
      </c>
      <c r="J118" s="54" t="s">
        <v>718</v>
      </c>
      <c r="K118" s="55">
        <v>33</v>
      </c>
      <c r="L118" s="9"/>
      <c r="M118" s="31"/>
    </row>
    <row r="119" spans="2:13">
      <c r="B119" s="19">
        <v>3</v>
      </c>
      <c r="C119" s="11" t="s">
        <v>367</v>
      </c>
      <c r="D119" s="11" t="s">
        <v>447</v>
      </c>
      <c r="E119" s="36" t="s">
        <v>214</v>
      </c>
      <c r="F119" s="36" t="s">
        <v>222</v>
      </c>
      <c r="G119" s="36" t="s">
        <v>745</v>
      </c>
      <c r="H119" s="53">
        <v>20.5</v>
      </c>
      <c r="I119" s="27">
        <v>246</v>
      </c>
      <c r="J119" s="54" t="s">
        <v>718</v>
      </c>
      <c r="K119" s="55">
        <v>20</v>
      </c>
      <c r="L119" s="9">
        <v>6</v>
      </c>
      <c r="M119" s="31"/>
    </row>
    <row r="120" spans="2:13">
      <c r="B120" s="19">
        <v>3</v>
      </c>
      <c r="C120" s="11" t="s">
        <v>367</v>
      </c>
      <c r="D120" s="11" t="s">
        <v>447</v>
      </c>
      <c r="E120" s="36" t="s">
        <v>214</v>
      </c>
      <c r="F120" s="36" t="s">
        <v>221</v>
      </c>
      <c r="G120" s="36" t="s">
        <v>745</v>
      </c>
      <c r="H120" s="53">
        <v>2.5</v>
      </c>
      <c r="I120" s="27">
        <v>30</v>
      </c>
      <c r="J120" s="54" t="s">
        <v>718</v>
      </c>
      <c r="K120" s="55">
        <v>2</v>
      </c>
      <c r="L120" s="9">
        <v>6</v>
      </c>
      <c r="M120" s="31"/>
    </row>
    <row r="121" spans="2:13">
      <c r="B121" s="19">
        <v>3</v>
      </c>
      <c r="C121" s="11" t="s">
        <v>367</v>
      </c>
      <c r="D121" s="11" t="s">
        <v>454</v>
      </c>
      <c r="E121" s="36" t="s">
        <v>211</v>
      </c>
      <c r="F121" s="36" t="s">
        <v>222</v>
      </c>
      <c r="G121" s="36" t="s">
        <v>745</v>
      </c>
      <c r="H121" s="53">
        <v>5</v>
      </c>
      <c r="I121" s="27">
        <v>60.000000000000099</v>
      </c>
      <c r="J121" s="54" t="s">
        <v>718</v>
      </c>
      <c r="K121" s="55">
        <v>5</v>
      </c>
      <c r="L121" s="9"/>
      <c r="M121" s="31"/>
    </row>
    <row r="122" spans="2:13">
      <c r="B122" s="19">
        <v>3</v>
      </c>
      <c r="C122" s="11" t="s">
        <v>367</v>
      </c>
      <c r="D122" s="11" t="s">
        <v>454</v>
      </c>
      <c r="E122" s="36" t="s">
        <v>212</v>
      </c>
      <c r="F122" s="36" t="s">
        <v>222</v>
      </c>
      <c r="G122" s="36" t="s">
        <v>745</v>
      </c>
      <c r="H122" s="53">
        <v>2.5</v>
      </c>
      <c r="I122" s="27">
        <v>30</v>
      </c>
      <c r="J122" s="54" t="s">
        <v>718</v>
      </c>
      <c r="K122" s="55">
        <v>2</v>
      </c>
      <c r="L122" s="9">
        <v>6</v>
      </c>
      <c r="M122" s="31"/>
    </row>
    <row r="123" spans="2:13">
      <c r="B123" s="19">
        <v>3</v>
      </c>
      <c r="C123" s="11" t="s">
        <v>367</v>
      </c>
      <c r="D123" s="11" t="s">
        <v>466</v>
      </c>
      <c r="E123" s="36" t="s">
        <v>214</v>
      </c>
      <c r="F123" s="36" t="s">
        <v>222</v>
      </c>
      <c r="G123" s="36" t="s">
        <v>745</v>
      </c>
      <c r="H123" s="53">
        <v>10</v>
      </c>
      <c r="I123" s="27">
        <v>120</v>
      </c>
      <c r="J123" s="56" t="s">
        <v>722</v>
      </c>
      <c r="K123" s="55">
        <v>10</v>
      </c>
      <c r="L123" s="9"/>
      <c r="M123" s="31"/>
    </row>
    <row r="124" spans="2:13">
      <c r="B124" s="19">
        <v>3</v>
      </c>
      <c r="C124" s="11" t="s">
        <v>367</v>
      </c>
      <c r="D124" s="11" t="s">
        <v>452</v>
      </c>
      <c r="E124" s="36" t="s">
        <v>212</v>
      </c>
      <c r="F124" s="36" t="s">
        <v>222</v>
      </c>
      <c r="G124" s="36" t="s">
        <v>745</v>
      </c>
      <c r="H124" s="53">
        <v>12</v>
      </c>
      <c r="I124" s="27">
        <v>144</v>
      </c>
      <c r="J124" s="54" t="s">
        <v>718</v>
      </c>
      <c r="K124" s="55">
        <v>12</v>
      </c>
      <c r="L124" s="9"/>
      <c r="M124" s="31"/>
    </row>
    <row r="125" spans="2:13">
      <c r="B125" s="19">
        <v>3</v>
      </c>
      <c r="C125" s="11" t="s">
        <v>367</v>
      </c>
      <c r="D125" s="11" t="s">
        <v>452</v>
      </c>
      <c r="E125" s="36" t="s">
        <v>213</v>
      </c>
      <c r="F125" s="36" t="s">
        <v>222</v>
      </c>
      <c r="G125" s="36" t="s">
        <v>745</v>
      </c>
      <c r="H125" s="53">
        <v>26</v>
      </c>
      <c r="I125" s="27">
        <v>312</v>
      </c>
      <c r="J125" s="54" t="s">
        <v>718</v>
      </c>
      <c r="K125" s="55">
        <v>26</v>
      </c>
      <c r="L125" s="9"/>
      <c r="M125" s="31"/>
    </row>
    <row r="126" spans="2:13">
      <c r="B126" s="19">
        <v>3</v>
      </c>
      <c r="C126" s="11" t="s">
        <v>367</v>
      </c>
      <c r="D126" s="11" t="s">
        <v>452</v>
      </c>
      <c r="E126" s="36" t="s">
        <v>215</v>
      </c>
      <c r="F126" s="36" t="s">
        <v>222</v>
      </c>
      <c r="G126" s="36" t="s">
        <v>745</v>
      </c>
      <c r="H126" s="53">
        <v>2.5</v>
      </c>
      <c r="I126" s="27">
        <v>30</v>
      </c>
      <c r="J126" s="54" t="s">
        <v>718</v>
      </c>
      <c r="K126" s="55">
        <v>2</v>
      </c>
      <c r="L126" s="9">
        <v>6</v>
      </c>
      <c r="M126" s="31"/>
    </row>
    <row r="127" spans="2:13">
      <c r="B127" s="19">
        <v>3</v>
      </c>
      <c r="C127" s="11" t="s">
        <v>367</v>
      </c>
      <c r="D127" s="11" t="s">
        <v>447</v>
      </c>
      <c r="E127" s="36" t="s">
        <v>213</v>
      </c>
      <c r="F127" s="36" t="s">
        <v>222</v>
      </c>
      <c r="G127" s="36" t="s">
        <v>746</v>
      </c>
      <c r="H127" s="53">
        <v>0.5</v>
      </c>
      <c r="I127" s="27">
        <v>6</v>
      </c>
      <c r="J127" s="56" t="s">
        <v>722</v>
      </c>
      <c r="K127" s="55">
        <v>0</v>
      </c>
      <c r="L127" s="9">
        <v>6</v>
      </c>
      <c r="M127" s="31">
        <v>0.5</v>
      </c>
    </row>
    <row r="128" spans="2:13">
      <c r="B128" s="19">
        <v>3</v>
      </c>
      <c r="C128" s="11" t="s">
        <v>367</v>
      </c>
      <c r="D128" s="11" t="s">
        <v>447</v>
      </c>
      <c r="E128" s="36" t="s">
        <v>213</v>
      </c>
      <c r="F128" s="36" t="s">
        <v>221</v>
      </c>
      <c r="G128" s="36" t="s">
        <v>746</v>
      </c>
      <c r="H128" s="53">
        <v>1.5</v>
      </c>
      <c r="I128" s="27">
        <v>18</v>
      </c>
      <c r="J128" s="56" t="s">
        <v>722</v>
      </c>
      <c r="K128" s="55">
        <v>1</v>
      </c>
      <c r="L128" s="9">
        <v>6</v>
      </c>
      <c r="M128" s="31">
        <v>0.5</v>
      </c>
    </row>
    <row r="129" spans="2:13">
      <c r="B129" s="19">
        <v>3</v>
      </c>
      <c r="C129" s="11" t="s">
        <v>367</v>
      </c>
      <c r="D129" s="11" t="s">
        <v>447</v>
      </c>
      <c r="E129" s="36" t="s">
        <v>215</v>
      </c>
      <c r="F129" s="36" t="s">
        <v>222</v>
      </c>
      <c r="G129" s="36" t="s">
        <v>746</v>
      </c>
      <c r="H129" s="53">
        <v>0.5</v>
      </c>
      <c r="I129" s="27">
        <v>6</v>
      </c>
      <c r="J129" s="56" t="s">
        <v>722</v>
      </c>
      <c r="K129" s="55">
        <v>0</v>
      </c>
      <c r="L129" s="9">
        <v>6</v>
      </c>
      <c r="M129" s="31">
        <v>0.5</v>
      </c>
    </row>
    <row r="130" spans="2:13">
      <c r="B130" s="19">
        <v>3</v>
      </c>
      <c r="C130" s="11" t="s">
        <v>367</v>
      </c>
      <c r="D130" s="11" t="s">
        <v>454</v>
      </c>
      <c r="E130" s="36" t="s">
        <v>211</v>
      </c>
      <c r="F130" s="36" t="s">
        <v>222</v>
      </c>
      <c r="G130" s="36" t="s">
        <v>746</v>
      </c>
      <c r="H130" s="53">
        <v>0.5</v>
      </c>
      <c r="I130" s="27">
        <v>6</v>
      </c>
      <c r="J130" s="56" t="s">
        <v>722</v>
      </c>
      <c r="K130" s="55">
        <v>0</v>
      </c>
      <c r="L130" s="9">
        <v>6</v>
      </c>
      <c r="M130" s="31">
        <v>0.5</v>
      </c>
    </row>
    <row r="131" spans="2:13">
      <c r="B131" s="19">
        <v>3</v>
      </c>
      <c r="C131" s="11" t="s">
        <v>367</v>
      </c>
      <c r="D131" s="11" t="s">
        <v>454</v>
      </c>
      <c r="E131" s="36" t="s">
        <v>212</v>
      </c>
      <c r="F131" s="36" t="s">
        <v>222</v>
      </c>
      <c r="G131" s="36" t="s">
        <v>746</v>
      </c>
      <c r="H131" s="53">
        <v>0.5</v>
      </c>
      <c r="I131" s="27">
        <v>6</v>
      </c>
      <c r="J131" s="56" t="s">
        <v>722</v>
      </c>
      <c r="K131" s="55">
        <v>0</v>
      </c>
      <c r="L131" s="9">
        <v>6</v>
      </c>
      <c r="M131" s="31">
        <v>0.5</v>
      </c>
    </row>
    <row r="132" spans="2:13">
      <c r="B132" s="19">
        <v>3</v>
      </c>
      <c r="C132" s="11" t="s">
        <v>367</v>
      </c>
      <c r="D132" s="11" t="s">
        <v>454</v>
      </c>
      <c r="E132" s="36" t="s">
        <v>213</v>
      </c>
      <c r="F132" s="36" t="s">
        <v>221</v>
      </c>
      <c r="G132" s="36" t="s">
        <v>746</v>
      </c>
      <c r="H132" s="53">
        <v>1</v>
      </c>
      <c r="I132" s="27">
        <v>12</v>
      </c>
      <c r="J132" s="56" t="s">
        <v>722</v>
      </c>
      <c r="K132" s="55">
        <v>1</v>
      </c>
      <c r="L132" s="9"/>
      <c r="M132" s="31"/>
    </row>
    <row r="133" spans="2:13">
      <c r="B133" s="19">
        <v>3</v>
      </c>
      <c r="C133" s="11" t="s">
        <v>367</v>
      </c>
      <c r="D133" s="11" t="s">
        <v>454</v>
      </c>
      <c r="E133" s="36" t="s">
        <v>214</v>
      </c>
      <c r="F133" s="36" t="s">
        <v>221</v>
      </c>
      <c r="G133" s="36" t="s">
        <v>746</v>
      </c>
      <c r="H133" s="53">
        <v>1</v>
      </c>
      <c r="I133" s="27">
        <v>12</v>
      </c>
      <c r="J133" s="56" t="s">
        <v>722</v>
      </c>
      <c r="K133" s="55">
        <v>1</v>
      </c>
      <c r="L133" s="9"/>
      <c r="M133" s="31"/>
    </row>
    <row r="134" spans="2:13">
      <c r="B134" s="19">
        <v>3</v>
      </c>
      <c r="C134" s="11" t="s">
        <v>367</v>
      </c>
      <c r="D134" s="11" t="s">
        <v>454</v>
      </c>
      <c r="E134" s="36" t="s">
        <v>215</v>
      </c>
      <c r="F134" s="36" t="s">
        <v>221</v>
      </c>
      <c r="G134" s="36" t="s">
        <v>746</v>
      </c>
      <c r="H134" s="53">
        <v>1</v>
      </c>
      <c r="I134" s="27">
        <v>12</v>
      </c>
      <c r="J134" s="56" t="s">
        <v>722</v>
      </c>
      <c r="K134" s="55">
        <v>1</v>
      </c>
      <c r="L134" s="9"/>
      <c r="M134" s="31"/>
    </row>
    <row r="135" spans="2:13">
      <c r="B135" s="19">
        <v>3</v>
      </c>
      <c r="C135" s="11" t="s">
        <v>367</v>
      </c>
      <c r="D135" s="11" t="s">
        <v>466</v>
      </c>
      <c r="E135" s="36" t="s">
        <v>213</v>
      </c>
      <c r="F135" s="36" t="s">
        <v>222</v>
      </c>
      <c r="G135" s="36" t="s">
        <v>746</v>
      </c>
      <c r="H135" s="53">
        <v>0.5</v>
      </c>
      <c r="I135" s="27">
        <v>6</v>
      </c>
      <c r="J135" s="56" t="s">
        <v>722</v>
      </c>
      <c r="K135" s="55">
        <v>0</v>
      </c>
      <c r="L135" s="9">
        <v>6</v>
      </c>
      <c r="M135" s="31">
        <v>0.5</v>
      </c>
    </row>
    <row r="136" spans="2:13">
      <c r="B136" s="19">
        <v>3</v>
      </c>
      <c r="C136" s="11" t="s">
        <v>367</v>
      </c>
      <c r="D136" s="11" t="s">
        <v>466</v>
      </c>
      <c r="E136" s="36" t="s">
        <v>215</v>
      </c>
      <c r="F136" s="36" t="s">
        <v>221</v>
      </c>
      <c r="G136" s="36" t="s">
        <v>746</v>
      </c>
      <c r="H136" s="53">
        <v>0.5</v>
      </c>
      <c r="I136" s="27">
        <v>6</v>
      </c>
      <c r="J136" s="56" t="s">
        <v>722</v>
      </c>
      <c r="K136" s="55">
        <v>0</v>
      </c>
      <c r="L136" s="9">
        <v>6</v>
      </c>
      <c r="M136" s="31">
        <v>0.5</v>
      </c>
    </row>
    <row r="137" spans="2:13">
      <c r="B137" s="19">
        <v>3</v>
      </c>
      <c r="C137" s="11" t="s">
        <v>367</v>
      </c>
      <c r="D137" s="11" t="s">
        <v>375</v>
      </c>
      <c r="E137" s="36" t="s">
        <v>214</v>
      </c>
      <c r="F137" s="36" t="s">
        <v>221</v>
      </c>
      <c r="G137" s="36" t="s">
        <v>746</v>
      </c>
      <c r="H137" s="53">
        <v>1</v>
      </c>
      <c r="I137" s="27">
        <v>12</v>
      </c>
      <c r="J137" s="56" t="s">
        <v>722</v>
      </c>
      <c r="K137" s="55">
        <v>1</v>
      </c>
      <c r="L137" s="9"/>
      <c r="M137" s="31"/>
    </row>
    <row r="138" spans="2:13">
      <c r="B138" s="19">
        <v>3</v>
      </c>
      <c r="C138" s="11" t="s">
        <v>367</v>
      </c>
      <c r="D138" s="11" t="s">
        <v>375</v>
      </c>
      <c r="E138" s="36" t="s">
        <v>215</v>
      </c>
      <c r="F138" s="36" t="s">
        <v>221</v>
      </c>
      <c r="G138" s="36" t="s">
        <v>746</v>
      </c>
      <c r="H138" s="53">
        <v>0.5</v>
      </c>
      <c r="I138" s="27">
        <v>6</v>
      </c>
      <c r="J138" s="56" t="s">
        <v>722</v>
      </c>
      <c r="K138" s="55">
        <v>0</v>
      </c>
      <c r="L138" s="9">
        <v>6</v>
      </c>
      <c r="M138" s="31">
        <v>0.5</v>
      </c>
    </row>
    <row r="139" spans="2:13">
      <c r="B139" s="19">
        <v>3</v>
      </c>
      <c r="C139" s="11" t="s">
        <v>367</v>
      </c>
      <c r="D139" s="11" t="s">
        <v>452</v>
      </c>
      <c r="E139" s="36" t="s">
        <v>211</v>
      </c>
      <c r="F139" s="36" t="s">
        <v>222</v>
      </c>
      <c r="G139" s="36" t="s">
        <v>746</v>
      </c>
      <c r="H139" s="53">
        <v>0.5</v>
      </c>
      <c r="I139" s="27">
        <v>6</v>
      </c>
      <c r="J139" s="56" t="s">
        <v>722</v>
      </c>
      <c r="K139" s="55">
        <v>0</v>
      </c>
      <c r="L139" s="9">
        <v>6</v>
      </c>
      <c r="M139" s="31">
        <v>0.5</v>
      </c>
    </row>
    <row r="140" spans="2:13">
      <c r="B140" s="19">
        <v>3</v>
      </c>
      <c r="C140" s="11" t="s">
        <v>367</v>
      </c>
      <c r="D140" s="11" t="s">
        <v>452</v>
      </c>
      <c r="E140" s="36" t="s">
        <v>212</v>
      </c>
      <c r="F140" s="36" t="s">
        <v>222</v>
      </c>
      <c r="G140" s="36" t="s">
        <v>746</v>
      </c>
      <c r="H140" s="53">
        <v>0.5</v>
      </c>
      <c r="I140" s="27">
        <v>6</v>
      </c>
      <c r="J140" s="56" t="s">
        <v>722</v>
      </c>
      <c r="K140" s="55">
        <v>0</v>
      </c>
      <c r="L140" s="9">
        <v>6</v>
      </c>
      <c r="M140" s="31">
        <v>0.5</v>
      </c>
    </row>
    <row r="141" spans="2:13">
      <c r="B141" s="19">
        <v>3</v>
      </c>
      <c r="C141" s="11" t="s">
        <v>367</v>
      </c>
      <c r="D141" s="11" t="s">
        <v>452</v>
      </c>
      <c r="E141" s="36" t="s">
        <v>213</v>
      </c>
      <c r="F141" s="36" t="s">
        <v>222</v>
      </c>
      <c r="G141" s="36" t="s">
        <v>746</v>
      </c>
      <c r="H141" s="53">
        <v>3</v>
      </c>
      <c r="I141" s="27">
        <v>36</v>
      </c>
      <c r="J141" s="56" t="s">
        <v>722</v>
      </c>
      <c r="K141" s="55">
        <v>3</v>
      </c>
      <c r="L141" s="9"/>
      <c r="M141" s="31"/>
    </row>
    <row r="142" spans="2:13">
      <c r="B142" s="19">
        <v>3</v>
      </c>
      <c r="C142" s="11" t="s">
        <v>367</v>
      </c>
      <c r="D142" s="11" t="s">
        <v>452</v>
      </c>
      <c r="E142" s="36" t="s">
        <v>213</v>
      </c>
      <c r="F142" s="36" t="s">
        <v>221</v>
      </c>
      <c r="G142" s="36" t="s">
        <v>746</v>
      </c>
      <c r="H142" s="53">
        <v>1</v>
      </c>
      <c r="I142" s="27">
        <v>12</v>
      </c>
      <c r="J142" s="56" t="s">
        <v>722</v>
      </c>
      <c r="K142" s="55">
        <v>1</v>
      </c>
      <c r="L142" s="9"/>
      <c r="M142" s="31"/>
    </row>
    <row r="143" spans="2:13">
      <c r="B143" s="19">
        <v>3</v>
      </c>
      <c r="C143" s="11" t="s">
        <v>367</v>
      </c>
      <c r="D143" s="11" t="s">
        <v>452</v>
      </c>
      <c r="E143" s="36" t="s">
        <v>214</v>
      </c>
      <c r="F143" s="36" t="s">
        <v>222</v>
      </c>
      <c r="G143" s="36" t="s">
        <v>746</v>
      </c>
      <c r="H143" s="53">
        <v>3</v>
      </c>
      <c r="I143" s="27">
        <v>36</v>
      </c>
      <c r="J143" s="56" t="s">
        <v>722</v>
      </c>
      <c r="K143" s="55">
        <v>3</v>
      </c>
      <c r="L143" s="9"/>
      <c r="M143" s="31"/>
    </row>
    <row r="144" spans="2:13">
      <c r="B144" s="19">
        <v>3</v>
      </c>
      <c r="C144" s="11" t="s">
        <v>367</v>
      </c>
      <c r="D144" s="11" t="s">
        <v>452</v>
      </c>
      <c r="E144" s="36" t="s">
        <v>214</v>
      </c>
      <c r="F144" s="36" t="s">
        <v>221</v>
      </c>
      <c r="G144" s="36" t="s">
        <v>746</v>
      </c>
      <c r="H144" s="53">
        <v>2</v>
      </c>
      <c r="I144" s="27">
        <v>24</v>
      </c>
      <c r="J144" s="56" t="s">
        <v>722</v>
      </c>
      <c r="K144" s="55">
        <v>2</v>
      </c>
      <c r="L144" s="9"/>
      <c r="M144" s="31"/>
    </row>
    <row r="145" spans="2:13">
      <c r="B145" s="19">
        <v>3</v>
      </c>
      <c r="C145" s="11" t="s">
        <v>367</v>
      </c>
      <c r="D145" s="11" t="s">
        <v>452</v>
      </c>
      <c r="E145" s="36" t="s">
        <v>215</v>
      </c>
      <c r="F145" s="36" t="s">
        <v>222</v>
      </c>
      <c r="G145" s="36" t="s">
        <v>746</v>
      </c>
      <c r="H145" s="53">
        <v>0.5</v>
      </c>
      <c r="I145" s="27">
        <v>6</v>
      </c>
      <c r="J145" s="56" t="s">
        <v>722</v>
      </c>
      <c r="K145" s="55">
        <v>0</v>
      </c>
      <c r="L145" s="9">
        <v>6</v>
      </c>
      <c r="M145" s="31">
        <v>0.5</v>
      </c>
    </row>
    <row r="146" spans="2:13">
      <c r="B146" s="19">
        <v>3</v>
      </c>
      <c r="C146" s="11" t="s">
        <v>367</v>
      </c>
      <c r="D146" s="11" t="s">
        <v>452</v>
      </c>
      <c r="E146" s="36" t="s">
        <v>215</v>
      </c>
      <c r="F146" s="36" t="s">
        <v>221</v>
      </c>
      <c r="G146" s="36" t="s">
        <v>746</v>
      </c>
      <c r="H146" s="53">
        <v>1</v>
      </c>
      <c r="I146" s="27">
        <v>12</v>
      </c>
      <c r="J146" s="56" t="s">
        <v>722</v>
      </c>
      <c r="K146" s="55">
        <v>1</v>
      </c>
      <c r="L146" s="9"/>
      <c r="M146" s="31"/>
    </row>
    <row r="147" spans="2:13">
      <c r="B147" s="19">
        <v>3</v>
      </c>
      <c r="C147" s="11" t="s">
        <v>368</v>
      </c>
      <c r="D147" s="11" t="s">
        <v>230</v>
      </c>
      <c r="E147" s="36" t="s">
        <v>214</v>
      </c>
      <c r="F147" s="36" t="s">
        <v>221</v>
      </c>
      <c r="G147" s="36" t="s">
        <v>745</v>
      </c>
      <c r="H147" s="53">
        <v>22</v>
      </c>
      <c r="I147" s="27">
        <v>264</v>
      </c>
      <c r="J147" s="54" t="s">
        <v>718</v>
      </c>
      <c r="K147" s="55">
        <v>22</v>
      </c>
      <c r="L147" s="9"/>
      <c r="M147" s="31"/>
    </row>
    <row r="148" spans="2:13">
      <c r="B148" s="19">
        <v>3</v>
      </c>
      <c r="C148" s="11" t="s">
        <v>368</v>
      </c>
      <c r="D148" s="11" t="s">
        <v>375</v>
      </c>
      <c r="E148" s="36" t="s">
        <v>214</v>
      </c>
      <c r="F148" s="36" t="s">
        <v>221</v>
      </c>
      <c r="G148" s="36" t="s">
        <v>745</v>
      </c>
      <c r="H148" s="53">
        <v>33.5</v>
      </c>
      <c r="I148" s="27">
        <v>402</v>
      </c>
      <c r="J148" s="56" t="s">
        <v>722</v>
      </c>
      <c r="K148" s="55">
        <v>33</v>
      </c>
      <c r="L148" s="9">
        <v>6</v>
      </c>
      <c r="M148" s="31">
        <v>0.5</v>
      </c>
    </row>
    <row r="149" spans="2:13">
      <c r="B149" s="19">
        <v>3</v>
      </c>
      <c r="C149" s="11" t="s">
        <v>368</v>
      </c>
      <c r="D149" s="11" t="s">
        <v>230</v>
      </c>
      <c r="E149" s="36" t="s">
        <v>213</v>
      </c>
      <c r="F149" s="36" t="s">
        <v>221</v>
      </c>
      <c r="G149" s="36" t="s">
        <v>746</v>
      </c>
      <c r="H149" s="53">
        <v>1.5</v>
      </c>
      <c r="I149" s="27">
        <v>18</v>
      </c>
      <c r="J149" s="56" t="s">
        <v>722</v>
      </c>
      <c r="K149" s="55">
        <v>1</v>
      </c>
      <c r="L149" s="9">
        <v>6</v>
      </c>
      <c r="M149" s="31">
        <v>0.5</v>
      </c>
    </row>
    <row r="150" spans="2:13">
      <c r="B150" s="19">
        <v>3</v>
      </c>
      <c r="C150" s="11" t="s">
        <v>368</v>
      </c>
      <c r="D150" s="11" t="s">
        <v>230</v>
      </c>
      <c r="E150" s="36" t="s">
        <v>214</v>
      </c>
      <c r="F150" s="36" t="s">
        <v>221</v>
      </c>
      <c r="G150" s="36" t="s">
        <v>746</v>
      </c>
      <c r="H150" s="53">
        <v>2.5</v>
      </c>
      <c r="I150" s="27">
        <v>30</v>
      </c>
      <c r="J150" s="56" t="s">
        <v>722</v>
      </c>
      <c r="K150" s="55">
        <v>2</v>
      </c>
      <c r="L150" s="9">
        <v>6</v>
      </c>
      <c r="M150" s="31">
        <v>0.5</v>
      </c>
    </row>
    <row r="151" spans="2:13">
      <c r="B151" s="19">
        <v>3</v>
      </c>
      <c r="C151" s="11" t="s">
        <v>368</v>
      </c>
      <c r="D151" s="11" t="s">
        <v>454</v>
      </c>
      <c r="E151" s="36" t="s">
        <v>213</v>
      </c>
      <c r="F151" s="36" t="s">
        <v>221</v>
      </c>
      <c r="G151" s="36" t="s">
        <v>746</v>
      </c>
      <c r="H151" s="53">
        <v>4.5</v>
      </c>
      <c r="I151" s="27">
        <v>54</v>
      </c>
      <c r="J151" s="56" t="s">
        <v>722</v>
      </c>
      <c r="K151" s="55">
        <v>4</v>
      </c>
      <c r="L151" s="9">
        <v>6</v>
      </c>
      <c r="M151" s="31">
        <v>0.5</v>
      </c>
    </row>
    <row r="152" spans="2:13">
      <c r="B152" s="19">
        <v>3</v>
      </c>
      <c r="C152" s="11" t="s">
        <v>368</v>
      </c>
      <c r="D152" s="11" t="s">
        <v>466</v>
      </c>
      <c r="E152" s="36" t="s">
        <v>215</v>
      </c>
      <c r="F152" s="36" t="s">
        <v>221</v>
      </c>
      <c r="G152" s="36" t="s">
        <v>746</v>
      </c>
      <c r="H152" s="53">
        <v>0.5</v>
      </c>
      <c r="I152" s="27">
        <v>6</v>
      </c>
      <c r="J152" s="56" t="s">
        <v>722</v>
      </c>
      <c r="K152" s="55">
        <v>0</v>
      </c>
      <c r="L152" s="9">
        <v>6</v>
      </c>
      <c r="M152" s="31">
        <v>0.5</v>
      </c>
    </row>
    <row r="153" spans="2:13">
      <c r="B153" s="19">
        <v>3</v>
      </c>
      <c r="C153" s="11" t="s">
        <v>368</v>
      </c>
      <c r="D153" s="11" t="s">
        <v>375</v>
      </c>
      <c r="E153" s="36" t="s">
        <v>214</v>
      </c>
      <c r="F153" s="36" t="s">
        <v>221</v>
      </c>
      <c r="G153" s="36" t="s">
        <v>746</v>
      </c>
      <c r="H153" s="53">
        <v>1.5</v>
      </c>
      <c r="I153" s="27">
        <v>18</v>
      </c>
      <c r="J153" s="56" t="s">
        <v>722</v>
      </c>
      <c r="K153" s="55">
        <v>1</v>
      </c>
      <c r="L153" s="9">
        <v>6</v>
      </c>
      <c r="M153" s="31">
        <v>0.5</v>
      </c>
    </row>
    <row r="154" spans="2:13">
      <c r="B154" s="19">
        <v>3</v>
      </c>
      <c r="C154" s="11" t="s">
        <v>368</v>
      </c>
      <c r="D154" s="11" t="s">
        <v>452</v>
      </c>
      <c r="E154" s="36" t="s">
        <v>214</v>
      </c>
      <c r="F154" s="36" t="s">
        <v>221</v>
      </c>
      <c r="G154" s="36" t="s">
        <v>746</v>
      </c>
      <c r="H154" s="53">
        <v>0.5</v>
      </c>
      <c r="I154" s="27">
        <v>6</v>
      </c>
      <c r="J154" s="56" t="s">
        <v>722</v>
      </c>
      <c r="K154" s="55">
        <v>0</v>
      </c>
      <c r="L154" s="9">
        <v>6</v>
      </c>
      <c r="M154" s="31">
        <v>0.5</v>
      </c>
    </row>
    <row r="155" spans="2:13">
      <c r="B155" s="19">
        <v>3</v>
      </c>
      <c r="C155" s="11" t="s">
        <v>369</v>
      </c>
      <c r="D155" s="11" t="s">
        <v>447</v>
      </c>
      <c r="E155" s="36" t="s">
        <v>213</v>
      </c>
      <c r="F155" s="36" t="s">
        <v>222</v>
      </c>
      <c r="G155" s="36" t="s">
        <v>745</v>
      </c>
      <c r="H155" s="53">
        <v>55</v>
      </c>
      <c r="I155" s="27">
        <v>660</v>
      </c>
      <c r="J155" s="54" t="s">
        <v>718</v>
      </c>
      <c r="K155" s="55">
        <v>55</v>
      </c>
      <c r="L155" s="9"/>
      <c r="M155" s="31"/>
    </row>
    <row r="156" spans="2:13">
      <c r="B156" s="19">
        <v>3</v>
      </c>
      <c r="C156" s="11" t="s">
        <v>369</v>
      </c>
      <c r="D156" s="11" t="s">
        <v>447</v>
      </c>
      <c r="E156" s="36" t="s">
        <v>213</v>
      </c>
      <c r="F156" s="36" t="s">
        <v>222</v>
      </c>
      <c r="G156" s="36" t="s">
        <v>746</v>
      </c>
      <c r="H156" s="53">
        <v>4.5</v>
      </c>
      <c r="I156" s="27">
        <v>54</v>
      </c>
      <c r="J156" s="56" t="s">
        <v>722</v>
      </c>
      <c r="K156" s="55">
        <v>4</v>
      </c>
      <c r="L156" s="9">
        <v>6</v>
      </c>
      <c r="M156" s="31">
        <v>0.5</v>
      </c>
    </row>
    <row r="157" spans="2:13">
      <c r="B157" s="19">
        <v>3</v>
      </c>
      <c r="C157" s="11" t="s">
        <v>369</v>
      </c>
      <c r="D157" s="11" t="s">
        <v>452</v>
      </c>
      <c r="E157" s="36" t="s">
        <v>213</v>
      </c>
      <c r="F157" s="36" t="s">
        <v>222</v>
      </c>
      <c r="G157" s="36" t="s">
        <v>746</v>
      </c>
      <c r="H157" s="53">
        <v>2.5</v>
      </c>
      <c r="I157" s="27">
        <v>30</v>
      </c>
      <c r="J157" s="56" t="s">
        <v>722</v>
      </c>
      <c r="K157" s="55">
        <v>2</v>
      </c>
      <c r="L157" s="9">
        <v>6</v>
      </c>
      <c r="M157" s="31">
        <v>0.5</v>
      </c>
    </row>
    <row r="158" spans="2:13">
      <c r="B158" s="19">
        <v>4</v>
      </c>
      <c r="C158" s="11" t="s">
        <v>367</v>
      </c>
      <c r="D158" s="11" t="s">
        <v>230</v>
      </c>
      <c r="E158" s="36" t="s">
        <v>213</v>
      </c>
      <c r="F158" s="36" t="s">
        <v>221</v>
      </c>
      <c r="G158" s="36" t="s">
        <v>745</v>
      </c>
      <c r="H158" s="53">
        <v>0</v>
      </c>
      <c r="I158" s="27">
        <v>0</v>
      </c>
      <c r="J158" s="56" t="s">
        <v>722</v>
      </c>
      <c r="K158" s="55">
        <v>0</v>
      </c>
      <c r="L158" s="9"/>
      <c r="M158" s="31"/>
    </row>
    <row r="159" spans="2:13">
      <c r="B159" s="19">
        <v>4</v>
      </c>
      <c r="C159" s="11" t="s">
        <v>367</v>
      </c>
      <c r="D159" s="11" t="s">
        <v>447</v>
      </c>
      <c r="E159" s="36" t="s">
        <v>214</v>
      </c>
      <c r="F159" s="36" t="s">
        <v>222</v>
      </c>
      <c r="G159" s="36" t="s">
        <v>745</v>
      </c>
      <c r="H159" s="53">
        <v>50</v>
      </c>
      <c r="I159" s="27">
        <v>600</v>
      </c>
      <c r="J159" s="54" t="s">
        <v>718</v>
      </c>
      <c r="K159" s="55">
        <v>50</v>
      </c>
      <c r="L159" s="9"/>
      <c r="M159" s="31"/>
    </row>
    <row r="160" spans="2:13">
      <c r="B160" s="19">
        <v>4</v>
      </c>
      <c r="C160" s="11" t="s">
        <v>367</v>
      </c>
      <c r="D160" s="11" t="s">
        <v>447</v>
      </c>
      <c r="E160" s="36" t="s">
        <v>214</v>
      </c>
      <c r="F160" s="36" t="s">
        <v>221</v>
      </c>
      <c r="G160" s="36" t="s">
        <v>745</v>
      </c>
      <c r="H160" s="53">
        <v>0</v>
      </c>
      <c r="I160" s="27">
        <v>0</v>
      </c>
      <c r="J160" s="56" t="s">
        <v>722</v>
      </c>
      <c r="K160" s="55">
        <v>0</v>
      </c>
      <c r="L160" s="9"/>
      <c r="M160" s="31"/>
    </row>
    <row r="161" spans="2:13">
      <c r="B161" s="19">
        <v>4</v>
      </c>
      <c r="C161" s="11" t="s">
        <v>367</v>
      </c>
      <c r="D161" s="11" t="s">
        <v>454</v>
      </c>
      <c r="E161" s="36" t="s">
        <v>211</v>
      </c>
      <c r="F161" s="36" t="s">
        <v>222</v>
      </c>
      <c r="G161" s="36" t="s">
        <v>745</v>
      </c>
      <c r="H161" s="53">
        <v>6.5</v>
      </c>
      <c r="I161" s="27">
        <v>78</v>
      </c>
      <c r="J161" s="54" t="s">
        <v>718</v>
      </c>
      <c r="K161" s="55">
        <v>6</v>
      </c>
      <c r="L161" s="9">
        <v>6</v>
      </c>
      <c r="M161" s="31"/>
    </row>
    <row r="162" spans="2:13">
      <c r="B162" s="19">
        <v>4</v>
      </c>
      <c r="C162" s="11" t="s">
        <v>367</v>
      </c>
      <c r="D162" s="11" t="s">
        <v>454</v>
      </c>
      <c r="E162" s="36" t="s">
        <v>212</v>
      </c>
      <c r="F162" s="36" t="s">
        <v>222</v>
      </c>
      <c r="G162" s="36" t="s">
        <v>745</v>
      </c>
      <c r="H162" s="53">
        <v>5.5</v>
      </c>
      <c r="I162" s="27">
        <v>66</v>
      </c>
      <c r="J162" s="54" t="s">
        <v>718</v>
      </c>
      <c r="K162" s="55">
        <v>5</v>
      </c>
      <c r="L162" s="9">
        <v>6</v>
      </c>
      <c r="M162" s="31"/>
    </row>
    <row r="163" spans="2:13">
      <c r="B163" s="19">
        <v>4</v>
      </c>
      <c r="C163" s="11" t="s">
        <v>367</v>
      </c>
      <c r="D163" s="11" t="s">
        <v>466</v>
      </c>
      <c r="E163" s="36" t="s">
        <v>214</v>
      </c>
      <c r="F163" s="36" t="s">
        <v>222</v>
      </c>
      <c r="G163" s="36" t="s">
        <v>745</v>
      </c>
      <c r="H163" s="53">
        <v>14</v>
      </c>
      <c r="I163" s="27">
        <v>168</v>
      </c>
      <c r="J163" s="56" t="s">
        <v>722</v>
      </c>
      <c r="K163" s="55">
        <v>14</v>
      </c>
      <c r="L163" s="9"/>
      <c r="M163" s="31"/>
    </row>
    <row r="164" spans="2:13">
      <c r="B164" s="19">
        <v>4</v>
      </c>
      <c r="C164" s="11" t="s">
        <v>367</v>
      </c>
      <c r="D164" s="11" t="s">
        <v>452</v>
      </c>
      <c r="E164" s="36" t="s">
        <v>212</v>
      </c>
      <c r="F164" s="36" t="s">
        <v>222</v>
      </c>
      <c r="G164" s="36" t="s">
        <v>745</v>
      </c>
      <c r="H164" s="53">
        <v>14.5</v>
      </c>
      <c r="I164" s="27">
        <v>174</v>
      </c>
      <c r="J164" s="54" t="s">
        <v>718</v>
      </c>
      <c r="K164" s="55">
        <v>14</v>
      </c>
      <c r="L164" s="9">
        <v>6</v>
      </c>
      <c r="M164" s="31"/>
    </row>
    <row r="165" spans="2:13">
      <c r="B165" s="19">
        <v>4</v>
      </c>
      <c r="C165" s="11" t="s">
        <v>367</v>
      </c>
      <c r="D165" s="11" t="s">
        <v>452</v>
      </c>
      <c r="E165" s="36" t="s">
        <v>213</v>
      </c>
      <c r="F165" s="36" t="s">
        <v>222</v>
      </c>
      <c r="G165" s="36" t="s">
        <v>745</v>
      </c>
      <c r="H165" s="53">
        <v>19</v>
      </c>
      <c r="I165" s="27">
        <v>228</v>
      </c>
      <c r="J165" s="54" t="s">
        <v>718</v>
      </c>
      <c r="K165" s="55">
        <v>19</v>
      </c>
      <c r="L165" s="9"/>
      <c r="M165" s="31"/>
    </row>
    <row r="166" spans="2:13">
      <c r="B166" s="19">
        <v>4</v>
      </c>
      <c r="C166" s="11" t="s">
        <v>367</v>
      </c>
      <c r="D166" s="11" t="s">
        <v>452</v>
      </c>
      <c r="E166" s="36" t="s">
        <v>215</v>
      </c>
      <c r="F166" s="36" t="s">
        <v>222</v>
      </c>
      <c r="G166" s="36" t="s">
        <v>745</v>
      </c>
      <c r="H166" s="53">
        <v>8</v>
      </c>
      <c r="I166" s="27">
        <v>96</v>
      </c>
      <c r="J166" s="54" t="s">
        <v>718</v>
      </c>
      <c r="K166" s="55">
        <v>8</v>
      </c>
      <c r="L166" s="9"/>
      <c r="M166" s="31"/>
    </row>
    <row r="167" spans="2:13">
      <c r="B167" s="19">
        <v>4</v>
      </c>
      <c r="C167" s="11" t="s">
        <v>367</v>
      </c>
      <c r="D167" s="11" t="s">
        <v>447</v>
      </c>
      <c r="E167" s="36" t="s">
        <v>213</v>
      </c>
      <c r="F167" s="36" t="s">
        <v>222</v>
      </c>
      <c r="G167" s="36" t="s">
        <v>746</v>
      </c>
      <c r="H167" s="53">
        <v>0.5</v>
      </c>
      <c r="I167" s="27">
        <v>6</v>
      </c>
      <c r="J167" s="56" t="s">
        <v>722</v>
      </c>
      <c r="K167" s="55">
        <v>0</v>
      </c>
      <c r="L167" s="9">
        <v>6</v>
      </c>
      <c r="M167" s="31">
        <v>0.5</v>
      </c>
    </row>
    <row r="168" spans="2:13">
      <c r="B168" s="19">
        <v>4</v>
      </c>
      <c r="C168" s="11" t="s">
        <v>367</v>
      </c>
      <c r="D168" s="11" t="s">
        <v>447</v>
      </c>
      <c r="E168" s="36" t="s">
        <v>213</v>
      </c>
      <c r="F168" s="36" t="s">
        <v>221</v>
      </c>
      <c r="G168" s="36" t="s">
        <v>746</v>
      </c>
      <c r="H168" s="53">
        <v>0.5</v>
      </c>
      <c r="I168" s="27">
        <v>6</v>
      </c>
      <c r="J168" s="56" t="s">
        <v>722</v>
      </c>
      <c r="K168" s="55">
        <v>0</v>
      </c>
      <c r="L168" s="9">
        <v>6</v>
      </c>
      <c r="M168" s="31">
        <v>0.5</v>
      </c>
    </row>
    <row r="169" spans="2:13">
      <c r="B169" s="19">
        <v>4</v>
      </c>
      <c r="C169" s="11" t="s">
        <v>367</v>
      </c>
      <c r="D169" s="11" t="s">
        <v>447</v>
      </c>
      <c r="E169" s="36" t="s">
        <v>215</v>
      </c>
      <c r="F169" s="36" t="s">
        <v>222</v>
      </c>
      <c r="G169" s="36" t="s">
        <v>746</v>
      </c>
      <c r="H169" s="53">
        <v>0.5</v>
      </c>
      <c r="I169" s="27">
        <v>6</v>
      </c>
      <c r="J169" s="56" t="s">
        <v>722</v>
      </c>
      <c r="K169" s="55">
        <v>0</v>
      </c>
      <c r="L169" s="9">
        <v>6</v>
      </c>
      <c r="M169" s="31">
        <v>0.5</v>
      </c>
    </row>
    <row r="170" spans="2:13">
      <c r="B170" s="19">
        <v>4</v>
      </c>
      <c r="C170" s="11" t="s">
        <v>367</v>
      </c>
      <c r="D170" s="11" t="s">
        <v>454</v>
      </c>
      <c r="E170" s="36" t="s">
        <v>211</v>
      </c>
      <c r="F170" s="36" t="s">
        <v>222</v>
      </c>
      <c r="G170" s="36" t="s">
        <v>746</v>
      </c>
      <c r="H170" s="53">
        <v>0.5</v>
      </c>
      <c r="I170" s="27">
        <v>6</v>
      </c>
      <c r="J170" s="56" t="s">
        <v>722</v>
      </c>
      <c r="K170" s="55">
        <v>0</v>
      </c>
      <c r="L170" s="9">
        <v>6</v>
      </c>
      <c r="M170" s="31">
        <v>0.5</v>
      </c>
    </row>
    <row r="171" spans="2:13">
      <c r="B171" s="19">
        <v>4</v>
      </c>
      <c r="C171" s="11" t="s">
        <v>367</v>
      </c>
      <c r="D171" s="11" t="s">
        <v>454</v>
      </c>
      <c r="E171" s="36" t="s">
        <v>212</v>
      </c>
      <c r="F171" s="36" t="s">
        <v>222</v>
      </c>
      <c r="G171" s="36" t="s">
        <v>746</v>
      </c>
      <c r="H171" s="53">
        <v>0.5</v>
      </c>
      <c r="I171" s="27">
        <v>6</v>
      </c>
      <c r="J171" s="56" t="s">
        <v>722</v>
      </c>
      <c r="K171" s="55">
        <v>0</v>
      </c>
      <c r="L171" s="9">
        <v>6</v>
      </c>
      <c r="M171" s="31">
        <v>0.5</v>
      </c>
    </row>
    <row r="172" spans="2:13">
      <c r="B172" s="19">
        <v>4</v>
      </c>
      <c r="C172" s="11" t="s">
        <v>367</v>
      </c>
      <c r="D172" s="11" t="s">
        <v>454</v>
      </c>
      <c r="E172" s="36" t="s">
        <v>213</v>
      </c>
      <c r="F172" s="36" t="s">
        <v>221</v>
      </c>
      <c r="G172" s="36" t="s">
        <v>746</v>
      </c>
      <c r="H172" s="53">
        <v>0.5</v>
      </c>
      <c r="I172" s="27">
        <v>6</v>
      </c>
      <c r="J172" s="56" t="s">
        <v>722</v>
      </c>
      <c r="K172" s="55">
        <v>0</v>
      </c>
      <c r="L172" s="9">
        <v>6</v>
      </c>
      <c r="M172" s="31">
        <v>0.5</v>
      </c>
    </row>
    <row r="173" spans="2:13">
      <c r="B173" s="19">
        <v>4</v>
      </c>
      <c r="C173" s="11" t="s">
        <v>367</v>
      </c>
      <c r="D173" s="11" t="s">
        <v>454</v>
      </c>
      <c r="E173" s="36" t="s">
        <v>214</v>
      </c>
      <c r="F173" s="36" t="s">
        <v>221</v>
      </c>
      <c r="G173" s="36" t="s">
        <v>746</v>
      </c>
      <c r="H173" s="53">
        <v>0.5</v>
      </c>
      <c r="I173" s="27">
        <v>6</v>
      </c>
      <c r="J173" s="56" t="s">
        <v>722</v>
      </c>
      <c r="K173" s="55">
        <v>0</v>
      </c>
      <c r="L173" s="9">
        <v>6</v>
      </c>
      <c r="M173" s="31">
        <v>0.5</v>
      </c>
    </row>
    <row r="174" spans="2:13">
      <c r="B174" s="19">
        <v>4</v>
      </c>
      <c r="C174" s="11" t="s">
        <v>367</v>
      </c>
      <c r="D174" s="11" t="s">
        <v>454</v>
      </c>
      <c r="E174" s="36" t="s">
        <v>215</v>
      </c>
      <c r="F174" s="36" t="s">
        <v>221</v>
      </c>
      <c r="G174" s="36" t="s">
        <v>746</v>
      </c>
      <c r="H174" s="53">
        <v>0.5</v>
      </c>
      <c r="I174" s="27">
        <v>6</v>
      </c>
      <c r="J174" s="56" t="s">
        <v>722</v>
      </c>
      <c r="K174" s="55">
        <v>0</v>
      </c>
      <c r="L174" s="9">
        <v>6</v>
      </c>
      <c r="M174" s="31">
        <v>0.5</v>
      </c>
    </row>
    <row r="175" spans="2:13">
      <c r="B175" s="19">
        <v>4</v>
      </c>
      <c r="C175" s="11" t="s">
        <v>367</v>
      </c>
      <c r="D175" s="11" t="s">
        <v>466</v>
      </c>
      <c r="E175" s="36" t="s">
        <v>213</v>
      </c>
      <c r="F175" s="36" t="s">
        <v>222</v>
      </c>
      <c r="G175" s="36" t="s">
        <v>746</v>
      </c>
      <c r="H175" s="53">
        <v>0.5</v>
      </c>
      <c r="I175" s="27">
        <v>6</v>
      </c>
      <c r="J175" s="56" t="s">
        <v>722</v>
      </c>
      <c r="K175" s="55">
        <v>0</v>
      </c>
      <c r="L175" s="9">
        <v>6</v>
      </c>
      <c r="M175" s="31">
        <v>0.5</v>
      </c>
    </row>
    <row r="176" spans="2:13">
      <c r="B176" s="19">
        <v>4</v>
      </c>
      <c r="C176" s="11" t="s">
        <v>367</v>
      </c>
      <c r="D176" s="11" t="s">
        <v>466</v>
      </c>
      <c r="E176" s="36" t="s">
        <v>215</v>
      </c>
      <c r="F176" s="36" t="s">
        <v>221</v>
      </c>
      <c r="G176" s="36" t="s">
        <v>746</v>
      </c>
      <c r="H176" s="53">
        <v>0.5</v>
      </c>
      <c r="I176" s="27">
        <v>6</v>
      </c>
      <c r="J176" s="56" t="s">
        <v>722</v>
      </c>
      <c r="K176" s="55">
        <v>0</v>
      </c>
      <c r="L176" s="9">
        <v>6</v>
      </c>
      <c r="M176" s="31">
        <v>0.5</v>
      </c>
    </row>
    <row r="177" spans="2:13">
      <c r="B177" s="19">
        <v>4</v>
      </c>
      <c r="C177" s="11" t="s">
        <v>367</v>
      </c>
      <c r="D177" s="11" t="s">
        <v>375</v>
      </c>
      <c r="E177" s="36" t="s">
        <v>214</v>
      </c>
      <c r="F177" s="36" t="s">
        <v>221</v>
      </c>
      <c r="G177" s="36" t="s">
        <v>746</v>
      </c>
      <c r="H177" s="53">
        <v>1</v>
      </c>
      <c r="I177" s="27">
        <v>12</v>
      </c>
      <c r="J177" s="56" t="s">
        <v>722</v>
      </c>
      <c r="K177" s="55">
        <v>1</v>
      </c>
      <c r="L177" s="9"/>
      <c r="M177" s="31"/>
    </row>
    <row r="178" spans="2:13">
      <c r="B178" s="19">
        <v>4</v>
      </c>
      <c r="C178" s="11" t="s">
        <v>367</v>
      </c>
      <c r="D178" s="11" t="s">
        <v>375</v>
      </c>
      <c r="E178" s="36" t="s">
        <v>215</v>
      </c>
      <c r="F178" s="36" t="s">
        <v>221</v>
      </c>
      <c r="G178" s="36" t="s">
        <v>746</v>
      </c>
      <c r="H178" s="53">
        <v>0.5</v>
      </c>
      <c r="I178" s="27">
        <v>6</v>
      </c>
      <c r="J178" s="56" t="s">
        <v>722</v>
      </c>
      <c r="K178" s="55">
        <v>0</v>
      </c>
      <c r="L178" s="9">
        <v>6</v>
      </c>
      <c r="M178" s="31">
        <v>0.5</v>
      </c>
    </row>
    <row r="179" spans="2:13">
      <c r="B179" s="19">
        <v>4</v>
      </c>
      <c r="C179" s="11" t="s">
        <v>367</v>
      </c>
      <c r="D179" s="11" t="s">
        <v>452</v>
      </c>
      <c r="E179" s="36" t="s">
        <v>211</v>
      </c>
      <c r="F179" s="36" t="s">
        <v>222</v>
      </c>
      <c r="G179" s="36" t="s">
        <v>746</v>
      </c>
      <c r="H179" s="53">
        <v>0.5</v>
      </c>
      <c r="I179" s="27">
        <v>6</v>
      </c>
      <c r="J179" s="56" t="s">
        <v>722</v>
      </c>
      <c r="K179" s="55">
        <v>0</v>
      </c>
      <c r="L179" s="9">
        <v>6</v>
      </c>
      <c r="M179" s="31">
        <v>0.5</v>
      </c>
    </row>
    <row r="180" spans="2:13">
      <c r="B180" s="19">
        <v>4</v>
      </c>
      <c r="C180" s="11" t="s">
        <v>367</v>
      </c>
      <c r="D180" s="11" t="s">
        <v>452</v>
      </c>
      <c r="E180" s="36" t="s">
        <v>212</v>
      </c>
      <c r="F180" s="36" t="s">
        <v>222</v>
      </c>
      <c r="G180" s="36" t="s">
        <v>746</v>
      </c>
      <c r="H180" s="53">
        <v>0.5</v>
      </c>
      <c r="I180" s="27">
        <v>6</v>
      </c>
      <c r="J180" s="56" t="s">
        <v>722</v>
      </c>
      <c r="K180" s="55">
        <v>0</v>
      </c>
      <c r="L180" s="9">
        <v>6</v>
      </c>
      <c r="M180" s="31">
        <v>0.5</v>
      </c>
    </row>
    <row r="181" spans="2:13">
      <c r="B181" s="19">
        <v>4</v>
      </c>
      <c r="C181" s="11" t="s">
        <v>367</v>
      </c>
      <c r="D181" s="11" t="s">
        <v>452</v>
      </c>
      <c r="E181" s="36" t="s">
        <v>213</v>
      </c>
      <c r="F181" s="36" t="s">
        <v>222</v>
      </c>
      <c r="G181" s="36" t="s">
        <v>746</v>
      </c>
      <c r="H181" s="53">
        <v>0.5</v>
      </c>
      <c r="I181" s="27">
        <v>6</v>
      </c>
      <c r="J181" s="56" t="s">
        <v>722</v>
      </c>
      <c r="K181" s="55">
        <v>0</v>
      </c>
      <c r="L181" s="9">
        <v>6</v>
      </c>
      <c r="M181" s="31">
        <v>0.5</v>
      </c>
    </row>
    <row r="182" spans="2:13">
      <c r="B182" s="19">
        <v>4</v>
      </c>
      <c r="C182" s="11" t="s">
        <v>367</v>
      </c>
      <c r="D182" s="11" t="s">
        <v>452</v>
      </c>
      <c r="E182" s="36" t="s">
        <v>213</v>
      </c>
      <c r="F182" s="36" t="s">
        <v>221</v>
      </c>
      <c r="G182" s="36" t="s">
        <v>746</v>
      </c>
      <c r="H182" s="53">
        <v>0.5</v>
      </c>
      <c r="I182" s="27">
        <v>6</v>
      </c>
      <c r="J182" s="56" t="s">
        <v>722</v>
      </c>
      <c r="K182" s="55">
        <v>0</v>
      </c>
      <c r="L182" s="9">
        <v>6</v>
      </c>
      <c r="M182" s="31">
        <v>0.5</v>
      </c>
    </row>
    <row r="183" spans="2:13">
      <c r="B183" s="19">
        <v>4</v>
      </c>
      <c r="C183" s="11" t="s">
        <v>367</v>
      </c>
      <c r="D183" s="11" t="s">
        <v>452</v>
      </c>
      <c r="E183" s="36" t="s">
        <v>214</v>
      </c>
      <c r="F183" s="36" t="s">
        <v>222</v>
      </c>
      <c r="G183" s="36" t="s">
        <v>746</v>
      </c>
      <c r="H183" s="53">
        <v>0.5</v>
      </c>
      <c r="I183" s="27">
        <v>6</v>
      </c>
      <c r="J183" s="56" t="s">
        <v>722</v>
      </c>
      <c r="K183" s="55">
        <v>0</v>
      </c>
      <c r="L183" s="9">
        <v>6</v>
      </c>
      <c r="M183" s="31">
        <v>0.5</v>
      </c>
    </row>
    <row r="184" spans="2:13">
      <c r="B184" s="19">
        <v>4</v>
      </c>
      <c r="C184" s="11" t="s">
        <v>367</v>
      </c>
      <c r="D184" s="11" t="s">
        <v>452</v>
      </c>
      <c r="E184" s="36" t="s">
        <v>214</v>
      </c>
      <c r="F184" s="36" t="s">
        <v>221</v>
      </c>
      <c r="G184" s="36" t="s">
        <v>746</v>
      </c>
      <c r="H184" s="53">
        <v>0.5</v>
      </c>
      <c r="I184" s="27">
        <v>6</v>
      </c>
      <c r="J184" s="56" t="s">
        <v>722</v>
      </c>
      <c r="K184" s="55">
        <v>0</v>
      </c>
      <c r="L184" s="9">
        <v>6</v>
      </c>
      <c r="M184" s="31">
        <v>0.5</v>
      </c>
    </row>
    <row r="185" spans="2:13">
      <c r="B185" s="19">
        <v>4</v>
      </c>
      <c r="C185" s="11" t="s">
        <v>367</v>
      </c>
      <c r="D185" s="11" t="s">
        <v>452</v>
      </c>
      <c r="E185" s="36" t="s">
        <v>215</v>
      </c>
      <c r="F185" s="36" t="s">
        <v>222</v>
      </c>
      <c r="G185" s="36" t="s">
        <v>746</v>
      </c>
      <c r="H185" s="53">
        <v>0.5</v>
      </c>
      <c r="I185" s="27">
        <v>6</v>
      </c>
      <c r="J185" s="56" t="s">
        <v>722</v>
      </c>
      <c r="K185" s="55">
        <v>0</v>
      </c>
      <c r="L185" s="9">
        <v>6</v>
      </c>
      <c r="M185" s="31">
        <v>0.5</v>
      </c>
    </row>
    <row r="186" spans="2:13">
      <c r="B186" s="19">
        <v>4</v>
      </c>
      <c r="C186" s="11" t="s">
        <v>367</v>
      </c>
      <c r="D186" s="11" t="s">
        <v>452</v>
      </c>
      <c r="E186" s="36" t="s">
        <v>215</v>
      </c>
      <c r="F186" s="36" t="s">
        <v>221</v>
      </c>
      <c r="G186" s="36" t="s">
        <v>746</v>
      </c>
      <c r="H186" s="53">
        <v>0.5</v>
      </c>
      <c r="I186" s="27">
        <v>6</v>
      </c>
      <c r="J186" s="56" t="s">
        <v>722</v>
      </c>
      <c r="K186" s="55">
        <v>0</v>
      </c>
      <c r="L186" s="9">
        <v>6</v>
      </c>
      <c r="M186" s="31">
        <v>0.5</v>
      </c>
    </row>
    <row r="187" spans="2:13">
      <c r="B187" s="19">
        <v>4</v>
      </c>
      <c r="C187" s="11" t="s">
        <v>368</v>
      </c>
      <c r="D187" s="11" t="s">
        <v>230</v>
      </c>
      <c r="E187" s="36" t="s">
        <v>214</v>
      </c>
      <c r="F187" s="36" t="s">
        <v>221</v>
      </c>
      <c r="G187" s="36" t="s">
        <v>745</v>
      </c>
      <c r="H187" s="53">
        <v>17</v>
      </c>
      <c r="I187" s="27">
        <v>204</v>
      </c>
      <c r="J187" s="54" t="s">
        <v>718</v>
      </c>
      <c r="K187" s="55">
        <v>17</v>
      </c>
      <c r="L187" s="9"/>
      <c r="M187" s="31"/>
    </row>
    <row r="188" spans="2:13">
      <c r="B188" s="19">
        <v>4</v>
      </c>
      <c r="C188" s="11" t="s">
        <v>368</v>
      </c>
      <c r="D188" s="11" t="s">
        <v>375</v>
      </c>
      <c r="E188" s="36" t="s">
        <v>214</v>
      </c>
      <c r="F188" s="36" t="s">
        <v>221</v>
      </c>
      <c r="G188" s="36" t="s">
        <v>745</v>
      </c>
      <c r="H188" s="53">
        <v>26</v>
      </c>
      <c r="I188" s="27">
        <v>312</v>
      </c>
      <c r="J188" s="56" t="s">
        <v>722</v>
      </c>
      <c r="K188" s="55">
        <v>26</v>
      </c>
      <c r="L188" s="9"/>
      <c r="M188" s="31"/>
    </row>
    <row r="189" spans="2:13">
      <c r="B189" s="19">
        <v>4</v>
      </c>
      <c r="C189" s="11" t="s">
        <v>368</v>
      </c>
      <c r="D189" s="11" t="s">
        <v>230</v>
      </c>
      <c r="E189" s="36" t="s">
        <v>213</v>
      </c>
      <c r="F189" s="36" t="s">
        <v>221</v>
      </c>
      <c r="G189" s="36" t="s">
        <v>746</v>
      </c>
      <c r="H189" s="53">
        <v>2</v>
      </c>
      <c r="I189" s="27">
        <v>24</v>
      </c>
      <c r="J189" s="56" t="s">
        <v>722</v>
      </c>
      <c r="K189" s="55">
        <v>2</v>
      </c>
      <c r="L189" s="9"/>
      <c r="M189" s="31"/>
    </row>
    <row r="190" spans="2:13">
      <c r="B190" s="19">
        <v>4</v>
      </c>
      <c r="C190" s="11" t="s">
        <v>368</v>
      </c>
      <c r="D190" s="11" t="s">
        <v>230</v>
      </c>
      <c r="E190" s="36" t="s">
        <v>214</v>
      </c>
      <c r="F190" s="36" t="s">
        <v>221</v>
      </c>
      <c r="G190" s="36" t="s">
        <v>746</v>
      </c>
      <c r="H190" s="53">
        <v>2.5</v>
      </c>
      <c r="I190" s="27">
        <v>30</v>
      </c>
      <c r="J190" s="56" t="s">
        <v>722</v>
      </c>
      <c r="K190" s="55">
        <v>2</v>
      </c>
      <c r="L190" s="9">
        <v>6</v>
      </c>
      <c r="M190" s="31">
        <v>0.5</v>
      </c>
    </row>
    <row r="191" spans="2:13">
      <c r="B191" s="19">
        <v>4</v>
      </c>
      <c r="C191" s="11" t="s">
        <v>368</v>
      </c>
      <c r="D191" s="11" t="s">
        <v>454</v>
      </c>
      <c r="E191" s="36" t="s">
        <v>213</v>
      </c>
      <c r="F191" s="36" t="s">
        <v>221</v>
      </c>
      <c r="G191" s="36" t="s">
        <v>746</v>
      </c>
      <c r="H191" s="53">
        <v>5</v>
      </c>
      <c r="I191" s="27">
        <v>60</v>
      </c>
      <c r="J191" s="56" t="s">
        <v>722</v>
      </c>
      <c r="K191" s="55">
        <v>5</v>
      </c>
      <c r="L191" s="9"/>
      <c r="M191" s="31"/>
    </row>
    <row r="192" spans="2:13">
      <c r="B192" s="19">
        <v>4</v>
      </c>
      <c r="C192" s="11" t="s">
        <v>368</v>
      </c>
      <c r="D192" s="11" t="s">
        <v>466</v>
      </c>
      <c r="E192" s="36" t="s">
        <v>215</v>
      </c>
      <c r="F192" s="36" t="s">
        <v>221</v>
      </c>
      <c r="G192" s="36" t="s">
        <v>746</v>
      </c>
      <c r="H192" s="53">
        <v>3.5</v>
      </c>
      <c r="I192" s="27">
        <v>42</v>
      </c>
      <c r="J192" s="56" t="s">
        <v>722</v>
      </c>
      <c r="K192" s="55">
        <v>3</v>
      </c>
      <c r="L192" s="9">
        <v>6</v>
      </c>
      <c r="M192" s="31">
        <v>0.5</v>
      </c>
    </row>
    <row r="193" spans="2:13">
      <c r="B193" s="19">
        <v>4</v>
      </c>
      <c r="C193" s="11" t="s">
        <v>368</v>
      </c>
      <c r="D193" s="11" t="s">
        <v>375</v>
      </c>
      <c r="E193" s="36" t="s">
        <v>214</v>
      </c>
      <c r="F193" s="36" t="s">
        <v>221</v>
      </c>
      <c r="G193" s="36" t="s">
        <v>746</v>
      </c>
      <c r="H193" s="53">
        <v>4.5</v>
      </c>
      <c r="I193" s="27">
        <v>54</v>
      </c>
      <c r="J193" s="56" t="s">
        <v>722</v>
      </c>
      <c r="K193" s="55">
        <v>4</v>
      </c>
      <c r="L193" s="9">
        <v>6</v>
      </c>
      <c r="M193" s="31">
        <v>0.5</v>
      </c>
    </row>
    <row r="194" spans="2:13">
      <c r="B194" s="19">
        <v>4</v>
      </c>
      <c r="C194" s="11" t="s">
        <v>368</v>
      </c>
      <c r="D194" s="11" t="s">
        <v>452</v>
      </c>
      <c r="E194" s="36" t="s">
        <v>214</v>
      </c>
      <c r="F194" s="36" t="s">
        <v>221</v>
      </c>
      <c r="G194" s="36" t="s">
        <v>746</v>
      </c>
      <c r="H194" s="53">
        <v>3.5</v>
      </c>
      <c r="I194" s="27">
        <v>42</v>
      </c>
      <c r="J194" s="56" t="s">
        <v>722</v>
      </c>
      <c r="K194" s="55">
        <v>3</v>
      </c>
      <c r="L194" s="9">
        <v>6</v>
      </c>
      <c r="M194" s="31">
        <v>0.5</v>
      </c>
    </row>
    <row r="195" spans="2:13">
      <c r="B195" s="19">
        <v>4</v>
      </c>
      <c r="C195" s="11" t="s">
        <v>369</v>
      </c>
      <c r="D195" s="11" t="s">
        <v>447</v>
      </c>
      <c r="E195" s="36" t="s">
        <v>213</v>
      </c>
      <c r="F195" s="36" t="s">
        <v>222</v>
      </c>
      <c r="G195" s="36" t="s">
        <v>745</v>
      </c>
      <c r="H195" s="53">
        <v>49</v>
      </c>
      <c r="I195" s="27">
        <v>587.99999999999898</v>
      </c>
      <c r="J195" s="54" t="s">
        <v>718</v>
      </c>
      <c r="K195" s="55">
        <v>49</v>
      </c>
      <c r="L195" s="9"/>
      <c r="M195" s="31"/>
    </row>
    <row r="196" spans="2:13">
      <c r="B196" s="19">
        <v>4</v>
      </c>
      <c r="C196" s="11" t="s">
        <v>369</v>
      </c>
      <c r="D196" s="11" t="s">
        <v>447</v>
      </c>
      <c r="E196" s="36" t="s">
        <v>213</v>
      </c>
      <c r="F196" s="36" t="s">
        <v>222</v>
      </c>
      <c r="G196" s="36" t="s">
        <v>746</v>
      </c>
      <c r="H196" s="53">
        <v>4.5</v>
      </c>
      <c r="I196" s="27">
        <v>54</v>
      </c>
      <c r="J196" s="56" t="s">
        <v>722</v>
      </c>
      <c r="K196" s="55">
        <v>4</v>
      </c>
      <c r="L196" s="9">
        <v>6</v>
      </c>
      <c r="M196" s="31">
        <v>0.5</v>
      </c>
    </row>
    <row r="197" spans="2:13">
      <c r="B197" s="19">
        <v>4</v>
      </c>
      <c r="C197" s="11" t="s">
        <v>369</v>
      </c>
      <c r="D197" s="11" t="s">
        <v>452</v>
      </c>
      <c r="E197" s="36" t="s">
        <v>213</v>
      </c>
      <c r="F197" s="36" t="s">
        <v>222</v>
      </c>
      <c r="G197" s="36" t="s">
        <v>746</v>
      </c>
      <c r="H197" s="53">
        <v>5</v>
      </c>
      <c r="I197" s="27">
        <v>60</v>
      </c>
      <c r="J197" s="56" t="s">
        <v>722</v>
      </c>
      <c r="K197" s="55">
        <v>5</v>
      </c>
      <c r="L197" s="9"/>
      <c r="M197" s="31"/>
    </row>
    <row r="198" spans="2:13">
      <c r="B198" s="19">
        <v>5</v>
      </c>
      <c r="C198" s="11" t="s">
        <v>367</v>
      </c>
      <c r="D198" s="11" t="s">
        <v>230</v>
      </c>
      <c r="E198" s="36" t="s">
        <v>213</v>
      </c>
      <c r="F198" s="36" t="s">
        <v>221</v>
      </c>
      <c r="G198" s="36" t="s">
        <v>745</v>
      </c>
      <c r="H198" s="53">
        <v>0</v>
      </c>
      <c r="I198" s="27">
        <v>0</v>
      </c>
      <c r="J198" s="56" t="s">
        <v>722</v>
      </c>
      <c r="K198" s="55">
        <v>0</v>
      </c>
      <c r="L198" s="9"/>
      <c r="M198" s="31"/>
    </row>
    <row r="199" spans="2:13">
      <c r="B199" s="19">
        <v>5</v>
      </c>
      <c r="C199" s="11" t="s">
        <v>367</v>
      </c>
      <c r="D199" s="11" t="s">
        <v>447</v>
      </c>
      <c r="E199" s="36" t="s">
        <v>214</v>
      </c>
      <c r="F199" s="36" t="s">
        <v>222</v>
      </c>
      <c r="G199" s="36" t="s">
        <v>745</v>
      </c>
      <c r="H199" s="53">
        <v>48.5</v>
      </c>
      <c r="I199" s="27">
        <v>582</v>
      </c>
      <c r="J199" s="54" t="s">
        <v>718</v>
      </c>
      <c r="K199" s="55">
        <v>48</v>
      </c>
      <c r="L199" s="9">
        <v>6</v>
      </c>
      <c r="M199" s="31"/>
    </row>
    <row r="200" spans="2:13">
      <c r="B200" s="19">
        <v>5</v>
      </c>
      <c r="C200" s="11" t="s">
        <v>367</v>
      </c>
      <c r="D200" s="11" t="s">
        <v>447</v>
      </c>
      <c r="E200" s="36" t="s">
        <v>214</v>
      </c>
      <c r="F200" s="36" t="s">
        <v>221</v>
      </c>
      <c r="G200" s="36" t="s">
        <v>745</v>
      </c>
      <c r="H200" s="53">
        <v>1</v>
      </c>
      <c r="I200" s="27">
        <v>12</v>
      </c>
      <c r="J200" s="54" t="s">
        <v>718</v>
      </c>
      <c r="K200" s="55">
        <v>1</v>
      </c>
      <c r="L200" s="9"/>
      <c r="M200" s="31"/>
    </row>
    <row r="201" spans="2:13">
      <c r="B201" s="19">
        <v>5</v>
      </c>
      <c r="C201" s="11" t="s">
        <v>367</v>
      </c>
      <c r="D201" s="11" t="s">
        <v>454</v>
      </c>
      <c r="E201" s="36" t="s">
        <v>211</v>
      </c>
      <c r="F201" s="36" t="s">
        <v>222</v>
      </c>
      <c r="G201" s="36" t="s">
        <v>745</v>
      </c>
      <c r="H201" s="53">
        <v>4.5</v>
      </c>
      <c r="I201" s="27">
        <v>54</v>
      </c>
      <c r="J201" s="54" t="s">
        <v>718</v>
      </c>
      <c r="K201" s="55">
        <v>4</v>
      </c>
      <c r="L201" s="9">
        <v>6</v>
      </c>
      <c r="M201" s="31"/>
    </row>
    <row r="202" spans="2:13">
      <c r="B202" s="19">
        <v>5</v>
      </c>
      <c r="C202" s="11" t="s">
        <v>367</v>
      </c>
      <c r="D202" s="11" t="s">
        <v>454</v>
      </c>
      <c r="E202" s="36" t="s">
        <v>212</v>
      </c>
      <c r="F202" s="36" t="s">
        <v>222</v>
      </c>
      <c r="G202" s="36" t="s">
        <v>745</v>
      </c>
      <c r="H202" s="53">
        <v>6</v>
      </c>
      <c r="I202" s="27">
        <v>72</v>
      </c>
      <c r="J202" s="54" t="s">
        <v>718</v>
      </c>
      <c r="K202" s="55">
        <v>6</v>
      </c>
      <c r="L202" s="9"/>
      <c r="M202" s="31"/>
    </row>
    <row r="203" spans="2:13">
      <c r="B203" s="19">
        <v>5</v>
      </c>
      <c r="C203" s="11" t="s">
        <v>367</v>
      </c>
      <c r="D203" s="11" t="s">
        <v>466</v>
      </c>
      <c r="E203" s="36" t="s">
        <v>214</v>
      </c>
      <c r="F203" s="36" t="s">
        <v>222</v>
      </c>
      <c r="G203" s="36" t="s">
        <v>745</v>
      </c>
      <c r="H203" s="53">
        <v>12.5</v>
      </c>
      <c r="I203" s="27">
        <v>150</v>
      </c>
      <c r="J203" s="56" t="s">
        <v>722</v>
      </c>
      <c r="K203" s="55">
        <v>12</v>
      </c>
      <c r="L203" s="9">
        <v>6</v>
      </c>
      <c r="M203" s="31">
        <v>0.5</v>
      </c>
    </row>
    <row r="204" spans="2:13">
      <c r="B204" s="19">
        <v>5</v>
      </c>
      <c r="C204" s="11" t="s">
        <v>367</v>
      </c>
      <c r="D204" s="11" t="s">
        <v>452</v>
      </c>
      <c r="E204" s="36" t="s">
        <v>212</v>
      </c>
      <c r="F204" s="36" t="s">
        <v>222</v>
      </c>
      <c r="G204" s="36" t="s">
        <v>745</v>
      </c>
      <c r="H204" s="53">
        <v>13</v>
      </c>
      <c r="I204" s="27">
        <v>156</v>
      </c>
      <c r="J204" s="54" t="s">
        <v>718</v>
      </c>
      <c r="K204" s="55">
        <v>13</v>
      </c>
      <c r="L204" s="9"/>
      <c r="M204" s="31"/>
    </row>
    <row r="205" spans="2:13">
      <c r="B205" s="19">
        <v>5</v>
      </c>
      <c r="C205" s="11" t="s">
        <v>367</v>
      </c>
      <c r="D205" s="11" t="s">
        <v>452</v>
      </c>
      <c r="E205" s="36" t="s">
        <v>213</v>
      </c>
      <c r="F205" s="36" t="s">
        <v>222</v>
      </c>
      <c r="G205" s="36" t="s">
        <v>745</v>
      </c>
      <c r="H205" s="53">
        <v>17.5</v>
      </c>
      <c r="I205" s="27">
        <v>210</v>
      </c>
      <c r="J205" s="54" t="s">
        <v>718</v>
      </c>
      <c r="K205" s="55">
        <v>17</v>
      </c>
      <c r="L205" s="9">
        <v>6</v>
      </c>
      <c r="M205" s="31"/>
    </row>
    <row r="206" spans="2:13">
      <c r="B206" s="19">
        <v>5</v>
      </c>
      <c r="C206" s="11" t="s">
        <v>367</v>
      </c>
      <c r="D206" s="11" t="s">
        <v>452</v>
      </c>
      <c r="E206" s="36" t="s">
        <v>215</v>
      </c>
      <c r="F206" s="36" t="s">
        <v>222</v>
      </c>
      <c r="G206" s="36" t="s">
        <v>745</v>
      </c>
      <c r="H206" s="53">
        <v>5.5</v>
      </c>
      <c r="I206" s="27">
        <v>66</v>
      </c>
      <c r="J206" s="54" t="s">
        <v>718</v>
      </c>
      <c r="K206" s="55">
        <v>5</v>
      </c>
      <c r="L206" s="9">
        <v>6</v>
      </c>
      <c r="M206" s="31"/>
    </row>
    <row r="207" spans="2:13">
      <c r="B207" s="19">
        <v>5</v>
      </c>
      <c r="C207" s="11" t="s">
        <v>367</v>
      </c>
      <c r="D207" s="11" t="s">
        <v>447</v>
      </c>
      <c r="E207" s="36" t="s">
        <v>213</v>
      </c>
      <c r="F207" s="36" t="s">
        <v>222</v>
      </c>
      <c r="G207" s="36" t="s">
        <v>746</v>
      </c>
      <c r="H207" s="53">
        <v>0.5</v>
      </c>
      <c r="I207" s="27">
        <v>6</v>
      </c>
      <c r="J207" s="56" t="s">
        <v>722</v>
      </c>
      <c r="K207" s="55">
        <v>0</v>
      </c>
      <c r="L207" s="9">
        <v>6</v>
      </c>
      <c r="M207" s="31">
        <v>0.5</v>
      </c>
    </row>
    <row r="208" spans="2:13">
      <c r="B208" s="19">
        <v>5</v>
      </c>
      <c r="C208" s="11" t="s">
        <v>367</v>
      </c>
      <c r="D208" s="11" t="s">
        <v>447</v>
      </c>
      <c r="E208" s="36" t="s">
        <v>213</v>
      </c>
      <c r="F208" s="36" t="s">
        <v>221</v>
      </c>
      <c r="G208" s="36" t="s">
        <v>746</v>
      </c>
      <c r="H208" s="53">
        <v>0.5</v>
      </c>
      <c r="I208" s="27">
        <v>6</v>
      </c>
      <c r="J208" s="56" t="s">
        <v>722</v>
      </c>
      <c r="K208" s="55">
        <v>0</v>
      </c>
      <c r="L208" s="9">
        <v>6</v>
      </c>
      <c r="M208" s="31">
        <v>0.5</v>
      </c>
    </row>
    <row r="209" spans="2:13">
      <c r="B209" s="19">
        <v>5</v>
      </c>
      <c r="C209" s="11" t="s">
        <v>367</v>
      </c>
      <c r="D209" s="11" t="s">
        <v>447</v>
      </c>
      <c r="E209" s="36" t="s">
        <v>215</v>
      </c>
      <c r="F209" s="36" t="s">
        <v>222</v>
      </c>
      <c r="G209" s="36" t="s">
        <v>746</v>
      </c>
      <c r="H209" s="53">
        <v>0.5</v>
      </c>
      <c r="I209" s="27">
        <v>6</v>
      </c>
      <c r="J209" s="56" t="s">
        <v>722</v>
      </c>
      <c r="K209" s="55">
        <v>0</v>
      </c>
      <c r="L209" s="9">
        <v>6</v>
      </c>
      <c r="M209" s="31">
        <v>0.5</v>
      </c>
    </row>
    <row r="210" spans="2:13">
      <c r="B210" s="19">
        <v>5</v>
      </c>
      <c r="C210" s="11" t="s">
        <v>367</v>
      </c>
      <c r="D210" s="11" t="s">
        <v>454</v>
      </c>
      <c r="E210" s="36" t="s">
        <v>211</v>
      </c>
      <c r="F210" s="36" t="s">
        <v>222</v>
      </c>
      <c r="G210" s="36" t="s">
        <v>746</v>
      </c>
      <c r="H210" s="53">
        <v>0.5</v>
      </c>
      <c r="I210" s="27">
        <v>6</v>
      </c>
      <c r="J210" s="56" t="s">
        <v>722</v>
      </c>
      <c r="K210" s="55">
        <v>0</v>
      </c>
      <c r="L210" s="9">
        <v>6</v>
      </c>
      <c r="M210" s="31">
        <v>0.5</v>
      </c>
    </row>
    <row r="211" spans="2:13">
      <c r="B211" s="19">
        <v>5</v>
      </c>
      <c r="C211" s="11" t="s">
        <v>367</v>
      </c>
      <c r="D211" s="11" t="s">
        <v>454</v>
      </c>
      <c r="E211" s="36" t="s">
        <v>212</v>
      </c>
      <c r="F211" s="36" t="s">
        <v>222</v>
      </c>
      <c r="G211" s="36" t="s">
        <v>746</v>
      </c>
      <c r="H211" s="53">
        <v>0.5</v>
      </c>
      <c r="I211" s="27">
        <v>6</v>
      </c>
      <c r="J211" s="56" t="s">
        <v>722</v>
      </c>
      <c r="K211" s="55">
        <v>0</v>
      </c>
      <c r="L211" s="9">
        <v>6</v>
      </c>
      <c r="M211" s="31">
        <v>0.5</v>
      </c>
    </row>
    <row r="212" spans="2:13">
      <c r="B212" s="19">
        <v>5</v>
      </c>
      <c r="C212" s="11" t="s">
        <v>367</v>
      </c>
      <c r="D212" s="11" t="s">
        <v>454</v>
      </c>
      <c r="E212" s="36" t="s">
        <v>213</v>
      </c>
      <c r="F212" s="36" t="s">
        <v>221</v>
      </c>
      <c r="G212" s="36" t="s">
        <v>746</v>
      </c>
      <c r="H212" s="53">
        <v>0.5</v>
      </c>
      <c r="I212" s="27">
        <v>6</v>
      </c>
      <c r="J212" s="56" t="s">
        <v>722</v>
      </c>
      <c r="K212" s="55">
        <v>0</v>
      </c>
      <c r="L212" s="9">
        <v>6</v>
      </c>
      <c r="M212" s="31">
        <v>0.5</v>
      </c>
    </row>
    <row r="213" spans="2:13">
      <c r="B213" s="19">
        <v>5</v>
      </c>
      <c r="C213" s="11" t="s">
        <v>367</v>
      </c>
      <c r="D213" s="11" t="s">
        <v>454</v>
      </c>
      <c r="E213" s="36" t="s">
        <v>214</v>
      </c>
      <c r="F213" s="36" t="s">
        <v>221</v>
      </c>
      <c r="G213" s="36" t="s">
        <v>746</v>
      </c>
      <c r="H213" s="53">
        <v>0.5</v>
      </c>
      <c r="I213" s="27">
        <v>6</v>
      </c>
      <c r="J213" s="56" t="s">
        <v>722</v>
      </c>
      <c r="K213" s="55">
        <v>0</v>
      </c>
      <c r="L213" s="9">
        <v>6</v>
      </c>
      <c r="M213" s="31">
        <v>0.5</v>
      </c>
    </row>
    <row r="214" spans="2:13">
      <c r="B214" s="19">
        <v>5</v>
      </c>
      <c r="C214" s="11" t="s">
        <v>367</v>
      </c>
      <c r="D214" s="11" t="s">
        <v>454</v>
      </c>
      <c r="E214" s="36" t="s">
        <v>215</v>
      </c>
      <c r="F214" s="36" t="s">
        <v>221</v>
      </c>
      <c r="G214" s="36" t="s">
        <v>746</v>
      </c>
      <c r="H214" s="53">
        <v>0.5</v>
      </c>
      <c r="I214" s="27">
        <v>6</v>
      </c>
      <c r="J214" s="56" t="s">
        <v>722</v>
      </c>
      <c r="K214" s="55">
        <v>0</v>
      </c>
      <c r="L214" s="9">
        <v>6</v>
      </c>
      <c r="M214" s="31">
        <v>0.5</v>
      </c>
    </row>
    <row r="215" spans="2:13">
      <c r="B215" s="19">
        <v>5</v>
      </c>
      <c r="C215" s="11" t="s">
        <v>367</v>
      </c>
      <c r="D215" s="11" t="s">
        <v>466</v>
      </c>
      <c r="E215" s="36" t="s">
        <v>213</v>
      </c>
      <c r="F215" s="36" t="s">
        <v>222</v>
      </c>
      <c r="G215" s="36" t="s">
        <v>746</v>
      </c>
      <c r="H215" s="53">
        <v>0.5</v>
      </c>
      <c r="I215" s="27">
        <v>6</v>
      </c>
      <c r="J215" s="56" t="s">
        <v>722</v>
      </c>
      <c r="K215" s="55">
        <v>0</v>
      </c>
      <c r="L215" s="9">
        <v>6</v>
      </c>
      <c r="M215" s="31">
        <v>0.5</v>
      </c>
    </row>
    <row r="216" spans="2:13">
      <c r="B216" s="19">
        <v>5</v>
      </c>
      <c r="C216" s="11" t="s">
        <v>367</v>
      </c>
      <c r="D216" s="11" t="s">
        <v>466</v>
      </c>
      <c r="E216" s="36" t="s">
        <v>215</v>
      </c>
      <c r="F216" s="36" t="s">
        <v>221</v>
      </c>
      <c r="G216" s="36" t="s">
        <v>746</v>
      </c>
      <c r="H216" s="53">
        <v>0.5</v>
      </c>
      <c r="I216" s="27">
        <v>6</v>
      </c>
      <c r="J216" s="56" t="s">
        <v>722</v>
      </c>
      <c r="K216" s="55">
        <v>0</v>
      </c>
      <c r="L216" s="9">
        <v>6</v>
      </c>
      <c r="M216" s="31">
        <v>0.5</v>
      </c>
    </row>
    <row r="217" spans="2:13">
      <c r="B217" s="19">
        <v>5</v>
      </c>
      <c r="C217" s="11" t="s">
        <v>367</v>
      </c>
      <c r="D217" s="11" t="s">
        <v>375</v>
      </c>
      <c r="E217" s="36" t="s">
        <v>214</v>
      </c>
      <c r="F217" s="36" t="s">
        <v>221</v>
      </c>
      <c r="G217" s="36" t="s">
        <v>746</v>
      </c>
      <c r="H217" s="53">
        <v>1</v>
      </c>
      <c r="I217" s="27">
        <v>12</v>
      </c>
      <c r="J217" s="56" t="s">
        <v>722</v>
      </c>
      <c r="K217" s="55">
        <v>1</v>
      </c>
      <c r="L217" s="9"/>
      <c r="M217" s="31"/>
    </row>
    <row r="218" spans="2:13">
      <c r="B218" s="19">
        <v>5</v>
      </c>
      <c r="C218" s="11" t="s">
        <v>367</v>
      </c>
      <c r="D218" s="11" t="s">
        <v>375</v>
      </c>
      <c r="E218" s="36" t="s">
        <v>215</v>
      </c>
      <c r="F218" s="36" t="s">
        <v>221</v>
      </c>
      <c r="G218" s="36" t="s">
        <v>746</v>
      </c>
      <c r="H218" s="53">
        <v>0.5</v>
      </c>
      <c r="I218" s="27">
        <v>6</v>
      </c>
      <c r="J218" s="56" t="s">
        <v>722</v>
      </c>
      <c r="K218" s="55">
        <v>0</v>
      </c>
      <c r="L218" s="9">
        <v>6</v>
      </c>
      <c r="M218" s="31">
        <v>0.5</v>
      </c>
    </row>
    <row r="219" spans="2:13">
      <c r="B219" s="19">
        <v>5</v>
      </c>
      <c r="C219" s="11" t="s">
        <v>367</v>
      </c>
      <c r="D219" s="11" t="s">
        <v>452</v>
      </c>
      <c r="E219" s="36" t="s">
        <v>211</v>
      </c>
      <c r="F219" s="36" t="s">
        <v>222</v>
      </c>
      <c r="G219" s="36" t="s">
        <v>746</v>
      </c>
      <c r="H219" s="53">
        <v>0.5</v>
      </c>
      <c r="I219" s="27">
        <v>6</v>
      </c>
      <c r="J219" s="56" t="s">
        <v>722</v>
      </c>
      <c r="K219" s="55">
        <v>0</v>
      </c>
      <c r="L219" s="9">
        <v>6</v>
      </c>
      <c r="M219" s="31">
        <v>0.5</v>
      </c>
    </row>
    <row r="220" spans="2:13">
      <c r="B220" s="19">
        <v>5</v>
      </c>
      <c r="C220" s="11" t="s">
        <v>367</v>
      </c>
      <c r="D220" s="11" t="s">
        <v>452</v>
      </c>
      <c r="E220" s="36" t="s">
        <v>212</v>
      </c>
      <c r="F220" s="36" t="s">
        <v>222</v>
      </c>
      <c r="G220" s="36" t="s">
        <v>746</v>
      </c>
      <c r="H220" s="53">
        <v>0.5</v>
      </c>
      <c r="I220" s="27">
        <v>6</v>
      </c>
      <c r="J220" s="56" t="s">
        <v>722</v>
      </c>
      <c r="K220" s="55">
        <v>0</v>
      </c>
      <c r="L220" s="9">
        <v>6</v>
      </c>
      <c r="M220" s="31">
        <v>0.5</v>
      </c>
    </row>
    <row r="221" spans="2:13">
      <c r="B221" s="19">
        <v>5</v>
      </c>
      <c r="C221" s="11" t="s">
        <v>367</v>
      </c>
      <c r="D221" s="11" t="s">
        <v>452</v>
      </c>
      <c r="E221" s="36" t="s">
        <v>213</v>
      </c>
      <c r="F221" s="36" t="s">
        <v>222</v>
      </c>
      <c r="G221" s="36" t="s">
        <v>746</v>
      </c>
      <c r="H221" s="53">
        <v>0.5</v>
      </c>
      <c r="I221" s="27">
        <v>6</v>
      </c>
      <c r="J221" s="56" t="s">
        <v>722</v>
      </c>
      <c r="K221" s="55">
        <v>0</v>
      </c>
      <c r="L221" s="9">
        <v>6</v>
      </c>
      <c r="M221" s="31">
        <v>0.5</v>
      </c>
    </row>
    <row r="222" spans="2:13">
      <c r="B222" s="19">
        <v>5</v>
      </c>
      <c r="C222" s="11" t="s">
        <v>367</v>
      </c>
      <c r="D222" s="11" t="s">
        <v>452</v>
      </c>
      <c r="E222" s="36" t="s">
        <v>213</v>
      </c>
      <c r="F222" s="36" t="s">
        <v>221</v>
      </c>
      <c r="G222" s="36" t="s">
        <v>746</v>
      </c>
      <c r="H222" s="53">
        <v>0.5</v>
      </c>
      <c r="I222" s="27">
        <v>6</v>
      </c>
      <c r="J222" s="56" t="s">
        <v>722</v>
      </c>
      <c r="K222" s="55">
        <v>0</v>
      </c>
      <c r="L222" s="9">
        <v>6</v>
      </c>
      <c r="M222" s="31">
        <v>0.5</v>
      </c>
    </row>
    <row r="223" spans="2:13">
      <c r="B223" s="19">
        <v>5</v>
      </c>
      <c r="C223" s="11" t="s">
        <v>367</v>
      </c>
      <c r="D223" s="11" t="s">
        <v>452</v>
      </c>
      <c r="E223" s="36" t="s">
        <v>214</v>
      </c>
      <c r="F223" s="36" t="s">
        <v>222</v>
      </c>
      <c r="G223" s="36" t="s">
        <v>746</v>
      </c>
      <c r="H223" s="53">
        <v>0.5</v>
      </c>
      <c r="I223" s="27">
        <v>6</v>
      </c>
      <c r="J223" s="56" t="s">
        <v>722</v>
      </c>
      <c r="K223" s="55">
        <v>0</v>
      </c>
      <c r="L223" s="9">
        <v>6</v>
      </c>
      <c r="M223" s="31">
        <v>0.5</v>
      </c>
    </row>
    <row r="224" spans="2:13">
      <c r="B224" s="19">
        <v>5</v>
      </c>
      <c r="C224" s="11" t="s">
        <v>367</v>
      </c>
      <c r="D224" s="11" t="s">
        <v>452</v>
      </c>
      <c r="E224" s="36" t="s">
        <v>214</v>
      </c>
      <c r="F224" s="36" t="s">
        <v>221</v>
      </c>
      <c r="G224" s="36" t="s">
        <v>746</v>
      </c>
      <c r="H224" s="53">
        <v>0.5</v>
      </c>
      <c r="I224" s="27">
        <v>6</v>
      </c>
      <c r="J224" s="56" t="s">
        <v>722</v>
      </c>
      <c r="K224" s="55">
        <v>0</v>
      </c>
      <c r="L224" s="9">
        <v>6</v>
      </c>
      <c r="M224" s="31">
        <v>0.5</v>
      </c>
    </row>
    <row r="225" spans="2:13">
      <c r="B225" s="19">
        <v>5</v>
      </c>
      <c r="C225" s="11" t="s">
        <v>367</v>
      </c>
      <c r="D225" s="11" t="s">
        <v>452</v>
      </c>
      <c r="E225" s="36" t="s">
        <v>215</v>
      </c>
      <c r="F225" s="36" t="s">
        <v>222</v>
      </c>
      <c r="G225" s="36" t="s">
        <v>746</v>
      </c>
      <c r="H225" s="53">
        <v>0.5</v>
      </c>
      <c r="I225" s="27">
        <v>6</v>
      </c>
      <c r="J225" s="56" t="s">
        <v>722</v>
      </c>
      <c r="K225" s="55">
        <v>0</v>
      </c>
      <c r="L225" s="9">
        <v>6</v>
      </c>
      <c r="M225" s="31">
        <v>0.5</v>
      </c>
    </row>
    <row r="226" spans="2:13">
      <c r="B226" s="19">
        <v>5</v>
      </c>
      <c r="C226" s="11" t="s">
        <v>367</v>
      </c>
      <c r="D226" s="11" t="s">
        <v>452</v>
      </c>
      <c r="E226" s="36" t="s">
        <v>215</v>
      </c>
      <c r="F226" s="36" t="s">
        <v>221</v>
      </c>
      <c r="G226" s="36" t="s">
        <v>746</v>
      </c>
      <c r="H226" s="53">
        <v>0.5</v>
      </c>
      <c r="I226" s="27">
        <v>6</v>
      </c>
      <c r="J226" s="56" t="s">
        <v>722</v>
      </c>
      <c r="K226" s="55">
        <v>0</v>
      </c>
      <c r="L226" s="9">
        <v>6</v>
      </c>
      <c r="M226" s="31">
        <v>0.5</v>
      </c>
    </row>
    <row r="227" spans="2:13">
      <c r="B227" s="19">
        <v>5</v>
      </c>
      <c r="C227" s="11" t="s">
        <v>368</v>
      </c>
      <c r="D227" s="11" t="s">
        <v>230</v>
      </c>
      <c r="E227" s="36" t="s">
        <v>214</v>
      </c>
      <c r="F227" s="36" t="s">
        <v>221</v>
      </c>
      <c r="G227" s="36" t="s">
        <v>745</v>
      </c>
      <c r="H227" s="53">
        <v>16.5</v>
      </c>
      <c r="I227" s="27">
        <v>198</v>
      </c>
      <c r="J227" s="54" t="s">
        <v>718</v>
      </c>
      <c r="K227" s="55">
        <v>16</v>
      </c>
      <c r="L227" s="9">
        <v>6</v>
      </c>
      <c r="M227" s="31"/>
    </row>
    <row r="228" spans="2:13">
      <c r="B228" s="19">
        <v>5</v>
      </c>
      <c r="C228" s="11" t="s">
        <v>368</v>
      </c>
      <c r="D228" s="11" t="s">
        <v>375</v>
      </c>
      <c r="E228" s="36" t="s">
        <v>214</v>
      </c>
      <c r="F228" s="36" t="s">
        <v>221</v>
      </c>
      <c r="G228" s="36" t="s">
        <v>745</v>
      </c>
      <c r="H228" s="53">
        <v>24</v>
      </c>
      <c r="I228" s="27">
        <v>288</v>
      </c>
      <c r="J228" s="56" t="s">
        <v>722</v>
      </c>
      <c r="K228" s="55">
        <v>24</v>
      </c>
      <c r="L228" s="9"/>
      <c r="M228" s="31"/>
    </row>
    <row r="229" spans="2:13">
      <c r="B229" s="19">
        <v>5</v>
      </c>
      <c r="C229" s="11" t="s">
        <v>368</v>
      </c>
      <c r="D229" s="11" t="s">
        <v>230</v>
      </c>
      <c r="E229" s="36" t="s">
        <v>213</v>
      </c>
      <c r="F229" s="36" t="s">
        <v>221</v>
      </c>
      <c r="G229" s="36" t="s">
        <v>746</v>
      </c>
      <c r="H229" s="53">
        <v>2.5</v>
      </c>
      <c r="I229" s="27">
        <v>30</v>
      </c>
      <c r="J229" s="56" t="s">
        <v>722</v>
      </c>
      <c r="K229" s="55">
        <v>2</v>
      </c>
      <c r="L229" s="9">
        <v>6</v>
      </c>
      <c r="M229" s="31">
        <v>0.5</v>
      </c>
    </row>
    <row r="230" spans="2:13">
      <c r="B230" s="19">
        <v>5</v>
      </c>
      <c r="C230" s="11" t="s">
        <v>368</v>
      </c>
      <c r="D230" s="11" t="s">
        <v>230</v>
      </c>
      <c r="E230" s="36" t="s">
        <v>214</v>
      </c>
      <c r="F230" s="36" t="s">
        <v>221</v>
      </c>
      <c r="G230" s="36" t="s">
        <v>746</v>
      </c>
      <c r="H230" s="53">
        <v>3.5</v>
      </c>
      <c r="I230" s="27">
        <v>42</v>
      </c>
      <c r="J230" s="56" t="s">
        <v>722</v>
      </c>
      <c r="K230" s="55">
        <v>3</v>
      </c>
      <c r="L230" s="9">
        <v>6</v>
      </c>
      <c r="M230" s="31">
        <v>0.5</v>
      </c>
    </row>
    <row r="231" spans="2:13">
      <c r="B231" s="19">
        <v>5</v>
      </c>
      <c r="C231" s="11" t="s">
        <v>368</v>
      </c>
      <c r="D231" s="11" t="s">
        <v>454</v>
      </c>
      <c r="E231" s="36" t="s">
        <v>213</v>
      </c>
      <c r="F231" s="36" t="s">
        <v>221</v>
      </c>
      <c r="G231" s="36" t="s">
        <v>746</v>
      </c>
      <c r="H231" s="53">
        <v>4.5</v>
      </c>
      <c r="I231" s="27">
        <v>54</v>
      </c>
      <c r="J231" s="56" t="s">
        <v>722</v>
      </c>
      <c r="K231" s="55">
        <v>4</v>
      </c>
      <c r="L231" s="9">
        <v>6</v>
      </c>
      <c r="M231" s="31">
        <v>0.5</v>
      </c>
    </row>
    <row r="232" spans="2:13">
      <c r="B232" s="19">
        <v>5</v>
      </c>
      <c r="C232" s="11" t="s">
        <v>368</v>
      </c>
      <c r="D232" s="11" t="s">
        <v>466</v>
      </c>
      <c r="E232" s="36" t="s">
        <v>215</v>
      </c>
      <c r="F232" s="36" t="s">
        <v>221</v>
      </c>
      <c r="G232" s="36" t="s">
        <v>746</v>
      </c>
      <c r="H232" s="53">
        <v>3.5</v>
      </c>
      <c r="I232" s="27">
        <v>42</v>
      </c>
      <c r="J232" s="56" t="s">
        <v>722</v>
      </c>
      <c r="K232" s="55">
        <v>3</v>
      </c>
      <c r="L232" s="9">
        <v>6</v>
      </c>
      <c r="M232" s="31">
        <v>0.5</v>
      </c>
    </row>
    <row r="233" spans="2:13">
      <c r="B233" s="19">
        <v>5</v>
      </c>
      <c r="C233" s="11" t="s">
        <v>368</v>
      </c>
      <c r="D233" s="11" t="s">
        <v>375</v>
      </c>
      <c r="E233" s="36" t="s">
        <v>214</v>
      </c>
      <c r="F233" s="36" t="s">
        <v>221</v>
      </c>
      <c r="G233" s="36" t="s">
        <v>746</v>
      </c>
      <c r="H233" s="53">
        <v>2.5</v>
      </c>
      <c r="I233" s="27">
        <v>30</v>
      </c>
      <c r="J233" s="56" t="s">
        <v>722</v>
      </c>
      <c r="K233" s="55">
        <v>2</v>
      </c>
      <c r="L233" s="9">
        <v>6</v>
      </c>
      <c r="M233" s="31">
        <v>0.5</v>
      </c>
    </row>
    <row r="234" spans="2:13">
      <c r="B234" s="19">
        <v>5</v>
      </c>
      <c r="C234" s="11" t="s">
        <v>368</v>
      </c>
      <c r="D234" s="11" t="s">
        <v>452</v>
      </c>
      <c r="E234" s="36" t="s">
        <v>214</v>
      </c>
      <c r="F234" s="36" t="s">
        <v>221</v>
      </c>
      <c r="G234" s="36" t="s">
        <v>746</v>
      </c>
      <c r="H234" s="53">
        <v>0.5</v>
      </c>
      <c r="I234" s="27">
        <v>6</v>
      </c>
      <c r="J234" s="56" t="s">
        <v>722</v>
      </c>
      <c r="K234" s="55">
        <v>0</v>
      </c>
      <c r="L234" s="9">
        <v>6</v>
      </c>
      <c r="M234" s="31">
        <v>0.5</v>
      </c>
    </row>
    <row r="235" spans="2:13">
      <c r="B235" s="19">
        <v>5</v>
      </c>
      <c r="C235" s="11" t="s">
        <v>369</v>
      </c>
      <c r="D235" s="11" t="s">
        <v>447</v>
      </c>
      <c r="E235" s="36" t="s">
        <v>213</v>
      </c>
      <c r="F235" s="36" t="s">
        <v>222</v>
      </c>
      <c r="G235" s="36" t="s">
        <v>745</v>
      </c>
      <c r="H235" s="53">
        <v>44.5</v>
      </c>
      <c r="I235" s="27">
        <v>534.00000000000102</v>
      </c>
      <c r="J235" s="54" t="s">
        <v>718</v>
      </c>
      <c r="K235" s="55">
        <v>44</v>
      </c>
      <c r="L235" s="9">
        <v>6</v>
      </c>
      <c r="M235" s="31"/>
    </row>
    <row r="236" spans="2:13">
      <c r="B236" s="19">
        <v>5</v>
      </c>
      <c r="C236" s="11" t="s">
        <v>369</v>
      </c>
      <c r="D236" s="11" t="s">
        <v>447</v>
      </c>
      <c r="E236" s="36" t="s">
        <v>213</v>
      </c>
      <c r="F236" s="36" t="s">
        <v>222</v>
      </c>
      <c r="G236" s="36" t="s">
        <v>746</v>
      </c>
      <c r="H236" s="53">
        <v>4.5</v>
      </c>
      <c r="I236" s="27">
        <v>54</v>
      </c>
      <c r="J236" s="56" t="s">
        <v>722</v>
      </c>
      <c r="K236" s="55">
        <v>4</v>
      </c>
      <c r="L236" s="9">
        <v>6</v>
      </c>
      <c r="M236" s="31">
        <v>0.5</v>
      </c>
    </row>
    <row r="237" spans="2:13">
      <c r="B237" s="19">
        <v>5</v>
      </c>
      <c r="C237" s="11" t="s">
        <v>369</v>
      </c>
      <c r="D237" s="11" t="s">
        <v>452</v>
      </c>
      <c r="E237" s="36" t="s">
        <v>213</v>
      </c>
      <c r="F237" s="36" t="s">
        <v>222</v>
      </c>
      <c r="G237" s="36" t="s">
        <v>746</v>
      </c>
      <c r="H237" s="53">
        <v>1.5</v>
      </c>
      <c r="I237" s="27">
        <v>18</v>
      </c>
      <c r="J237" s="56" t="s">
        <v>722</v>
      </c>
      <c r="K237" s="55">
        <v>1</v>
      </c>
      <c r="L237" s="9">
        <v>6</v>
      </c>
      <c r="M237" s="31">
        <v>0.5</v>
      </c>
    </row>
    <row r="238" spans="2:13">
      <c r="B238" s="14" t="s">
        <v>410</v>
      </c>
      <c r="H238" s="15">
        <f>SUM(H28:H237)</f>
        <v>1593.5</v>
      </c>
      <c r="I238" s="37">
        <f>SUM(I28:I237)</f>
        <v>19122</v>
      </c>
      <c r="K238" s="21">
        <f>SUM(K28:K237)</f>
        <v>1531</v>
      </c>
      <c r="L238" s="15">
        <f>SUM(L28:L237)</f>
        <v>750</v>
      </c>
    </row>
    <row r="240" spans="2:13" ht="30" customHeight="1">
      <c r="B240" s="64" t="s">
        <v>747</v>
      </c>
      <c r="C240" s="64"/>
      <c r="D240" s="64"/>
      <c r="E240" s="64"/>
      <c r="F240" s="64"/>
      <c r="G240" s="64"/>
      <c r="H240" s="64"/>
      <c r="I240" s="64"/>
      <c r="J240" s="64"/>
      <c r="K240" s="64"/>
      <c r="L240" s="64"/>
    </row>
  </sheetData>
  <mergeCells count="15">
    <mergeCell ref="A1:L1"/>
    <mergeCell ref="A2:L2"/>
    <mergeCell ref="A4:L4"/>
    <mergeCell ref="A11:L11"/>
    <mergeCell ref="B12:L12"/>
    <mergeCell ref="B16:L16"/>
    <mergeCell ref="A18:L18"/>
    <mergeCell ref="A26:L26"/>
    <mergeCell ref="B240:L240"/>
    <mergeCell ref="C14:F14"/>
    <mergeCell ref="G14:I14"/>
    <mergeCell ref="J14:L14"/>
    <mergeCell ref="C15:F15"/>
    <mergeCell ref="G15:I15"/>
    <mergeCell ref="J15:L15"/>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7"/>
  <sheetViews>
    <sheetView zoomScaleNormal="100" workbookViewId="0"/>
  </sheetViews>
  <sheetFormatPr defaultColWidth="8.6328125" defaultRowHeight="14.5"/>
  <cols>
    <col min="1" max="1" width="2.453125" customWidth="1"/>
    <col min="2" max="2" width="40" customWidth="1"/>
    <col min="3" max="8" width="12" customWidth="1"/>
    <col min="9" max="9" width="4" customWidth="1"/>
    <col min="10" max="10" width="50" customWidth="1"/>
  </cols>
  <sheetData>
    <row r="1" spans="1:12" ht="25.5" customHeight="1">
      <c r="A1" s="61" t="s">
        <v>748</v>
      </c>
      <c r="B1" s="61"/>
      <c r="C1" s="61"/>
      <c r="D1" s="61"/>
      <c r="E1" s="61"/>
      <c r="F1" s="61"/>
      <c r="G1" s="61"/>
      <c r="H1" s="61"/>
      <c r="I1" s="61"/>
      <c r="J1" s="61"/>
      <c r="K1" s="61"/>
      <c r="L1" s="61"/>
    </row>
    <row r="2" spans="1:12" ht="15" customHeight="1">
      <c r="A2" s="62" t="s">
        <v>749</v>
      </c>
      <c r="B2" s="62"/>
      <c r="C2" s="62"/>
      <c r="D2" s="62"/>
      <c r="E2" s="62"/>
      <c r="F2" s="62"/>
      <c r="G2" s="62"/>
      <c r="H2" s="62"/>
      <c r="I2" s="62"/>
      <c r="J2" s="62"/>
      <c r="K2" s="62"/>
      <c r="L2" s="62"/>
    </row>
    <row r="4" spans="1:12" ht="15" customHeight="1">
      <c r="A4" s="60" t="s">
        <v>750</v>
      </c>
      <c r="B4" s="60"/>
      <c r="C4" s="60"/>
      <c r="D4" s="60"/>
      <c r="E4" s="60"/>
      <c r="F4" s="60"/>
      <c r="G4" s="60"/>
      <c r="H4" s="60"/>
      <c r="I4" s="60"/>
      <c r="J4" s="60"/>
      <c r="K4" s="60"/>
    </row>
    <row r="5" spans="1:12" ht="27.75" customHeight="1">
      <c r="B5" s="3" t="s">
        <v>751</v>
      </c>
    </row>
    <row r="7" spans="1:12" ht="15" customHeight="1">
      <c r="A7" s="60" t="s">
        <v>752</v>
      </c>
      <c r="B7" s="60"/>
      <c r="C7" s="60"/>
      <c r="D7" s="60"/>
      <c r="E7" s="60"/>
      <c r="F7" s="60"/>
      <c r="G7" s="60"/>
      <c r="H7" s="60"/>
      <c r="I7" s="60"/>
      <c r="J7" s="60"/>
      <c r="K7" s="60"/>
    </row>
    <row r="8" spans="1:12" ht="15" customHeight="1">
      <c r="B8" s="5" t="s">
        <v>753</v>
      </c>
      <c r="C8" s="5" t="s">
        <v>216</v>
      </c>
      <c r="D8" s="5" t="s">
        <v>371</v>
      </c>
    </row>
    <row r="9" spans="1:12" ht="15" customHeight="1">
      <c r="B9" s="2" t="s">
        <v>754</v>
      </c>
      <c r="C9" s="48">
        <f>IFERROR((SUMIFS('Seat Ledger'!$N$5:$N$468,'Seat Ledger'!$B$5:$B$468,5,'Seat Ledger'!$I$5:$I$468,"ON",'Seat Ledger'!$H$5:$H$468,"E1") + SUMIFS('Seat Ledger'!$N$5:$N$468,'Seat Ledger'!$B$5:$B$468,5,'Seat Ledger'!$I$5:$I$468,"ON",'Seat Ledger'!$H$5:$H$468,"E2") + SUMIFS('Seat Ledger'!$N$5:$N$468,'Seat Ledger'!$B$5:$B$468,5,'Seat Ledger'!$I$5:$I$468,"ON",'Seat Ledger'!$H$5:$H$468,"E3"))/(SUMIFS('Seat Ledger'!$M$5:$M$468,'Seat Ledger'!$B$5:$B$468,5,'Seat Ledger'!$I$5:$I$468,"ON",'Seat Ledger'!$H$5:$H$468,"E1") + SUMIFS('Seat Ledger'!$M$5:$M$468,'Seat Ledger'!$B$5:$B$468,5,'Seat Ledger'!$I$5:$I$468,"ON",'Seat Ledger'!$H$5:$H$468,"E2") + SUMIFS('Seat Ledger'!$M$5:$M$468,'Seat Ledger'!$B$5:$B$468,5,'Seat Ledger'!$I$5:$I$468,"ON",'Seat Ledger'!$H$5:$H$468,"E3")),0)</f>
        <v>1.35</v>
      </c>
      <c r="D9" s="48">
        <f>IFERROR((SUMIFS('Seat Ledger'!$N$5:$N$468,'Seat Ledger'!$B$5:$B$468,5,'Seat Ledger'!$I$5:$I$468,"OFF",'Seat Ledger'!$H$5:$H$468,"E1") + SUMIFS('Seat Ledger'!$N$5:$N$468,'Seat Ledger'!$B$5:$B$468,5,'Seat Ledger'!$I$5:$I$468,"OFF",'Seat Ledger'!$H$5:$H$468,"E2") + SUMIFS('Seat Ledger'!$N$5:$N$468,'Seat Ledger'!$B$5:$B$468,5,'Seat Ledger'!$I$5:$I$468,"OFF",'Seat Ledger'!$H$5:$H$468,"E3"))/(SUMIFS('Seat Ledger'!$M$5:$M$468,'Seat Ledger'!$B$5:$B$468,5,'Seat Ledger'!$I$5:$I$468,"OFF",'Seat Ledger'!$H$5:$H$468,"E1") + SUMIFS('Seat Ledger'!$M$5:$M$468,'Seat Ledger'!$B$5:$B$468,5,'Seat Ledger'!$I$5:$I$468,"OFF",'Seat Ledger'!$H$5:$H$468,"E2") + SUMIFS('Seat Ledger'!$M$5:$M$468,'Seat Ledger'!$B$5:$B$468,5,'Seat Ledger'!$I$5:$I$468,"OFF",'Seat Ledger'!$H$5:$H$468,"E3")),0)</f>
        <v>0.38644608112564588</v>
      </c>
    </row>
    <row r="10" spans="1:12" ht="15" customHeight="1">
      <c r="B10" s="2" t="s">
        <v>755</v>
      </c>
      <c r="C10" s="48">
        <f>IFERROR((SUMIFS('Seat Ledger'!$N$5:$N$468,'Seat Ledger'!$B$5:$B$468,5,'Seat Ledger'!$I$5:$I$468,"ON",'Seat Ledger'!$H$5:$H$468,"E4") + SUMIFS('Seat Ledger'!$N$5:$N$468,'Seat Ledger'!$B$5:$B$468,5,'Seat Ledger'!$I$5:$I$468,"ON",'Seat Ledger'!$H$5:$H$468,"E5"))/(SUMIFS('Seat Ledger'!$M$5:$M$468,'Seat Ledger'!$B$5:$B$468,5,'Seat Ledger'!$I$5:$I$468,"ON",'Seat Ledger'!$H$5:$H$468,"E4") + SUMIFS('Seat Ledger'!$M$5:$M$468,'Seat Ledger'!$B$5:$B$468,5,'Seat Ledger'!$I$5:$I$468,"ON",'Seat Ledger'!$H$5:$H$468,"E5")),0)</f>
        <v>1.919369369369369</v>
      </c>
      <c r="D10" s="48">
        <f>IFERROR((SUMIFS('Seat Ledger'!$N$5:$N$468,'Seat Ledger'!$B$5:$B$468,5,'Seat Ledger'!$I$5:$I$468,"OFF",'Seat Ledger'!$H$5:$H$468,"E4") + SUMIFS('Seat Ledger'!$N$5:$N$468,'Seat Ledger'!$B$5:$B$468,5,'Seat Ledger'!$I$5:$I$468,"OFF",'Seat Ledger'!$H$5:$H$468,"E5"))/(SUMIFS('Seat Ledger'!$M$5:$M$468,'Seat Ledger'!$B$5:$B$468,5,'Seat Ledger'!$I$5:$I$468,"OFF",'Seat Ledger'!$H$5:$H$468,"E4") + SUMIFS('Seat Ledger'!$M$5:$M$468,'Seat Ledger'!$B$5:$B$468,5,'Seat Ledger'!$I$5:$I$468,"OFF",'Seat Ledger'!$H$5:$H$468,"E5")),0)</f>
        <v>0.60361742150195319</v>
      </c>
    </row>
    <row r="12" spans="1:12" ht="15" customHeight="1">
      <c r="A12" s="60" t="s">
        <v>756</v>
      </c>
      <c r="B12" s="60"/>
      <c r="C12" s="60"/>
      <c r="D12" s="60"/>
      <c r="E12" s="60"/>
      <c r="F12" s="60"/>
      <c r="G12" s="60"/>
      <c r="H12" s="60"/>
      <c r="I12" s="60"/>
      <c r="J12" s="60"/>
      <c r="K12" s="60"/>
    </row>
    <row r="13" spans="1:12" ht="15" customHeight="1">
      <c r="B13" s="5" t="s">
        <v>258</v>
      </c>
      <c r="C13" s="5" t="s">
        <v>172</v>
      </c>
      <c r="D13" s="5" t="s">
        <v>173</v>
      </c>
      <c r="E13" s="5" t="s">
        <v>174</v>
      </c>
      <c r="F13" s="5" t="s">
        <v>175</v>
      </c>
      <c r="G13" s="5" t="s">
        <v>176</v>
      </c>
    </row>
    <row r="14" spans="1:12" ht="15" customHeight="1">
      <c r="B14" s="2" t="s">
        <v>757</v>
      </c>
      <c r="C14" s="12">
        <f>'Glidepath &amp; 50-50'!C25</f>
        <v>-5.9381875408437423E-5</v>
      </c>
      <c r="D14" s="12">
        <f>'Glidepath &amp; 50-50'!D25</f>
        <v>0.22910749470011371</v>
      </c>
      <c r="E14" s="12">
        <f>'Glidepath &amp; 50-50'!E25</f>
        <v>0.37814099572471904</v>
      </c>
      <c r="F14" s="12">
        <f>'Glidepath &amp; 50-50'!F25</f>
        <v>0.46324787130982925</v>
      </c>
      <c r="G14" s="12">
        <f>'Glidepath &amp; 50-50'!G25</f>
        <v>0.51396899665853668</v>
      </c>
    </row>
    <row r="15" spans="1:12" ht="15" customHeight="1">
      <c r="B15" s="2" t="s">
        <v>758</v>
      </c>
      <c r="C15" s="12">
        <f>'Team Build-Up'!C39</f>
        <v>0.43086816720257237</v>
      </c>
      <c r="D15" s="12">
        <f>'Team Build-Up'!D39</f>
        <v>0.6090100111234702</v>
      </c>
      <c r="E15" s="12">
        <f>'Team Build-Up'!E39</f>
        <v>0.67009100937672372</v>
      </c>
      <c r="F15" s="12">
        <f>'Team Build-Up'!F39</f>
        <v>0.6936656282450675</v>
      </c>
      <c r="G15" s="12">
        <f>'Team Build-Up'!G39</f>
        <v>0.70606916019760024</v>
      </c>
    </row>
    <row r="16" spans="1:12" ht="15" customHeight="1">
      <c r="B16" s="2" t="s">
        <v>759</v>
      </c>
      <c r="C16" s="12">
        <f>'Team Build-Up'!C60</f>
        <v>0.20685959271168272</v>
      </c>
      <c r="D16" s="12">
        <f>'Team Build-Up'!D60</f>
        <v>0.36943826473859837</v>
      </c>
      <c r="E16" s="12">
        <f>'Team Build-Up'!E60</f>
        <v>0.41884997242140076</v>
      </c>
      <c r="F16" s="12">
        <f>'Team Build-Up'!F60</f>
        <v>0.52711877945522811</v>
      </c>
      <c r="G16" s="12">
        <f>'Team Build-Up'!G60</f>
        <v>0.54962067748764976</v>
      </c>
    </row>
    <row r="17" spans="1:11" ht="15" customHeight="1">
      <c r="B17" s="2" t="s">
        <v>760</v>
      </c>
      <c r="C17" s="12">
        <f>'Delivery Mode'!C22</f>
        <v>0.18425542095425601</v>
      </c>
      <c r="D17" s="12">
        <f>'Delivery Mode'!D22</f>
        <v>0.9094712054713644</v>
      </c>
      <c r="E17" s="12">
        <f>'Delivery Mode'!E22</f>
        <v>1</v>
      </c>
      <c r="F17" s="12">
        <f>'Delivery Mode'!F22</f>
        <v>1</v>
      </c>
      <c r="G17" s="12">
        <f>'Delivery Mode'!G22</f>
        <v>1</v>
      </c>
    </row>
    <row r="18" spans="1:11" ht="15" customHeight="1">
      <c r="B18" s="14" t="s">
        <v>761</v>
      </c>
      <c r="C18" s="57">
        <f>'Cost &amp; Commercial'!C9</f>
        <v>1.0326336633493569</v>
      </c>
      <c r="D18" s="57">
        <f>'Cost &amp; Commercial'!D9</f>
        <v>0.72959316126595342</v>
      </c>
      <c r="E18" s="57">
        <f>'Cost &amp; Commercial'!E9</f>
        <v>0.54367858498779076</v>
      </c>
      <c r="F18" s="57">
        <f>'Cost &amp; Commercial'!F9</f>
        <v>0.47272045949995334</v>
      </c>
      <c r="G18" s="57">
        <f>'Cost &amp; Commercial'!G9</f>
        <v>0.42539503417459124</v>
      </c>
    </row>
    <row r="19" spans="1:11" ht="15" customHeight="1">
      <c r="B19" s="2" t="s">
        <v>762</v>
      </c>
      <c r="C19" s="48">
        <f>(1-C14)*(C15*(C16*$D$10+(1-C16)*$D$9)+(1-C15)*(C16*$C$10+(1-C16)*$C$9))</f>
        <v>1.0212843136522687</v>
      </c>
      <c r="D19" s="48">
        <f>(1-D14)*(D15*(D16*$D$10+(1-D16)*$D$9)+(1-D15)*(D16*$C$10+(1-D16)*$C$9))</f>
        <v>0.68940242241027316</v>
      </c>
      <c r="E19" s="48">
        <f>(1-E14)*(E15*(E16*$D$10+(1-E16)*$D$9)+(1-E15)*(E16*$C$10+(1-E16)*$C$9))</f>
        <v>0.52482471649151385</v>
      </c>
      <c r="F19" s="48">
        <f>(1-F14)*(F15*(F16*$D$10+(1-F16)*$D$9)+(1-F15)*(F16*$C$10+(1-F16)*$C$9))</f>
        <v>0.45782911191566367</v>
      </c>
      <c r="G19" s="48">
        <f>(1-G14)*(G15*(G16*$D$10+(1-G16)*$D$9)+(1-G15)*(G16*$C$10+(1-G16)*$C$9))</f>
        <v>0.41114524628658367</v>
      </c>
    </row>
    <row r="20" spans="1:11" ht="15" customHeight="1">
      <c r="B20" s="24" t="s">
        <v>763</v>
      </c>
      <c r="G20" s="58">
        <f>IF(G19=0,1,G18/G19)</f>
        <v>1.0346587684442663</v>
      </c>
    </row>
    <row r="22" spans="1:11" ht="15" customHeight="1">
      <c r="A22" s="60" t="s">
        <v>764</v>
      </c>
      <c r="B22" s="60"/>
      <c r="C22" s="60"/>
      <c r="D22" s="60"/>
      <c r="E22" s="60"/>
      <c r="F22" s="60"/>
      <c r="G22" s="60"/>
      <c r="H22" s="60"/>
      <c r="I22" s="60"/>
      <c r="J22" s="60"/>
      <c r="K22" s="60"/>
    </row>
    <row r="23" spans="1:11" ht="15" customHeight="1">
      <c r="B23" s="5" t="s">
        <v>765</v>
      </c>
      <c r="C23" s="59">
        <v>0.35</v>
      </c>
      <c r="D23" s="59">
        <v>0.4</v>
      </c>
      <c r="E23" s="59">
        <v>0.45</v>
      </c>
      <c r="F23" s="59">
        <v>0.5</v>
      </c>
      <c r="G23" s="59">
        <v>0.55000000000000004</v>
      </c>
      <c r="H23" s="59">
        <v>0.6</v>
      </c>
    </row>
    <row r="24" spans="1:11" ht="15" customHeight="1">
      <c r="B24" s="23">
        <v>0.45</v>
      </c>
      <c r="C24" s="48">
        <f t="shared" ref="C24:H28" si="0">$G$20*(1-C$23)*($B24*($G$16*$D$10+(1-$G$16)*$D$9)+(1-$B24)*($G$16*$C$10+(1-$G$16)*$C$9))</f>
        <v>0.76818122713422698</v>
      </c>
      <c r="D24" s="48">
        <f t="shared" si="0"/>
        <v>0.70909036350851717</v>
      </c>
      <c r="E24" s="48">
        <f t="shared" si="0"/>
        <v>0.64999949988280747</v>
      </c>
      <c r="F24" s="48">
        <f t="shared" si="0"/>
        <v>0.59090863625709766</v>
      </c>
      <c r="G24" s="48">
        <f t="shared" si="0"/>
        <v>0.53181777263138785</v>
      </c>
      <c r="H24" s="48">
        <f t="shared" si="0"/>
        <v>0.47272690900567815</v>
      </c>
    </row>
    <row r="25" spans="1:11" ht="15" customHeight="1">
      <c r="B25" s="23">
        <v>0.55000000000000004</v>
      </c>
      <c r="C25" s="48">
        <f t="shared" si="0"/>
        <v>0.69036102282137057</v>
      </c>
      <c r="D25" s="48">
        <f t="shared" si="0"/>
        <v>0.63725632875818827</v>
      </c>
      <c r="E25" s="48">
        <f t="shared" si="0"/>
        <v>0.58415163469500597</v>
      </c>
      <c r="F25" s="48">
        <f t="shared" si="0"/>
        <v>0.53104694063182356</v>
      </c>
      <c r="G25" s="48">
        <f t="shared" si="0"/>
        <v>0.47794224656864109</v>
      </c>
      <c r="H25" s="48">
        <f t="shared" si="0"/>
        <v>0.42483755250545885</v>
      </c>
    </row>
    <row r="26" spans="1:11" ht="15" customHeight="1">
      <c r="B26" s="23">
        <v>0.65</v>
      </c>
      <c r="C26" s="48">
        <f t="shared" si="0"/>
        <v>0.61254081850851416</v>
      </c>
      <c r="D26" s="48">
        <f t="shared" si="0"/>
        <v>0.56542229400785926</v>
      </c>
      <c r="E26" s="48">
        <f t="shared" si="0"/>
        <v>0.51830376950720436</v>
      </c>
      <c r="F26" s="48">
        <f t="shared" si="0"/>
        <v>0.47118524500654935</v>
      </c>
      <c r="G26" s="48">
        <f t="shared" si="0"/>
        <v>0.42406672050589433</v>
      </c>
      <c r="H26" s="48">
        <f t="shared" si="0"/>
        <v>0.37694819600523949</v>
      </c>
    </row>
    <row r="27" spans="1:11" ht="15" customHeight="1">
      <c r="B27" s="23">
        <v>0.75</v>
      </c>
      <c r="C27" s="48">
        <f t="shared" si="0"/>
        <v>0.53472061419565764</v>
      </c>
      <c r="D27" s="48">
        <f t="shared" si="0"/>
        <v>0.49358825925753019</v>
      </c>
      <c r="E27" s="48">
        <f t="shared" si="0"/>
        <v>0.45245590431940269</v>
      </c>
      <c r="F27" s="48">
        <f t="shared" si="0"/>
        <v>0.41132354938127513</v>
      </c>
      <c r="G27" s="48">
        <f t="shared" si="0"/>
        <v>0.37019119444314758</v>
      </c>
      <c r="H27" s="48">
        <f t="shared" si="0"/>
        <v>0.32905883950502013</v>
      </c>
    </row>
    <row r="28" spans="1:11" ht="15" customHeight="1">
      <c r="B28" s="23">
        <v>0.85</v>
      </c>
      <c r="C28" s="48">
        <f t="shared" si="0"/>
        <v>0.45690040988280128</v>
      </c>
      <c r="D28" s="48">
        <f t="shared" si="0"/>
        <v>0.42175422450720118</v>
      </c>
      <c r="E28" s="48">
        <f t="shared" si="0"/>
        <v>0.38660803913160113</v>
      </c>
      <c r="F28" s="48">
        <f t="shared" si="0"/>
        <v>0.35146185375600097</v>
      </c>
      <c r="G28" s="48">
        <f t="shared" si="0"/>
        <v>0.31631566838040087</v>
      </c>
      <c r="H28" s="48">
        <f t="shared" si="0"/>
        <v>0.28116948300480082</v>
      </c>
    </row>
    <row r="30" spans="1:11" ht="15" customHeight="1">
      <c r="A30" s="60" t="s">
        <v>766</v>
      </c>
      <c r="B30" s="60"/>
      <c r="C30" s="60"/>
      <c r="D30" s="60"/>
      <c r="E30" s="60"/>
      <c r="F30" s="60"/>
      <c r="G30" s="60"/>
      <c r="H30" s="60"/>
      <c r="I30" s="60"/>
      <c r="J30" s="60"/>
      <c r="K30" s="60"/>
    </row>
    <row r="31" spans="1:11" ht="15" customHeight="1">
      <c r="B31" s="5" t="s">
        <v>767</v>
      </c>
      <c r="C31" s="5" t="s">
        <v>768</v>
      </c>
      <c r="D31" s="5" t="s">
        <v>769</v>
      </c>
      <c r="E31" s="5" t="s">
        <v>770</v>
      </c>
      <c r="F31" s="5" t="s">
        <v>771</v>
      </c>
      <c r="G31" s="5" t="s">
        <v>347</v>
      </c>
    </row>
    <row r="32" spans="1:11" ht="27.75" customHeight="1">
      <c r="B32" s="4" t="s">
        <v>772</v>
      </c>
      <c r="C32" s="48">
        <f>$G$20*(1-($G$14-0.1))*(($G$15)*(($G$16)*$D$10+(1-($G$16))*$D$9)+(1-($G$15))*(($G$16)*$C$10+(1-($G$16))*$C$9))</f>
        <v>0.51291929317247409</v>
      </c>
      <c r="D32" s="48">
        <f>$G$20*(1-($G$14))*(($G$15)*(($G$16)*$D$10+(1-($G$16))*$D$9)+(1-($G$15))*(($G$16)*$C$10+(1-($G$16))*$C$9))</f>
        <v>0.42539503417459118</v>
      </c>
      <c r="E32" s="48">
        <f>$G$20*(1-($G$14+0.1))*(($G$15)*(($G$16)*$D$10+(1-($G$16))*$D$9)+(1-($G$15))*(($G$16)*$C$10+(1-($G$16))*$C$9))</f>
        <v>0.33787077517670833</v>
      </c>
      <c r="F32" s="57">
        <f>ABS(E32-C32)</f>
        <v>0.17504851799576576</v>
      </c>
      <c r="G32" s="1" t="s">
        <v>773</v>
      </c>
    </row>
    <row r="33" spans="2:7" ht="54.75" customHeight="1">
      <c r="B33" s="4" t="s">
        <v>774</v>
      </c>
      <c r="C33" s="48">
        <f>$G$20*(1-($G$14))*(($G$15-0.1)*(($G$16)*$D$10+(1-($G$16))*$D$9)+(1-($G$15-0.1))*(($G$16)*$C$10+(1-($G$16))*$C$9))</f>
        <v>0.48358431414753783</v>
      </c>
      <c r="D33" s="48">
        <f>$G$20*(1-($G$14))*(($G$15)*(($G$16)*$D$10+(1-($G$16))*$D$9)+(1-($G$15))*(($G$16)*$C$10+(1-($G$16))*$C$9))</f>
        <v>0.42539503417459118</v>
      </c>
      <c r="E33" s="48">
        <f>$G$20*(1-($G$14))*(($G$15+0.1)*(($G$16)*$D$10+(1-($G$16))*$D$9)+(1-($G$15+0.1))*(($G$16)*$C$10+(1-($G$16))*$C$9))</f>
        <v>0.36720575420164464</v>
      </c>
      <c r="F33" s="57">
        <f>ABS(E33-C33)</f>
        <v>0.11637855994589319</v>
      </c>
      <c r="G33" s="1" t="s">
        <v>775</v>
      </c>
    </row>
    <row r="34" spans="2:7" ht="54.75" customHeight="1">
      <c r="B34" s="4" t="s">
        <v>776</v>
      </c>
      <c r="C34" s="48">
        <f>$G$20*(1-($G$14))*(($G$15)*(($G$16-0.1)*$D$10+(1-($G$16-0.1))*$D$9)+(1-($G$15))*(($G$16-0.1)*$C$10+(1-($G$16-0.1))*$C$9))</f>
        <v>0.40926813499314457</v>
      </c>
      <c r="D34" s="48">
        <f>$G$20*(1-($G$14))*(($G$15)*(($G$16)*$D$10+(1-($G$16))*$D$9)+(1-($G$15))*(($G$16)*$C$10+(1-($G$16))*$C$9))</f>
        <v>0.42539503417459118</v>
      </c>
      <c r="E34" s="48">
        <f>$G$20*(1-($G$14))*(($G$15)*(($G$16+0.1)*$D$10+(1-($G$16+0.1))*$D$9)+(1-($G$15))*(($G$16+0.1)*$C$10+(1-($G$16+0.1))*$C$9))</f>
        <v>0.44152193335603784</v>
      </c>
      <c r="F34" s="57">
        <f>ABS(E34-C34)</f>
        <v>3.2253798362893271E-2</v>
      </c>
      <c r="G34" s="1" t="s">
        <v>777</v>
      </c>
    </row>
    <row r="35" spans="2:7" ht="48" customHeight="1">
      <c r="B35" s="24" t="s">
        <v>778</v>
      </c>
      <c r="G35" s="1" t="s">
        <v>779</v>
      </c>
    </row>
    <row r="37" spans="2:7" ht="18.75" customHeight="1">
      <c r="B37" s="3" t="s">
        <v>780</v>
      </c>
    </row>
  </sheetData>
  <mergeCells count="7">
    <mergeCell ref="A22:K22"/>
    <mergeCell ref="A30:K30"/>
    <mergeCell ref="A1:L1"/>
    <mergeCell ref="A2:L2"/>
    <mergeCell ref="A4:K4"/>
    <mergeCell ref="A7:K7"/>
    <mergeCell ref="A12:K1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6F9B9AA9FDD341B4BEBD17B645EC21" ma:contentTypeVersion="8" ma:contentTypeDescription="Create a new document." ma:contentTypeScope="" ma:versionID="5745af9a74d46f102bb11af60999e8af">
  <xsd:schema xmlns:xsd="http://www.w3.org/2001/XMLSchema" xmlns:xs="http://www.w3.org/2001/XMLSchema" xmlns:p="http://schemas.microsoft.com/office/2006/metadata/properties" xmlns:ns2="a84add37-9773-464e-afdf-4ed72a97b2aa" targetNamespace="http://schemas.microsoft.com/office/2006/metadata/properties" ma:root="true" ma:fieldsID="849244e1f35761c386d289d5fd495158" ns2:_="">
    <xsd:import namespace="a84add37-9773-464e-afdf-4ed72a97b2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4add37-9773-464e-afdf-4ed72a97b2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6F638B-5FBA-482F-9A87-B825C37F0D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4add37-9773-464e-afdf-4ed72a97b2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5CDA20-DA6F-4F3C-8CF1-09F847DA26C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186D943-FCF0-4481-8C09-24FFA9D240F0}">
  <ds:schemaRefs>
    <ds:schemaRef ds:uri="http://schemas.microsoft.com/sharepoint/v3/contenttype/forms"/>
  </ds:schemaRefs>
</ds:datastoreItem>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Change Log v5 → v6</vt:lpstr>
      <vt:lpstr>Change Control</vt:lpstr>
      <vt:lpstr>Logic Tree</vt:lpstr>
      <vt:lpstr>Sourcing &amp; Productivity</vt:lpstr>
      <vt:lpstr>Delivery Mode</vt:lpstr>
      <vt:lpstr>AMS &amp; Ticket Load</vt:lpstr>
      <vt:lpstr>Inventory</vt:lpstr>
      <vt:lpstr>Value Streams</vt:lpstr>
      <vt:lpstr>Pod Library</vt:lpstr>
      <vt:lpstr>Pod Plan</vt:lpstr>
      <vt:lpstr>Horizontal Teams</vt:lpstr>
      <vt:lpstr>Team Build-Up</vt:lpstr>
      <vt:lpstr>Inherited Workforce</vt:lpstr>
      <vt:lpstr>Glidepath &amp; 50-50</vt:lpstr>
      <vt:lpstr>Cost &amp; Commercial</vt:lpstr>
      <vt:lpstr>Seat Ledger</vt:lpstr>
      <vt:lpstr>SIT Loading</vt:lpstr>
      <vt:lpstr>Unit Cost Sensitivity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Prasad, Mukesh Kumar</cp:lastModifiedBy>
  <cp:revision>0</cp:revision>
  <dcterms:created xsi:type="dcterms:W3CDTF">2026-09-11T06:08:59Z</dcterms:created>
  <dcterms:modified xsi:type="dcterms:W3CDTF">2026-09-13T06:29:27Z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0x010100E76F9B9AA9FDD341B4BEBD17B645EC21</vt:lpwstr>
  </property>
</Properties>
</file>