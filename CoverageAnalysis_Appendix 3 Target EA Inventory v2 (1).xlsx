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https://capgemini.sharepoint.com/sites/MetLifeJapanOnsiteSIConsolidation/Shared Documents/Root/RFP/5_WIP Response/"/>
    </mc:Choice>
  </mc:AlternateContent>
  <xr:revisionPtr revIDLastSave="2547" documentId="8_{FADCFAEB-8A12-4B30-9274-3A5B6FAF8C25}" xr6:coauthVersionLast="47" xr6:coauthVersionMax="47" xr10:uidLastSave="{43F329F8-D581-456C-81AE-C2E3DC706332}"/>
  <bookViews>
    <workbookView xWindow="-110" yWindow="-110" windowWidth="19420" windowHeight="10300" firstSheet="2" activeTab="2" xr2:uid="{BFE5428F-796E-4525-9ED7-E8E4A600D519}"/>
  </bookViews>
  <sheets>
    <sheet name="Sheet1" sheetId="2" r:id="rId1"/>
    <sheet name="Sheet3" sheetId="4" r:id="rId2"/>
    <sheet name="ApplicationList" sheetId="1" r:id="rId3"/>
    <sheet name="Sheet2" sheetId="5" r:id="rId4"/>
    <sheet name="Capgemini PResence and HC" sheetId="3" r:id="rId5"/>
  </sheets>
  <definedNames>
    <definedName name="_xlnm._FilterDatabase" localSheetId="2" hidden="1">ApplicationList!$A$4:$AQ$146</definedName>
  </definedNames>
  <calcPr calcId="191028"/>
  <pivotCaches>
    <pivotCache cacheId="207" r:id="rId6"/>
    <pivotCache cacheId="20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3" i="1" l="1"/>
  <c r="AQ144" i="1"/>
  <c r="AM60" i="1"/>
  <c r="AM72" i="1"/>
  <c r="AM74"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70" i="1"/>
  <c r="BB36" i="1"/>
  <c r="BB37" i="1"/>
  <c r="BB38" i="1"/>
  <c r="BB39" i="1"/>
  <c r="BB40" i="1"/>
  <c r="BB107" i="1"/>
  <c r="BB84" i="1"/>
  <c r="BB43" i="1"/>
  <c r="BB44" i="1"/>
  <c r="BB45" i="1"/>
  <c r="BB46" i="1"/>
  <c r="BB47" i="1"/>
  <c r="BB51" i="1"/>
  <c r="BB49" i="1"/>
  <c r="BB68" i="1"/>
  <c r="BB65" i="1"/>
  <c r="BB53" i="1"/>
  <c r="BB88" i="1"/>
  <c r="BB54" i="1"/>
  <c r="BB55" i="1"/>
  <c r="BB56" i="1"/>
  <c r="BB57" i="1"/>
  <c r="BB58" i="1"/>
  <c r="BB59" i="1"/>
  <c r="BB60" i="1"/>
  <c r="BB87" i="1"/>
  <c r="BB69" i="1"/>
  <c r="BB63" i="1"/>
  <c r="BB64" i="1"/>
  <c r="BB141" i="1"/>
  <c r="BB66" i="1"/>
  <c r="BB67" i="1"/>
  <c r="BB42" i="1"/>
  <c r="BB142" i="1"/>
  <c r="BB93" i="1"/>
  <c r="BB71" i="1"/>
  <c r="BB72" i="1"/>
  <c r="BB73" i="1"/>
  <c r="BB74" i="1"/>
  <c r="BB75" i="1"/>
  <c r="BB76" i="1"/>
  <c r="BB77" i="1"/>
  <c r="BB78" i="1"/>
  <c r="BB79" i="1"/>
  <c r="BB80" i="1"/>
  <c r="BB81" i="1"/>
  <c r="BB48" i="1"/>
  <c r="BB83" i="1"/>
  <c r="BB92" i="1"/>
  <c r="BB119" i="1"/>
  <c r="BB86" i="1"/>
  <c r="BB61" i="1"/>
  <c r="BB35" i="1"/>
  <c r="BB89" i="1"/>
  <c r="BB90" i="1"/>
  <c r="BB91" i="1"/>
  <c r="BB126" i="1"/>
  <c r="BB85" i="1"/>
  <c r="BB94" i="1"/>
  <c r="BB95" i="1"/>
  <c r="BB96" i="1"/>
  <c r="BB97" i="1"/>
  <c r="BB98" i="1"/>
  <c r="BB99" i="1"/>
  <c r="BB100" i="1"/>
  <c r="BB101" i="1"/>
  <c r="BB102" i="1"/>
  <c r="BB103" i="1"/>
  <c r="BB104" i="1"/>
  <c r="BB105" i="1"/>
  <c r="BB106" i="1"/>
  <c r="BB115" i="1"/>
  <c r="BB108" i="1"/>
  <c r="BB62" i="1"/>
  <c r="BB110" i="1"/>
  <c r="BB111" i="1"/>
  <c r="BB112" i="1"/>
  <c r="BB113" i="1"/>
  <c r="BB114" i="1"/>
  <c r="BB50" i="1"/>
  <c r="BB116" i="1"/>
  <c r="BB117" i="1"/>
  <c r="BB118" i="1"/>
  <c r="BB146" i="1"/>
  <c r="BB120" i="1"/>
  <c r="BB121" i="1"/>
  <c r="BB122" i="1"/>
  <c r="BB123" i="1"/>
  <c r="BB124" i="1"/>
  <c r="BB125" i="1"/>
  <c r="BB41" i="1"/>
  <c r="BB127" i="1"/>
  <c r="BB128" i="1"/>
  <c r="BB129" i="1"/>
  <c r="BB130" i="1"/>
  <c r="BB131" i="1"/>
  <c r="BB132" i="1"/>
  <c r="BB133" i="1"/>
  <c r="BB134" i="1"/>
  <c r="BB135" i="1"/>
  <c r="BB136" i="1"/>
  <c r="BB137" i="1"/>
  <c r="BB138" i="1"/>
  <c r="BB139" i="1"/>
  <c r="BB140" i="1"/>
  <c r="BB109" i="1"/>
  <c r="BB82" i="1"/>
  <c r="BB143" i="1"/>
  <c r="BB144" i="1"/>
  <c r="BB145" i="1"/>
  <c r="BB52" i="1"/>
  <c r="BB5" i="1"/>
  <c r="BA68" i="1"/>
  <c r="BA65" i="1"/>
  <c r="BA53" i="1"/>
  <c r="BA88" i="1"/>
  <c r="BA54" i="1"/>
  <c r="BA55" i="1"/>
  <c r="BA56" i="1"/>
  <c r="BA57" i="1"/>
  <c r="BA58" i="1"/>
  <c r="BA59" i="1"/>
  <c r="BA87" i="1"/>
  <c r="BA69" i="1"/>
  <c r="BA63" i="1"/>
  <c r="BA64" i="1"/>
  <c r="BA141" i="1"/>
  <c r="BA66" i="1"/>
  <c r="BA67" i="1"/>
  <c r="BA42" i="1"/>
  <c r="BA142" i="1"/>
  <c r="BA93" i="1"/>
  <c r="BA71" i="1"/>
  <c r="BA73" i="1"/>
  <c r="BA75" i="1"/>
  <c r="BA76" i="1"/>
  <c r="BA77" i="1"/>
  <c r="BA78" i="1"/>
  <c r="BA79" i="1"/>
  <c r="BA80" i="1"/>
  <c r="BA81" i="1"/>
  <c r="BA48" i="1"/>
  <c r="BA83" i="1"/>
  <c r="BA92" i="1"/>
  <c r="BA119" i="1"/>
  <c r="BA86" i="1"/>
  <c r="BA61" i="1"/>
  <c r="BA35" i="1"/>
  <c r="BA89" i="1"/>
  <c r="BA90" i="1"/>
  <c r="BA126" i="1"/>
  <c r="BA85" i="1"/>
  <c r="BA94" i="1"/>
  <c r="BA95" i="1"/>
  <c r="BA97" i="1"/>
  <c r="BA98" i="1"/>
  <c r="BA118" i="1"/>
  <c r="BA99" i="1"/>
  <c r="BA100" i="1"/>
  <c r="BA101" i="1"/>
  <c r="BA102" i="1"/>
  <c r="BA103" i="1"/>
  <c r="BA104" i="1"/>
  <c r="BA105" i="1"/>
  <c r="BA106" i="1"/>
  <c r="BA115" i="1"/>
  <c r="BA108" i="1"/>
  <c r="BA62" i="1"/>
  <c r="BA110" i="1"/>
  <c r="BA111" i="1"/>
  <c r="BA113" i="1"/>
  <c r="BA50" i="1"/>
  <c r="BA116" i="1"/>
  <c r="BA117" i="1"/>
  <c r="BA146" i="1"/>
  <c r="BA120" i="1"/>
  <c r="BA121" i="1"/>
  <c r="BA122" i="1"/>
  <c r="BA123" i="1"/>
  <c r="BA124" i="1"/>
  <c r="BA41" i="1"/>
  <c r="BA127" i="1"/>
  <c r="BA128" i="1"/>
  <c r="BA129" i="1"/>
  <c r="BA130" i="1"/>
  <c r="BA131" i="1"/>
  <c r="BA132" i="1"/>
  <c r="BA133" i="1"/>
  <c r="BA135" i="1"/>
  <c r="BA138" i="1"/>
  <c r="BA139" i="1"/>
  <c r="BA140" i="1"/>
  <c r="BA109" i="1"/>
  <c r="BA82" i="1"/>
  <c r="BA143" i="1"/>
  <c r="BA148" i="1"/>
  <c r="AW148" i="1"/>
  <c r="AX151" i="1" s="1"/>
  <c r="H37" i="2"/>
  <c r="H38" i="2"/>
  <c r="H39" i="2"/>
  <c r="H40" i="2"/>
  <c r="H41" i="2"/>
  <c r="H42" i="2"/>
  <c r="H43" i="2"/>
  <c r="H44" i="2"/>
  <c r="H45" i="2"/>
  <c r="H46" i="2"/>
  <c r="H47" i="2"/>
  <c r="H48" i="2"/>
  <c r="H49" i="2"/>
  <c r="H50" i="2"/>
  <c r="H51" i="2"/>
  <c r="H52" i="2"/>
  <c r="H53" i="2"/>
  <c r="H54" i="2"/>
  <c r="H55" i="2"/>
  <c r="H56" i="2"/>
  <c r="H57" i="2"/>
  <c r="H58" i="2"/>
  <c r="H59" i="2"/>
  <c r="H60" i="2"/>
  <c r="AI3" i="1"/>
  <c r="AJ3" i="1"/>
  <c r="AE3" i="1"/>
  <c r="AF3" i="1"/>
  <c r="AG3" i="1"/>
  <c r="AH3"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70" i="1"/>
  <c r="AS70" i="1" s="1"/>
  <c r="AR70" i="1" s="1"/>
  <c r="AM36" i="1"/>
  <c r="AM37" i="1"/>
  <c r="AM38" i="1"/>
  <c r="AM39" i="1"/>
  <c r="AM40" i="1"/>
  <c r="AM107" i="1"/>
  <c r="AS107" i="1" s="1"/>
  <c r="AR107" i="1" s="1"/>
  <c r="AM84" i="1"/>
  <c r="AS84" i="1" s="1"/>
  <c r="AR84" i="1" s="1"/>
  <c r="AM43" i="1"/>
  <c r="AM44" i="1"/>
  <c r="AM45" i="1"/>
  <c r="AM46" i="1"/>
  <c r="AM47" i="1"/>
  <c r="AM51" i="1"/>
  <c r="AS51" i="1" s="1"/>
  <c r="AR51" i="1" s="1"/>
  <c r="AM49" i="1"/>
  <c r="AS49" i="1" s="1"/>
  <c r="AM68" i="1"/>
  <c r="AS68" i="1" s="1"/>
  <c r="AR68" i="1" s="1"/>
  <c r="AM65" i="1"/>
  <c r="AS65" i="1" s="1"/>
  <c r="AR65" i="1" s="1"/>
  <c r="AM53" i="1"/>
  <c r="AS53" i="1" s="1"/>
  <c r="AR53" i="1" s="1"/>
  <c r="AM88" i="1"/>
  <c r="AS88" i="1" s="1"/>
  <c r="AR88" i="1" s="1"/>
  <c r="AM54" i="1"/>
  <c r="AM55" i="1"/>
  <c r="AM56" i="1"/>
  <c r="AM57" i="1"/>
  <c r="AM58" i="1"/>
  <c r="AM59" i="1"/>
  <c r="AS60" i="1"/>
  <c r="BA60" i="1" s="1"/>
  <c r="AM87" i="1"/>
  <c r="AS87" i="1" s="1"/>
  <c r="AR87" i="1" s="1"/>
  <c r="AM69" i="1"/>
  <c r="AS69" i="1" s="1"/>
  <c r="AR69" i="1" s="1"/>
  <c r="AM63" i="1"/>
  <c r="AM64" i="1"/>
  <c r="AM141" i="1"/>
  <c r="AS141" i="1" s="1"/>
  <c r="AR141" i="1" s="1"/>
  <c r="AM66" i="1"/>
  <c r="AM67" i="1"/>
  <c r="AM42" i="1"/>
  <c r="AS42" i="1" s="1"/>
  <c r="AR42" i="1" s="1"/>
  <c r="AM142" i="1"/>
  <c r="AS142" i="1" s="1"/>
  <c r="AR142" i="1" s="1"/>
  <c r="AM93" i="1"/>
  <c r="AS93" i="1" s="1"/>
  <c r="AR93" i="1" s="1"/>
  <c r="AM71" i="1"/>
  <c r="AS72" i="1"/>
  <c r="BA72" i="1" s="1"/>
  <c r="AM73" i="1"/>
  <c r="AS74" i="1"/>
  <c r="BA74" i="1" s="1"/>
  <c r="AM75" i="1"/>
  <c r="AM76" i="1"/>
  <c r="AM77" i="1"/>
  <c r="AM78" i="1"/>
  <c r="AM79" i="1"/>
  <c r="AM80" i="1"/>
  <c r="AM81" i="1"/>
  <c r="AM48" i="1"/>
  <c r="AS48" i="1" s="1"/>
  <c r="AR48" i="1" s="1"/>
  <c r="AM83" i="1"/>
  <c r="AM92" i="1"/>
  <c r="AS92" i="1" s="1"/>
  <c r="AR92" i="1" s="1"/>
  <c r="AM119" i="1"/>
  <c r="AS119" i="1" s="1"/>
  <c r="AR119" i="1" s="1"/>
  <c r="AM86" i="1"/>
  <c r="AM61" i="1"/>
  <c r="AS61" i="1" s="1"/>
  <c r="AR61" i="1" s="1"/>
  <c r="AM35" i="1"/>
  <c r="AS35" i="1" s="1"/>
  <c r="AR35" i="1" s="1"/>
  <c r="AM89" i="1"/>
  <c r="AM90" i="1"/>
  <c r="AM91" i="1"/>
  <c r="AS91" i="1" s="1"/>
  <c r="AM126" i="1"/>
  <c r="AS126" i="1" s="1"/>
  <c r="AR126" i="1" s="1"/>
  <c r="AM85" i="1"/>
  <c r="AS85" i="1" s="1"/>
  <c r="AR85" i="1" s="1"/>
  <c r="AM94" i="1"/>
  <c r="AM95" i="1"/>
  <c r="AM96" i="1"/>
  <c r="AS96" i="1" s="1"/>
  <c r="BA96" i="1" s="1"/>
  <c r="AM97" i="1"/>
  <c r="AM98" i="1"/>
  <c r="AM118" i="1"/>
  <c r="AM99" i="1"/>
  <c r="AM100" i="1"/>
  <c r="AM101" i="1"/>
  <c r="AM102" i="1"/>
  <c r="AM103" i="1"/>
  <c r="AM104" i="1"/>
  <c r="AM105" i="1"/>
  <c r="AM106" i="1"/>
  <c r="AM115" i="1"/>
  <c r="AS115" i="1" s="1"/>
  <c r="AR115" i="1" s="1"/>
  <c r="AM108" i="1"/>
  <c r="AM62" i="1"/>
  <c r="AS62" i="1" s="1"/>
  <c r="AR62" i="1" s="1"/>
  <c r="AM110" i="1"/>
  <c r="AM111" i="1"/>
  <c r="AM112" i="1"/>
  <c r="AS112" i="1" s="1"/>
  <c r="BA112" i="1" s="1"/>
  <c r="AM113" i="1"/>
  <c r="AM114" i="1"/>
  <c r="AS114" i="1" s="1"/>
  <c r="BA114" i="1" s="1"/>
  <c r="AM50" i="1"/>
  <c r="AS50" i="1" s="1"/>
  <c r="AR50" i="1" s="1"/>
  <c r="AM116" i="1"/>
  <c r="AM117" i="1"/>
  <c r="AM146" i="1"/>
  <c r="AS146" i="1" s="1"/>
  <c r="AR146" i="1" s="1"/>
  <c r="AM120" i="1"/>
  <c r="AM121" i="1"/>
  <c r="AM122" i="1"/>
  <c r="AM123" i="1"/>
  <c r="AM124" i="1"/>
  <c r="AM125" i="1"/>
  <c r="AS125" i="1" s="1"/>
  <c r="BA125" i="1" s="1"/>
  <c r="AM41" i="1"/>
  <c r="AS41" i="1" s="1"/>
  <c r="AR41" i="1" s="1"/>
  <c r="AM127" i="1"/>
  <c r="AM128" i="1"/>
  <c r="AM129" i="1"/>
  <c r="AM130" i="1"/>
  <c r="AM131" i="1"/>
  <c r="AM132" i="1"/>
  <c r="AM133" i="1"/>
  <c r="AM134" i="1"/>
  <c r="AS134" i="1" s="1"/>
  <c r="BA134" i="1" s="1"/>
  <c r="AM135" i="1"/>
  <c r="AM136" i="1"/>
  <c r="AS136" i="1" s="1"/>
  <c r="AM137" i="1"/>
  <c r="AS137" i="1" s="1"/>
  <c r="BA137" i="1" s="1"/>
  <c r="AM138" i="1"/>
  <c r="AM139" i="1"/>
  <c r="AM140" i="1"/>
  <c r="AM109" i="1"/>
  <c r="AS109" i="1" s="1"/>
  <c r="AR109" i="1" s="1"/>
  <c r="AM82" i="1"/>
  <c r="AS82" i="1" s="1"/>
  <c r="AR82" i="1" s="1"/>
  <c r="AM143" i="1"/>
  <c r="AM144" i="1"/>
  <c r="AS144" i="1" s="1"/>
  <c r="BA144" i="1" s="1"/>
  <c r="AM145" i="1"/>
  <c r="AM52" i="1"/>
  <c r="AS52" i="1" s="1"/>
  <c r="AR52" i="1" s="1"/>
  <c r="AN5" i="1"/>
  <c r="AO5" i="1"/>
  <c r="AP5" i="1"/>
  <c r="AQ5" i="1"/>
  <c r="AN6" i="1"/>
  <c r="AO6" i="1"/>
  <c r="AP6" i="1"/>
  <c r="AQ6" i="1"/>
  <c r="AN7" i="1"/>
  <c r="AO7" i="1"/>
  <c r="AP7" i="1"/>
  <c r="AQ7" i="1"/>
  <c r="AN8" i="1"/>
  <c r="AO8" i="1"/>
  <c r="AP8" i="1"/>
  <c r="AQ8" i="1"/>
  <c r="AN9" i="1"/>
  <c r="AO9" i="1"/>
  <c r="AP9" i="1"/>
  <c r="AQ9" i="1"/>
  <c r="AN10" i="1"/>
  <c r="AO10" i="1"/>
  <c r="AP10" i="1"/>
  <c r="AQ10" i="1"/>
  <c r="AN11" i="1"/>
  <c r="AO11" i="1"/>
  <c r="AP11" i="1"/>
  <c r="AQ11" i="1"/>
  <c r="AN12" i="1"/>
  <c r="AO12" i="1"/>
  <c r="AP12" i="1"/>
  <c r="AQ12" i="1"/>
  <c r="AN13" i="1"/>
  <c r="AO13" i="1"/>
  <c r="AP13" i="1"/>
  <c r="AQ13" i="1"/>
  <c r="AN14" i="1"/>
  <c r="AO14" i="1"/>
  <c r="AP14" i="1"/>
  <c r="AQ14" i="1"/>
  <c r="AN15" i="1"/>
  <c r="AO15" i="1"/>
  <c r="AP15" i="1"/>
  <c r="AQ15" i="1"/>
  <c r="AN16" i="1"/>
  <c r="AO16" i="1"/>
  <c r="AP16" i="1"/>
  <c r="AQ16" i="1"/>
  <c r="AN17" i="1"/>
  <c r="AO17" i="1"/>
  <c r="AP17" i="1"/>
  <c r="AQ17" i="1"/>
  <c r="AN18" i="1"/>
  <c r="AO18" i="1"/>
  <c r="AP18" i="1"/>
  <c r="AQ18" i="1"/>
  <c r="AN19" i="1"/>
  <c r="AO19" i="1"/>
  <c r="AP19" i="1"/>
  <c r="AQ19" i="1"/>
  <c r="AN20" i="1"/>
  <c r="AO20" i="1"/>
  <c r="AP20" i="1"/>
  <c r="AQ20" i="1"/>
  <c r="AN21" i="1"/>
  <c r="AO21" i="1"/>
  <c r="AP21" i="1"/>
  <c r="AQ21" i="1"/>
  <c r="AN22" i="1"/>
  <c r="AO22" i="1"/>
  <c r="AP22" i="1"/>
  <c r="AQ22" i="1"/>
  <c r="AN23" i="1"/>
  <c r="AO23" i="1"/>
  <c r="AP23" i="1"/>
  <c r="AQ23" i="1"/>
  <c r="AN24" i="1"/>
  <c r="AO24" i="1"/>
  <c r="AP24" i="1"/>
  <c r="AQ24" i="1"/>
  <c r="AN25" i="1"/>
  <c r="AO25" i="1"/>
  <c r="AP25" i="1"/>
  <c r="AQ25" i="1"/>
  <c r="AN26" i="1"/>
  <c r="AO26" i="1"/>
  <c r="AP26" i="1"/>
  <c r="AQ26" i="1"/>
  <c r="AN27" i="1"/>
  <c r="AO27" i="1"/>
  <c r="AP27" i="1"/>
  <c r="AQ27" i="1"/>
  <c r="AN28" i="1"/>
  <c r="AO28" i="1"/>
  <c r="AP28" i="1"/>
  <c r="AQ28" i="1"/>
  <c r="AN29" i="1"/>
  <c r="AO29" i="1"/>
  <c r="AP29" i="1"/>
  <c r="AQ29" i="1"/>
  <c r="AN30" i="1"/>
  <c r="AO30" i="1"/>
  <c r="AP30" i="1"/>
  <c r="AQ30" i="1"/>
  <c r="AN31" i="1"/>
  <c r="AO31" i="1"/>
  <c r="AP31" i="1"/>
  <c r="AQ31" i="1"/>
  <c r="AN32" i="1"/>
  <c r="AO32" i="1"/>
  <c r="AP32" i="1"/>
  <c r="AQ32" i="1"/>
  <c r="AN33" i="1"/>
  <c r="AO33" i="1"/>
  <c r="AP33" i="1"/>
  <c r="AQ33" i="1"/>
  <c r="AN34" i="1"/>
  <c r="AO34" i="1"/>
  <c r="AP34" i="1"/>
  <c r="AQ34" i="1"/>
  <c r="AN70" i="1"/>
  <c r="AO70" i="1"/>
  <c r="AP70" i="1"/>
  <c r="AQ70" i="1"/>
  <c r="AN36" i="1"/>
  <c r="AO36" i="1"/>
  <c r="AP36" i="1"/>
  <c r="AQ36" i="1"/>
  <c r="AN37" i="1"/>
  <c r="AO37" i="1"/>
  <c r="AP37" i="1"/>
  <c r="AQ37" i="1"/>
  <c r="AN38" i="1"/>
  <c r="AO38" i="1"/>
  <c r="AP38" i="1"/>
  <c r="AQ38" i="1"/>
  <c r="AN39" i="1"/>
  <c r="AO39" i="1"/>
  <c r="AP39" i="1"/>
  <c r="AQ39" i="1"/>
  <c r="AN40" i="1"/>
  <c r="AO40" i="1"/>
  <c r="AP40" i="1"/>
  <c r="AQ40" i="1"/>
  <c r="AN107" i="1"/>
  <c r="AO107" i="1"/>
  <c r="AP107" i="1"/>
  <c r="AQ107" i="1"/>
  <c r="AN84" i="1"/>
  <c r="AO84" i="1"/>
  <c r="AP84" i="1"/>
  <c r="AQ84" i="1"/>
  <c r="AN43" i="1"/>
  <c r="AO43" i="1"/>
  <c r="AP43" i="1"/>
  <c r="AQ43" i="1"/>
  <c r="AN44" i="1"/>
  <c r="AO44" i="1"/>
  <c r="AP44" i="1"/>
  <c r="AQ44" i="1"/>
  <c r="AN45" i="1"/>
  <c r="AO45" i="1"/>
  <c r="AP45" i="1"/>
  <c r="AQ45" i="1"/>
  <c r="AN46" i="1"/>
  <c r="AO46" i="1"/>
  <c r="AP46" i="1"/>
  <c r="AQ46" i="1"/>
  <c r="AN47" i="1"/>
  <c r="AO47" i="1"/>
  <c r="AP47" i="1"/>
  <c r="AQ47" i="1"/>
  <c r="AN51" i="1"/>
  <c r="AO51" i="1"/>
  <c r="AP51" i="1"/>
  <c r="AQ51" i="1"/>
  <c r="AN49" i="1"/>
  <c r="AO49" i="1"/>
  <c r="AP49" i="1"/>
  <c r="AQ49" i="1"/>
  <c r="AN68" i="1"/>
  <c r="AO68" i="1"/>
  <c r="AP68" i="1"/>
  <c r="AQ68" i="1"/>
  <c r="AN65" i="1"/>
  <c r="AO65" i="1"/>
  <c r="AP65" i="1"/>
  <c r="AQ65" i="1"/>
  <c r="AN53" i="1"/>
  <c r="AO53" i="1"/>
  <c r="AP53" i="1"/>
  <c r="AQ53" i="1"/>
  <c r="AN88" i="1"/>
  <c r="AO88" i="1"/>
  <c r="AP88" i="1"/>
  <c r="AQ88" i="1"/>
  <c r="AN54" i="1"/>
  <c r="AO54" i="1"/>
  <c r="AP54" i="1"/>
  <c r="AQ54" i="1"/>
  <c r="AN55" i="1"/>
  <c r="AO55" i="1"/>
  <c r="AP55" i="1"/>
  <c r="AQ55" i="1"/>
  <c r="AN56" i="1"/>
  <c r="AO56" i="1"/>
  <c r="AP56" i="1"/>
  <c r="AQ56" i="1"/>
  <c r="AN57" i="1"/>
  <c r="AO57" i="1"/>
  <c r="AP57" i="1"/>
  <c r="AQ57" i="1"/>
  <c r="AN58" i="1"/>
  <c r="AO58" i="1"/>
  <c r="AP58" i="1"/>
  <c r="AQ58" i="1"/>
  <c r="AN59" i="1"/>
  <c r="AO59" i="1"/>
  <c r="AP59" i="1"/>
  <c r="AQ59" i="1"/>
  <c r="AN60" i="1"/>
  <c r="AO60" i="1"/>
  <c r="AP60" i="1"/>
  <c r="AQ60" i="1"/>
  <c r="AN87" i="1"/>
  <c r="AO87" i="1"/>
  <c r="AP87" i="1"/>
  <c r="AQ87" i="1"/>
  <c r="AN69" i="1"/>
  <c r="AO69" i="1"/>
  <c r="AP69" i="1"/>
  <c r="AQ69" i="1"/>
  <c r="AN63" i="1"/>
  <c r="AO63" i="1"/>
  <c r="AP63" i="1"/>
  <c r="AQ63" i="1"/>
  <c r="AN64" i="1"/>
  <c r="AO64" i="1"/>
  <c r="AP64" i="1"/>
  <c r="AQ64" i="1"/>
  <c r="AN141" i="1"/>
  <c r="AO141" i="1"/>
  <c r="AP141" i="1"/>
  <c r="AQ141" i="1"/>
  <c r="AN66" i="1"/>
  <c r="AO66" i="1"/>
  <c r="AP66" i="1"/>
  <c r="AQ66" i="1"/>
  <c r="AN67" i="1"/>
  <c r="AO67" i="1"/>
  <c r="AP67" i="1"/>
  <c r="AQ67" i="1"/>
  <c r="AN42" i="1"/>
  <c r="AO42" i="1"/>
  <c r="AP42" i="1"/>
  <c r="AQ42" i="1"/>
  <c r="AN142" i="1"/>
  <c r="AO142" i="1"/>
  <c r="AP142" i="1"/>
  <c r="AQ142" i="1"/>
  <c r="AN93" i="1"/>
  <c r="AO93" i="1"/>
  <c r="AP93" i="1"/>
  <c r="AQ93" i="1"/>
  <c r="AN71" i="1"/>
  <c r="AO71" i="1"/>
  <c r="AP71" i="1"/>
  <c r="AQ71" i="1"/>
  <c r="AN72" i="1"/>
  <c r="AO72" i="1"/>
  <c r="AP72" i="1"/>
  <c r="AQ72" i="1"/>
  <c r="AN73" i="1"/>
  <c r="AO73" i="1"/>
  <c r="AP73" i="1"/>
  <c r="AQ73" i="1"/>
  <c r="AN74" i="1"/>
  <c r="AO74" i="1"/>
  <c r="AP74" i="1"/>
  <c r="AQ74" i="1"/>
  <c r="AN75" i="1"/>
  <c r="AO75" i="1"/>
  <c r="AP75" i="1"/>
  <c r="AQ75" i="1"/>
  <c r="AN76" i="1"/>
  <c r="AO76" i="1"/>
  <c r="AP76" i="1"/>
  <c r="AQ76" i="1"/>
  <c r="AN77" i="1"/>
  <c r="AO77" i="1"/>
  <c r="AP77" i="1"/>
  <c r="AQ77" i="1"/>
  <c r="AN78" i="1"/>
  <c r="AO78" i="1"/>
  <c r="AP78" i="1"/>
  <c r="AQ78" i="1"/>
  <c r="AN79" i="1"/>
  <c r="AO79" i="1"/>
  <c r="AP79" i="1"/>
  <c r="AQ79" i="1"/>
  <c r="AN80" i="1"/>
  <c r="AO80" i="1"/>
  <c r="AP80" i="1"/>
  <c r="AQ80" i="1"/>
  <c r="AN81" i="1"/>
  <c r="AO81" i="1"/>
  <c r="AP81" i="1"/>
  <c r="AQ81" i="1"/>
  <c r="AN48" i="1"/>
  <c r="AO48" i="1"/>
  <c r="AP48" i="1"/>
  <c r="AQ48" i="1"/>
  <c r="AN83" i="1"/>
  <c r="AO83" i="1"/>
  <c r="AP83" i="1"/>
  <c r="AQ83" i="1"/>
  <c r="AN92" i="1"/>
  <c r="AO92" i="1"/>
  <c r="AP92" i="1"/>
  <c r="AQ92" i="1"/>
  <c r="AN119" i="1"/>
  <c r="AO119" i="1"/>
  <c r="AP119" i="1"/>
  <c r="AQ119" i="1"/>
  <c r="AN86" i="1"/>
  <c r="AO86" i="1"/>
  <c r="AP86" i="1"/>
  <c r="AQ86" i="1"/>
  <c r="AN61" i="1"/>
  <c r="AO61" i="1"/>
  <c r="AP61" i="1"/>
  <c r="AQ61" i="1"/>
  <c r="AN35" i="1"/>
  <c r="AO35" i="1"/>
  <c r="AP35" i="1"/>
  <c r="AQ35" i="1"/>
  <c r="AN89" i="1"/>
  <c r="AO89" i="1"/>
  <c r="AP89" i="1"/>
  <c r="AQ89" i="1"/>
  <c r="AN90" i="1"/>
  <c r="AO90" i="1"/>
  <c r="AP90" i="1"/>
  <c r="AQ90" i="1"/>
  <c r="AN91" i="1"/>
  <c r="AO91" i="1"/>
  <c r="AP91" i="1"/>
  <c r="AQ91" i="1"/>
  <c r="AN126" i="1"/>
  <c r="AO126" i="1"/>
  <c r="AP126" i="1"/>
  <c r="AQ126" i="1"/>
  <c r="AN85" i="1"/>
  <c r="AO85" i="1"/>
  <c r="AP85" i="1"/>
  <c r="AQ85" i="1"/>
  <c r="AN94" i="1"/>
  <c r="AO94" i="1"/>
  <c r="AP94" i="1"/>
  <c r="AQ94" i="1"/>
  <c r="AN95" i="1"/>
  <c r="AO95" i="1"/>
  <c r="AP95" i="1"/>
  <c r="AQ95" i="1"/>
  <c r="AN96" i="1"/>
  <c r="AO96" i="1"/>
  <c r="AP96" i="1"/>
  <c r="AQ96" i="1"/>
  <c r="AN97" i="1"/>
  <c r="AO97" i="1"/>
  <c r="AP97" i="1"/>
  <c r="AQ97" i="1"/>
  <c r="AN98" i="1"/>
  <c r="AO98" i="1"/>
  <c r="AP98" i="1"/>
  <c r="AQ98" i="1"/>
  <c r="AN118" i="1"/>
  <c r="AO118" i="1"/>
  <c r="AP118" i="1"/>
  <c r="AQ118" i="1"/>
  <c r="AN99" i="1"/>
  <c r="AO99" i="1"/>
  <c r="AP99" i="1"/>
  <c r="AQ99" i="1"/>
  <c r="AN100" i="1"/>
  <c r="AO100" i="1"/>
  <c r="AP100" i="1"/>
  <c r="AQ100" i="1"/>
  <c r="AN101" i="1"/>
  <c r="AO101" i="1"/>
  <c r="AP101" i="1"/>
  <c r="AQ101" i="1"/>
  <c r="AN102" i="1"/>
  <c r="AO102" i="1"/>
  <c r="AP102" i="1"/>
  <c r="AQ102" i="1"/>
  <c r="AN103" i="1"/>
  <c r="AO103" i="1"/>
  <c r="AP103" i="1"/>
  <c r="AQ103" i="1"/>
  <c r="AN104" i="1"/>
  <c r="AO104" i="1"/>
  <c r="AP104" i="1"/>
  <c r="AQ104" i="1"/>
  <c r="AN105" i="1"/>
  <c r="AO105" i="1"/>
  <c r="AP105" i="1"/>
  <c r="AQ105" i="1"/>
  <c r="AN106" i="1"/>
  <c r="AO106" i="1"/>
  <c r="AP106" i="1"/>
  <c r="AQ106" i="1"/>
  <c r="AN115" i="1"/>
  <c r="AO115" i="1"/>
  <c r="AP115" i="1"/>
  <c r="AQ115" i="1"/>
  <c r="AN108" i="1"/>
  <c r="AO108" i="1"/>
  <c r="AP108" i="1"/>
  <c r="AQ108" i="1"/>
  <c r="AN62" i="1"/>
  <c r="AO62" i="1"/>
  <c r="AP62" i="1"/>
  <c r="AQ62" i="1"/>
  <c r="AN110" i="1"/>
  <c r="AO110" i="1"/>
  <c r="AP110" i="1"/>
  <c r="AQ110" i="1"/>
  <c r="AN111" i="1"/>
  <c r="AO111" i="1"/>
  <c r="AP111" i="1"/>
  <c r="AQ111" i="1"/>
  <c r="AN112" i="1"/>
  <c r="AO112" i="1"/>
  <c r="AP112" i="1"/>
  <c r="AQ112" i="1"/>
  <c r="AN113" i="1"/>
  <c r="AO113" i="1"/>
  <c r="AP113" i="1"/>
  <c r="AQ113" i="1"/>
  <c r="AN114" i="1"/>
  <c r="AO114" i="1"/>
  <c r="AP114" i="1"/>
  <c r="AQ114" i="1"/>
  <c r="AN50" i="1"/>
  <c r="AO50" i="1"/>
  <c r="AP50" i="1"/>
  <c r="AQ50" i="1"/>
  <c r="AN116" i="1"/>
  <c r="AO116" i="1"/>
  <c r="AP116" i="1"/>
  <c r="AQ116" i="1"/>
  <c r="AN117" i="1"/>
  <c r="AO117" i="1"/>
  <c r="AP117" i="1"/>
  <c r="AQ117" i="1"/>
  <c r="AN146" i="1"/>
  <c r="AO146" i="1"/>
  <c r="AP146" i="1"/>
  <c r="AQ146" i="1"/>
  <c r="AN120" i="1"/>
  <c r="AO120" i="1"/>
  <c r="AP120" i="1"/>
  <c r="AQ120" i="1"/>
  <c r="AN121" i="1"/>
  <c r="AO121" i="1"/>
  <c r="AP121" i="1"/>
  <c r="AQ121" i="1"/>
  <c r="AN122" i="1"/>
  <c r="AO122" i="1"/>
  <c r="AP122" i="1"/>
  <c r="AQ122" i="1"/>
  <c r="AN123" i="1"/>
  <c r="AO123" i="1"/>
  <c r="AP123" i="1"/>
  <c r="AQ123" i="1"/>
  <c r="AN124" i="1"/>
  <c r="AO124" i="1"/>
  <c r="AP124" i="1"/>
  <c r="AQ124" i="1"/>
  <c r="AN125" i="1"/>
  <c r="AO125" i="1"/>
  <c r="AP125" i="1"/>
  <c r="AQ125" i="1"/>
  <c r="AN41" i="1"/>
  <c r="AO41" i="1"/>
  <c r="AP41" i="1"/>
  <c r="AQ41" i="1"/>
  <c r="AN127" i="1"/>
  <c r="AO127" i="1"/>
  <c r="AP127" i="1"/>
  <c r="AQ127" i="1"/>
  <c r="AN128" i="1"/>
  <c r="AO128" i="1"/>
  <c r="AP128" i="1"/>
  <c r="AQ128" i="1"/>
  <c r="AN129" i="1"/>
  <c r="AO129" i="1"/>
  <c r="AP129" i="1"/>
  <c r="AQ129" i="1"/>
  <c r="AN130" i="1"/>
  <c r="AO130" i="1"/>
  <c r="AP130" i="1"/>
  <c r="AQ130" i="1"/>
  <c r="AN131" i="1"/>
  <c r="AO131" i="1"/>
  <c r="AP131" i="1"/>
  <c r="AQ131" i="1"/>
  <c r="AN132" i="1"/>
  <c r="AO132" i="1"/>
  <c r="AP132" i="1"/>
  <c r="AQ132" i="1"/>
  <c r="AN133" i="1"/>
  <c r="AO133" i="1"/>
  <c r="AP133" i="1"/>
  <c r="AQ133" i="1"/>
  <c r="AN134" i="1"/>
  <c r="AO134" i="1"/>
  <c r="AP134" i="1"/>
  <c r="AQ134" i="1"/>
  <c r="AN135" i="1"/>
  <c r="AO135" i="1"/>
  <c r="AP135" i="1"/>
  <c r="AQ135" i="1"/>
  <c r="AN136" i="1"/>
  <c r="AO136" i="1"/>
  <c r="AP136" i="1"/>
  <c r="AQ136" i="1"/>
  <c r="AN137" i="1"/>
  <c r="AO137" i="1"/>
  <c r="AP137" i="1"/>
  <c r="AQ137" i="1"/>
  <c r="AN138" i="1"/>
  <c r="AO138" i="1"/>
  <c r="AP138" i="1"/>
  <c r="AQ138" i="1"/>
  <c r="AN139" i="1"/>
  <c r="AO139" i="1"/>
  <c r="AP139" i="1"/>
  <c r="AQ139" i="1"/>
  <c r="AN140" i="1"/>
  <c r="AO140" i="1"/>
  <c r="AP140" i="1"/>
  <c r="AQ140" i="1"/>
  <c r="AN109" i="1"/>
  <c r="AO109" i="1"/>
  <c r="AP109" i="1"/>
  <c r="AQ109" i="1"/>
  <c r="AN82" i="1"/>
  <c r="AO82" i="1"/>
  <c r="AP82" i="1"/>
  <c r="AQ82" i="1"/>
  <c r="AN143" i="1"/>
  <c r="AO143" i="1"/>
  <c r="AP143" i="1"/>
  <c r="AQ143" i="1"/>
  <c r="AN144" i="1"/>
  <c r="AO144" i="1"/>
  <c r="AP144" i="1"/>
  <c r="AN145" i="1"/>
  <c r="AO145" i="1"/>
  <c r="AP145" i="1"/>
  <c r="AQ145" i="1"/>
  <c r="AN52" i="1"/>
  <c r="AO52" i="1"/>
  <c r="AP52" i="1"/>
  <c r="AQ52" i="1"/>
  <c r="H21" i="2"/>
  <c r="H22" i="2"/>
  <c r="H23" i="2"/>
  <c r="H24" i="2"/>
  <c r="H25" i="2"/>
  <c r="H26" i="2"/>
  <c r="H27" i="2"/>
  <c r="H28" i="2"/>
  <c r="H29" i="2"/>
  <c r="H30" i="2"/>
  <c r="H31" i="2"/>
  <c r="H32" i="2"/>
  <c r="H33" i="2"/>
  <c r="H34" i="2"/>
  <c r="H35" i="2"/>
  <c r="H36" i="2"/>
  <c r="H15" i="2"/>
  <c r="H16" i="2"/>
  <c r="H17" i="2"/>
  <c r="H18" i="2"/>
  <c r="H20" i="2"/>
  <c r="H4" i="2"/>
  <c r="H5" i="2"/>
  <c r="H6" i="2"/>
  <c r="H7" i="2"/>
  <c r="H8" i="2"/>
  <c r="H9" i="2"/>
  <c r="H10" i="2"/>
  <c r="H11" i="2"/>
  <c r="H12" i="2"/>
  <c r="H13" i="2"/>
  <c r="H14" i="2"/>
  <c r="AR136" i="1" l="1"/>
  <c r="BA136" i="1"/>
  <c r="AR49" i="1"/>
  <c r="BA49" i="1"/>
  <c r="AX136" i="1"/>
  <c r="AX49" i="1"/>
  <c r="AX53" i="1"/>
  <c r="AX54" i="1"/>
  <c r="AX69" i="1"/>
  <c r="AX93" i="1"/>
  <c r="AX75" i="1"/>
  <c r="AX78" i="1"/>
  <c r="AX80" i="1"/>
  <c r="AX81" i="1"/>
  <c r="AX83" i="1"/>
  <c r="AX86" i="1"/>
  <c r="AX35" i="1"/>
  <c r="AX89" i="1"/>
  <c r="AX94" i="1"/>
  <c r="AX97" i="1"/>
  <c r="AX118" i="1"/>
  <c r="AX101" i="1"/>
  <c r="AX103" i="1"/>
  <c r="AX104" i="1"/>
  <c r="AX106" i="1"/>
  <c r="AX62" i="1"/>
  <c r="AX111" i="1"/>
  <c r="AX117" i="1"/>
  <c r="AX120" i="1"/>
  <c r="AX121" i="1"/>
  <c r="AX123" i="1"/>
  <c r="AX127" i="1"/>
  <c r="AX129" i="1"/>
  <c r="AX131" i="1"/>
  <c r="AX133" i="1"/>
  <c r="AX135" i="1"/>
  <c r="AX138" i="1"/>
  <c r="AX139" i="1"/>
  <c r="AX140" i="1"/>
  <c r="AX109" i="1"/>
  <c r="AX82" i="1"/>
  <c r="AX143" i="1"/>
  <c r="AX91" i="1"/>
  <c r="BA91" i="1"/>
  <c r="AX73" i="1"/>
  <c r="AX141" i="1"/>
  <c r="AX57" i="1"/>
  <c r="AX67" i="1"/>
  <c r="AX59" i="1"/>
  <c r="AX65" i="1"/>
  <c r="AX64" i="1"/>
  <c r="AX56" i="1"/>
  <c r="AX116" i="1"/>
  <c r="AX108" i="1"/>
  <c r="AX100" i="1"/>
  <c r="AX85" i="1"/>
  <c r="AX119" i="1"/>
  <c r="AX77" i="1"/>
  <c r="AX142" i="1"/>
  <c r="AX87" i="1"/>
  <c r="AX88" i="1"/>
  <c r="AX122" i="1"/>
  <c r="AX113" i="1"/>
  <c r="AX105" i="1"/>
  <c r="AX98" i="1"/>
  <c r="AX90" i="1"/>
  <c r="AX48" i="1"/>
  <c r="AX66" i="1"/>
  <c r="AX58" i="1"/>
  <c r="AX68" i="1"/>
  <c r="AX132" i="1"/>
  <c r="AX130" i="1"/>
  <c r="AX128" i="1"/>
  <c r="AX41" i="1"/>
  <c r="AX124" i="1"/>
  <c r="AX146" i="1"/>
  <c r="AX110" i="1"/>
  <c r="AX102" i="1"/>
  <c r="AX95" i="1"/>
  <c r="AX61" i="1"/>
  <c r="AX79" i="1"/>
  <c r="AX71" i="1"/>
  <c r="AX63" i="1"/>
  <c r="AX55" i="1"/>
  <c r="AX50" i="1"/>
  <c r="AX115" i="1"/>
  <c r="AX99" i="1"/>
  <c r="AX126" i="1"/>
  <c r="AX92" i="1"/>
  <c r="AX76" i="1"/>
  <c r="AX42" i="1"/>
  <c r="AZ151" i="1"/>
  <c r="AY151" i="1"/>
  <c r="AT151" i="1"/>
  <c r="AR114" i="1"/>
  <c r="AR91" i="1"/>
  <c r="AR125" i="1"/>
  <c r="AR60" i="1"/>
  <c r="AR74" i="1"/>
  <c r="AR137" i="1"/>
  <c r="AR144" i="1"/>
  <c r="AR96" i="1"/>
  <c r="AR72" i="1"/>
  <c r="AR134" i="1"/>
  <c r="AR112" i="1"/>
  <c r="AS3" i="1"/>
  <c r="AM3" i="1"/>
  <c r="AM1" i="1" s="1"/>
  <c r="AW151" i="1"/>
  <c r="AV151" i="1"/>
  <c r="AU151" i="1"/>
  <c r="AU136" i="1" l="1"/>
  <c r="AU49" i="1"/>
  <c r="AV136" i="1"/>
  <c r="AV49" i="1"/>
  <c r="AW136" i="1"/>
  <c r="AW49" i="1"/>
  <c r="AZ112" i="1"/>
  <c r="AY112" i="1"/>
  <c r="AX112" i="1"/>
  <c r="AW112" i="1"/>
  <c r="AV112" i="1"/>
  <c r="AU112" i="1"/>
  <c r="AT112" i="1"/>
  <c r="AZ134" i="1"/>
  <c r="AY134" i="1"/>
  <c r="AX134" i="1"/>
  <c r="AW134" i="1"/>
  <c r="AV134" i="1"/>
  <c r="AU134" i="1"/>
  <c r="AT134" i="1"/>
  <c r="AZ72" i="1"/>
  <c r="AY72" i="1"/>
  <c r="AX72" i="1"/>
  <c r="AW72" i="1"/>
  <c r="AV72" i="1"/>
  <c r="AU72" i="1"/>
  <c r="AT72" i="1"/>
  <c r="AZ96" i="1"/>
  <c r="AY96" i="1"/>
  <c r="AX96" i="1"/>
  <c r="AW96" i="1"/>
  <c r="AV96" i="1"/>
  <c r="AU96" i="1"/>
  <c r="AT96" i="1"/>
  <c r="AZ144" i="1"/>
  <c r="AY144" i="1"/>
  <c r="AX144" i="1"/>
  <c r="AW144" i="1"/>
  <c r="AV144" i="1"/>
  <c r="AU144" i="1"/>
  <c r="AT144" i="1"/>
  <c r="AZ137" i="1"/>
  <c r="AY137" i="1"/>
  <c r="AX137" i="1"/>
  <c r="AW137" i="1"/>
  <c r="AV137" i="1"/>
  <c r="AU137" i="1"/>
  <c r="AT137" i="1"/>
  <c r="AZ74" i="1"/>
  <c r="AY74" i="1"/>
  <c r="AX74" i="1"/>
  <c r="AW74" i="1"/>
  <c r="AV74" i="1"/>
  <c r="AU74" i="1"/>
  <c r="AT74" i="1"/>
  <c r="AZ60" i="1"/>
  <c r="AY60" i="1"/>
  <c r="AX60" i="1"/>
  <c r="AW60" i="1"/>
  <c r="AV60" i="1"/>
  <c r="AU60" i="1"/>
  <c r="AT60" i="1"/>
  <c r="AZ125" i="1"/>
  <c r="AY125" i="1"/>
  <c r="AX125" i="1"/>
  <c r="AW125" i="1"/>
  <c r="AV125" i="1"/>
  <c r="AU125" i="1"/>
  <c r="AT125" i="1"/>
  <c r="AZ114" i="1"/>
  <c r="AY114" i="1"/>
  <c r="AX114" i="1"/>
  <c r="AW114" i="1"/>
  <c r="AV114" i="1"/>
  <c r="AU114" i="1"/>
  <c r="AT114" i="1"/>
  <c r="AT136" i="1"/>
  <c r="AT49" i="1"/>
  <c r="AY136" i="1"/>
  <c r="AY49" i="1"/>
  <c r="AZ136" i="1"/>
  <c r="AZ49" i="1"/>
  <c r="AZ91" i="1"/>
  <c r="BA3" i="1"/>
  <c r="AX3" i="1"/>
  <c r="AW68" i="1"/>
  <c r="AW65" i="1"/>
  <c r="AW53" i="1"/>
  <c r="AW88" i="1"/>
  <c r="AW54" i="1"/>
  <c r="AW55" i="1"/>
  <c r="AW56" i="1"/>
  <c r="AW57" i="1"/>
  <c r="AW58" i="1"/>
  <c r="AW59" i="1"/>
  <c r="AW87" i="1"/>
  <c r="AW69" i="1"/>
  <c r="AW63" i="1"/>
  <c r="AW64" i="1"/>
  <c r="AW141" i="1"/>
  <c r="AW66" i="1"/>
  <c r="AW67" i="1"/>
  <c r="AW42" i="1"/>
  <c r="AW142" i="1"/>
  <c r="AW93" i="1"/>
  <c r="AW71" i="1"/>
  <c r="AW73" i="1"/>
  <c r="AW75" i="1"/>
  <c r="AW76" i="1"/>
  <c r="AW77" i="1"/>
  <c r="AW78" i="1"/>
  <c r="AW79" i="1"/>
  <c r="AW80" i="1"/>
  <c r="AW81" i="1"/>
  <c r="AW48" i="1"/>
  <c r="AW83" i="1"/>
  <c r="AW92" i="1"/>
  <c r="AW119" i="1"/>
  <c r="AW86" i="1"/>
  <c r="AW61" i="1"/>
  <c r="AW35" i="1"/>
  <c r="AW89" i="1"/>
  <c r="AW90" i="1"/>
  <c r="AW126" i="1"/>
  <c r="AW85" i="1"/>
  <c r="AW94" i="1"/>
  <c r="AW95" i="1"/>
  <c r="AW97" i="1"/>
  <c r="AW98" i="1"/>
  <c r="AW118" i="1"/>
  <c r="AW99" i="1"/>
  <c r="AW100" i="1"/>
  <c r="AW101" i="1"/>
  <c r="AW102" i="1"/>
  <c r="AW103" i="1"/>
  <c r="AW104" i="1"/>
  <c r="AW105" i="1"/>
  <c r="AW106" i="1"/>
  <c r="AW115" i="1"/>
  <c r="AW108" i="1"/>
  <c r="AW62" i="1"/>
  <c r="AW110" i="1"/>
  <c r="AW111" i="1"/>
  <c r="AW113" i="1"/>
  <c r="AW50" i="1"/>
  <c r="AW116" i="1"/>
  <c r="AW117" i="1"/>
  <c r="AW146" i="1"/>
  <c r="AW120" i="1"/>
  <c r="AW121" i="1"/>
  <c r="AW122" i="1"/>
  <c r="AW123" i="1"/>
  <c r="AW124" i="1"/>
  <c r="AW41" i="1"/>
  <c r="AW127" i="1"/>
  <c r="AW128" i="1"/>
  <c r="AW129" i="1"/>
  <c r="AW130" i="1"/>
  <c r="AW131" i="1"/>
  <c r="AW132" i="1"/>
  <c r="AW133" i="1"/>
  <c r="AW135" i="1"/>
  <c r="AW138" i="1"/>
  <c r="AW139" i="1"/>
  <c r="AW140" i="1"/>
  <c r="AW109" i="1"/>
  <c r="AW82" i="1"/>
  <c r="AW143" i="1"/>
  <c r="AV91" i="1"/>
  <c r="AY57" i="1"/>
  <c r="AY141" i="1"/>
  <c r="AY73" i="1"/>
  <c r="AY81" i="1"/>
  <c r="AY89" i="1"/>
  <c r="AY97" i="1"/>
  <c r="AY104" i="1"/>
  <c r="AY121" i="1"/>
  <c r="AY67" i="1"/>
  <c r="AY133" i="1"/>
  <c r="AY138" i="1"/>
  <c r="AY53" i="1"/>
  <c r="AY42" i="1"/>
  <c r="AY76" i="1"/>
  <c r="AY92" i="1"/>
  <c r="AY126" i="1"/>
  <c r="AY99" i="1"/>
  <c r="AY115" i="1"/>
  <c r="AY50" i="1"/>
  <c r="AY123" i="1"/>
  <c r="AY131" i="1"/>
  <c r="AY109" i="1"/>
  <c r="AY55" i="1"/>
  <c r="AY63" i="1"/>
  <c r="AY71" i="1"/>
  <c r="AY79" i="1"/>
  <c r="AY61" i="1"/>
  <c r="AY95" i="1"/>
  <c r="AY102" i="1"/>
  <c r="AY110" i="1"/>
  <c r="AY146" i="1"/>
  <c r="AY124" i="1"/>
  <c r="AY41" i="1"/>
  <c r="AY128" i="1"/>
  <c r="AY130" i="1"/>
  <c r="AY132" i="1"/>
  <c r="AY65" i="1"/>
  <c r="AY59" i="1"/>
  <c r="AY68" i="1"/>
  <c r="AY58" i="1"/>
  <c r="AY66" i="1"/>
  <c r="AY48" i="1"/>
  <c r="AY90" i="1"/>
  <c r="AY98" i="1"/>
  <c r="AY105" i="1"/>
  <c r="AY113" i="1"/>
  <c r="AY122" i="1"/>
  <c r="AY75" i="1"/>
  <c r="AY129" i="1"/>
  <c r="AY82" i="1"/>
  <c r="AY88" i="1"/>
  <c r="AY87" i="1"/>
  <c r="AY142" i="1"/>
  <c r="AY77" i="1"/>
  <c r="AY119" i="1"/>
  <c r="AY85" i="1"/>
  <c r="AY100" i="1"/>
  <c r="AY108" i="1"/>
  <c r="AY116" i="1"/>
  <c r="AY83" i="1"/>
  <c r="AY118" i="1"/>
  <c r="AY140" i="1"/>
  <c r="AY56" i="1"/>
  <c r="AY64" i="1"/>
  <c r="AY80" i="1"/>
  <c r="AY35" i="1"/>
  <c r="AY103" i="1"/>
  <c r="AY111" i="1"/>
  <c r="AY120" i="1"/>
  <c r="AY54" i="1"/>
  <c r="AY69" i="1"/>
  <c r="AY93" i="1"/>
  <c r="AY78" i="1"/>
  <c r="AY86" i="1"/>
  <c r="AY94" i="1"/>
  <c r="AY101" i="1"/>
  <c r="AY62" i="1"/>
  <c r="AY117" i="1"/>
  <c r="AY91" i="1"/>
  <c r="AY106" i="1"/>
  <c r="AY127" i="1"/>
  <c r="AY135" i="1"/>
  <c r="AY139" i="1"/>
  <c r="AY143" i="1"/>
  <c r="AZ68" i="1"/>
  <c r="AZ65" i="1"/>
  <c r="AZ53" i="1"/>
  <c r="AZ88" i="1"/>
  <c r="AZ54" i="1"/>
  <c r="AZ55" i="1"/>
  <c r="AZ56" i="1"/>
  <c r="AZ57" i="1"/>
  <c r="AZ58" i="1"/>
  <c r="AZ59" i="1"/>
  <c r="AZ87" i="1"/>
  <c r="AZ69" i="1"/>
  <c r="AZ63" i="1"/>
  <c r="AZ64" i="1"/>
  <c r="AZ141" i="1"/>
  <c r="AZ66" i="1"/>
  <c r="AZ67" i="1"/>
  <c r="AZ42" i="1"/>
  <c r="AZ142" i="1"/>
  <c r="AZ93" i="1"/>
  <c r="AZ71" i="1"/>
  <c r="AZ73" i="1"/>
  <c r="AZ75" i="1"/>
  <c r="AZ76" i="1"/>
  <c r="AZ77" i="1"/>
  <c r="AZ78" i="1"/>
  <c r="AZ79" i="1"/>
  <c r="AZ80" i="1"/>
  <c r="AZ81" i="1"/>
  <c r="AZ48" i="1"/>
  <c r="AZ83" i="1"/>
  <c r="AZ92" i="1"/>
  <c r="AZ119" i="1"/>
  <c r="AZ86" i="1"/>
  <c r="AZ61" i="1"/>
  <c r="AZ35" i="1"/>
  <c r="AZ89" i="1"/>
  <c r="AZ90" i="1"/>
  <c r="AZ126" i="1"/>
  <c r="AZ85" i="1"/>
  <c r="AZ94" i="1"/>
  <c r="AZ95" i="1"/>
  <c r="AZ97" i="1"/>
  <c r="AZ98" i="1"/>
  <c r="AZ118" i="1"/>
  <c r="AZ99" i="1"/>
  <c r="AZ100" i="1"/>
  <c r="AZ101" i="1"/>
  <c r="AZ102" i="1"/>
  <c r="AZ103" i="1"/>
  <c r="AZ104" i="1"/>
  <c r="AZ105" i="1"/>
  <c r="AZ106" i="1"/>
  <c r="AZ115" i="1"/>
  <c r="AZ108" i="1"/>
  <c r="AZ62" i="1"/>
  <c r="AZ110" i="1"/>
  <c r="AZ111" i="1"/>
  <c r="AZ113" i="1"/>
  <c r="AZ50" i="1"/>
  <c r="AZ116" i="1"/>
  <c r="AZ117" i="1"/>
  <c r="AZ146" i="1"/>
  <c r="AZ120" i="1"/>
  <c r="AZ121" i="1"/>
  <c r="AZ122" i="1"/>
  <c r="AZ124" i="1"/>
  <c r="AZ41" i="1"/>
  <c r="AZ128" i="1"/>
  <c r="AZ130" i="1"/>
  <c r="AZ132" i="1"/>
  <c r="AZ123" i="1"/>
  <c r="AZ127" i="1"/>
  <c r="AZ129" i="1"/>
  <c r="AZ131" i="1"/>
  <c r="AZ133" i="1"/>
  <c r="AZ135" i="1"/>
  <c r="AZ138" i="1"/>
  <c r="AZ139" i="1"/>
  <c r="AZ140" i="1"/>
  <c r="AZ109" i="1"/>
  <c r="AZ82" i="1"/>
  <c r="AZ143" i="1"/>
  <c r="AU68" i="1"/>
  <c r="AU65" i="1"/>
  <c r="AU53" i="1"/>
  <c r="AU88" i="1"/>
  <c r="AU54" i="1"/>
  <c r="AU55" i="1"/>
  <c r="AU56" i="1"/>
  <c r="AU57" i="1"/>
  <c r="AU58" i="1"/>
  <c r="AU59" i="1"/>
  <c r="AU87" i="1"/>
  <c r="AU69" i="1"/>
  <c r="AU63" i="1"/>
  <c r="AU64" i="1"/>
  <c r="AU141" i="1"/>
  <c r="AU66" i="1"/>
  <c r="AU67" i="1"/>
  <c r="AU42" i="1"/>
  <c r="AU142" i="1"/>
  <c r="AU93" i="1"/>
  <c r="AU71" i="1"/>
  <c r="AU73" i="1"/>
  <c r="AU75" i="1"/>
  <c r="AU76" i="1"/>
  <c r="AU77" i="1"/>
  <c r="AU78" i="1"/>
  <c r="AU79" i="1"/>
  <c r="AU80" i="1"/>
  <c r="AU81" i="1"/>
  <c r="AU48" i="1"/>
  <c r="AU83" i="1"/>
  <c r="AU92" i="1"/>
  <c r="AU119" i="1"/>
  <c r="AU86" i="1"/>
  <c r="AU61" i="1"/>
  <c r="AU35" i="1"/>
  <c r="AU89" i="1"/>
  <c r="AU90" i="1"/>
  <c r="AU126" i="1"/>
  <c r="AU85" i="1"/>
  <c r="AU94" i="1"/>
  <c r="AU95" i="1"/>
  <c r="AU97" i="1"/>
  <c r="AU98" i="1"/>
  <c r="AU118" i="1"/>
  <c r="AU99" i="1"/>
  <c r="AU100" i="1"/>
  <c r="AU101" i="1"/>
  <c r="AU102" i="1"/>
  <c r="AU103" i="1"/>
  <c r="AU104" i="1"/>
  <c r="AU105" i="1"/>
  <c r="AU106" i="1"/>
  <c r="AU115" i="1"/>
  <c r="AU108" i="1"/>
  <c r="AU62" i="1"/>
  <c r="AU110" i="1"/>
  <c r="AU111" i="1"/>
  <c r="AU113" i="1"/>
  <c r="AU50" i="1"/>
  <c r="AU116" i="1"/>
  <c r="AU117" i="1"/>
  <c r="AU146" i="1"/>
  <c r="AU120" i="1"/>
  <c r="AU121" i="1"/>
  <c r="AU122" i="1"/>
  <c r="AU123" i="1"/>
  <c r="AU124" i="1"/>
  <c r="AU41" i="1"/>
  <c r="AU127" i="1"/>
  <c r="AU128" i="1"/>
  <c r="AU129" i="1"/>
  <c r="AU130" i="1"/>
  <c r="AU131" i="1"/>
  <c r="AU132" i="1"/>
  <c r="AU133" i="1"/>
  <c r="AU135" i="1"/>
  <c r="AU138" i="1"/>
  <c r="AU139" i="1"/>
  <c r="AU140" i="1"/>
  <c r="AU109" i="1"/>
  <c r="AU82" i="1"/>
  <c r="AU143" i="1"/>
  <c r="AW91" i="1"/>
  <c r="AT91" i="1"/>
  <c r="AT68" i="1"/>
  <c r="AT65" i="1"/>
  <c r="AT53" i="1"/>
  <c r="AT88" i="1"/>
  <c r="AT54" i="1"/>
  <c r="AT55" i="1"/>
  <c r="AT56" i="1"/>
  <c r="AT57" i="1"/>
  <c r="AT58" i="1"/>
  <c r="AT59" i="1"/>
  <c r="AT87" i="1"/>
  <c r="AT69" i="1"/>
  <c r="AT63" i="1"/>
  <c r="AT64" i="1"/>
  <c r="AT141" i="1"/>
  <c r="AT66" i="1"/>
  <c r="AT67" i="1"/>
  <c r="AT42" i="1"/>
  <c r="AT142" i="1"/>
  <c r="AT93" i="1"/>
  <c r="AT71" i="1"/>
  <c r="AT73" i="1"/>
  <c r="AT75" i="1"/>
  <c r="AT76" i="1"/>
  <c r="AT77" i="1"/>
  <c r="AT78" i="1"/>
  <c r="AT79" i="1"/>
  <c r="AT80" i="1"/>
  <c r="AT81" i="1"/>
  <c r="AT48" i="1"/>
  <c r="AT83" i="1"/>
  <c r="AT92" i="1"/>
  <c r="AT119" i="1"/>
  <c r="AT86" i="1"/>
  <c r="AT61" i="1"/>
  <c r="AT35" i="1"/>
  <c r="AT89" i="1"/>
  <c r="AT90" i="1"/>
  <c r="AT126" i="1"/>
  <c r="AT85" i="1"/>
  <c r="AT94" i="1"/>
  <c r="AT95" i="1"/>
  <c r="AT97" i="1"/>
  <c r="AT98" i="1"/>
  <c r="AT118" i="1"/>
  <c r="AT99" i="1"/>
  <c r="AT100" i="1"/>
  <c r="AT101" i="1"/>
  <c r="AT102" i="1"/>
  <c r="AT103" i="1"/>
  <c r="AT104" i="1"/>
  <c r="AT105" i="1"/>
  <c r="AT106" i="1"/>
  <c r="AT115" i="1"/>
  <c r="AT108" i="1"/>
  <c r="AT62" i="1"/>
  <c r="AT110" i="1"/>
  <c r="AT111" i="1"/>
  <c r="AT113" i="1"/>
  <c r="AT50" i="1"/>
  <c r="AT116" i="1"/>
  <c r="AT117" i="1"/>
  <c r="AT146" i="1"/>
  <c r="AT120" i="1"/>
  <c r="AT121" i="1"/>
  <c r="AT122" i="1"/>
  <c r="AT123" i="1"/>
  <c r="AT124" i="1"/>
  <c r="AT41" i="1"/>
  <c r="AT127" i="1"/>
  <c r="AT128" i="1"/>
  <c r="AT129" i="1"/>
  <c r="AT130" i="1"/>
  <c r="AT131" i="1"/>
  <c r="AT132" i="1"/>
  <c r="AT133" i="1"/>
  <c r="AT135" i="1"/>
  <c r="AT138" i="1"/>
  <c r="AT139" i="1"/>
  <c r="AT140" i="1"/>
  <c r="AT109" i="1"/>
  <c r="AT82" i="1"/>
  <c r="AT143" i="1"/>
  <c r="AV68" i="1"/>
  <c r="AV65" i="1"/>
  <c r="AV53" i="1"/>
  <c r="AV88" i="1"/>
  <c r="AV54" i="1"/>
  <c r="AV55" i="1"/>
  <c r="AV56" i="1"/>
  <c r="AV57" i="1"/>
  <c r="AV58" i="1"/>
  <c r="AV59" i="1"/>
  <c r="AV87" i="1"/>
  <c r="AV69" i="1"/>
  <c r="AV63" i="1"/>
  <c r="AV64" i="1"/>
  <c r="AV141" i="1"/>
  <c r="AV66" i="1"/>
  <c r="AV67" i="1"/>
  <c r="AV42" i="1"/>
  <c r="AV142" i="1"/>
  <c r="AV93" i="1"/>
  <c r="AV71" i="1"/>
  <c r="AV73" i="1"/>
  <c r="AV75" i="1"/>
  <c r="AV76" i="1"/>
  <c r="AV77" i="1"/>
  <c r="AV78" i="1"/>
  <c r="AV79" i="1"/>
  <c r="AV80" i="1"/>
  <c r="AV81" i="1"/>
  <c r="AV48" i="1"/>
  <c r="AV83" i="1"/>
  <c r="AV92" i="1"/>
  <c r="AV119" i="1"/>
  <c r="AV86" i="1"/>
  <c r="AV61" i="1"/>
  <c r="AV35" i="1"/>
  <c r="AV89" i="1"/>
  <c r="AV90" i="1"/>
  <c r="AV126" i="1"/>
  <c r="AV85" i="1"/>
  <c r="AV94" i="1"/>
  <c r="AV95" i="1"/>
  <c r="AV97" i="1"/>
  <c r="AV98" i="1"/>
  <c r="AV118" i="1"/>
  <c r="AV99" i="1"/>
  <c r="AV100" i="1"/>
  <c r="AV101" i="1"/>
  <c r="AV102" i="1"/>
  <c r="AV103" i="1"/>
  <c r="AV104" i="1"/>
  <c r="AV105" i="1"/>
  <c r="AV106" i="1"/>
  <c r="AV115" i="1"/>
  <c r="AV108" i="1"/>
  <c r="AV62" i="1"/>
  <c r="AV110" i="1"/>
  <c r="AV111" i="1"/>
  <c r="AV113" i="1"/>
  <c r="AV50" i="1"/>
  <c r="AV116" i="1"/>
  <c r="AV117" i="1"/>
  <c r="AV146" i="1"/>
  <c r="AV120" i="1"/>
  <c r="AV121" i="1"/>
  <c r="AV122" i="1"/>
  <c r="AV123" i="1"/>
  <c r="AV124" i="1"/>
  <c r="AV41" i="1"/>
  <c r="AV127" i="1"/>
  <c r="AV128" i="1"/>
  <c r="AV129" i="1"/>
  <c r="AV130" i="1"/>
  <c r="AV131" i="1"/>
  <c r="AV132" i="1"/>
  <c r="AV133" i="1"/>
  <c r="AV135" i="1"/>
  <c r="AV138" i="1"/>
  <c r="AV139" i="1"/>
  <c r="AV140" i="1"/>
  <c r="AV109" i="1"/>
  <c r="AV82" i="1"/>
  <c r="AV143" i="1"/>
  <c r="AU91" i="1"/>
  <c r="AR3" i="1"/>
  <c r="AR1" i="1" s="1"/>
  <c r="AT3" i="1" l="1"/>
  <c r="AY3" i="1"/>
  <c r="AV3" i="1"/>
  <c r="AZ3" i="1"/>
  <c r="AW3" i="1"/>
  <c r="AU3" i="1"/>
  <c r="AT1" i="1" l="1"/>
</calcChain>
</file>

<file path=xl/sharedStrings.xml><?xml version="1.0" encoding="utf-8"?>
<sst xmlns="http://schemas.openxmlformats.org/spreadsheetml/2006/main" count="4193" uniqueCount="666">
  <si>
    <t>Row Labels</t>
  </si>
  <si>
    <t>Count of Application Long Name</t>
  </si>
  <si>
    <t>Sum of Current FTC</t>
  </si>
  <si>
    <t>Sum of Current FTE</t>
  </si>
  <si>
    <t>Sum of Current MGCC</t>
  </si>
  <si>
    <t>Sum of Target # of FTC</t>
  </si>
  <si>
    <t>Reduction by Area</t>
  </si>
  <si>
    <t>Common Service Platform</t>
  </si>
  <si>
    <t>contract management</t>
  </si>
  <si>
    <t>Corporate Related</t>
  </si>
  <si>
    <t>Customer Care / Call Center Related</t>
  </si>
  <si>
    <t>Data Infrastructure</t>
  </si>
  <si>
    <t>Fee Management</t>
  </si>
  <si>
    <t>Insurance Claims and Benefits Payment Related</t>
  </si>
  <si>
    <t>Marketing/Direct Business Related</t>
  </si>
  <si>
    <t>New Contract Related</t>
  </si>
  <si>
    <t>Sales / Insurance Recruitment</t>
  </si>
  <si>
    <t>Storage and Preservation Related</t>
  </si>
  <si>
    <t>Grand Total</t>
  </si>
  <si>
    <t>Reduction by Practice</t>
  </si>
  <si>
    <t>Cloud</t>
  </si>
  <si>
    <t>Data</t>
  </si>
  <si>
    <t>Digital</t>
  </si>
  <si>
    <t>Himawari</t>
  </si>
  <si>
    <t>WPSCFC-JPN</t>
  </si>
  <si>
    <t>Mainframe</t>
  </si>
  <si>
    <t>ASP Bridge(H) MF-JPN</t>
  </si>
  <si>
    <t>CCA MF-JPN</t>
  </si>
  <si>
    <t>CT Salary  MF-JPN</t>
  </si>
  <si>
    <t>Data Send System for BANC  MF-JP</t>
  </si>
  <si>
    <t>Foreign MF-JPN</t>
  </si>
  <si>
    <t>LC AACOMP MF-JPN</t>
  </si>
  <si>
    <t>LC AAPerf MF-JPN</t>
  </si>
  <si>
    <t>LC Billing MF-JPN</t>
  </si>
  <si>
    <t>LC Collection MF-JPN</t>
  </si>
  <si>
    <t>LC Corresponding MF-JPN</t>
  </si>
  <si>
    <t>LC GL/SC MF-JPN</t>
  </si>
  <si>
    <t>LC Micro MF-JPN</t>
  </si>
  <si>
    <t>LC Payment MF-JPN</t>
  </si>
  <si>
    <t>LC POSPMC MF-JPN</t>
  </si>
  <si>
    <t>LC Reins MF-JPN</t>
  </si>
  <si>
    <t>LC Submit MF-JPN</t>
  </si>
  <si>
    <t>LC UWI MF-JPN</t>
  </si>
  <si>
    <t>LC Valuation MF-JPN</t>
  </si>
  <si>
    <t>LINC MF-JPN</t>
  </si>
  <si>
    <t>Maturity MF-JPN</t>
  </si>
  <si>
    <t>MCFA CP DB MF-JPN</t>
  </si>
  <si>
    <t>Policy UWIBATCH MF-JPN</t>
  </si>
  <si>
    <t>PremCollectDBMF-JPN</t>
  </si>
  <si>
    <t>Processor-I MF-JPN</t>
  </si>
  <si>
    <t>SWINGMANAGER MF-JPN</t>
  </si>
  <si>
    <t>TaxCertification MF-JPN</t>
  </si>
  <si>
    <t>(blank)</t>
  </si>
  <si>
    <t>Count of EAI Application ID</t>
  </si>
  <si>
    <t>Column Labels</t>
  </si>
  <si>
    <t>Y/N</t>
  </si>
  <si>
    <t>(All)</t>
  </si>
  <si>
    <t>Total Count of EAI Application ID</t>
  </si>
  <si>
    <t>Total Sum of Total</t>
  </si>
  <si>
    <t>Sum of Total</t>
  </si>
  <si>
    <t>Composition of Run</t>
  </si>
  <si>
    <t>Capgemini Presence</t>
  </si>
  <si>
    <t>AD Coverage</t>
  </si>
  <si>
    <t>AMS Coverage</t>
  </si>
  <si>
    <t>QA Coverage</t>
  </si>
  <si>
    <t>Remarks</t>
  </si>
  <si>
    <t>EAI Application ID</t>
  </si>
  <si>
    <t>Application</t>
  </si>
  <si>
    <t>Application Long Name</t>
  </si>
  <si>
    <t>Application Description</t>
  </si>
  <si>
    <r>
      <rPr>
        <sz val="10"/>
        <color theme="1"/>
        <rFont val="ＭＳ Ｐゴシック"/>
        <family val="2"/>
        <charset val="128"/>
      </rPr>
      <t>domain</t>
    </r>
    <rPh sb="0" eb="2">
      <t>リョウイキ</t>
    </rPh>
    <phoneticPr fontId="1"/>
  </si>
  <si>
    <t>Group</t>
    <phoneticPr fontId="1"/>
  </si>
  <si>
    <t>Team</t>
    <phoneticPr fontId="1"/>
  </si>
  <si>
    <t>Host Support structure</t>
  </si>
  <si>
    <t>Application Class</t>
  </si>
  <si>
    <t>Application Status</t>
  </si>
  <si>
    <t>Primary Support Team</t>
    <phoneticPr fontId="1"/>
  </si>
  <si>
    <t>Critical Application Indicator</t>
  </si>
  <si>
    <t>Business Sponsor LOB</t>
  </si>
  <si>
    <t>Internet Facing Application</t>
  </si>
  <si>
    <t>Application Hosting</t>
  </si>
  <si>
    <t>General Application Profile</t>
  </si>
  <si>
    <t>Operating System/ Platform</t>
  </si>
  <si>
    <t>Primary Code Language</t>
  </si>
  <si>
    <t>Application Source Code Ownership</t>
  </si>
  <si>
    <t>Cloud_Platform</t>
  </si>
  <si>
    <t>Cloud_Indicator</t>
  </si>
  <si>
    <t>In Scope</t>
    <phoneticPr fontId="1"/>
  </si>
  <si>
    <r>
      <rPr>
        <sz val="10"/>
        <color theme="1"/>
        <rFont val="ＭＳ Ｐゴシック"/>
        <family val="2"/>
        <charset val="128"/>
      </rPr>
      <t>Development</t>
    </r>
  </si>
  <si>
    <r>
      <rPr>
        <sz val="10"/>
        <color theme="1"/>
        <rFont val="ＭＳ Ｐゴシック"/>
        <family val="2"/>
        <charset val="128"/>
      </rPr>
      <t>conservative</t>
    </r>
    <rPh sb="0" eb="2">
      <t>ホシュ</t>
    </rPh>
    <phoneticPr fontId="1"/>
  </si>
  <si>
    <t>Infrastructure Operation</t>
    <rPh sb="0" eb="4">
      <t>キバンウンヨウ</t>
    </rPh>
    <phoneticPr fontId="1"/>
  </si>
  <si>
    <r>
      <rPr>
        <sz val="10"/>
        <color theme="1"/>
        <rFont val="ＭＳ Ｐゴシック"/>
        <family val="2"/>
        <charset val="128"/>
      </rPr>
      <t>Priority Transfer Targets</t>
    </r>
    <rPh sb="0" eb="2">
      <t>ユウセン</t>
    </rPh>
    <rPh sb="2" eb="4">
      <t>ヒキツ</t>
    </rPh>
    <rPh sb="4" eb="6">
      <t>タイショウ</t>
    </rPh>
    <phoneticPr fontId="1"/>
  </si>
  <si>
    <t>Current FTC</t>
    <phoneticPr fontId="1"/>
  </si>
  <si>
    <t>Current FTE</t>
    <phoneticPr fontId="1"/>
  </si>
  <si>
    <t>Current MGCC</t>
    <phoneticPr fontId="1"/>
  </si>
  <si>
    <t>Total</t>
    <phoneticPr fontId="1"/>
  </si>
  <si>
    <t>% of PRJ</t>
  </si>
  <si>
    <t>Target # of FTC</t>
    <phoneticPr fontId="1"/>
  </si>
  <si>
    <t>Target # of FTE/MGCC</t>
    <phoneticPr fontId="1"/>
  </si>
  <si>
    <t>Comments</t>
    <phoneticPr fontId="1"/>
  </si>
  <si>
    <t>RUN FTE (based on %PRJ)</t>
  </si>
  <si>
    <t>T3 HC</t>
  </si>
  <si>
    <t>CSO_QA ScopeHC</t>
  </si>
  <si>
    <t>in FTE equivalent (basis Billing)</t>
  </si>
  <si>
    <t>AD Scope (Assumed)</t>
  </si>
  <si>
    <t>AM Scope(Assumed)</t>
  </si>
  <si>
    <t>BA</t>
  </si>
  <si>
    <t>BSA</t>
  </si>
  <si>
    <t>Dev</t>
  </si>
  <si>
    <t>Tester</t>
  </si>
  <si>
    <t>SRE</t>
  </si>
  <si>
    <t>Scrum Master</t>
  </si>
  <si>
    <t>Architects</t>
  </si>
  <si>
    <t>AM</t>
  </si>
  <si>
    <t>Is Total Changed</t>
  </si>
  <si>
    <t>Yes</t>
  </si>
  <si>
    <t>Global Sales Comp - Japan</t>
  </si>
  <si>
    <t>Responsible for data integration (ETL) between ICM (11004) and Life-Comm. Runs on US environments.</t>
    <phoneticPr fontId="1"/>
  </si>
  <si>
    <r>
      <rPr>
        <sz val="10"/>
        <color theme="1"/>
        <rFont val="ＭＳ Ｐゴシック"/>
        <family val="2"/>
        <charset val="128"/>
      </rPr>
      <t>Fee Management</t>
    </r>
    <rPh sb="0" eb="5">
      <t>テスウリョウカンリ</t>
    </rPh>
    <phoneticPr fontId="1"/>
  </si>
  <si>
    <t>Core Insurance Systems Group 34956</t>
  </si>
  <si>
    <t>Commission Systems Team 34958</t>
  </si>
  <si>
    <t>MetLife IT Hosted/Supported</t>
  </si>
  <si>
    <t>Core Business Application</t>
  </si>
  <si>
    <t>Production</t>
  </si>
  <si>
    <t>AD Supported</t>
  </si>
  <si>
    <t>N</t>
  </si>
  <si>
    <t>Asia Region</t>
  </si>
  <si>
    <t>Other#Schduler / orchastration tool call servers batches.</t>
  </si>
  <si>
    <t/>
  </si>
  <si>
    <t>Other#Infomatica workflow
Bash shell
Dos batch</t>
  </si>
  <si>
    <t>Non-MetLife Owned Application Code (3rd party/COTS)</t>
  </si>
  <si>
    <t>Software as a Service (SaaS)</t>
  </si>
  <si>
    <t>Y</t>
  </si>
  <si>
    <t>N</t>
    <phoneticPr fontId="1"/>
  </si>
  <si>
    <r>
      <rPr>
        <sz val="10"/>
        <color theme="1"/>
        <rFont val="游ゴシック"/>
        <family val="2"/>
      </rPr>
      <t>The number of personnel is included in 11004.</t>
    </r>
    <phoneticPr fontId="1"/>
  </si>
  <si>
    <t>LifeComm POSPMC</t>
  </si>
  <si>
    <t>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t>
    <phoneticPr fontId="1"/>
  </si>
  <si>
    <r>
      <rPr>
        <sz val="10"/>
        <color theme="1"/>
        <rFont val="ＭＳ Ｐゴシック"/>
        <family val="2"/>
        <charset val="128"/>
      </rPr>
      <t>contract management</t>
    </r>
    <rPh sb="0" eb="2">
      <t>ケイヤク</t>
    </rPh>
    <rPh sb="2" eb="4">
      <t>カンリ</t>
    </rPh>
    <phoneticPr fontId="1"/>
  </si>
  <si>
    <t>Policy Admin Systems Team 34957</t>
  </si>
  <si>
    <t>Global Technology &amp; Operations</t>
  </si>
  <si>
    <t>No</t>
  </si>
  <si>
    <t>Other#Mainframe</t>
  </si>
  <si>
    <t>Assembler, COBOL, MU(EASYPLUS), JCL</t>
    <phoneticPr fontId="1"/>
  </si>
  <si>
    <t>MetLife Owned Application Code</t>
  </si>
  <si>
    <t>LifeComm Billing</t>
  </si>
  <si>
    <t>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t>
    <phoneticPr fontId="1"/>
  </si>
  <si>
    <t>COBOL, Assembler, MU(EASYPLUS), JCL</t>
    <phoneticPr fontId="1"/>
  </si>
  <si>
    <t>LifeComm Collection</t>
  </si>
  <si>
    <r>
      <rPr>
        <sz val="10"/>
        <color theme="1"/>
        <rFont val="游ゴシック"/>
        <family val="2"/>
      </rPr>
      <t>The number of staff is included in the 9,800</t>
    </r>
    <phoneticPr fontId="1"/>
  </si>
  <si>
    <t>LifeComm Corresponding</t>
  </si>
  <si>
    <t>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t>
    <phoneticPr fontId="1"/>
  </si>
  <si>
    <t>LifeComm  UWI</t>
  </si>
  <si>
    <t>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t>
    <phoneticPr fontId="1"/>
  </si>
  <si>
    <t>LifeComm AgentAgencyPerformance</t>
  </si>
  <si>
    <t>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t>
    <phoneticPr fontId="1"/>
  </si>
  <si>
    <t>LifeComm Payment</t>
  </si>
  <si>
    <t>A subsystem based on LifeComm (mainframe package). As a business domain, it handles payments. While we maintain the features built with assembler, our company's main features are developed in COBOL, and except for table modifications, we are not continuously developing assemblers.</t>
    <phoneticPr fontId="1"/>
  </si>
  <si>
    <t>LifeComm GL/SC</t>
  </si>
  <si>
    <t>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t>
    <phoneticPr fontId="1"/>
  </si>
  <si>
    <t>Financial Management Group</t>
  </si>
  <si>
    <t>LifeComm Valuation</t>
  </si>
  <si>
    <t>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t>
    <phoneticPr fontId="1"/>
  </si>
  <si>
    <t>LifeComm AgentAgencyComp</t>
  </si>
  <si>
    <t>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t>
    <phoneticPr fontId="1"/>
  </si>
  <si>
    <t>Claim payment (Processor-I)</t>
  </si>
  <si>
    <t>A subsystem based on a different package from LifeComm (mainframe package). As a business domain, it is responsible for payment of benefits and insurance claims. It is basically built with COBOL, and except for the LIFECOMM integration part, almost no assembler is used.</t>
    <phoneticPr fontId="1"/>
  </si>
  <si>
    <t>COBOL, MU(EASYPLUS), Assembler, JCL</t>
    <phoneticPr fontId="1"/>
  </si>
  <si>
    <t>Submit Online</t>
  </si>
  <si>
    <r>
      <rPr>
        <sz val="10"/>
        <color theme="1"/>
        <rFont val="ＭＳ Ｐゴシック"/>
        <family val="3"/>
        <charset val="128"/>
      </rPr>
      <t>A subsystem developed in-house. As a business domain, it provides daily performance updates. It is basically built with COBOL, and except for the LIFECOMM integration part, almost no assembler is used.</t>
    </r>
    <phoneticPr fontId="1"/>
  </si>
  <si>
    <t>Micro-Index</t>
  </si>
  <si>
    <r>
      <rPr>
        <sz val="10"/>
        <color theme="1"/>
        <rFont val="ＭＳ Ｐゴシック"/>
        <family val="3"/>
        <charset val="128"/>
      </rPr>
      <t>A subsystem developed in-house. It is a collection of numerous detailed functions. It is basically built with COBOL, and except for the LIFECOMM integration part, almost no assembler is used.</t>
    </r>
    <phoneticPr fontId="1"/>
  </si>
  <si>
    <t>Foreign</t>
  </si>
  <si>
    <r>
      <rPr>
        <sz val="10"/>
        <color theme="1"/>
        <rFont val="ＭＳ Ｐゴシック"/>
        <family val="3"/>
        <charset val="128"/>
      </rPr>
      <t>A subsystem developed in-house. Responsible for managing foreign contracts. It is basically built with COBOL, and except for the LIFECOMM integration part, almost no assembler is used.</t>
    </r>
    <phoneticPr fontId="1"/>
  </si>
  <si>
    <r>
      <rPr>
        <sz val="10"/>
        <color theme="1"/>
        <rFont val="游ゴシック"/>
        <family val="2"/>
      </rPr>
      <t>The number of personnel is included in the 9813</t>
    </r>
    <phoneticPr fontId="1"/>
  </si>
  <si>
    <t>CT Salary System</t>
  </si>
  <si>
    <r>
      <rPr>
        <sz val="10"/>
        <color theme="1"/>
        <rFont val="ＭＳ Ｐゴシック"/>
        <family val="3"/>
        <charset val="128"/>
      </rPr>
      <t>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t>
    </r>
    <phoneticPr fontId="1"/>
  </si>
  <si>
    <t>TaxCertification</t>
  </si>
  <si>
    <r>
      <rPr>
        <sz val="10"/>
        <color theme="1"/>
        <rFont val="ＭＳ Ｐゴシック"/>
        <family val="3"/>
        <charset val="128"/>
      </rPr>
      <t>A subsystem developed in-house. As a business domain, it serves as proof of deductions. It is basically built with COBOL, and except for the LIFECOMM integration part, almost no assembler is used.</t>
    </r>
    <phoneticPr fontId="1"/>
  </si>
  <si>
    <t>Core Insurance Systems Group 34956</t>
    <phoneticPr fontId="1"/>
  </si>
  <si>
    <t>SWING MANAGER</t>
  </si>
  <si>
    <r>
      <rPr>
        <sz val="10"/>
        <color theme="1"/>
        <rFont val="ＭＳ Ｐゴシック"/>
        <family val="3"/>
        <charset val="128"/>
      </rPr>
      <t>A subsystem developed in-house. He is responsible for managing the savings fund of Universal Life. It is managed together with EAI:9796. It is basically built with COBOL, and except for the LIFECOMM integration part, almost no assembler is used.</t>
    </r>
    <phoneticPr fontId="1"/>
  </si>
  <si>
    <r>
      <rPr>
        <sz val="10"/>
        <color theme="1"/>
        <rFont val="游ゴシック"/>
        <family val="2"/>
      </rPr>
      <t>The number of personnel is included in 9796.</t>
    </r>
    <phoneticPr fontId="1"/>
  </si>
  <si>
    <t>Premium Collection History DB</t>
  </si>
  <si>
    <r>
      <rPr>
        <sz val="10"/>
        <color theme="1"/>
        <rFont val="ＭＳ Ｐゴシック"/>
        <family val="3"/>
        <charset val="128"/>
      </rPr>
      <t>A subsystem developed in-house. It is responsible for the deposit history function. It is managed together with EAI:9796. It is basically built with COBOL, and except for the LIFECOMM integration part, almost no assembler is used.</t>
    </r>
    <phoneticPr fontId="1"/>
  </si>
  <si>
    <t>MCFA Coupon DB</t>
  </si>
  <si>
    <r>
      <rPr>
        <sz val="10"/>
        <color theme="1"/>
        <rFont val="ＭＳ Ｐゴシック"/>
        <family val="3"/>
        <charset val="128"/>
      </rPr>
      <t>A subsystem developed in-house. It serves as the fixed withdrawal function for MCFA (pension insurance). It is managed together with EAI:9796. It is basically built with COBOL, and except for the LIFECOMM integration part, almost no assembler is used.</t>
    </r>
    <phoneticPr fontId="1"/>
  </si>
  <si>
    <t>Payment  maturity existing benefit etc</t>
  </si>
  <si>
    <r>
      <rPr>
        <sz val="10"/>
        <color theme="1"/>
        <rFont val="ＭＳ Ｐゴシック"/>
        <family val="3"/>
        <charset val="128"/>
      </rPr>
      <t>A subsystem developed in-house. As a business domain, it serves as maturity. It is basically built with COBOL, and except for the LIFECOMM integration part, almost no assembler is used.</t>
    </r>
    <phoneticPr fontId="1"/>
  </si>
  <si>
    <t>Reinsurance</t>
  </si>
  <si>
    <r>
      <rPr>
        <sz val="10"/>
        <color theme="1"/>
        <rFont val="ＭＳ Ｐゴシック"/>
        <family val="3"/>
        <charset val="128"/>
      </rPr>
      <t>A subsystem developed in-house. As a business domain, it handles reinsurance. It is basically built with COBOL, and except for the LIFECOMM integration part, almost no assembler is used.</t>
    </r>
    <phoneticPr fontId="1"/>
  </si>
  <si>
    <t>ASP Bridge (HOST)</t>
  </si>
  <si>
    <r>
      <rPr>
        <sz val="10"/>
        <color theme="1"/>
        <rFont val="ＭＳ Ｐゴシック"/>
        <family val="3"/>
        <charset val="128"/>
      </rPr>
      <t>A subsystem developed in-house. It handles interfaces (data integration) with EAI:9925 and EAI:12559. It is basically built with COBOL, and except for the LIFECOMM integration part, almost no assembler is used.</t>
    </r>
    <phoneticPr fontId="1"/>
  </si>
  <si>
    <t>Common Service Business Application</t>
  </si>
  <si>
    <t>Client Contract Administration</t>
  </si>
  <si>
    <t>A subsystem based on a different package from LifeComm (mainframe package). As a business domain, it serves as a customer name impersonation. It is basically built with COBOL, and except for the LIFECOMM integration part, almost no assembler is used.</t>
    <phoneticPr fontId="1"/>
  </si>
  <si>
    <t>C04NWC-JPN</t>
  </si>
  <si>
    <t>CenterServer</t>
  </si>
  <si>
    <t>Rule engine for new contract workflows</t>
    <rPh sb="9" eb="10">
      <t>ヨウ</t>
    </rPh>
    <phoneticPr fontId="1"/>
  </si>
  <si>
    <r>
      <rPr>
        <sz val="10"/>
        <color theme="1"/>
        <rFont val="ＭＳ Ｐゴシック"/>
        <family val="2"/>
        <charset val="128"/>
      </rPr>
      <t>New Contract Related</t>
    </r>
    <rPh sb="0" eb="3">
      <t>シンケイヤク</t>
    </rPh>
    <rPh sb="3" eb="5">
      <t>カンレン</t>
    </rPh>
    <phoneticPr fontId="1"/>
  </si>
  <si>
    <t>Customer Service and Operations Systems Group 34965</t>
  </si>
  <si>
    <t>New Business Team 34966</t>
  </si>
  <si>
    <t>Other#ASP</t>
  </si>
  <si>
    <t>C/C++</t>
  </si>
  <si>
    <t>C03WRE-JPN</t>
  </si>
  <si>
    <t>POS Workflow Payment Workflow (Restoring cancelled</t>
  </si>
  <si>
    <r>
      <rPr>
        <sz val="10"/>
        <color theme="1"/>
        <rFont val="ＭＳ Ｐゴシック"/>
        <family val="2"/>
        <charset val="128"/>
      </rPr>
      <t>Restoring and Cancelled Policy</t>
    </r>
    <phoneticPr fontId="1"/>
  </si>
  <si>
    <r>
      <rPr>
        <sz val="10"/>
        <color theme="1"/>
        <rFont val="ＭＳ Ｐゴシック"/>
        <family val="2"/>
        <charset val="128"/>
      </rPr>
      <t>Storage and Preservation Related</t>
    </r>
    <rPh sb="0" eb="6">
      <t>シュウノウホゼンカンレン</t>
    </rPh>
    <phoneticPr fontId="1"/>
  </si>
  <si>
    <t>Policy Servicing Team 34967</t>
  </si>
  <si>
    <t>Thick Client</t>
  </si>
  <si>
    <t>VB.NET</t>
  </si>
  <si>
    <t>C12WNC-JPN</t>
  </si>
  <si>
    <t>POS Workflow Payment Workflow (Claim Transaction A</t>
  </si>
  <si>
    <r>
      <rPr>
        <sz val="10"/>
        <color theme="1"/>
        <rFont val="ＭＳ Ｐゴシック"/>
        <family val="2"/>
        <charset val="128"/>
      </rPr>
      <t>Claim Transaction Automatic Development of Benefit</t>
    </r>
    <phoneticPr fontId="1"/>
  </si>
  <si>
    <r>
      <rPr>
        <sz val="10"/>
        <color theme="1"/>
        <rFont val="ＭＳ Ｐゴシック"/>
        <family val="2"/>
        <charset val="128"/>
      </rPr>
      <t>Insurance Claims and Benefits Payment Related</t>
    </r>
    <rPh sb="0" eb="3">
      <t>ホケンキン</t>
    </rPh>
    <rPh sb="4" eb="7">
      <t>キュウフキン</t>
    </rPh>
    <rPh sb="7" eb="9">
      <t>シハライ</t>
    </rPh>
    <rPh sb="9" eb="11">
      <t>カンレン</t>
    </rPh>
    <phoneticPr fontId="1"/>
  </si>
  <si>
    <t>Claims Team 34968</t>
    <phoneticPr fontId="1"/>
  </si>
  <si>
    <t>VB.NET; C/C++; JAVA</t>
  </si>
  <si>
    <t>C03WRD-JPN</t>
  </si>
  <si>
    <t>POS Workflow Payment Workflow (Reduction of paymen</t>
    <phoneticPr fontId="1"/>
  </si>
  <si>
    <r>
      <rPr>
        <sz val="10"/>
        <color theme="1"/>
        <rFont val="ＭＳ Ｐゴシック"/>
        <family val="2"/>
        <charset val="128"/>
      </rPr>
      <t>Storage and Maintenance Workflow (Reduction of Payment)</t>
    </r>
    <phoneticPr fontId="1"/>
  </si>
  <si>
    <t>C03PCA-JPN</t>
  </si>
  <si>
    <t>Add Coverage</t>
  </si>
  <si>
    <t>Storage and Preservation Special Contract Mid-Term Additional Processing System</t>
    <rPh sb="0" eb="4">
      <t>シュウノウホゼン</t>
    </rPh>
    <rPh sb="5" eb="7">
      <t>トクヤク</t>
    </rPh>
    <rPh sb="7" eb="11">
      <t>チュウトフカ</t>
    </rPh>
    <rPh sb="11" eb="13">
      <t>ショリ</t>
    </rPh>
    <phoneticPr fontId="1"/>
  </si>
  <si>
    <t>Other#C/S</t>
  </si>
  <si>
    <t>VB</t>
  </si>
  <si>
    <t>C10CSS-JPN</t>
  </si>
  <si>
    <t>FSC Call Support</t>
  </si>
  <si>
    <t>Application for call centers for bank tellers (call history/case management)</t>
    <rPh sb="0" eb="4">
      <t>ギンコウマドハン</t>
    </rPh>
    <rPh sb="4" eb="5">
      <t>ム</t>
    </rPh>
    <rPh sb="12" eb="13">
      <t>ヨウ</t>
    </rPh>
    <rPh sb="25" eb="27">
      <t>リレキ</t>
    </rPh>
    <rPh sb="31" eb="33">
      <t>カンリ</t>
    </rPh>
    <phoneticPr fontId="1"/>
  </si>
  <si>
    <r>
      <rPr>
        <sz val="10"/>
        <color theme="1"/>
        <rFont val="ＭＳ Ｐゴシック"/>
        <family val="2"/>
        <charset val="128"/>
      </rPr>
      <t>Customer Care / Call Center Related</t>
    </r>
    <phoneticPr fontId="1"/>
  </si>
  <si>
    <t>Customer Care Team 34969</t>
  </si>
  <si>
    <t>Web Application Client</t>
  </si>
  <si>
    <t>WGLWLF-JPN</t>
  </si>
  <si>
    <t>Watch List Filtering system</t>
  </si>
  <si>
    <r>
      <rPr>
        <sz val="10"/>
        <color theme="1"/>
        <rFont val="ＭＳ Ｐゴシック"/>
        <family val="2"/>
        <charset val="128"/>
      </rPr>
      <t>To prevent transactions with antisocial forces, internal customer data screening is conducted. It uses Actimize's package.</t>
    </r>
    <phoneticPr fontId="1"/>
  </si>
  <si>
    <r>
      <rPr>
        <sz val="10"/>
        <color theme="1"/>
        <rFont val="ＭＳ Ｐゴシック"/>
        <family val="2"/>
        <charset val="128"/>
      </rPr>
      <t>Corporate Related</t>
    </r>
    <rPh sb="6" eb="8">
      <t>カンレン</t>
    </rPh>
    <phoneticPr fontId="1"/>
  </si>
  <si>
    <t>Corporate Systems Team 34959</t>
  </si>
  <si>
    <t>Global Risk Management</t>
  </si>
  <si>
    <t>JAVA</t>
  </si>
  <si>
    <t>C04SYM-JPN</t>
  </si>
  <si>
    <t>Renewal symap Business Work Flow</t>
  </si>
  <si>
    <t>Workflow for Contract Renewal Process</t>
    <rPh sb="0" eb="4">
      <t>ケイヤクコウシン</t>
    </rPh>
    <rPh sb="8" eb="9">
      <t>ヨウ</t>
    </rPh>
    <phoneticPr fontId="1"/>
  </si>
  <si>
    <t>Other#Thick Client</t>
  </si>
  <si>
    <t>C03VSV-JPN</t>
  </si>
  <si>
    <t>Variable Annuity Sun View</t>
  </si>
  <si>
    <t>Call Center Applications / Call History Management Related to Variable Pensions</t>
    <rPh sb="7" eb="8">
      <t>ム</t>
    </rPh>
    <rPh sb="18" eb="20">
      <t>ヘンガク</t>
    </rPh>
    <rPh sb="20" eb="22">
      <t>ネンキン</t>
    </rPh>
    <rPh sb="22" eb="24">
      <t>カンレン</t>
    </rPh>
    <rPh sb="27" eb="29">
      <t>リレキ</t>
    </rPh>
    <rPh sb="29" eb="31">
      <t>カンリ</t>
    </rPh>
    <phoneticPr fontId="1"/>
  </si>
  <si>
    <t>PinID tool_JPN</t>
  </si>
  <si>
    <t>PinID Increase tool</t>
  </si>
  <si>
    <t>EAI: A subsystem for managing PinID, a unique customer management number for 9925. Currently, it is built with .NET but is under development for migration to web applications.</t>
    <phoneticPr fontId="1"/>
  </si>
  <si>
    <t>C11VCM-JPN</t>
  </si>
  <si>
    <t>Deposit Control System</t>
  </si>
  <si>
    <t>New Contract Related/Deposit Management System</t>
    <rPh sb="0" eb="3">
      <t>シンケイヤク</t>
    </rPh>
    <rPh sb="3" eb="5">
      <t>カンレン</t>
    </rPh>
    <rPh sb="6" eb="8">
      <t>ニュウキン</t>
    </rPh>
    <rPh sb="8" eb="10">
      <t>カンリ</t>
    </rPh>
    <phoneticPr fontId="1"/>
  </si>
  <si>
    <t>C04OSI-JPN</t>
  </si>
  <si>
    <t>S Sum Total System(Open)</t>
  </si>
  <si>
    <t>New Contract Related/Comprehensive Management System</t>
    <rPh sb="0" eb="3">
      <t>シンケイヤク</t>
    </rPh>
    <rPh sb="3" eb="5">
      <t>カンレン</t>
    </rPh>
    <rPh sb="6" eb="8">
      <t>ツウサン</t>
    </rPh>
    <rPh sb="8" eb="10">
      <t>カンリ</t>
    </rPh>
    <phoneticPr fontId="1"/>
  </si>
  <si>
    <t>Corporate Batch</t>
  </si>
  <si>
    <t>OpenBatch system for Corporate</t>
  </si>
  <si>
    <t>EAI gathered batch processing when rebuilding the Infostation app into AppsPortal.
It has the following features
Automated email distribution, CRSDB, GIM/DOM, MetLifeSFTP, NVES</t>
    <phoneticPr fontId="1"/>
  </si>
  <si>
    <t>Other#Batch</t>
  </si>
  <si>
    <t>WAANSO-JPN</t>
  </si>
  <si>
    <t>New Submit Online System</t>
  </si>
  <si>
    <t>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t>
    <phoneticPr fontId="1"/>
  </si>
  <si>
    <t>Web Services</t>
  </si>
  <si>
    <t>Z04IMA-JPN</t>
  </si>
  <si>
    <t>Image Search</t>
  </si>
  <si>
    <t>New Contract Related / Image File Search System</t>
    <rPh sb="0" eb="3">
      <t>シンケイヤク</t>
    </rPh>
    <rPh sb="3" eb="5">
      <t>カンレン</t>
    </rPh>
    <rPh sb="14" eb="16">
      <t>ケンサク</t>
    </rPh>
    <phoneticPr fontId="1"/>
  </si>
  <si>
    <t>CSS; JAVA;HTML; VB.NET</t>
  </si>
  <si>
    <t>W05AMS-JPN</t>
  </si>
  <si>
    <t>Annuity Information Management System(AIMS)</t>
  </si>
  <si>
    <t>Pension Information Management System</t>
    <rPh sb="0" eb="2">
      <t>ネンキン</t>
    </rPh>
    <rPh sb="2" eb="4">
      <t>ジョウホウ</t>
    </rPh>
    <rPh sb="4" eb="6">
      <t>カンリ</t>
    </rPh>
    <phoneticPr fontId="1"/>
  </si>
  <si>
    <t>Claims Team 34968</t>
  </si>
  <si>
    <t>W02OPS-JPN</t>
  </si>
  <si>
    <t>Insurance Planning for Operator</t>
  </si>
  <si>
    <t>Insurance Planning for Operator / Insurance Design Application for Direct Business</t>
    <phoneticPr fontId="1"/>
  </si>
  <si>
    <r>
      <rPr>
        <sz val="10"/>
        <color theme="1"/>
        <rFont val="ＭＳ Ｐゴシック"/>
        <family val="2"/>
        <charset val="128"/>
      </rPr>
      <t>Marketing/Direct Business Related</t>
    </r>
    <phoneticPr fontId="1"/>
  </si>
  <si>
    <t>Customer and Channel Engineering 34961</t>
    <phoneticPr fontId="1"/>
  </si>
  <si>
    <t>Web Services; Web Application Client</t>
  </si>
  <si>
    <t>W04RRE-JPN</t>
  </si>
  <si>
    <t>Rule Engine</t>
  </si>
  <si>
    <t>New Contract Related / Rule Engine</t>
    <rPh sb="0" eb="5">
      <t>シンケイヤクカンレン</t>
    </rPh>
    <phoneticPr fontId="1"/>
  </si>
  <si>
    <t>Other#Services in Windows Server</t>
  </si>
  <si>
    <t>W03PIU-JPN</t>
  </si>
  <si>
    <t>IS universal life insurance simulation</t>
  </si>
  <si>
    <t>W06TGR-JPN</t>
  </si>
  <si>
    <t>Group Policy Inquiry System for Intranet</t>
  </si>
  <si>
    <r>
      <rPr>
        <sz val="10"/>
        <color theme="1"/>
        <rFont val="游ゴシック"/>
        <family val="2"/>
        <charset val="128"/>
      </rPr>
      <t>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t>
    </r>
    <phoneticPr fontId="1"/>
  </si>
  <si>
    <t>VB.NET; JAVA</t>
  </si>
  <si>
    <t>W08NAV-JPN</t>
  </si>
  <si>
    <t>Branch Marketing Information System</t>
  </si>
  <si>
    <r>
      <rPr>
        <sz val="10"/>
        <color theme="1"/>
        <rFont val="ＭＳ Ｐゴシック"/>
        <family val="2"/>
        <charset val="128"/>
      </rPr>
      <t>Sales / Insurance Recruitment</t>
    </r>
    <phoneticPr fontId="1"/>
  </si>
  <si>
    <t>Distribution F2F Team 34962</t>
  </si>
  <si>
    <t>Business Content Management</t>
  </si>
  <si>
    <r>
      <rPr>
        <sz val="10"/>
        <color theme="1"/>
        <rFont val="ＭＳ Ｐゴシック"/>
        <family val="2"/>
        <charset val="128"/>
      </rPr>
      <t>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t>
    </r>
    <phoneticPr fontId="1"/>
  </si>
  <si>
    <t>Vendor Hosted/MetLife IT Supported</t>
  </si>
  <si>
    <t>Other#n/a</t>
  </si>
  <si>
    <t>Software as a Service (SaaS); Platform as a Service (PaaS)</t>
  </si>
  <si>
    <t>W08HTN-JPN</t>
  </si>
  <si>
    <t>conservation contact personnel entry system</t>
  </si>
  <si>
    <t>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t>
    <phoneticPr fontId="1"/>
  </si>
  <si>
    <t>Vcalc-JPN</t>
  </si>
  <si>
    <t>Variable Insurance Guarantee Calculation System</t>
  </si>
  <si>
    <r>
      <rPr>
        <sz val="10"/>
        <color theme="1"/>
        <rFont val="游ゴシック"/>
        <family val="2"/>
        <charset val="128"/>
      </rPr>
      <t>This is a batch processing system that calculates the minimum guaranteed benefit (V) for variable insurance.</t>
    </r>
    <phoneticPr fontId="1"/>
  </si>
  <si>
    <t>Development</t>
  </si>
  <si>
    <t>Other#Batch System</t>
  </si>
  <si>
    <t>Platform as a Service (PaaS)</t>
  </si>
  <si>
    <t>W08NAR-JPN</t>
  </si>
  <si>
    <t>producers information entry system</t>
  </si>
  <si>
    <r>
      <rPr>
        <sz val="10"/>
        <color theme="1"/>
        <rFont val="ＭＳ Ｐゴシック"/>
        <family val="2"/>
        <charset val="128"/>
      </rPr>
      <t>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t>
    </r>
    <phoneticPr fontId="1"/>
  </si>
  <si>
    <t>P08MMS-JPN</t>
  </si>
  <si>
    <t>Medical Management System</t>
  </si>
  <si>
    <t>New Contracts / Medical Assessment Management System</t>
    <rPh sb="0" eb="3">
      <t>シンケイヤク</t>
    </rPh>
    <rPh sb="4" eb="8">
      <t>イムサテイ</t>
    </rPh>
    <rPh sb="8" eb="10">
      <t>カンリ</t>
    </rPh>
    <phoneticPr fontId="1"/>
  </si>
  <si>
    <t>WPSYEC-JPN</t>
  </si>
  <si>
    <t>Direct Marketing Site</t>
  </si>
  <si>
    <t>To capture prospective customers by providing online insurance simulation, online requests for brochures, online applications, etc. for customers in general.</t>
  </si>
  <si>
    <t>Marketing and Leads Team 34964</t>
    <phoneticPr fontId="1"/>
  </si>
  <si>
    <t>Global Marketing and Communications</t>
  </si>
  <si>
    <t>W07IPC-JPN</t>
  </si>
  <si>
    <t>Internet Prospective Information</t>
  </si>
  <si>
    <t>W01LOI-JPN</t>
  </si>
  <si>
    <t>Japan Authorization / login</t>
  </si>
  <si>
    <t>This is a system which provides SSO authentication function and control over Portal site menu display for Infostation(Portal site for various Web application)</t>
  </si>
  <si>
    <r>
      <rPr>
        <sz val="10"/>
        <color theme="1"/>
        <rFont val="ＭＳ Ｐゴシック"/>
        <family val="2"/>
        <charset val="128"/>
      </rPr>
      <t>Common Service Platform</t>
    </r>
    <rPh sb="0" eb="2">
      <t>キョウツウ</t>
    </rPh>
    <rPh sb="6" eb="8">
      <t>キバン</t>
    </rPh>
    <phoneticPr fontId="1"/>
  </si>
  <si>
    <t>Japan Platform Team 35775</t>
  </si>
  <si>
    <t>W01MAS-JPN</t>
  </si>
  <si>
    <t>Common Framework(Master4)</t>
  </si>
  <si>
    <t>A04MMP-JPN</t>
  </si>
  <si>
    <t>AS400 Mass Marketing System</t>
  </si>
  <si>
    <t>MM (Mass Marketing)** is a system that integrates MetLife Japan's insurance premium calculation, claims management, and payment processing. The AS/400 works in conjunction with the Windows server to process, manage, and transfer insurance premium data.</t>
    <phoneticPr fontId="1"/>
  </si>
  <si>
    <t>Other#AS400</t>
  </si>
  <si>
    <t>Other#RPG</t>
  </si>
  <si>
    <t>P02BKE-JPN</t>
  </si>
  <si>
    <t>Sales illustration system (based on EXCEL) for BAN</t>
  </si>
  <si>
    <t>Sales illustration system (based on EXCEL) for BANK</t>
  </si>
  <si>
    <t>Distribution Banca Team 34963</t>
  </si>
  <si>
    <t>Other#VBA</t>
  </si>
  <si>
    <t>ZGLEDQ-JPN</t>
  </si>
  <si>
    <t>FATCA Oracle EDQ</t>
  </si>
  <si>
    <t>To comply with the FATCA Act, we process the necessary items of customer information held in our database at the necessary timing, and integrate them into the FATCA Azure system.</t>
    <phoneticPr fontId="1"/>
  </si>
  <si>
    <t>JAVA; C #</t>
  </si>
  <si>
    <t>ASP B_O-JPN</t>
  </si>
  <si>
    <t>ASP Bridge (OPEN)</t>
  </si>
  <si>
    <t>The VA-Bridge (OPEN) system is a core system for managing Variable Annuity insurance products. This INDEX aims to help new employees efficiently understand the system and carry out their daily tasks.</t>
    <phoneticPr fontId="1"/>
  </si>
  <si>
    <t>JAVA; C#; VB.NET</t>
  </si>
  <si>
    <t>W13WEP-JPN</t>
  </si>
  <si>
    <t>Web Payment</t>
  </si>
  <si>
    <t>Data Send System for BANC</t>
  </si>
  <si>
    <r>
      <rPr>
        <sz val="10"/>
        <color theme="1"/>
        <rFont val="ＭＳ Ｐゴシック"/>
        <family val="3"/>
        <charset val="128"/>
      </rPr>
      <t>A subsystem developed in-house. As a business domain, it mainly handles data creation for joint gateways for banks. It is basically built with COBOL, and except for the LIFECOMM integration part, almost no assembler is used.</t>
    </r>
    <phoneticPr fontId="1"/>
  </si>
  <si>
    <t>Other#Manframe</t>
  </si>
  <si>
    <t>W08CIS-JPN</t>
  </si>
  <si>
    <t>Career Information System</t>
  </si>
  <si>
    <t>CIS (Customer Information System) is MetLife's customer information management system. This system offers the following key features:
- Customer information inquiry and update
- Family information management
- Housing and commuting information management
- Information access control based on permissions
- Security log management
- Data export function</t>
    <phoneticPr fontId="1"/>
  </si>
  <si>
    <t xml:space="preserve"> Batch integration Tech stack is not yet clear to ascertain if only &amp;D needs to support or also needs Mainframe skills . However this app is marked as Priority Target for Transition.  FSI vendor manages this app-  Transition Priority # 2 for "Data Platforms"
Data validation, ETL testing will be handled by I&amp;D; Non-functional testing by QA Testing team</t>
  </si>
  <si>
    <t>BCMHRP-JPN</t>
  </si>
  <si>
    <t>Data cooperation</t>
  </si>
  <si>
    <t>Data cooperation, integration between open system and HOST/AS400.
Master data managed by HOST and AS 400 is processed for integration to open type backbone DB. Conversely, data managed by open backbone DB is integrated to HOST.
All batch processes are operated by JP1.
Other name: HRP(Host Relationship Program)</t>
  </si>
  <si>
    <r>
      <rPr>
        <sz val="10"/>
        <color theme="1"/>
        <rFont val="ＭＳ Ｐゴシック"/>
        <family val="2"/>
        <charset val="128"/>
      </rPr>
      <t>Data Infrastructure</t>
    </r>
    <rPh sb="3" eb="5">
      <t>キバン</t>
    </rPh>
    <phoneticPr fontId="1"/>
  </si>
  <si>
    <t>Data Platforms Team 34980</t>
  </si>
  <si>
    <t>Other#none.</t>
  </si>
  <si>
    <t>Other#MS-DOS ,AWK,VBScript,JAVA</t>
  </si>
  <si>
    <t>Running on both on-premises and Azure.  The on-premises version will be decommissioned by the end of 2027.</t>
    <phoneticPr fontId="1"/>
  </si>
  <si>
    <t>No</t>
    <phoneticPr fontId="1"/>
  </si>
  <si>
    <t>Considering AMS+AD over 3 years post initial Transition
Estimation Approach for AMS - based on assumed # of Incidents, Problem Tickets, SRs and CRs including minor enhancements and YoY AI-driven productivity</t>
  </si>
  <si>
    <t>WPSCUS-JPN</t>
  </si>
  <si>
    <t>Customer Support System</t>
  </si>
  <si>
    <t>Marketing and Leads Team 34964</t>
  </si>
  <si>
    <t>JavaScript; Other#APEX</t>
  </si>
  <si>
    <t>W08SFE-JPN</t>
  </si>
  <si>
    <t>commission Inquiry</t>
  </si>
  <si>
    <r>
      <rPr>
        <sz val="10"/>
        <color theme="1"/>
        <rFont val="ＭＳ Ｐゴシック"/>
        <family val="2"/>
        <charset val="128"/>
      </rPr>
      <t>This system is a web application for referencing commission (fee) data of recruiters and agents, as well as contract information necessary for calculating retention rates and net increase rates of holdings.</t>
    </r>
    <phoneticPr fontId="1"/>
  </si>
  <si>
    <t>B13ITS-JPN</t>
  </si>
  <si>
    <t>ITS-PCIS(Mutual Fund System(Including Bestway)</t>
  </si>
  <si>
    <t>BESTWAY/JJ is an integrated package system that supports the sales operations of investment trusts for financial institutions. Developed and provided by Nomura Research Institute (NRI).</t>
    <phoneticPr fontId="1"/>
  </si>
  <si>
    <t>Co-Located / Vendor Supported</t>
  </si>
  <si>
    <t>C04VAS-JPN</t>
  </si>
  <si>
    <t>Voucher Approval System for AS400</t>
  </si>
  <si>
    <t>VAS (Voucher Accounting System) is MetLife's voucher approval and issuance system.</t>
    <phoneticPr fontId="1"/>
  </si>
  <si>
    <t>WPMWCC-JPN</t>
  </si>
  <si>
    <t>Web Contact Center</t>
  </si>
  <si>
    <r>
      <rPr>
        <sz val="10"/>
        <color theme="1"/>
        <rFont val="ＭＳ Ｐゴシック"/>
        <family val="2"/>
        <charset val="128"/>
      </rPr>
      <t>Web Services for Recruiters (Collection Preservation &amp; Insurance Claims Related)</t>
    </r>
    <phoneticPr fontId="1"/>
  </si>
  <si>
    <t>WGLRPC-JPN</t>
  </si>
  <si>
    <t>ReportConnection</t>
  </si>
  <si>
    <t>Policy Underwriting and Issue Batch</t>
  </si>
  <si>
    <r>
      <rPr>
        <sz val="10"/>
        <color theme="1"/>
        <rFont val="ＭＳ Ｐゴシック"/>
        <family val="3"/>
        <charset val="128"/>
      </rPr>
      <t>A subsystem developed in-house. In the business domain, it mainly handles the creation of insurance policies for new contracts. It is basically built with COBOL, and except for the LIFECOMM integration part, almost no assembler is used.</t>
    </r>
    <phoneticPr fontId="1"/>
  </si>
  <si>
    <t>Other#ASM; Cobol</t>
  </si>
  <si>
    <t>WAAATF-JPN</t>
  </si>
  <si>
    <t>Agents Target Following system</t>
  </si>
  <si>
    <t>Other#(C/S)</t>
  </si>
  <si>
    <t>ZGLEST-JPN</t>
  </si>
  <si>
    <t>eSTATION</t>
  </si>
  <si>
    <t>eSTATION (9986_MAIN) is MetLife's integrated business management system. This system offers the following key features:
- **Employee Profile Management**: Register, update, and delete employee information
- **Asset Management**: Manage and track IT equipment and supplies
- **Form Supply**: Management and supply of various forms and papers
- **Call Management**: Integrated management with phone systems
- **Workflow Management**: Various application and approval workflows
- **Report Generation**: Output various forms and generate PDFs
- **Job Management**: Batch processing and schedule management
- **SELS (Self Entry Lifecycle System)**: Self-service portal
- **Media Management**: Subsystems for various media
- **Print Management**: Manage print services
- **EZ-Travel**: Business trip management system</t>
    <phoneticPr fontId="1"/>
  </si>
  <si>
    <t>JavaScript; VB.NET; C#;HTML</t>
  </si>
  <si>
    <t>CMESB-JPN</t>
  </si>
  <si>
    <t>Enterprise Service Bus</t>
  </si>
  <si>
    <t>JAVA; Other#ESQL</t>
  </si>
  <si>
    <t>WPMAUD-JPN</t>
  </si>
  <si>
    <t>Unknown Address Tracking System</t>
  </si>
  <si>
    <t>Address Unknown Contract Management System</t>
    <rPh sb="0" eb="4">
      <t>ジュウショフメイ</t>
    </rPh>
    <rPh sb="4" eb="6">
      <t>ケイヤク</t>
    </rPh>
    <rPh sb="6" eb="8">
      <t>カンリ</t>
    </rPh>
    <phoneticPr fontId="1"/>
  </si>
  <si>
    <t>WCMPXS-JPN</t>
  </si>
  <si>
    <t>ProductXpress</t>
  </si>
  <si>
    <r>
      <rPr>
        <sz val="10"/>
        <color theme="1"/>
        <rFont val="ＭＳ Ｐゴシック"/>
        <family val="2"/>
        <charset val="128"/>
      </rPr>
      <t>Using Hewlett Packard's packaged product ProductXpress as a platform, it provides common computing functions to subsystems.
The common calculation function is called only from the ESB via Web Service, and the amounts of premiums and surrender value, calculated based on the business method document, are sent and received in XML format.</t>
    </r>
    <phoneticPr fontId="1"/>
  </si>
  <si>
    <t>Infrastructure Application</t>
  </si>
  <si>
    <t>Other#Peculiar Language, Implemented in PX designer.</t>
  </si>
  <si>
    <t>WUIURE-JPN</t>
  </si>
  <si>
    <t>Pre-Underwriting</t>
  </si>
  <si>
    <t>By providing an inquiry function for medical underwriting results,  this application provides followings.</t>
  </si>
  <si>
    <t>LINC</t>
  </si>
  <si>
    <r>
      <rPr>
        <sz val="10"/>
        <color theme="1"/>
        <rFont val="ＭＳ Ｐゴシック"/>
        <family val="3"/>
        <charset val="128"/>
      </rPr>
      <t>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t>
    </r>
    <phoneticPr fontId="1"/>
  </si>
  <si>
    <t>A06TOG-JPN</t>
  </si>
  <si>
    <t>Group Policy Management System</t>
  </si>
  <si>
    <t>TOGAS is the mainframe system for managing MetLife Japan's insurance contracts. The COBOL/RPG program runs on the AS/400, performing registration, modification, and inquiry of contract information, form output, and batch processing.</t>
    <phoneticPr fontId="1"/>
  </si>
  <si>
    <t>Other#RPG; Cobol</t>
  </si>
  <si>
    <t>Commission System Support Tool</t>
  </si>
  <si>
    <t>Support Tool for Commission System</t>
  </si>
  <si>
    <t>Reference and update EAI:9808 batch results, commission codes, and rates
It has the following features
Rate Expert: Registers and updates commission codes and rates.
Transfer and Return Information Management System (NORIS): References and updates batch processing results for excellent producer evaluations, early erase returns, and transfer decisions.
Non-life Insurance Commission Master Management System: Updates or references the Non-Life Insurance Commission Master.
A/A General-Purpose Correction System: Generic references and updates files linked to agent code (files containing agent code as key entries)</t>
    <phoneticPr fontId="1"/>
  </si>
  <si>
    <t>Other#Client-Server</t>
  </si>
  <si>
    <t>WAAICM-JPN</t>
  </si>
  <si>
    <t>ICM</t>
  </si>
  <si>
    <t>Varicent's package system (Incentive Compensation magement). As a business domain, it is responsible for calculating commissions and reporting them. Development is carried out using a proprietary non-code (GUI) development tool.</t>
  </si>
  <si>
    <t>JAVA; C#; Other#ETL
JAVA(ADJP)
SQL</t>
  </si>
  <si>
    <t>C03APO-JPN</t>
  </si>
  <si>
    <t>Apollocs</t>
  </si>
  <si>
    <t>A system that displays reports created in MainFrame on the Client Viewer screen
In addition to the function of viewing and displaying forms, it offers search functions, information processing (for text and CSV output), sticky notes, markers, and other functions.</t>
  </si>
  <si>
    <t>Other#APOLLOCS</t>
  </si>
  <si>
    <t>WGLBSR-JPN</t>
  </si>
  <si>
    <t>BSRec</t>
  </si>
  <si>
    <t>BSRec (Balance Sheet Reconciliation) is a balance sheet adjustment support system used within MetLife Japan. This is a web application that ingests balance data from various systems (PeopleSoft, Essbase, HFM, etc.) and streamlines reconciliation and adjustment work at the account level.</t>
    <phoneticPr fontId="1"/>
  </si>
  <si>
    <t>OMSTAT-JPN</t>
  </si>
  <si>
    <t>Conservation contract allowance system</t>
  </si>
  <si>
    <t>WPSC2S-JPN</t>
  </si>
  <si>
    <t>Call Control System</t>
  </si>
  <si>
    <r>
      <rPr>
        <sz val="10"/>
        <color theme="1"/>
        <rFont val="ＭＳ Ｐゴシック"/>
        <family val="2"/>
        <charset val="128"/>
      </rPr>
      <t>The outgoing call control system is a system that checks whether a prohibited call number has been registered before making a call.
- Consists of four apps:
	- Outgoing Regulation Confirmation System (C2S)
	- Outgoing Restricted Telephone Number Inquiry System (C2SREF)
	- Outgoing Restricted Phone Number Download System (C2SDWL)
	- Outgoing Regulation Batch System (C2SBAT)</t>
    </r>
    <phoneticPr fontId="1"/>
  </si>
  <si>
    <t>W13WWF-JPN</t>
  </si>
  <si>
    <t>Web work flow</t>
  </si>
  <si>
    <r>
      <rPr>
        <sz val="10"/>
        <color theme="1"/>
        <rFont val="ＭＳ Ｐゴシック"/>
        <family val="2"/>
        <charset val="128"/>
      </rPr>
      <t>This system was developed to eliminate the exchange of forms via fax between headquarters and branches as part of personal information protection measures, and to enable web-based document exchange.</t>
    </r>
    <phoneticPr fontId="1"/>
  </si>
  <si>
    <t>WZZMNB-JPN</t>
  </si>
  <si>
    <t>My number management system</t>
  </si>
  <si>
    <t>My Number Management System</t>
    <rPh sb="6" eb="8">
      <t>カンリ</t>
    </rPh>
    <phoneticPr fontId="1"/>
  </si>
  <si>
    <t>Informatica On Prem CDI-PC ETL platform undergoing modernization to Azure Sypanse through different vendor so AMS can be for Informatica Platform , future AD can be taken up post-modernization. Approx 9-10 CG FTCs support this currently. This app is marked as Priority Target for Transition -  Transition Priority # 1  for "Data Platforms"
Data validation, ETL testing will be handled by I&amp;D; Non-functional testing by QA Testing team</t>
  </si>
  <si>
    <t>BCMETL-JPN</t>
  </si>
  <si>
    <t>Informatica Platform</t>
  </si>
  <si>
    <t>Common platform for Informatica for ETL, IDQ &amp; Address Doctor</t>
  </si>
  <si>
    <t>Other#Informatica PowerCenter</t>
  </si>
  <si>
    <t>Other#Used UI for development and stored data as XML</t>
  </si>
  <si>
    <t>Yes</t>
    <phoneticPr fontId="1"/>
  </si>
  <si>
    <t>Considering AMS+AD over 3 years post initial Transition
1st Year, more Informatica FTCs% compared to Azure whereas 3rd Year only Azure FTCs 
Estimation Approach for AMS - based on assumed # of Incidents, Problem Tickets, SRs and CRs including minor enhancements, and YoY AI-driven productivity</t>
  </si>
  <si>
    <t>c-Force</t>
  </si>
  <si>
    <t>c-Force(SVD) was built on SFDC platform to improve the activity of sales quality and to promote more effective and efficient supervision of solicitors/agents.</t>
  </si>
  <si>
    <t>Other#APEX;HTML; JavaScript</t>
  </si>
  <si>
    <t>BSA, BA, ETL, TestRelated members are in the scope.</t>
  </si>
  <si>
    <t>WAACPS-JPN</t>
  </si>
  <si>
    <t>Commission and Performance System</t>
  </si>
  <si>
    <t>CPS (Commission Processing System) is a commission processing system. This system supports all operations related to the calculation, management, and payment processing of fees associated with sales activities.</t>
    <phoneticPr fontId="1"/>
  </si>
  <si>
    <t>EAADRS-JPN</t>
  </si>
  <si>
    <t>Dr.SUM</t>
  </si>
  <si>
    <r>
      <rPr>
        <sz val="10"/>
        <color theme="1"/>
        <rFont val="ＭＳ Ｐゴシック"/>
        <family val="2"/>
        <charset val="128"/>
      </rPr>
      <t>It is a packaged product that accumulates performance data such as new contract data, BUDGET data, and ESTIMATION data, as well as solicitation data such as A/A Master, as well as functions for querying and extracting information.</t>
    </r>
    <phoneticPr fontId="1"/>
  </si>
  <si>
    <t>JP-RPASS</t>
  </si>
  <si>
    <t>JAPAN_BluePrism RPA</t>
  </si>
  <si>
    <t>Shared Service for Robotic Automatic to support automated data entry for existing business process that use manual data entry</t>
  </si>
  <si>
    <t>Other#COTS from BluePrism</t>
  </si>
  <si>
    <t>W03CCP-JPN</t>
  </si>
  <si>
    <t>Customer Communication Preferences</t>
  </si>
  <si>
    <t>Communication preference of notifications for customers(policyholders/beneficiaries) like FX Notification/Annual report etc.  The prefernces can be modified by business policy or customer request.</t>
  </si>
  <si>
    <t>JP-Banca Report</t>
  </si>
  <si>
    <t>Japan Banca Report</t>
  </si>
  <si>
    <t>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t>
  </si>
  <si>
    <t>Infrastructure as a Service (IaaS); Platform as a Service (PaaS)</t>
  </si>
  <si>
    <t>LPS-JPN(EUC081)</t>
  </si>
  <si>
    <t>Life Plan Simulation Japan</t>
  </si>
  <si>
    <t>Based on the life plan entered or selected for each customer, the simulation result output from the calculation engine in the package is displayed and printed.</t>
  </si>
  <si>
    <t>MetLife IT Hosted/Vendor Supported</t>
  </si>
  <si>
    <t>Business Supported</t>
  </si>
  <si>
    <t>PHP</t>
  </si>
  <si>
    <t>CIT-JPN(EUC082)</t>
  </si>
  <si>
    <t>Inheritance Tax Simulation</t>
  </si>
  <si>
    <t>Based on the life plan entered or selected for each customer, a simulation is created from the calculated values in the package.</t>
  </si>
  <si>
    <t>K2</t>
  </si>
  <si>
    <t>Japan K2 - Digital Workflows</t>
  </si>
  <si>
    <t>To provide core function for POS operation global digitization and automation by K2 solutions</t>
  </si>
  <si>
    <t>JP-PCI-RPASS</t>
  </si>
  <si>
    <t>Japan PCI Robotics Process Automation Service</t>
  </si>
  <si>
    <t>Shared Service for Robotic Automatic to support automated data entry for existing PCI related business process that use manual data entry</t>
  </si>
  <si>
    <t>Other#Robotics platform</t>
  </si>
  <si>
    <t>Other#This is coded within blueprism</t>
  </si>
  <si>
    <t>RBRARS-JPN</t>
  </si>
  <si>
    <t>RBWF Report Automatic Recognition System</t>
  </si>
  <si>
    <t>New Contract Workflow for Online Shopping</t>
    <rPh sb="0" eb="3">
      <t>ツウハンヨウ</t>
    </rPh>
    <rPh sb="3" eb="6">
      <t>シンケイヤク</t>
    </rPh>
    <phoneticPr fontId="1"/>
  </si>
  <si>
    <t>CMEAPI-JP</t>
  </si>
  <si>
    <t>Japan Partner API</t>
  </si>
  <si>
    <t>Headless API that is interfaced for our agencies/partners</t>
  </si>
  <si>
    <t>RESTful APIs</t>
  </si>
  <si>
    <t>JP-WCMAUT</t>
  </si>
  <si>
    <t>JP Authentication Platform</t>
  </si>
  <si>
    <t>Redefined authentication platform leveraging SiteMinder for customers, agents and employees that would enable SingleSignOn and OAuth, API, OIDC and SAML federation with other apps and APIs</t>
  </si>
  <si>
    <t>Himawari (Call Center Platform)</t>
  </si>
  <si>
    <t>Application for call center operator to intake and process the policy administration requests from customers</t>
  </si>
  <si>
    <t>JavaScript;HTML; Other#APEX</t>
  </si>
  <si>
    <t>JP-QA Shared Service</t>
  </si>
  <si>
    <t>Japan QA Shared Service- multiple projects</t>
  </si>
  <si>
    <t>Generic App to Track team details and processes linked to Testing NON-PROD lab of things.
To Manage the testing infrastructure - Grid , servers a</t>
  </si>
  <si>
    <t>Platform</t>
  </si>
  <si>
    <t>Other#Selenese, but supports others</t>
  </si>
  <si>
    <t>JP-DB2-CONNECT</t>
  </si>
  <si>
    <t>Japan DB2 Connect Proxy</t>
  </si>
  <si>
    <t>Japan DB2 Connect is used a proxy to DB2</t>
  </si>
  <si>
    <t>Infrastructure Supported</t>
  </si>
  <si>
    <t>Other#Shared database proxy used to connect between DB2 hosted in US data center and the applications hosted in Japan</t>
  </si>
  <si>
    <t>Other#COTS</t>
  </si>
  <si>
    <t>W03FIC-JPN</t>
  </si>
  <si>
    <t>Guidance Refusal Information Administration System</t>
  </si>
  <si>
    <r>
      <rPr>
        <sz val="10"/>
        <color theme="1"/>
        <rFont val="ＭＳ Ｐゴシック"/>
        <family val="2"/>
        <charset val="128"/>
      </rPr>
      <t>A system for registering and managing information (DM, TELL) received via existing subscribers, agents, CTs, and internal staff.
Additionally, the registered guide rejection information is linked to each system (HOST) to be used to send invitations and control calls to customers.</t>
    </r>
    <phoneticPr fontId="1"/>
  </si>
  <si>
    <t>JP-OLB Batch</t>
  </si>
  <si>
    <t>Japan - Direct Marketing Batch Applications</t>
  </si>
  <si>
    <t>Batch applications to transfer simulation and application information from #9920: Direct Marketing site to #12520: RBWF</t>
  </si>
  <si>
    <t>Other#Batch program</t>
  </si>
  <si>
    <t>RAPS</t>
  </si>
  <si>
    <t>Retirement Allowance Payment System</t>
  </si>
  <si>
    <t>Open System 'CT Retirement Allowance System' Calculates and pays retirement benefits for CTs (including APM and ASM)</t>
    <phoneticPr fontId="1"/>
  </si>
  <si>
    <t>Other#NA</t>
  </si>
  <si>
    <t>WCMCCMJPN</t>
  </si>
  <si>
    <t>Inspire - Forms Management</t>
  </si>
  <si>
    <t>Customer Communication Management system to support correspondance generation and interactive webform generation.</t>
  </si>
  <si>
    <t>Customer Care Team 34969</t>
    <phoneticPr fontId="1"/>
  </si>
  <si>
    <t>JavaScript</t>
  </si>
  <si>
    <t>Digital Portal</t>
  </si>
  <si>
    <t>Digital Portals for Policy Administration</t>
  </si>
  <si>
    <t>Unified portal for customer, producers &amp; operation users for end to end servicing need.</t>
  </si>
  <si>
    <t>Web Services; RESTful APIs; Mobile Client (iOS, Android)</t>
  </si>
  <si>
    <t>JAVA; JavaScript</t>
  </si>
  <si>
    <t>JP - Remote Closing</t>
  </si>
  <si>
    <t>JP - Remote Sales Closing</t>
  </si>
  <si>
    <t>Remote Closing application is intended to assist producers to conduct sales process remotely.
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t>
  </si>
  <si>
    <t>BSA, BA, Test related members are in the scope</t>
  </si>
  <si>
    <t>PaymentService</t>
  </si>
  <si>
    <t>Payment Common Service - JP</t>
  </si>
  <si>
    <t>JP-GSSP</t>
  </si>
  <si>
    <t>Japan Sales Platform (GSSP)</t>
  </si>
  <si>
    <t>Japan Sales Platform - For banks &amp; face to face channels for new business</t>
  </si>
  <si>
    <t>RESTful APIs; Web Application Client</t>
  </si>
  <si>
    <t>JP-Payroll</t>
  </si>
  <si>
    <t>Japan Payroll System</t>
  </si>
  <si>
    <t>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t>
    <phoneticPr fontId="1"/>
  </si>
  <si>
    <t>Human Resources</t>
  </si>
  <si>
    <t>Other#N/A(SaaS); Web Application Client</t>
  </si>
  <si>
    <t>Other#N/A(SaaS)</t>
  </si>
  <si>
    <t>DSP</t>
  </si>
  <si>
    <t>Digital Servicing Platform</t>
  </si>
  <si>
    <t>This EAI manages transactions such as "name change," "address change," "surrender," "policy_loan," and "account_change" that are submitted by customers and agents through Salesforce for call centers and the Digital Portal web system.
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t>
  </si>
  <si>
    <t>Other#Database platform</t>
  </si>
  <si>
    <t>PL/SQL</t>
  </si>
  <si>
    <t>CG is already supporting Japan Data Platform on Azure including Oracle ODS Exit to Azure ODS with ~16-17 FTCs. Limited Transition required for work handled by FTCs that are outside CG - Transition Priority # 3 for  for "Data Platforms" as this is marked as Transfer Priority = N  by Metlife
Data validation, ETL testing will be handled by I&amp;D; Non-functional testing by QA Testing team</t>
  </si>
  <si>
    <t>JDPREP</t>
  </si>
  <si>
    <t>Japan Data Platform and Reporting-JP</t>
  </si>
  <si>
    <t>Data Platform on Azure for business applications and BI/reporting in MetLife Japan</t>
  </si>
  <si>
    <t>Other#Transact SQL</t>
  </si>
  <si>
    <t>Platform as a Service (PaaS)</t>
    <phoneticPr fontId="1"/>
  </si>
  <si>
    <t>Considering AMS+AD over 3 years post initial Transition
70% Azure and 30% PowerBI Skills assumed
Estimation Approach for AMS - based on assumed # of Incidents, Problem Tickets, SRs and CRs including minor enhancements and YoY AI-driven productivity</t>
  </si>
  <si>
    <t>CMIAPI-JPN</t>
  </si>
  <si>
    <t>API Hub</t>
  </si>
  <si>
    <t>API Hub hosts all types of APIs leveraging IBM API Connect</t>
  </si>
  <si>
    <t>OMSIKN-JPN</t>
  </si>
  <si>
    <t>Conservation contract transferring system</t>
  </si>
  <si>
    <t>OMSIKN (Alico Management System Inquiry Knowledge Network) is an online inquiry system for insurance policyholders. This system provides a self-service portal where policyholders can check and inquire about their insurance contracts.</t>
    <phoneticPr fontId="1"/>
  </si>
  <si>
    <t>POS-IMS</t>
  </si>
  <si>
    <t>POS - Integrated Management System</t>
  </si>
  <si>
    <t>Platform EAI for Online/Batch Systems of POS</t>
  </si>
  <si>
    <t>Thick Client; Web Application Client</t>
  </si>
  <si>
    <t>AppsPortal</t>
  </si>
  <si>
    <t>Enterprise Apps Portal</t>
  </si>
  <si>
    <t>Apps Portals is the enterprise portals for all Japan users of MetLife and Agents becoming a single entry portal for many hosted apps.</t>
  </si>
  <si>
    <t>JavaScript; JAVA</t>
  </si>
  <si>
    <t>Scan Manager</t>
  </si>
  <si>
    <t>Digital Scan Manager</t>
  </si>
  <si>
    <t>Scan forms and sort image files by barcode or QR code using PaperStream Capture.</t>
  </si>
  <si>
    <t>ODMoC</t>
  </si>
  <si>
    <t>IBM Operational Decision Manager on Cloud</t>
  </si>
  <si>
    <t>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t>
  </si>
  <si>
    <t>Japan Platform Team 35775</t>
    <phoneticPr fontId="1"/>
  </si>
  <si>
    <t>Vendor Hosted/Supported</t>
  </si>
  <si>
    <t>Web Services; RESTful APIs</t>
  </si>
  <si>
    <t>Other#IRL Vendor supported language</t>
  </si>
  <si>
    <t>External Portal</t>
  </si>
  <si>
    <t>External Apps Portal</t>
  </si>
  <si>
    <r>
      <rPr>
        <sz val="10"/>
        <color theme="1"/>
        <rFont val="ＭＳ Ｐゴシック"/>
        <family val="2"/>
        <charset val="128"/>
      </rPr>
      <t>A subsystem developed in-house. Agents can directly register and update information for sales staff. Development is carried out in Java.</t>
    </r>
    <phoneticPr fontId="1"/>
  </si>
  <si>
    <t>Web Application Client; RESTful APIs</t>
  </si>
  <si>
    <t>Distribution Systems - Internal</t>
  </si>
  <si>
    <t>This EAI will represent auxiliary internal and internal applications for distribution and marketing services.
Following is list of services.
1.  Tekigosei - Tool to do suitability check for Variable Life Products
?? EAI?? Intranet??????????????????
???? EAI?????????????????
? ?????????</t>
  </si>
  <si>
    <t>CGLFJM-JPN</t>
  </si>
  <si>
    <t>Misconduct Management system</t>
  </si>
  <si>
    <r>
      <rPr>
        <sz val="10"/>
        <color theme="1"/>
        <rFont val="ＭＳ Ｐゴシック"/>
        <family val="2"/>
        <charset val="128"/>
      </rPr>
      <t>Record the investigation process, results, and dispositions of the accident, and store them in a searchable format.</t>
    </r>
    <phoneticPr fontId="1"/>
  </si>
  <si>
    <t>Claim Batch</t>
  </si>
  <si>
    <t>OpenBatch system for Claim</t>
  </si>
  <si>
    <t>Insurance Claims / Batch Processing Group</t>
    <rPh sb="0" eb="3">
      <t>ホケンキン</t>
    </rPh>
    <rPh sb="3" eb="5">
      <t>カンレン</t>
    </rPh>
    <rPh sb="9" eb="12">
      <t>ショリグン</t>
    </rPh>
    <phoneticPr fontId="1"/>
  </si>
  <si>
    <t>Other#Batch Application</t>
  </si>
  <si>
    <t>Customer Care Batch</t>
  </si>
  <si>
    <t>Open Batch System for Customer Care</t>
  </si>
  <si>
    <t>Application/batch processing group for call centers</t>
    <rPh sb="6" eb="7">
      <t>ム</t>
    </rPh>
    <rPh sb="20" eb="23">
      <t>ショリグン</t>
    </rPh>
    <phoneticPr fontId="1"/>
  </si>
  <si>
    <t>Other#Batch Manager</t>
  </si>
  <si>
    <t>Other#ETL (Infomatica)</t>
  </si>
  <si>
    <t>AURA</t>
  </si>
  <si>
    <t>AURA Underwriting</t>
  </si>
  <si>
    <t>AURA, is a medical underwriting and decision framework provided by RGA Technology Partners, Inc.</t>
  </si>
  <si>
    <t>Other#SaaS</t>
  </si>
  <si>
    <t>POS Batch</t>
  </si>
  <si>
    <t>OpenBatch system for Policy Servicing</t>
  </si>
  <si>
    <t>Storage and Preservation Area / Batch Processing Group</t>
    <rPh sb="0" eb="6">
      <t>シュウノウホゼンリョウイキ</t>
    </rPh>
    <rPh sb="10" eb="13">
      <t>ショリグン</t>
    </rPh>
    <phoneticPr fontId="1"/>
  </si>
  <si>
    <t>Distribution Marketing batches</t>
  </si>
  <si>
    <t>Distribution Marketing related batches</t>
  </si>
  <si>
    <t>The batches from , decommissioned EAI (9850 , 9825)s of Distribution Marketing, has been migrated under this EAI.</t>
  </si>
  <si>
    <t>HIMAWARI backend apps</t>
  </si>
  <si>
    <t>HIMAWARI backend applications</t>
  </si>
  <si>
    <t>Call Center Apps / Backend Batch Processing Group</t>
    <rPh sb="7" eb="8">
      <t>ム</t>
    </rPh>
    <rPh sb="22" eb="24">
      <t>ショリ</t>
    </rPh>
    <rPh sb="24" eb="25">
      <t>グン</t>
    </rPh>
    <phoneticPr fontId="1"/>
  </si>
  <si>
    <t>Other#VB.net</t>
  </si>
  <si>
    <t>New Business Batch</t>
  </si>
  <si>
    <t>OpenBatch system for New Business</t>
  </si>
  <si>
    <t>New Contract-Related Batch Processing Group</t>
    <rPh sb="0" eb="3">
      <t>シンケイヤク</t>
    </rPh>
    <rPh sb="3" eb="5">
      <t>カンレン</t>
    </rPh>
    <rPh sb="8" eb="11">
      <t>ショリグン</t>
    </rPh>
    <phoneticPr fontId="1"/>
  </si>
  <si>
    <t>WCC</t>
  </si>
  <si>
    <t>Web Credit Card</t>
  </si>
  <si>
    <t>This application will support Web Credit Card payment feature</t>
  </si>
  <si>
    <t>JAVA; HTML5; JavaScript</t>
  </si>
  <si>
    <t>PDF Auto Loader Batch</t>
  </si>
  <si>
    <t>Open Batch System for PDF Auto Loader</t>
  </si>
  <si>
    <t>Batch System for PDF Auto Loader</t>
  </si>
  <si>
    <t>IVR Tekigosei</t>
  </si>
  <si>
    <t>Confirming UnitLink product suitability via IVR</t>
  </si>
  <si>
    <t>This application is SaaS solution by Kore.ai which will provide service to make a automated phone call to check Policyholder's understanding and suitability for UnitLink product.</t>
  </si>
  <si>
    <t>Other#N/A</t>
  </si>
  <si>
    <t>W09WSD-JPN BIS</t>
  </si>
  <si>
    <t>Call Center WSD BIS</t>
  </si>
  <si>
    <t>Financial Institutions LoB/Distribution Digital Planning Group</t>
    <phoneticPr fontId="1"/>
  </si>
  <si>
    <t>NBAPPS-JPN</t>
  </si>
  <si>
    <t>New Business Operation Apps</t>
  </si>
  <si>
    <t>New Contract-Related Applications</t>
    <rPh sb="0" eb="3">
      <t>シンケイヤク</t>
    </rPh>
    <rPh sb="3" eb="5">
      <t>カンレン</t>
    </rPh>
    <phoneticPr fontId="1"/>
  </si>
  <si>
    <t>SCS</t>
  </si>
  <si>
    <t>Sales Compensation System</t>
  </si>
  <si>
    <r>
      <rPr>
        <sz val="10"/>
        <color theme="1"/>
        <rFont val="ＭＳ Ｐゴシック"/>
        <family val="2"/>
        <charset val="128"/>
      </rPr>
      <t>A subsystem developed in-house. A successor development environment for exiting ICM (11004). As a business domain, it handles commission calculation and reporting. Development is carried out using Azure Databricks and Sparc.</t>
    </r>
    <phoneticPr fontId="1"/>
  </si>
  <si>
    <t>Other#Commission Data Platform and associated functions</t>
  </si>
  <si>
    <t>JAVA; Other#SQL</t>
  </si>
  <si>
    <t>Y</t>
    <phoneticPr fontId="1"/>
  </si>
  <si>
    <t>Pega for Claims</t>
  </si>
  <si>
    <t>Pega for Claims - Pega Workflow</t>
  </si>
  <si>
    <t>Pega for Claims - Pega Workflow</t>
    <phoneticPr fontId="1"/>
  </si>
  <si>
    <t>Web Application Client; Web Services</t>
  </si>
  <si>
    <t>CCMDNT-JPN</t>
  </si>
  <si>
    <t>.NET Common Infrastructure</t>
  </si>
  <si>
    <t>It provides APIs common to subsystem applications running on .NET FrameWork.
Common features include database access, caching, configuration, and logging,
These include encryption and reducation functions, authentication and authentication functions, and character code checking functions, all of which are provided.</t>
    <phoneticPr fontId="1"/>
  </si>
  <si>
    <t>VB.NET; C #</t>
  </si>
  <si>
    <t>WZZHYO-JPN</t>
  </si>
  <si>
    <t>Report Template Management System</t>
  </si>
  <si>
    <t>RMS (Report Management System) is MetLife's form management system. This system centrally registers, manages, searches, and approves various forms used within the company.</t>
    <phoneticPr fontId="1"/>
  </si>
  <si>
    <t>MDRS</t>
  </si>
  <si>
    <t>Maturity and Deferral Related System</t>
  </si>
  <si>
    <t>Maturity/Deferred Contract Management System</t>
    <rPh sb="0" eb="2">
      <t>マンキ</t>
    </rPh>
    <rPh sb="3" eb="5">
      <t>クリノベ</t>
    </rPh>
    <rPh sb="5" eb="7">
      <t>ケイヤク</t>
    </rPh>
    <rPh sb="7" eb="9">
      <t>カンリ</t>
    </rPh>
    <phoneticPr fontId="1"/>
  </si>
  <si>
    <t>JP-BANCA</t>
  </si>
  <si>
    <t>Japan Sales Platform-BANCA</t>
  </si>
  <si>
    <t>Paperless insurance design and application system for banks</t>
    <rPh sb="0" eb="2">
      <t>ギンコウ</t>
    </rPh>
    <rPh sb="2" eb="3">
      <t>ム</t>
    </rPh>
    <rPh sb="9" eb="11">
      <t>ホケン</t>
    </rPh>
    <rPh sb="11" eb="13">
      <t>セッケイ</t>
    </rPh>
    <rPh sb="14" eb="16">
      <t>モウシコミ</t>
    </rPh>
    <phoneticPr fontId="1"/>
  </si>
  <si>
    <t>Commission calculation</t>
  </si>
  <si>
    <t>Commission Calculation Service</t>
  </si>
  <si>
    <r>
      <rPr>
        <sz val="10"/>
        <color theme="1"/>
        <rFont val="ＭＳ Ｐゴシック"/>
        <family val="2"/>
        <charset val="128"/>
      </rPr>
      <t>A subsystem developed in-house.  Register the fee rate to display the primary reward fee on e-mirai and Banca. Development is carried out in Java.</t>
    </r>
    <phoneticPr fontId="1"/>
  </si>
  <si>
    <t>Commission Systems Team 34958</t>
    <phoneticPr fontId="1"/>
  </si>
  <si>
    <t>New Application</t>
  </si>
  <si>
    <t>Kintone-JPN</t>
  </si>
  <si>
    <t>kintone and paperlogic electronic contract system</t>
  </si>
  <si>
    <r>
      <rPr>
        <sz val="10"/>
        <color theme="1"/>
        <rFont val="游ゴシック"/>
        <family val="2"/>
        <charset val="128"/>
      </rPr>
      <t>Centralized management of contract information (kintone), workflows (kintone), and compliance with Electronic Book Law requirements (PaperLogic) are realized.</t>
    </r>
    <phoneticPr fontId="1"/>
  </si>
  <si>
    <t>Other#Vendor Managed</t>
  </si>
  <si>
    <t>EAI</t>
  </si>
  <si>
    <t>CG Assgn</t>
  </si>
  <si>
    <t>Human momths</t>
  </si>
  <si>
    <t>This data is from Kiyohara sans sheet. Human Months is FTE equivalent which we will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</si>
</sst>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_ "/>
    <numFmt numFmtId="165" formatCode="0.0_);[Red]\(0.0\)"/>
    <numFmt numFmtId="166" formatCode="0.0"/>
    <numFmt numFmtId="167" formatCode="0.0;[Red]0.0"/>
    <numFmt numFmtId="168" formatCode="0.00_);[Red]\(0.00\)"/>
  </numFmts>
  <fonts count="23">
    <font>
      <sz val="11"/>
      <color theme="1"/>
      <name val="Aptos Narrow"/>
      <family val="2"/>
      <scheme val="minor"/>
    </font>
    <font>
      <sz val="6"/>
      <name val="Aptos Narrow"/>
      <family val="3"/>
      <charset val="128"/>
      <scheme val="minor"/>
    </font>
    <font>
      <sz val="9"/>
      <color theme="1"/>
      <name val="Arial"/>
      <family val="2"/>
    </font>
    <font>
      <sz val="11"/>
      <color theme="1"/>
      <name val="Arial"/>
      <family val="2"/>
    </font>
    <font>
      <sz val="10"/>
      <color theme="1"/>
      <name val="Arial"/>
      <family val="2"/>
    </font>
    <font>
      <sz val="10"/>
      <color theme="1"/>
      <name val="ＭＳ Ｐゴシック"/>
      <family val="2"/>
      <charset val="128"/>
    </font>
    <font>
      <sz val="10"/>
      <color theme="1"/>
      <name val="游ゴシック"/>
      <family val="2"/>
    </font>
    <font>
      <sz val="10"/>
      <color theme="1"/>
      <name val="游ゴシック"/>
      <family val="2"/>
      <charset val="128"/>
    </font>
    <font>
      <sz val="10"/>
      <color theme="1"/>
      <name val="ＭＳ Ｐゴシック"/>
      <family val="3"/>
      <charset val="128"/>
    </font>
    <font>
      <sz val="10"/>
      <color theme="1"/>
      <name val="Arial"/>
      <family val="2"/>
      <charset val="128"/>
    </font>
    <font>
      <sz val="10"/>
      <color rgb="FF0070C0"/>
      <name val="Arial"/>
      <family val="2"/>
    </font>
    <font>
      <b/>
      <sz val="10"/>
      <color rgb="FFFF0000"/>
      <name val="Arial"/>
      <family val="2"/>
    </font>
    <font>
      <b/>
      <sz val="11"/>
      <color theme="1"/>
      <name val="Arial"/>
      <family val="2"/>
    </font>
    <font>
      <sz val="11"/>
      <color theme="1"/>
      <name val="Aptos Narrow"/>
      <family val="2"/>
      <scheme val="minor"/>
    </font>
    <font>
      <b/>
      <sz val="11"/>
      <color theme="1"/>
      <name val="Aptos Narrow"/>
      <family val="2"/>
      <scheme val="minor"/>
    </font>
    <font>
      <sz val="11"/>
      <color theme="1"/>
      <name val="Arial"/>
    </font>
    <font>
      <sz val="9"/>
      <color theme="1"/>
      <name val="Calibri"/>
      <family val="2"/>
    </font>
    <font>
      <b/>
      <sz val="11"/>
      <color theme="1"/>
      <name val="Calibri"/>
      <family val="2"/>
    </font>
    <font>
      <b/>
      <sz val="11"/>
      <color theme="1"/>
      <name val="Arial"/>
    </font>
    <font>
      <b/>
      <sz val="12"/>
      <color theme="1"/>
      <name val="Arial"/>
      <family val="2"/>
    </font>
    <font>
      <b/>
      <sz val="14"/>
      <color theme="1"/>
      <name val="Arial"/>
      <family val="2"/>
    </font>
    <font>
      <sz val="10"/>
      <color theme="1"/>
      <name val="Arial"/>
    </font>
    <font>
      <sz val="11"/>
      <color rgb="FF242424"/>
      <name val="Aptos Narrow"/>
      <charset val="1"/>
    </font>
  </fonts>
  <fills count="10">
    <fill>
      <patternFill patternType="none"/>
    </fill>
    <fill>
      <patternFill patternType="gray125"/>
    </fill>
    <fill>
      <patternFill patternType="solid">
        <fgColor theme="3" tint="0.74999237037263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13"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top" wrapText="1"/>
    </xf>
    <xf numFmtId="0" fontId="4" fillId="0" borderId="1" xfId="0" applyFont="1" applyBorder="1"/>
    <xf numFmtId="165" fontId="4" fillId="0" borderId="1" xfId="0" applyNumberFormat="1" applyFont="1" applyBorder="1"/>
    <xf numFmtId="9" fontId="4" fillId="0" borderId="2" xfId="0" applyNumberFormat="1" applyFont="1" applyBorder="1"/>
    <xf numFmtId="164" fontId="4" fillId="0" borderId="2" xfId="0" applyNumberFormat="1" applyFont="1" applyBorder="1"/>
    <xf numFmtId="0" fontId="4" fillId="0" borderId="2" xfId="0" applyFont="1" applyBorder="1"/>
    <xf numFmtId="0" fontId="5" fillId="0" borderId="1" xfId="0" applyFont="1" applyBorder="1"/>
    <xf numFmtId="0" fontId="9" fillId="0" borderId="1" xfId="0" applyFont="1" applyBorder="1"/>
    <xf numFmtId="165" fontId="10" fillId="0" borderId="1" xfId="0" applyNumberFormat="1" applyFont="1" applyBorder="1"/>
    <xf numFmtId="0" fontId="4" fillId="0" borderId="1" xfId="0" applyFont="1" applyBorder="1" applyAlignment="1">
      <alignment wrapText="1"/>
    </xf>
    <xf numFmtId="0" fontId="4" fillId="5" borderId="1" xfId="0" applyFont="1" applyFill="1" applyBorder="1"/>
    <xf numFmtId="0" fontId="11" fillId="0" borderId="1" xfId="0" applyFont="1" applyBorder="1"/>
    <xf numFmtId="0" fontId="3" fillId="6" borderId="0" xfId="0" applyFont="1" applyFill="1"/>
    <xf numFmtId="0" fontId="3" fillId="0" borderId="0" xfId="0" applyFont="1" applyAlignment="1">
      <alignment vertical="top"/>
    </xf>
    <xf numFmtId="0" fontId="12" fillId="4" borderId="0" xfId="0" applyFont="1" applyFill="1" applyAlignment="1">
      <alignment vertical="top" wrapText="1"/>
    </xf>
    <xf numFmtId="0" fontId="3" fillId="6" borderId="0" xfId="0" applyFont="1" applyFill="1" applyAlignment="1">
      <alignment vertical="top"/>
    </xf>
    <xf numFmtId="0" fontId="3" fillId="0" borderId="0" xfId="0" applyFont="1" applyAlignment="1">
      <alignment vertical="top" wrapText="1"/>
    </xf>
    <xf numFmtId="0" fontId="3" fillId="6" borderId="0" xfId="0" applyFont="1" applyFill="1" applyAlignment="1">
      <alignment vertical="top" wrapText="1"/>
    </xf>
    <xf numFmtId="0" fontId="2" fillId="0" borderId="0" xfId="0" applyFont="1" applyAlignment="1">
      <alignment vertical="top"/>
    </xf>
    <xf numFmtId="2" fontId="2" fillId="0" borderId="0" xfId="0" applyNumberFormat="1" applyFont="1" applyAlignment="1">
      <alignment vertical="top"/>
    </xf>
    <xf numFmtId="0" fontId="4"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0" borderId="1" xfId="0" applyFont="1" applyBorder="1" applyAlignment="1">
      <alignment vertical="top"/>
    </xf>
    <xf numFmtId="165" fontId="4" fillId="0" borderId="1" xfId="0" applyNumberFormat="1" applyFont="1" applyBorder="1" applyAlignment="1">
      <alignment vertical="top"/>
    </xf>
    <xf numFmtId="9" fontId="4" fillId="0" borderId="2" xfId="0" applyNumberFormat="1" applyFont="1" applyBorder="1" applyAlignment="1">
      <alignment vertical="top"/>
    </xf>
    <xf numFmtId="164" fontId="4" fillId="0" borderId="2" xfId="0" applyNumberFormat="1" applyFont="1" applyBorder="1" applyAlignment="1">
      <alignment vertical="top"/>
    </xf>
    <xf numFmtId="0" fontId="11" fillId="0" borderId="1" xfId="0" applyFont="1" applyBorder="1" applyAlignment="1">
      <alignment vertical="top"/>
    </xf>
    <xf numFmtId="0" fontId="15" fillId="5" borderId="0" xfId="0" applyFont="1" applyFill="1" applyAlignment="1">
      <alignment vertical="top" wrapText="1"/>
    </xf>
    <xf numFmtId="0" fontId="0" fillId="0" borderId="0" xfId="0" pivotButton="1"/>
    <xf numFmtId="0" fontId="0" fillId="0" borderId="0" xfId="0" applyAlignment="1">
      <alignment horizontal="left"/>
    </xf>
    <xf numFmtId="1" fontId="0" fillId="0" borderId="0" xfId="0" applyNumberFormat="1"/>
    <xf numFmtId="0" fontId="14" fillId="7" borderId="3" xfId="0" applyFont="1" applyFill="1" applyBorder="1"/>
    <xf numFmtId="0" fontId="0" fillId="0" borderId="0" xfId="0" applyAlignment="1">
      <alignment horizontal="left" indent="1"/>
    </xf>
    <xf numFmtId="0" fontId="0" fillId="0" borderId="0" xfId="0" applyAlignment="1">
      <alignment horizontal="left" indent="2"/>
    </xf>
    <xf numFmtId="0" fontId="0" fillId="8" borderId="0" xfId="0" applyFill="1" applyAlignment="1">
      <alignment horizontal="left" indent="1"/>
    </xf>
    <xf numFmtId="0" fontId="0" fillId="8" borderId="0" xfId="0" applyFill="1" applyAlignment="1">
      <alignment horizontal="left"/>
    </xf>
    <xf numFmtId="0" fontId="16" fillId="5" borderId="1" xfId="0" applyFont="1" applyFill="1" applyBorder="1" applyAlignment="1">
      <alignment horizontal="center" vertical="center"/>
    </xf>
    <xf numFmtId="0" fontId="16" fillId="5" borderId="0" xfId="0" applyFont="1" applyFill="1"/>
    <xf numFmtId="0" fontId="17" fillId="5" borderId="1" xfId="0" applyFont="1" applyFill="1" applyBorder="1" applyAlignment="1">
      <alignment horizontal="center" vertical="center"/>
    </xf>
    <xf numFmtId="0" fontId="17" fillId="5" borderId="0" xfId="0" applyFont="1" applyFill="1"/>
    <xf numFmtId="0" fontId="12" fillId="0" borderId="0" xfId="0" applyFont="1" applyAlignment="1">
      <alignment vertical="top"/>
    </xf>
    <xf numFmtId="0" fontId="3" fillId="0" borderId="0" xfId="0" applyFont="1" applyAlignment="1">
      <alignment horizontal="center" vertical="center"/>
    </xf>
    <xf numFmtId="0" fontId="12" fillId="0" borderId="1" xfId="0" applyFont="1" applyBorder="1" applyAlignment="1">
      <alignment vertical="top"/>
    </xf>
    <xf numFmtId="0" fontId="3" fillId="0" borderId="1" xfId="0" applyFont="1" applyBorder="1" applyAlignment="1">
      <alignment horizontal="center"/>
    </xf>
    <xf numFmtId="0" fontId="15" fillId="0" borderId="1" xfId="0" applyFont="1" applyBorder="1" applyAlignment="1">
      <alignment horizontal="center"/>
    </xf>
    <xf numFmtId="2" fontId="4" fillId="0" borderId="2" xfId="0" applyNumberFormat="1" applyFont="1" applyBorder="1" applyAlignment="1">
      <alignment horizontal="center"/>
    </xf>
    <xf numFmtId="2" fontId="21" fillId="0" borderId="2" xfId="0" applyNumberFormat="1" applyFont="1" applyBorder="1" applyAlignment="1">
      <alignment horizontal="center"/>
    </xf>
    <xf numFmtId="9" fontId="3" fillId="0" borderId="0" xfId="0" applyNumberFormat="1" applyFont="1" applyAlignment="1">
      <alignment vertical="top"/>
    </xf>
    <xf numFmtId="0" fontId="15" fillId="0" borderId="0" xfId="0" applyFont="1" applyAlignment="1">
      <alignment vertical="top"/>
    </xf>
    <xf numFmtId="0" fontId="19" fillId="0" borderId="0" xfId="0" applyFont="1" applyAlignment="1">
      <alignment vertical="top"/>
    </xf>
    <xf numFmtId="9" fontId="3" fillId="0" borderId="0" xfId="1" applyFont="1" applyAlignment="1">
      <alignment vertical="top"/>
    </xf>
    <xf numFmtId="0" fontId="18" fillId="0" borderId="1" xfId="0" applyFont="1" applyBorder="1" applyAlignment="1">
      <alignment vertical="top" wrapText="1"/>
    </xf>
    <xf numFmtId="9" fontId="3" fillId="0" borderId="0" xfId="0" applyNumberFormat="1" applyFont="1" applyAlignment="1">
      <alignment horizontal="center" vertical="center"/>
    </xf>
    <xf numFmtId="0" fontId="21" fillId="0" borderId="1" xfId="0" applyFont="1" applyBorder="1"/>
    <xf numFmtId="0" fontId="3" fillId="0" borderId="0" xfId="0" applyFont="1" applyAlignment="1">
      <alignment horizontal="center"/>
    </xf>
    <xf numFmtId="0" fontId="15" fillId="0" borderId="0" xfId="0" applyFont="1" applyAlignment="1">
      <alignment horizontal="center" vertical="center" wrapText="1"/>
    </xf>
    <xf numFmtId="9" fontId="3" fillId="0" borderId="0" xfId="1" applyFont="1" applyAlignment="1">
      <alignment horizontal="center" vertical="center"/>
    </xf>
    <xf numFmtId="9" fontId="15" fillId="0" borderId="0" xfId="1" applyFont="1" applyAlignment="1">
      <alignment horizontal="center" vertical="center"/>
    </xf>
    <xf numFmtId="0" fontId="18" fillId="0" borderId="0" xfId="0" applyFont="1" applyAlignment="1">
      <alignment vertical="top" wrapText="1"/>
    </xf>
    <xf numFmtId="0" fontId="15" fillId="0" borderId="0" xfId="0" applyFont="1" applyAlignment="1">
      <alignment horizontal="center"/>
    </xf>
    <xf numFmtId="0" fontId="21" fillId="0" borderId="0" xfId="0" applyFont="1"/>
    <xf numFmtId="2" fontId="15" fillId="0" borderId="0" xfId="0" applyNumberFormat="1" applyFont="1" applyAlignment="1">
      <alignment horizontal="center"/>
    </xf>
    <xf numFmtId="167" fontId="15" fillId="0" borderId="0" xfId="0" applyNumberFormat="1" applyFont="1" applyAlignment="1">
      <alignment horizontal="center"/>
    </xf>
    <xf numFmtId="166" fontId="3" fillId="0" borderId="0" xfId="0" applyNumberFormat="1" applyFont="1" applyAlignment="1">
      <alignment horizontal="center" vertical="center"/>
    </xf>
    <xf numFmtId="166" fontId="3" fillId="9" borderId="0" xfId="0" applyNumberFormat="1" applyFont="1" applyFill="1" applyAlignment="1">
      <alignment horizontal="center" vertical="center"/>
    </xf>
    <xf numFmtId="166" fontId="15" fillId="0" borderId="0" xfId="0" applyNumberFormat="1" applyFont="1" applyAlignment="1">
      <alignment horizontal="center" vertical="center"/>
    </xf>
    <xf numFmtId="166" fontId="15" fillId="9" borderId="0" xfId="0" applyNumberFormat="1" applyFont="1" applyFill="1" applyAlignment="1">
      <alignment horizontal="center" vertical="center"/>
    </xf>
    <xf numFmtId="166" fontId="3" fillId="0" borderId="0" xfId="0" applyNumberFormat="1" applyFont="1" applyAlignment="1">
      <alignment vertical="top"/>
    </xf>
    <xf numFmtId="165" fontId="3" fillId="0" borderId="0" xfId="0" applyNumberFormat="1" applyFont="1"/>
    <xf numFmtId="165" fontId="15" fillId="0" borderId="0" xfId="0" applyNumberFormat="1" applyFont="1"/>
    <xf numFmtId="168" fontId="15" fillId="0" borderId="0" xfId="0" applyNumberFormat="1" applyFont="1" applyAlignment="1">
      <alignment horizontal="center"/>
    </xf>
    <xf numFmtId="0" fontId="22" fillId="0" borderId="0" xfId="0" applyFont="1"/>
    <xf numFmtId="0" fontId="20" fillId="0" borderId="0" xfId="0" applyFont="1" applyAlignment="1">
      <alignment horizontal="center" vertical="center"/>
    </xf>
  </cellXfs>
  <cellStyles count="2">
    <cellStyle name="Normal" xfId="0" builtinId="0"/>
    <cellStyle name="Percent" xfId="1" builtinId="5"/>
  </cellStyles>
  <dxfs count="10">
    <dxf>
      <font>
        <color rgb="FF9C0006"/>
      </font>
      <fill>
        <patternFill>
          <bgColor rgb="FFFFC7CE"/>
        </patternFill>
      </fill>
    </dxf>
    <dxf>
      <numFmt numFmtId="1" formatCode="0"/>
    </dxf>
    <dxf>
      <numFmt numFmtId="1" formatCode="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tham, Vishal" refreshedDate="46266.461360763889" createdVersion="8" refreshedVersion="8" minRefreshableVersion="3" recordCount="142" xr:uid="{CDFEBD0F-D6E4-4609-8F19-5413DCD1C393}">
  <cacheSource type="worksheet">
    <worksheetSource ref="A4:AQ146" sheet="ApplicationList"/>
  </cacheSource>
  <cacheFields count="42">
    <cacheField name="AD Coverage" numFmtId="0">
      <sharedItems containsBlank="1" count="5">
        <s v="Digital"/>
        <s v="Mainframe"/>
        <s v="Cloud"/>
        <s v="Data"/>
        <m/>
      </sharedItems>
    </cacheField>
    <cacheField name="AMS Coverage" numFmtId="0">
      <sharedItems containsBlank="1"/>
    </cacheField>
    <cacheField name="QA Coverage" numFmtId="0">
      <sharedItems containsBlank="1"/>
    </cacheField>
    <cacheField name="Remarks" numFmtId="0">
      <sharedItems containsBlank="1" longText="1"/>
    </cacheField>
    <cacheField name="EAI Application ID" numFmtId="0">
      <sharedItems containsSemiMixedTypes="0" containsString="0" containsNumber="1" containsInteger="1" minValue="9629" maxValue="14930"/>
    </cacheField>
    <cacheField name="Application" numFmtId="0">
      <sharedItems/>
    </cacheField>
    <cacheField name="Application Long Name" numFmtId="0">
      <sharedItems/>
    </cacheField>
    <cacheField name="Application Description" numFmtId="0">
      <sharedItems longText="1"/>
    </cacheField>
    <cacheField name="domain" numFmtId="0">
      <sharedItems count="11">
        <s v="Fee Management"/>
        <s v="contract management"/>
        <s v="New Contract Related"/>
        <s v="Storage and Preservation Related"/>
        <s v="Insurance Claims and Benefits Payment Related"/>
        <s v="Customer Care / Call Center Related"/>
        <s v="Corporate Related"/>
        <s v="Marketing/Direct Business Related"/>
        <s v="Sales / Insurance Recruitment"/>
        <s v="Common Service Platform"/>
        <s v="Data Infrastructure"/>
      </sharedItems>
    </cacheField>
    <cacheField name="Group" numFmtId="0">
      <sharedItems/>
    </cacheField>
    <cacheField name="Team" numFmtId="0">
      <sharedItems containsBlank="1"/>
    </cacheField>
    <cacheField name="Host Support structure" numFmtId="0">
      <sharedItems/>
    </cacheField>
    <cacheField name="Application Class" numFmtId="0">
      <sharedItems/>
    </cacheField>
    <cacheField name="Application Status" numFmtId="0">
      <sharedItems/>
    </cacheField>
    <cacheField name="Primary Support Team" numFmtId="0">
      <sharedItems/>
    </cacheField>
    <cacheField name="Critical Application Indicator" numFmtId="0">
      <sharedItems/>
    </cacheField>
    <cacheField name="Business Sponsor LOB" numFmtId="0">
      <sharedItems/>
    </cacheField>
    <cacheField name="Internet Facing Application" numFmtId="0">
      <sharedItems/>
    </cacheField>
    <cacheField name="Application Hosting" numFmtId="0">
      <sharedItems/>
    </cacheField>
    <cacheField name="General Application Profile" numFmtId="0">
      <sharedItems/>
    </cacheField>
    <cacheField name="Operating System/ Platform" numFmtId="0">
      <sharedItems/>
    </cacheField>
    <cacheField name="Primary Code Language" numFmtId="0">
      <sharedItems/>
    </cacheField>
    <cacheField name="Application Source Code Ownership" numFmtId="0">
      <sharedItems/>
    </cacheField>
    <cacheField name="Cloud_Platform" numFmtId="0">
      <sharedItems/>
    </cacheField>
    <cacheField name="Cloud_Indicator" numFmtId="0">
      <sharedItems/>
    </cacheField>
    <cacheField name="In Scope" numFmtId="0">
      <sharedItems/>
    </cacheField>
    <cacheField name="Development" numFmtId="0">
      <sharedItems/>
    </cacheField>
    <cacheField name="conservative" numFmtId="0">
      <sharedItems containsBlank="1"/>
    </cacheField>
    <cacheField name="Infrastructure Operation" numFmtId="0">
      <sharedItems/>
    </cacheField>
    <cacheField name="Priority Transfer Targets" numFmtId="0">
      <sharedItems/>
    </cacheField>
    <cacheField name="Current FTC" numFmtId="165">
      <sharedItems containsString="0" containsBlank="1" containsNumber="1" minValue="0" maxValue="151.77083333333334"/>
    </cacheField>
    <cacheField name="Current FTE" numFmtId="165">
      <sharedItems containsString="0" containsBlank="1" containsNumber="1" minValue="0" maxValue="30.937500000000007"/>
    </cacheField>
    <cacheField name="Current MGCC" numFmtId="165">
      <sharedItems containsString="0" containsBlank="1" containsNumber="1" minValue="0" maxValue="47.204166666666666"/>
    </cacheField>
    <cacheField name="Total" numFmtId="165">
      <sharedItems containsString="0" containsBlank="1" containsNumber="1" minValue="0" maxValue="229.91250000000002"/>
    </cacheField>
    <cacheField name="% of PRJ" numFmtId="9">
      <sharedItems containsString="0" containsBlank="1" containsNumber="1" minValue="0" maxValue="1"/>
    </cacheField>
    <cacheField name="Target # of FTC" numFmtId="164">
      <sharedItems containsMixedTypes="1" containsNumber="1" minValue="0" maxValue="114.95625000000001"/>
    </cacheField>
    <cacheField name="Target # of FTE/MGCC" numFmtId="164">
      <sharedItems containsMixedTypes="1" containsNumber="1" minValue="0" maxValue="114.95625000000001"/>
    </cacheField>
    <cacheField name="Comments" numFmtId="0">
      <sharedItems containsBlank="1" longText="1"/>
    </cacheField>
    <cacheField name="Y/N" numFmtId="0">
      <sharedItems count="2">
        <s v="N"/>
        <s v="Y"/>
      </sharedItems>
    </cacheField>
    <cacheField name="T3 HC" numFmtId="0">
      <sharedItems containsSemiMixedTypes="0" containsString="0" containsNumber="1" containsInteger="1" minValue="0" maxValue="50"/>
    </cacheField>
    <cacheField name="CSO_QA ScopeHC" numFmtId="0">
      <sharedItems containsSemiMixedTypes="0" containsString="0" containsNumber="1" containsInteger="1" minValue="0" maxValue="1"/>
    </cacheField>
    <cacheField name="in FTE equivalent (basis Billing)" numFmtId="0">
      <sharedItems containsSemiMixedTypes="0" containsString="0" containsNumber="1" minValue="0" maxValue="55.5750000000000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gemini" refreshedDate="46266.661267361109" createdVersion="8" refreshedVersion="8" minRefreshableVersion="3" recordCount="142" xr:uid="{0573ED1D-28D2-4CF2-AB27-EFB430B6C9FA}">
  <cacheSource type="worksheet">
    <worksheetSource ref="A4:AL146" sheet="ApplicationList"/>
  </cacheSource>
  <cacheFields count="38">
    <cacheField name="AD Coverage" numFmtId="0">
      <sharedItems containsBlank="1" count="5">
        <s v="Digital"/>
        <s v="Mainframe"/>
        <s v="Cloud"/>
        <s v="Data"/>
        <m/>
      </sharedItems>
    </cacheField>
    <cacheField name="AMS Coverage" numFmtId="0">
      <sharedItems containsBlank="1"/>
    </cacheField>
    <cacheField name="QA Coverage" numFmtId="0">
      <sharedItems containsBlank="1"/>
    </cacheField>
    <cacheField name="Remarks" numFmtId="0">
      <sharedItems containsBlank="1" longText="1"/>
    </cacheField>
    <cacheField name="EAI Application ID" numFmtId="0">
      <sharedItems containsSemiMixedTypes="0" containsString="0" containsNumber="1" containsInteger="1" minValue="9629" maxValue="14930"/>
    </cacheField>
    <cacheField name="Application" numFmtId="0">
      <sharedItems count="142">
        <s v="Global Sales Comp - Japan"/>
        <s v="LC POSPMC MF-JPN"/>
        <s v="LC Billing MF-JPN"/>
        <s v="LC Collection MF-JPN"/>
        <s v="LC Corresponding MF-JPN"/>
        <s v="LC UWI MF-JPN"/>
        <s v="LC AAPerf MF-JPN"/>
        <s v="LC Payment MF-JPN"/>
        <s v="LC GL/SC MF-JPN"/>
        <s v="LC Valuation MF-JPN"/>
        <s v="LC AACOMP MF-JPN"/>
        <s v="Processor-I MF-JPN"/>
        <s v="LC Submit MF-JPN"/>
        <s v="LC Micro MF-JPN"/>
        <s v="Foreign MF-JPN"/>
        <s v="CT Salary  MF-JPN"/>
        <s v="TaxCertification MF-JPN"/>
        <s v="SWINGMANAGER MF-JPN"/>
        <s v="PremCollectDBMF-JPN"/>
        <s v="MCFA CP DB MF-JPN"/>
        <s v="Maturity MF-JPN"/>
        <s v="LC Reins MF-JPN"/>
        <s v="ASP Bridge(H) MF-JPN"/>
        <s v="CCA MF-JPN"/>
        <s v="C04NWC-JPN"/>
        <s v="C03WRE-JPN"/>
        <s v="C12WNC-JPN"/>
        <s v="C03WRD-JPN"/>
        <s v="C03PCA-JPN"/>
        <s v="C10CSS-JPN"/>
        <s v="C04VAS-JPN"/>
        <s v="C04SYM-JPN"/>
        <s v="C03VSV-JPN"/>
        <s v="PinID tool_JPN"/>
        <s v="C11VCM-JPN"/>
        <s v="C04OSI-JPN"/>
        <s v="W03FIC-JPN"/>
        <s v="C03APO-JPN"/>
        <s v="Z04IMA-JPN"/>
        <s v="W05AMS-JPN"/>
        <s v="W02OPS-JPN"/>
        <s v="W04RRE-JPN"/>
        <s v="W03PIU-JPN"/>
        <s v="W08HTN-JPN"/>
        <s v="W08NAV-JPN"/>
        <s v="W08SFE-JPN"/>
        <s v="W08CIS-JPN"/>
        <s v="W08NAR-JPN"/>
        <s v="W13WWF-JPN"/>
        <s v="P08MMS-JPN"/>
        <s v="WPSYEC-JPN"/>
        <s v="W07IPC-JPN"/>
        <s v="W01LOI-JPN"/>
        <s v="W01MAS-JPN"/>
        <s v="A04MMP-JPN"/>
        <s v="P02BKE-JPN"/>
        <s v="WPSC2S-JPN"/>
        <s v="B13ITS-JPN"/>
        <s v="W13WEP-JPN"/>
        <s v="Data Send System for BANC  MF-JP"/>
        <s v="CCMDNT-JPN"/>
        <s v="BCMHRP-JPN"/>
        <s v="WPSCUS-JPN"/>
        <s v="WAANSO-JPN"/>
        <s v="WZZHYO-JPN"/>
        <s v="EAADRS-JPN"/>
        <s v="WPMWCC-JPN"/>
        <s v="WGLRPC-JPN"/>
        <s v="Policy UWIBATCH MF-JPN"/>
        <s v="WAAATF-JPN"/>
        <s v="ZGLEST-JPN"/>
        <s v="CMESB-JPN"/>
        <s v="WPMAUD-JPN"/>
        <s v="WCMPXS-JPN"/>
        <s v="WUIURE-JPN"/>
        <s v="LINC MF-JPN"/>
        <s v="A06TOG-JPN"/>
        <s v="W06TGR-JPN"/>
        <s v="WAAICM-JPN"/>
        <s v="WAACPS-JPN"/>
        <s v="OMSIKN-JPN"/>
        <s v="OMSTAT-JPN"/>
        <s v="ZGLEDQ-JPN"/>
        <s v="WGLWLF-JPN"/>
        <s v="WZZMNB-JPN"/>
        <s v="BCMETL-JPN"/>
        <s v="WPSCFC-JPN"/>
        <s v="CGLFJM-JPN"/>
        <s v="WGLBSR-JPN"/>
        <s v="JP-RPASS"/>
        <s v="W03CCP-JPN"/>
        <s v="JP-Banca Report"/>
        <s v="LPS-JPN(EUC081)"/>
        <s v="CIT-JPN(EUC082)"/>
        <s v="CMIAPI-JPN"/>
        <s v="K2"/>
        <s v="JP-PCI-RPASS"/>
        <s v="RBRARS-JPN"/>
        <s v="CMEAPI-JP"/>
        <s v="JP-WCMAUT"/>
        <s v="Himawari"/>
        <s v="JP-QA Shared Service"/>
        <s v="JP-DB2-CONNECT"/>
        <s v="JP-Payroll"/>
        <s v="JP-OLB Batch"/>
        <s v="ASP B_O-JPN"/>
        <s v="WCMCCMJPN"/>
        <s v="Digital Portal"/>
        <s v="JP - Remote Closing"/>
        <s v="PaymentService"/>
        <s v="JP-GSSP"/>
        <s v="Business Content Management"/>
        <s v="DSP"/>
        <s v="JDPREP"/>
        <s v="Kintone-JPN"/>
        <s v="POS-IMS"/>
        <s v="AppsPortal"/>
        <s v="Scan Manager"/>
        <s v="ODMoC"/>
        <s v="External Portal"/>
        <s v="Distribution Systems - Internal"/>
        <s v="Corporate Batch"/>
        <s v="Claim Batch"/>
        <s v="Customer Care Batch"/>
        <s v="AURA"/>
        <s v="POS Batch"/>
        <s v="Distribution Marketing batches"/>
        <s v="HIMAWARI backend apps"/>
        <s v="New Business Batch"/>
        <s v="WCC"/>
        <s v="PDF Auto Loader Batch"/>
        <s v="IVR Tekigosei"/>
        <s v="W09WSD-JPN BIS"/>
        <s v="NBAPPS-JPN"/>
        <s v="SCS"/>
        <s v="Pega for Claims"/>
        <s v="RAPS"/>
        <s v="Commission System Support Tool"/>
        <s v="MDRS"/>
        <s v="JP-BANCA"/>
        <s v="Commission calculation"/>
        <s v="Vcalc-JPN"/>
      </sharedItems>
    </cacheField>
    <cacheField name="Application Long Name" numFmtId="0">
      <sharedItems/>
    </cacheField>
    <cacheField name="Application Description" numFmtId="0">
      <sharedItems longText="1"/>
    </cacheField>
    <cacheField name="domain" numFmtId="0">
      <sharedItems count="11">
        <s v="Fee Management"/>
        <s v="contract management"/>
        <s v="New Contract Related"/>
        <s v="Storage and Preservation Related"/>
        <s v="Insurance Claims and Benefits Payment Related"/>
        <s v="Customer Care / Call Center Related"/>
        <s v="Corporate Related"/>
        <s v="Marketing/Direct Business Related"/>
        <s v="Sales / Insurance Recruitment"/>
        <s v="Common Service Platform"/>
        <s v="Data Infrastructure"/>
      </sharedItems>
    </cacheField>
    <cacheField name="Group" numFmtId="0">
      <sharedItems/>
    </cacheField>
    <cacheField name="Team" numFmtId="0">
      <sharedItems containsBlank="1"/>
    </cacheField>
    <cacheField name="Host Support structure" numFmtId="0">
      <sharedItems/>
    </cacheField>
    <cacheField name="Application Class" numFmtId="0">
      <sharedItems/>
    </cacheField>
    <cacheField name="Application Status" numFmtId="0">
      <sharedItems/>
    </cacheField>
    <cacheField name="Primary Support Team" numFmtId="0">
      <sharedItems/>
    </cacheField>
    <cacheField name="Critical Application Indicator" numFmtId="0">
      <sharedItems/>
    </cacheField>
    <cacheField name="Business Sponsor LOB" numFmtId="0">
      <sharedItems/>
    </cacheField>
    <cacheField name="Internet Facing Application" numFmtId="0">
      <sharedItems/>
    </cacheField>
    <cacheField name="Application Hosting" numFmtId="0">
      <sharedItems/>
    </cacheField>
    <cacheField name="General Application Profile" numFmtId="0">
      <sharedItems/>
    </cacheField>
    <cacheField name="Operating System/ Platform" numFmtId="0">
      <sharedItems/>
    </cacheField>
    <cacheField name="Primary Code Language" numFmtId="0">
      <sharedItems/>
    </cacheField>
    <cacheField name="Application Source Code Ownership" numFmtId="0">
      <sharedItems/>
    </cacheField>
    <cacheField name="Cloud_Platform" numFmtId="0">
      <sharedItems/>
    </cacheField>
    <cacheField name="Cloud_Indicator" numFmtId="0">
      <sharedItems/>
    </cacheField>
    <cacheField name="In Scope" numFmtId="0">
      <sharedItems/>
    </cacheField>
    <cacheField name="Development" numFmtId="0">
      <sharedItems/>
    </cacheField>
    <cacheField name="conservative" numFmtId="0">
      <sharedItems containsBlank="1"/>
    </cacheField>
    <cacheField name="Infrastructure Operation" numFmtId="0">
      <sharedItems/>
    </cacheField>
    <cacheField name="Priority Transfer Targets" numFmtId="0">
      <sharedItems/>
    </cacheField>
    <cacheField name="Current FTC" numFmtId="165">
      <sharedItems containsString="0" containsBlank="1" containsNumber="1" minValue="0" maxValue="151.77083333333334"/>
    </cacheField>
    <cacheField name="Current FTE" numFmtId="165">
      <sharedItems containsString="0" containsBlank="1" containsNumber="1" minValue="0" maxValue="30.937500000000007"/>
    </cacheField>
    <cacheField name="Current MGCC" numFmtId="165">
      <sharedItems containsString="0" containsBlank="1" containsNumber="1" minValue="0" maxValue="47.204166666666666"/>
    </cacheField>
    <cacheField name="Total" numFmtId="165">
      <sharedItems containsString="0" containsBlank="1" containsNumber="1" minValue="0" maxValue="229.91250000000002"/>
    </cacheField>
    <cacheField name="% of PRJ" numFmtId="9">
      <sharedItems containsString="0" containsBlank="1" containsNumber="1" minValue="0" maxValue="1"/>
    </cacheField>
    <cacheField name="Target # of FTC" numFmtId="164">
      <sharedItems containsMixedTypes="1" containsNumber="1" minValue="0" maxValue="114.95625000000001"/>
    </cacheField>
    <cacheField name="Target # of FTE/MGCC" numFmtId="164">
      <sharedItems containsMixedTypes="1" containsNumber="1" minValue="0" maxValue="114.95625000000001"/>
    </cacheField>
    <cacheField name="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s v="Yes"/>
    <m/>
    <m/>
    <n v="9629"/>
    <s v="Global Sales Comp - Japan"/>
    <s v="Global Sales Comp - Japan"/>
    <s v="Responsible for data integration (ETL) between ICM (11004) and Life-Comm. Runs on US environments."/>
    <x v="0"/>
    <s v="Core Insurance Systems Group 34956"/>
    <s v="Commission Systems Team 34958"/>
    <s v="MetLife IT Hosted/Supported"/>
    <s v="Core Business Application"/>
    <s v="Production"/>
    <s v="AD Supported"/>
    <s v="N"/>
    <s v="Asia Region"/>
    <s v="Yes"/>
    <s v="Yes"/>
    <s v="Other#Schduler / orchastration tool call servers batches."/>
    <s v=""/>
    <s v="Other#Infomatica workflow_x000a_Bash shell_x000a_Dos batch"/>
    <s v="Non-MetLife Owned Application Code (3rd party/COTS)"/>
    <s v="Software as a Service (SaaS)"/>
    <s v="Yes"/>
    <s v="Y"/>
    <s v="Y"/>
    <s v="Y"/>
    <s v="N"/>
    <s v="N"/>
    <m/>
    <m/>
    <m/>
    <m/>
    <m/>
    <s v=""/>
    <s v=""/>
    <s v="The number of personnel is included in 11004."/>
    <x v="0"/>
    <n v="0"/>
    <n v="0"/>
    <n v="0"/>
  </r>
  <r>
    <x v="1"/>
    <s v="Yes"/>
    <m/>
    <m/>
    <n v="9796"/>
    <s v="LC POSPMC MF-JPN"/>
    <s v="LifeComm POSPMC"/>
    <s v="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59.558958333333365"/>
    <n v="7.7541666666666673"/>
    <n v="0"/>
    <n v="67.313125000000028"/>
    <n v="0.71176374097424044"/>
    <n v="33.656562500000014"/>
    <n v="33.656562500000014"/>
    <m/>
    <x v="0"/>
    <n v="0"/>
    <n v="0"/>
    <n v="0"/>
  </r>
  <r>
    <x v="1"/>
    <s v="Yes"/>
    <m/>
    <m/>
    <n v="9800"/>
    <s v="LC Billing MF-JPN"/>
    <s v="LifeComm Billing"/>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0.892166666666654"/>
    <n v="1.8537499999999998"/>
    <n v="0"/>
    <n v="22.745916666666652"/>
    <n v="0.94285787558939149"/>
    <n v="11.372958333333326"/>
    <n v="11.372958333333326"/>
    <m/>
    <x v="0"/>
    <n v="0"/>
    <n v="0"/>
    <n v="0"/>
  </r>
  <r>
    <x v="1"/>
    <s v="Yes"/>
    <m/>
    <m/>
    <n v="9801"/>
    <s v="LC Collection MF-JPN"/>
    <s v="LifeComm Collection"/>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m/>
    <m/>
    <m/>
    <m/>
    <m/>
    <s v=""/>
    <s v=""/>
    <s v="The number of staff is included in the 9,800"/>
    <x v="0"/>
    <n v="0"/>
    <n v="0"/>
    <n v="0"/>
  </r>
  <r>
    <x v="1"/>
    <s v="Yes"/>
    <m/>
    <m/>
    <n v="9802"/>
    <s v="LC Corresponding MF-JPN"/>
    <s v="LifeComm Corresponding"/>
    <s v="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15.953625000000002"/>
    <n v="1.6541666666666663"/>
    <n v="0"/>
    <n v="17.607791666666667"/>
    <n v="0.98287216596819116"/>
    <n v="8.8038958333333337"/>
    <n v="8.8038958333333337"/>
    <m/>
    <x v="0"/>
    <n v="0"/>
    <n v="0"/>
    <n v="0"/>
  </r>
  <r>
    <x v="1"/>
    <s v="Yes"/>
    <m/>
    <m/>
    <n v="9803"/>
    <s v="LC UWI MF-JPN"/>
    <s v="LifeComm  UWI"/>
    <s v="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8.8045833333333299"/>
    <n v="0.85"/>
    <n v="0"/>
    <n v="9.6545833333333295"/>
    <n v="0.94821112597643609"/>
    <n v="4.8272916666666648"/>
    <n v="4.8272916666666648"/>
    <m/>
    <x v="0"/>
    <n v="0"/>
    <n v="0"/>
    <n v="0"/>
  </r>
  <r>
    <x v="1"/>
    <s v="Yes"/>
    <m/>
    <m/>
    <n v="9804"/>
    <s v="LC AAPerf MF-JPN"/>
    <s v="LifeComm AgentAgencyPerformance"/>
    <s v="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0.784166666666668"/>
    <n v="0.74583333333333335"/>
    <n v="0"/>
    <n v="11.530000000000001"/>
    <n v="0.83304423243712056"/>
    <n v="5.7650000000000006"/>
    <n v="5.7650000000000006"/>
    <m/>
    <x v="0"/>
    <n v="0"/>
    <n v="0"/>
    <n v="0"/>
  </r>
  <r>
    <x v="1"/>
    <s v="Yes"/>
    <m/>
    <m/>
    <n v="9805"/>
    <s v="LC Payment MF-JPN"/>
    <s v="LifeComm Payment"/>
    <s v="A subsystem based on LifeComm (mainframe package). As a business domain, it handles paymen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8966666666666661"/>
    <n v="2.4999999999999998E-2"/>
    <n v="0"/>
    <n v="2.921666666666666"/>
    <n v="0.90587564175698809"/>
    <n v="1.460833333333333"/>
    <n v="1.460833333333333"/>
    <m/>
    <x v="0"/>
    <n v="0"/>
    <n v="0"/>
    <n v="0"/>
  </r>
  <r>
    <x v="1"/>
    <s v="Yes"/>
    <m/>
    <m/>
    <n v="9806"/>
    <s v="LC GL/SC MF-JPN"/>
    <s v="LifeComm GL/SC"/>
    <s v="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Financial Management Group"/>
    <s v="No"/>
    <s v="Yes"/>
    <s v="Other#Mainframe"/>
    <s v=""/>
    <s v="COBOL, Assembler, MU(EASYPLUS), JCL"/>
    <s v="MetLife Owned Application Code"/>
    <s v=""/>
    <s v="No"/>
    <s v="Y"/>
    <s v="Y"/>
    <s v="Y"/>
    <s v="N"/>
    <s v="N"/>
    <n v="5.2887500000000012"/>
    <n v="1.0249999999999999"/>
    <n v="0"/>
    <n v="6.3137500000000006"/>
    <n v="0.83765590972084747"/>
    <n v="3.1568750000000003"/>
    <n v="3.1568750000000003"/>
    <m/>
    <x v="0"/>
    <n v="0"/>
    <n v="0"/>
    <n v="0"/>
  </r>
  <r>
    <x v="1"/>
    <s v="Yes"/>
    <m/>
    <m/>
    <n v="9807"/>
    <s v="LC Valuation MF-JPN"/>
    <s v="LifeComm Valuation"/>
    <s v="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N"/>
    <s v="Financial Management Group"/>
    <s v="No"/>
    <s v="Yes"/>
    <s v="Other#Mainframe"/>
    <s v=""/>
    <s v="COBOL, Assembler, MU(EASYPLUS), JCL"/>
    <s v="MetLife Owned Application Code"/>
    <s v=""/>
    <s v="No"/>
    <s v="Y"/>
    <s v="Y"/>
    <s v="Y"/>
    <s v="N"/>
    <s v="N"/>
    <n v="9.7687500000000007"/>
    <n v="1.4833333333333334"/>
    <n v="0"/>
    <n v="11.252083333333335"/>
    <n v="0.85632290316608028"/>
    <n v="5.6260416666666675"/>
    <n v="5.6260416666666675"/>
    <m/>
    <x v="0"/>
    <n v="0"/>
    <n v="0"/>
    <n v="0"/>
  </r>
  <r>
    <x v="1"/>
    <s v="Yes"/>
    <m/>
    <m/>
    <n v="9808"/>
    <s v="LC AACOMP MF-JPN"/>
    <s v="LifeComm AgentAgencyComp"/>
    <s v="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3.545708333333339"/>
    <n v="3.1437500000000003"/>
    <n v="0"/>
    <n v="16.689458333333338"/>
    <n v="0.72662384189620677"/>
    <n v="8.344729166666669"/>
    <n v="8.344729166666669"/>
    <m/>
    <x v="0"/>
    <n v="0"/>
    <n v="0"/>
    <n v="0"/>
  </r>
  <r>
    <x v="1"/>
    <s v="Yes"/>
    <m/>
    <m/>
    <n v="9810"/>
    <s v="Processor-I MF-JPN"/>
    <s v="Claim payment (Processor-I)"/>
    <s v="A subsystem based on a different package from LifeComm (mainframe package). As a business domain, it is responsible for payment of benefits and insurance claim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7.6683333333333339"/>
    <n v="1.1291666666666667"/>
    <n v="0"/>
    <n v="8.7975000000000012"/>
    <n v="0.75561238988348978"/>
    <n v="4.3987500000000006"/>
    <n v="4.3987500000000006"/>
    <m/>
    <x v="0"/>
    <n v="0"/>
    <n v="0"/>
    <n v="0"/>
  </r>
  <r>
    <x v="1"/>
    <s v="Yes"/>
    <m/>
    <m/>
    <n v="9811"/>
    <s v="LC Submit MF-JPN"/>
    <s v="Submit Online"/>
    <s v="A subsystem developed in-house. As a business domain, it provides daily performance update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1.9683333333333333"/>
    <n v="0.16458333333333336"/>
    <n v="0"/>
    <n v="2.1329166666666666"/>
    <n v="0.95311584293807383"/>
    <n v="1.0664583333333333"/>
    <n v="1.0664583333333333"/>
    <m/>
    <x v="0"/>
    <n v="0"/>
    <n v="0"/>
    <n v="0"/>
  </r>
  <r>
    <x v="1"/>
    <s v="Yes"/>
    <m/>
    <m/>
    <n v="9813"/>
    <s v="LC Micro MF-JPN"/>
    <s v="Micro-Index"/>
    <s v="A subsystem developed in-house. It is a collection of numerous detailed fun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2.1174999999999997"/>
    <n v="0"/>
    <n v="0"/>
    <n v="2.1174999999999997"/>
    <n v="0.64580873671782768"/>
    <n v="1.0587499999999999"/>
    <n v="1.0587499999999999"/>
    <m/>
    <x v="0"/>
    <n v="0"/>
    <n v="0"/>
    <n v="0"/>
  </r>
  <r>
    <x v="1"/>
    <s v="Yes"/>
    <m/>
    <m/>
    <n v="9814"/>
    <s v="Foreign MF-JPN"/>
    <s v="Foreign"/>
    <s v="A subsystem developed in-house. Responsible for managing foreign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the 9813"/>
    <x v="0"/>
    <n v="0"/>
    <n v="0"/>
    <n v="0"/>
  </r>
  <r>
    <x v="1"/>
    <s v="Yes"/>
    <m/>
    <m/>
    <n v="9816"/>
    <s v="CT Salary  MF-JPN"/>
    <s v="CT Salary System"/>
    <s v="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0.2"/>
    <n v="0"/>
    <n v="0"/>
    <n v="0.19999999999999998"/>
    <n v="0"/>
    <n v="9.9999999999999992E-2"/>
    <n v="9.9999999999999992E-2"/>
    <m/>
    <x v="0"/>
    <n v="0"/>
    <n v="0"/>
    <n v="0"/>
  </r>
  <r>
    <x v="1"/>
    <s v="Yes"/>
    <m/>
    <m/>
    <n v="9817"/>
    <s v="TaxCertification MF-JPN"/>
    <s v="TaxCertification"/>
    <s v="A subsystem developed in-house. As a business domain, it serves as proof of dedu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n v="1.6648749999999999"/>
    <n v="0"/>
    <n v="0"/>
    <n v="1.6648749999999999"/>
    <n v="0.40748804965337743"/>
    <n v="0.83243749999999994"/>
    <n v="0.83243749999999994"/>
    <m/>
    <x v="0"/>
    <n v="0"/>
    <n v="0"/>
    <n v="0"/>
  </r>
  <r>
    <x v="1"/>
    <s v="Yes"/>
    <m/>
    <m/>
    <n v="9818"/>
    <s v="SWINGMANAGER MF-JPN"/>
    <s v="SWING MANAGER"/>
    <s v="A subsystem developed in-house. He is responsible for managing the savings fund of Universal Lif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x v="0"/>
    <n v="0"/>
    <n v="0"/>
    <n v="0"/>
  </r>
  <r>
    <x v="1"/>
    <s v="Yes"/>
    <m/>
    <m/>
    <n v="9819"/>
    <s v="PremCollectDBMF-JPN"/>
    <s v="Premium Collection History DB"/>
    <s v="A subsystem developed in-house. It is responsible for the deposit history function.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x v="0"/>
    <n v="0"/>
    <n v="0"/>
    <n v="0"/>
  </r>
  <r>
    <x v="1"/>
    <s v="Yes"/>
    <m/>
    <m/>
    <n v="9820"/>
    <s v="MCFA CP DB MF-JPN"/>
    <s v="MCFA Coupon DB"/>
    <s v="A subsystem developed in-house. It serves as the fixed withdrawal function for MCFA (pension insuranc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m/>
    <m/>
    <m/>
    <m/>
    <m/>
    <s v=""/>
    <s v=""/>
    <s v="The number of personnel is included in 9796."/>
    <x v="0"/>
    <n v="0"/>
    <n v="0"/>
    <n v="0"/>
  </r>
  <r>
    <x v="1"/>
    <s v="Yes"/>
    <m/>
    <m/>
    <n v="9821"/>
    <s v="Maturity MF-JPN"/>
    <s v="Payment  maturity existing benefit etc"/>
    <s v="A subsystem developed in-house. As a business domain, it serves as maturity.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4.378333333333333"/>
    <n v="0.97083333333333321"/>
    <n v="0"/>
    <n v="5.3491666666666662"/>
    <n v="0.62610998597912448"/>
    <n v="2.6745833333333331"/>
    <n v="2.6745833333333331"/>
    <m/>
    <x v="0"/>
    <n v="0"/>
    <n v="0"/>
    <n v="0"/>
  </r>
  <r>
    <x v="1"/>
    <s v="Yes"/>
    <m/>
    <m/>
    <n v="9822"/>
    <s v="LC Reins MF-JPN"/>
    <s v="Reinsurance"/>
    <s v="A subsystem developed in-house. As a business domain, it handles reinsurance.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Financial Management Group"/>
    <s v="No"/>
    <s v="Yes"/>
    <s v="Other#Mainframe"/>
    <s v=""/>
    <s v="COBOL, MU(EASYPLUS), Assembler, JCL"/>
    <s v="MetLife Owned Application Code"/>
    <s v=""/>
    <s v="No"/>
    <s v="Y"/>
    <s v="Y"/>
    <s v="Y"/>
    <s v="N"/>
    <s v="N"/>
    <n v="6.0129166666666656"/>
    <n v="0.25416666666666665"/>
    <n v="0"/>
    <n v="6.267083333333332"/>
    <n v="0.78990758593178645"/>
    <n v="3.133541666666666"/>
    <n v="3.133541666666666"/>
    <m/>
    <x v="0"/>
    <n v="0"/>
    <n v="0"/>
    <n v="0"/>
  </r>
  <r>
    <x v="1"/>
    <s v="Yes"/>
    <m/>
    <m/>
    <n v="9823"/>
    <s v="ASP Bridge(H) MF-JPN"/>
    <s v="ASP Bridge (HOST)"/>
    <s v="A subsystem developed in-house. It handles interfaces (data integration) with EAI:9925 and EAI:12559. It is basically built with COBOL, and except for the LIFECOMM integration part, almost no assembler is used."/>
    <x v="1"/>
    <s v="Core Insurance Systems Group 34956"/>
    <s v="Policy Admin Systems Team 34957"/>
    <s v="MetLife IT Hosted/Supported"/>
    <s v="Common Service Business Application"/>
    <s v="Production"/>
    <s v="AD Supported"/>
    <s v="Y"/>
    <s v="Global Technology &amp; Operations"/>
    <s v="No"/>
    <s v="Yes"/>
    <s v="Other#Mainframe"/>
    <s v=""/>
    <s v="COBOL, MU(EASYPLUS), Assembler, JCL"/>
    <s v="MetLife Owned Application Code"/>
    <s v=""/>
    <s v="No"/>
    <s v="Y"/>
    <s v="Y"/>
    <s v="Y"/>
    <s v="N"/>
    <s v="N"/>
    <n v="6.7267083333333355"/>
    <n v="1.4624999999999999"/>
    <n v="0"/>
    <n v="8.189208333333335"/>
    <n v="0.72808726932294032"/>
    <n v="4.0946041666666675"/>
    <n v="4.0946041666666675"/>
    <m/>
    <x v="0"/>
    <n v="0"/>
    <n v="0"/>
    <n v="0"/>
  </r>
  <r>
    <x v="1"/>
    <s v="Yes"/>
    <m/>
    <m/>
    <n v="9824"/>
    <s v="CCA MF-JPN"/>
    <s v="Client Contract Administration"/>
    <s v="A subsystem based on a different package from LifeComm (mainframe package). As a business domain, it serves as a customer name imperson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6308333333333336"/>
    <n v="0"/>
    <n v="0"/>
    <n v="1.6308333333333336"/>
    <n v="0.38681655595298936"/>
    <n v="0.81541666666666679"/>
    <n v="0.81541666666666679"/>
    <m/>
    <x v="0"/>
    <n v="0"/>
    <n v="0"/>
    <n v="0"/>
  </r>
  <r>
    <x v="2"/>
    <s v="Yes"/>
    <m/>
    <m/>
    <n v="9833"/>
    <s v="C04NWC-JPN"/>
    <s v="CenterServer"/>
    <s v="Rule engine for new contract workflows"/>
    <x v="2"/>
    <s v="Customer Service and Operations Systems Group 34965"/>
    <s v="New Business Team 34966"/>
    <s v="MetLife IT Hosted/Supported"/>
    <s v="Core Business Application"/>
    <s v="Production"/>
    <s v="AD Supported"/>
    <s v="N"/>
    <s v="Global Technology &amp; Operations"/>
    <s v="No"/>
    <s v="Yes"/>
    <s v="Other#ASP"/>
    <s v=""/>
    <s v="C/C++"/>
    <s v="MetLife Owned Application Code"/>
    <s v=""/>
    <s v="No"/>
    <s v="Y"/>
    <s v="Y"/>
    <s v="Y"/>
    <s v="N"/>
    <s v="N"/>
    <n v="8.7316666666666691"/>
    <n v="0.11041666666666666"/>
    <n v="0"/>
    <n v="8.8420833333333366"/>
    <n v="0.91687479383629433"/>
    <n v="4.4210416666666683"/>
    <n v="4.4210416666666683"/>
    <m/>
    <x v="1"/>
    <n v="0"/>
    <n v="1"/>
    <n v="0"/>
  </r>
  <r>
    <x v="2"/>
    <s v="Yes"/>
    <m/>
    <m/>
    <n v="9834"/>
    <s v="C03WRE-JPN"/>
    <s v="POS Workflow Payment Workflow (Restoring cancelled"/>
    <s v="Restoring and Cancelled Policy"/>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2"/>
    <n v="0.2"/>
    <n v="0"/>
    <n v="0.37083333333333335"/>
    <n v="0.32584269662921345"/>
    <n v="0.18541666666666667"/>
    <n v="0.18541666666666667"/>
    <m/>
    <x v="0"/>
    <n v="0"/>
    <n v="0"/>
    <n v="0"/>
  </r>
  <r>
    <x v="2"/>
    <s v="Yes"/>
    <m/>
    <m/>
    <n v="9835"/>
    <s v="C12WNC-JPN"/>
    <s v="POS Workflow Payment Workflow (Claim Transaction A"/>
    <s v="Claim Transaction Automatic Development of Benefit"/>
    <x v="4"/>
    <s v="Customer Service and Operations Systems Group 34965"/>
    <s v="Claims Team 34968"/>
    <s v="MetLife IT Hosted/Supported"/>
    <s v="Core Business Application"/>
    <s v="Production"/>
    <s v="AD Supported"/>
    <s v="Y"/>
    <s v="Global Technology &amp; Operations"/>
    <s v="No"/>
    <s v="Yes"/>
    <s v="Thick Client"/>
    <s v=""/>
    <s v="VB.NET; C/C++; JAVA"/>
    <s v="MetLife Owned Application Code"/>
    <s v=""/>
    <s v="No"/>
    <s v="Y"/>
    <s v="Y"/>
    <s v="Y"/>
    <s v="N"/>
    <s v="N"/>
    <n v="29.379874999999988"/>
    <n v="5.6166666666666663"/>
    <n v="0"/>
    <n v="34.996541666666651"/>
    <n v="0.90522873093412803"/>
    <n v="17.498270833333326"/>
    <n v="17.498270833333326"/>
    <m/>
    <x v="1"/>
    <n v="0"/>
    <n v="1"/>
    <n v="0"/>
  </r>
  <r>
    <x v="2"/>
    <s v="Yes"/>
    <m/>
    <m/>
    <n v="9836"/>
    <s v="C03WRD-JPN"/>
    <s v="POS Workflow Payment Workflow (Reduction of paymen"/>
    <s v="Storage and Maintenance Workflow (Reduction of Payment)"/>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30000000000000004"/>
    <n v="0.3"/>
    <n v="0"/>
    <n v="2.5258333333333329"/>
    <n v="0.90102276476410426"/>
    <n v="1.2629166666666665"/>
    <n v="1.2629166666666665"/>
    <m/>
    <x v="1"/>
    <n v="0"/>
    <n v="1"/>
    <n v="0"/>
  </r>
  <r>
    <x v="2"/>
    <s v="Yes"/>
    <m/>
    <m/>
    <n v="9842"/>
    <s v="C03PCA-JPN"/>
    <s v="Add Coverage"/>
    <s v="Storage and Preservation Special Contract Mid-Term Additional Processing System"/>
    <x v="3"/>
    <s v="Customer Service and Operations Systems Group 34965"/>
    <s v="Policy Servicing Team 34967"/>
    <s v="MetLife IT Hosted/Supported"/>
    <s v="Core Business Application"/>
    <s v="Production"/>
    <s v="AD Supported"/>
    <s v="N"/>
    <s v="Global Technology &amp; Operations"/>
    <s v="No"/>
    <s v="Yes"/>
    <s v="Other#C/S"/>
    <s v=""/>
    <s v="VB"/>
    <s v="MetLife Owned Application Code"/>
    <s v=""/>
    <s v="No"/>
    <s v="Y"/>
    <s v="Y"/>
    <s v="Y"/>
    <s v="N"/>
    <s v="N"/>
    <n v="0.30000000000000004"/>
    <n v="0.3"/>
    <n v="0"/>
    <n v="2.8862500000000004"/>
    <n v="0.90298830662624519"/>
    <n v="1.4431250000000002"/>
    <n v="1.4431250000000002"/>
    <m/>
    <x v="1"/>
    <n v="0"/>
    <n v="1"/>
    <n v="0"/>
  </r>
  <r>
    <x v="2"/>
    <s v="Yes"/>
    <m/>
    <m/>
    <n v="9843"/>
    <s v="C10CSS-JPN"/>
    <s v="FSC Call Support"/>
    <s v="Application for call centers for bank tellers (call history/case management)"/>
    <x v="5"/>
    <s v="Customer Service and Operations Systems Group 34965"/>
    <s v="Customer Care Team 34969"/>
    <s v="MetLife IT Hosted/Supported"/>
    <s v="Core Business Application"/>
    <s v="Production"/>
    <s v="AD Supported"/>
    <s v="N"/>
    <s v="Global Technology &amp; Operations"/>
    <s v="No"/>
    <s v="Yes"/>
    <s v="Web Application Client"/>
    <s v=""/>
    <s v="VB.NET"/>
    <s v="MetLife Owned Application Code"/>
    <s v=""/>
    <s v="No"/>
    <s v="Y"/>
    <s v="Y"/>
    <s v="Y"/>
    <s v="N"/>
    <s v="N"/>
    <n v="1.2120833333333334"/>
    <n v="0.20833333333333334"/>
    <n v="0"/>
    <n v="1.4204166666666667"/>
    <n v="0.63596362569668519"/>
    <n v="0.71020833333333333"/>
    <n v="0.71020833333333333"/>
    <m/>
    <x v="1"/>
    <n v="0"/>
    <n v="1"/>
    <n v="0"/>
  </r>
  <r>
    <x v="2"/>
    <s v="Yes"/>
    <m/>
    <m/>
    <n v="9844"/>
    <s v="C04VAS-JPN"/>
    <s v="Voucher Approval System for AS400"/>
    <s v="VAS (Voucher Accounting System) is MetLife's voucher approval and issuance system."/>
    <x v="6"/>
    <s v="Core Insurance Systems Group 34956"/>
    <s v="Corporate Systems Team 34959"/>
    <s v="MetLife IT Hosted/Supported"/>
    <s v="Core Business Application"/>
    <s v="Production"/>
    <s v="AD Supported"/>
    <s v="Y"/>
    <s v="Global Technology &amp; Operations"/>
    <s v="No"/>
    <s v="Yes"/>
    <s v="Thick Client"/>
    <s v=""/>
    <s v="VB.NET"/>
    <s v="MetLife Owned Application Code"/>
    <s v=""/>
    <s v="No"/>
    <s v="Y"/>
    <s v="Y"/>
    <s v="Y"/>
    <s v="N"/>
    <s v="N"/>
    <n v="0.67083333333333339"/>
    <n v="0.68333333333333324"/>
    <n v="0"/>
    <n v="1.3541666666666665"/>
    <n v="0.36923076923076931"/>
    <n v="0.67708333333333326"/>
    <n v="0.67708333333333326"/>
    <m/>
    <x v="0"/>
    <n v="0"/>
    <n v="0"/>
    <n v="0"/>
  </r>
  <r>
    <x v="2"/>
    <s v="Yes"/>
    <m/>
    <m/>
    <n v="9845"/>
    <s v="C04SYM-JPN"/>
    <s v="Renewal symap Business Work Flow"/>
    <s v="Workflow for Contract Renewal Process"/>
    <x v="2"/>
    <s v="Customer Service and Operations Systems Group 34965"/>
    <s v="New Business Team 34966"/>
    <s v="MetLife IT Hosted/Supported"/>
    <s v="Core Business Application"/>
    <s v="Production"/>
    <s v="AD Supported"/>
    <s v="N"/>
    <s v="Global Technology &amp; Operations"/>
    <s v="No"/>
    <s v="Yes"/>
    <s v="Other#Thick Client"/>
    <s v=""/>
    <s v="VB.NET"/>
    <s v="MetLife Owned Application Code"/>
    <s v=""/>
    <s v="No"/>
    <s v="Y"/>
    <s v="Y"/>
    <s v="Y"/>
    <s v="N"/>
    <s v="N"/>
    <n v="3.4049166666666668"/>
    <n v="0"/>
    <n v="0"/>
    <n v="3.4049166666666668"/>
    <n v="0.84091632198536437"/>
    <n v="1.7024583333333334"/>
    <n v="1.7024583333333334"/>
    <m/>
    <x v="1"/>
    <n v="0"/>
    <n v="1"/>
    <n v="0"/>
  </r>
  <r>
    <x v="2"/>
    <s v="Yes"/>
    <m/>
    <m/>
    <n v="9846"/>
    <s v="C03VSV-JPN"/>
    <s v="Variable Annuity Sun View"/>
    <s v="Call Center Applications / Call History Management Related to Variable Pensions"/>
    <x v="5"/>
    <s v="Customer Service and Operations Systems Group 34965"/>
    <s v="Customer Care Team 34969"/>
    <s v="MetLife IT Hosted/Supported"/>
    <s v="Core Business Application"/>
    <s v="Production"/>
    <s v="AD Supported"/>
    <s v="N"/>
    <s v="Global Technology &amp; Operations"/>
    <s v="No"/>
    <s v="Yes"/>
    <s v="Other#C/S"/>
    <s v=""/>
    <s v="VB.NET"/>
    <s v="MetLife Owned Application Code"/>
    <s v=""/>
    <s v="No"/>
    <s v="Y"/>
    <s v="Y"/>
    <s v="Y"/>
    <s v="N"/>
    <s v="N"/>
    <n v="3.125E-2"/>
    <n v="0.39999999999999997"/>
    <n v="0"/>
    <n v="0.43124999999999997"/>
    <n v="0.92753623188405798"/>
    <n v="0.21562499999999998"/>
    <n v="0.21562499999999998"/>
    <m/>
    <x v="1"/>
    <n v="0"/>
    <n v="1"/>
    <n v="0"/>
  </r>
  <r>
    <x v="2"/>
    <s v="Yes"/>
    <m/>
    <m/>
    <n v="9847"/>
    <s v="PinID tool_JPN"/>
    <s v="PinID Increase tool"/>
    <s v="EAI: A subsystem for managing PinID, a unique customer management number for 9925. Currently, it is built with .NET but is under development for migration to web applications."/>
    <x v="1"/>
    <s v="Core Insurance Systems Group 34956"/>
    <s v="Policy Admin Systems Team 34957"/>
    <s v="MetLife IT Hosted/Supported"/>
    <s v="Core Business Application"/>
    <s v="Production"/>
    <s v="AD Supported"/>
    <s v="N"/>
    <s v="Global Technology &amp; Operations"/>
    <s v="No"/>
    <s v="Yes"/>
    <s v="Other#C/S"/>
    <s v=""/>
    <s v="VB.NET"/>
    <s v="MetLife Owned Application Code"/>
    <s v=""/>
    <s v="No"/>
    <s v="Y"/>
    <s v="Y"/>
    <s v="Y"/>
    <s v="N"/>
    <s v="N"/>
    <n v="0.15262499999999998"/>
    <n v="0.3"/>
    <n v="0"/>
    <n v="0.45262499999999994"/>
    <n v="1"/>
    <n v="0.22631249999999997"/>
    <n v="0.22631249999999997"/>
    <m/>
    <x v="0"/>
    <n v="0"/>
    <n v="0"/>
    <n v="0"/>
  </r>
  <r>
    <x v="2"/>
    <s v="Yes"/>
    <m/>
    <m/>
    <n v="9848"/>
    <s v="C11VCM-JPN"/>
    <s v="Deposit Control System"/>
    <s v="New Contract Related/Deposit Management System"/>
    <x v="2"/>
    <s v="Customer Service and Operations Systems Group 34965"/>
    <s v="New Business Team 34966"/>
    <s v="MetLife IT Hosted/Supported"/>
    <s v="Core Business Application"/>
    <s v="Production"/>
    <s v="AD Supported"/>
    <s v="N"/>
    <s v="Global Technology &amp; Operations"/>
    <s v="No"/>
    <s v="Yes"/>
    <s v="Web Application Client"/>
    <s v=""/>
    <s v="VB.NET"/>
    <s v="MetLife Owned Application Code"/>
    <s v=""/>
    <s v="No"/>
    <s v="Y"/>
    <s v="Y"/>
    <s v="Y"/>
    <s v="N"/>
    <s v="N"/>
    <n v="0.88541666666666663"/>
    <n v="0"/>
    <n v="0"/>
    <n v="0.88541666666666663"/>
    <n v="0.83058823529411763"/>
    <n v="0.44270833333333331"/>
    <n v="0.44270833333333331"/>
    <m/>
    <x v="1"/>
    <n v="0"/>
    <n v="1"/>
    <n v="0"/>
  </r>
  <r>
    <x v="2"/>
    <s v="Yes"/>
    <m/>
    <m/>
    <n v="9849"/>
    <s v="C04OSI-JPN"/>
    <s v="S Sum Total System(Open)"/>
    <s v="New Contract Related/Comprehensive Management System"/>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5.1862499999999994"/>
    <n v="0.3833333333333333"/>
    <n v="0"/>
    <n v="5.5695833333333322"/>
    <n v="0.83152539836911799"/>
    <n v="2.7847916666666661"/>
    <n v="2.7847916666666661"/>
    <m/>
    <x v="1"/>
    <n v="0"/>
    <n v="1"/>
    <n v="0"/>
  </r>
  <r>
    <x v="2"/>
    <s v="Yes"/>
    <m/>
    <m/>
    <n v="9851"/>
    <s v="W03FIC-JPN"/>
    <s v="Guidance Refusal Information Administration System"/>
    <s v="A system for registering and managing information (DM, TELL) received via existing subscribers, agents, CTs, and internal staff._x000a_Additionally, the registered guide rejection information is linked to each system (HOST) to be used to send invitations and control calls to customers."/>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Platform as a Service (PaaS)"/>
    <s v="Yes"/>
    <s v="Y"/>
    <s v="Y"/>
    <s v="Y"/>
    <s v="N"/>
    <s v="N"/>
    <n v="0.29166666666666663"/>
    <n v="0.11666666666666667"/>
    <n v="0"/>
    <n v="0.40833333333333333"/>
    <n v="0.82653061224489799"/>
    <n v="0.20416666666666666"/>
    <n v="0.20416666666666666"/>
    <m/>
    <x v="0"/>
    <n v="0"/>
    <n v="0"/>
    <n v="0"/>
  </r>
  <r>
    <x v="2"/>
    <s v="Yes"/>
    <m/>
    <m/>
    <n v="9852"/>
    <s v="C03APO-JPN"/>
    <s v="Apollocs"/>
    <s v="A system that displays reports created in MainFrame on the Client Viewer screen_x000a_In addition to the function of viewing and displaying forms, it offers search functions, information processing (for text and CSV output), sticky notes, markers, and other functions."/>
    <x v="6"/>
    <s v="Core Insurance Systems Group 34956"/>
    <s v="Corporate Systems Team 34959"/>
    <s v="MetLife IT Hosted/Supported"/>
    <s v="Core Business Application"/>
    <s v="Production"/>
    <s v="AD Supported"/>
    <s v="N"/>
    <s v="Global Technology &amp; Operations"/>
    <s v="No"/>
    <s v="Yes"/>
    <s v="Other#C/S"/>
    <s v=""/>
    <s v="Other#APOLLOCS"/>
    <s v="Non-MetLife Owned Application Code (3rd party/COTS)"/>
    <s v=""/>
    <s v="No"/>
    <s v="Y"/>
    <s v="N"/>
    <s v="Y"/>
    <s v="N"/>
    <s v="N"/>
    <n v="0.5083333333333333"/>
    <n v="0"/>
    <n v="0"/>
    <n v="0.5083333333333333"/>
    <n v="0.36885245901639346"/>
    <n v="0.25416666666666665"/>
    <n v="0.25416666666666665"/>
    <m/>
    <x v="0"/>
    <n v="0"/>
    <n v="0"/>
    <n v="0"/>
  </r>
  <r>
    <x v="2"/>
    <s v="Yes"/>
    <m/>
    <m/>
    <n v="9854"/>
    <s v="Z04IMA-JPN"/>
    <s v="Image Search"/>
    <s v="New Contract Related / Image File Search System"/>
    <x v="2"/>
    <s v="Customer Service and Operations Systems Group 34965"/>
    <s v="New Business Team 34966"/>
    <s v="MetLife IT Hosted/Supported"/>
    <s v="Core Business Application"/>
    <s v="Production"/>
    <s v="AD Supported"/>
    <s v="N"/>
    <s v="Global Technology &amp; Operations"/>
    <s v="No"/>
    <s v="Yes"/>
    <s v="Web Application Client"/>
    <s v=""/>
    <s v="CSS; JAVA;HTML; VB.NET"/>
    <s v="MetLife Owned Application Code"/>
    <s v=""/>
    <s v="No"/>
    <s v="Y"/>
    <s v="Y"/>
    <s v="Y"/>
    <s v="N"/>
    <s v="N"/>
    <n v="1.4004166666666666"/>
    <n v="0"/>
    <n v="0"/>
    <n v="1.4004166666666666"/>
    <n v="0.92859268074977674"/>
    <n v="0.70020833333333332"/>
    <n v="0.70020833333333332"/>
    <m/>
    <x v="1"/>
    <n v="0"/>
    <n v="1"/>
    <n v="0"/>
  </r>
  <r>
    <x v="2"/>
    <s v="Yes"/>
    <m/>
    <m/>
    <n v="9857"/>
    <s v="W05AMS-JPN"/>
    <s v="Annuity Information Management System(AIMS)"/>
    <s v="Pension Information Management System"/>
    <x v="4"/>
    <s v="Customer Service and Operations Systems Group 34965"/>
    <s v="Claims Team 34968"/>
    <s v="MetLife IT Hosted/Supported"/>
    <s v="Core Business Application"/>
    <s v="Production"/>
    <s v="AD Supported"/>
    <s v="Y"/>
    <s v="Global Technology &amp; Operations"/>
    <s v="No"/>
    <s v="Yes"/>
    <s v="Web Services"/>
    <s v=""/>
    <s v="JAVA"/>
    <s v="MetLife Owned Application Code"/>
    <s v=""/>
    <s v="No"/>
    <s v="Y"/>
    <s v="Y"/>
    <s v="Y"/>
    <s v="N"/>
    <s v="N"/>
    <n v="20.211666666666652"/>
    <n v="1.8166666666666667"/>
    <n v="0"/>
    <n v="22.028333333333318"/>
    <n v="0.92547476734508582"/>
    <n v="11.014166666666659"/>
    <n v="11.014166666666659"/>
    <m/>
    <x v="1"/>
    <n v="0"/>
    <n v="1"/>
    <n v="0"/>
  </r>
  <r>
    <x v="2"/>
    <s v="Yes"/>
    <m/>
    <m/>
    <n v="9858"/>
    <s v="W02OPS-JPN"/>
    <s v="Insurance Planning for Operator"/>
    <s v="Insurance Planning for Operator / Insurance Design Application for Direct Business"/>
    <x v="7"/>
    <s v="Customer and Channel Engineering 34961"/>
    <m/>
    <s v="MetLife IT Hosted/Supported"/>
    <s v="Core Business Application"/>
    <s v="Production"/>
    <s v="AD Supported"/>
    <s v="N"/>
    <s v="Asia Region"/>
    <s v="No"/>
    <s v="Yes"/>
    <s v="Web Services; Web Application Client"/>
    <s v=""/>
    <s v="JAVA"/>
    <s v="MetLife Owned Application Code"/>
    <s v=""/>
    <s v="No"/>
    <s v="Y"/>
    <s v="Y"/>
    <s v="Y"/>
    <s v="N"/>
    <s v="N"/>
    <n v="4.8333333333333339"/>
    <n v="1"/>
    <n v="1.0833333333333333"/>
    <n v="6.916666666666667"/>
    <n v="0.71084337349397586"/>
    <n v="3.4583333333333335"/>
    <n v="3.4583333333333335"/>
    <m/>
    <x v="1"/>
    <n v="3"/>
    <n v="0"/>
    <n v="2.3624999999999998"/>
  </r>
  <r>
    <x v="2"/>
    <s v="Yes"/>
    <m/>
    <m/>
    <n v="9861"/>
    <s v="W04RRE-JPN"/>
    <s v="Rule Engine"/>
    <s v="New Contract Related / Rule Engine"/>
    <x v="2"/>
    <s v="Customer Service and Operations Systems Group 34965"/>
    <s v="New Business Team 34966"/>
    <s v="MetLife IT Hosted/Supported"/>
    <s v="Core Business Application"/>
    <s v="Production"/>
    <s v="AD Supported"/>
    <s v="Y"/>
    <s v="Global Technology &amp; Operations"/>
    <s v="No"/>
    <s v="Yes"/>
    <s v="Other#Services in Windows Server"/>
    <s v=""/>
    <s v="JAVA"/>
    <s v="MetLife Owned Application Code"/>
    <s v=""/>
    <s v="No"/>
    <s v="Y"/>
    <s v="Y"/>
    <s v="Y"/>
    <s v="N"/>
    <s v="N"/>
    <n v="6.3152916666666679"/>
    <n v="0"/>
    <n v="0"/>
    <n v="6.3152916666666679"/>
    <n v="0.87325737132753167"/>
    <n v="3.1576458333333339"/>
    <n v="3.1576458333333339"/>
    <m/>
    <x v="1"/>
    <n v="0"/>
    <n v="1"/>
    <n v="0"/>
  </r>
  <r>
    <x v="2"/>
    <s v="Yes"/>
    <m/>
    <m/>
    <n v="9879"/>
    <s v="W03PIU-JPN"/>
    <s v="IS universal life insurance simulation"/>
    <s v="IS universal life insurance simulation"/>
    <x v="3"/>
    <s v="Customer Service and Operations Systems Group 34965"/>
    <s v="Policy Servicing Team 34967"/>
    <s v="MetLife IT Hosted/Supported"/>
    <s v="Core Business Application"/>
    <s v="Production"/>
    <s v="AD Supported"/>
    <s v="N"/>
    <s v="Global Technology &amp; Operations"/>
    <s v="No"/>
    <s v="Yes"/>
    <s v="Web Services"/>
    <s v=""/>
    <s v="JAVA"/>
    <s v="MetLife Owned Application Code"/>
    <s v=""/>
    <s v="No"/>
    <s v="Y"/>
    <s v="Y"/>
    <s v="Y"/>
    <s v="N"/>
    <s v="N"/>
    <n v="0.2"/>
    <n v="0.1"/>
    <n v="0"/>
    <n v="0.30833333333333329"/>
    <n v="0.67567567567567566"/>
    <n v="0.15416666666666665"/>
    <n v="0.15416666666666665"/>
    <m/>
    <x v="1"/>
    <n v="0"/>
    <n v="1"/>
    <n v="0"/>
  </r>
  <r>
    <x v="2"/>
    <s v="Yes"/>
    <m/>
    <m/>
    <n v="9890"/>
    <s v="W08HTN-JPN"/>
    <s v="conservation contact personnel entry system"/>
    <s v="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5054583333333331"/>
    <n v="4.5833333333333337E-2"/>
    <n v="0"/>
    <n v="1.5512916666666665"/>
    <n v="7.2009884236254748E-2"/>
    <n v="0.77564583333333326"/>
    <n v="0.77564583333333326"/>
    <m/>
    <x v="0"/>
    <n v="0"/>
    <n v="0"/>
    <n v="0"/>
  </r>
  <r>
    <x v="2"/>
    <s v="Yes"/>
    <m/>
    <m/>
    <n v="9894"/>
    <s v="W08NAV-JPN"/>
    <s v="Branch Marketing Information System"/>
    <s v="Branch Marketing Information System"/>
    <x v="8"/>
    <s v="Customer and Channel Engineering 34961"/>
    <s v="Distribution F2F Team 34962"/>
    <s v="MetLife IT Hosted/Supported"/>
    <s v="Core Business Application"/>
    <s v="Production"/>
    <s v="AD Supported"/>
    <s v="N"/>
    <s v="Asia Region"/>
    <s v="No"/>
    <s v="Yes"/>
    <s v="Thick Client"/>
    <s v=""/>
    <s v="VB"/>
    <s v="MetLife Owned Application Code"/>
    <s v=""/>
    <s v="No"/>
    <s v="Y"/>
    <s v="Y"/>
    <s v="Y"/>
    <s v="N"/>
    <s v="N"/>
    <n v="2.8418749999999995"/>
    <n v="0.3520833333333333"/>
    <n v="0"/>
    <n v="3.1939583333333328"/>
    <n v="0.79192485813058511"/>
    <n v="1.5969791666666664"/>
    <n v="1.5969791666666664"/>
    <m/>
    <x v="0"/>
    <n v="0"/>
    <n v="0"/>
    <n v="0"/>
  </r>
  <r>
    <x v="2"/>
    <s v="Yes"/>
    <m/>
    <m/>
    <n v="9896"/>
    <s v="W08SFE-JPN"/>
    <s v="commission Inquiry"/>
    <s v="This system is a web application for referencing commission (fee) data of recruiters and agents, as well as contract information necessary for calculating retention rates and net increase rates of holding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091375"/>
    <n v="0.105"/>
    <n v="0"/>
    <n v="1.196375"/>
    <n v="0.98955177097481983"/>
    <n v="0.59818749999999998"/>
    <n v="0.59818749999999998"/>
    <m/>
    <x v="0"/>
    <n v="0"/>
    <n v="0"/>
    <n v="0"/>
  </r>
  <r>
    <x v="2"/>
    <s v="Yes"/>
    <m/>
    <m/>
    <n v="9899"/>
    <s v="W08CIS-JPN"/>
    <s v="Career Information System"/>
    <s v="CIS (Customer Information System) is MetLife's customer information management system. This system offers the following key features:_x000a__x000a_- Customer information inquiry and update_x000a_- Family information management_x000a_- Housing and commuting information management_x000a_- Information access control based on permissions_x000a_- Security log management_x000a_- Data export func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2041249999999999"/>
    <n v="0.52916666666666679"/>
    <n v="0"/>
    <n v="1.7332916666666667"/>
    <n v="0.82691891632010373"/>
    <n v="0.86664583333333334"/>
    <n v="0.86664583333333334"/>
    <m/>
    <x v="0"/>
    <n v="0"/>
    <n v="0"/>
    <n v="0"/>
  </r>
  <r>
    <x v="2"/>
    <s v="Yes"/>
    <m/>
    <m/>
    <n v="9906"/>
    <s v="W08NAR-JPN"/>
    <s v="producers information entry system"/>
    <s v="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2860416666666665"/>
    <n v="0.14541666666666664"/>
    <n v="0"/>
    <n v="1.4314583333333331"/>
    <n v="0.950516664241013"/>
    <n v="0.71572916666666653"/>
    <n v="0.71572916666666653"/>
    <m/>
    <x v="0"/>
    <n v="0"/>
    <n v="0"/>
    <n v="0"/>
  </r>
  <r>
    <x v="2"/>
    <s v="Yes"/>
    <m/>
    <m/>
    <n v="9907"/>
    <s v="W13WWF-JPN"/>
    <s v="Web work flow"/>
    <s v="This system was developed to eliminate the exchange of forms via fax between headquarters and branches as part of personal information protection measures, and to enable web-based document exchange."/>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
    <s v="No"/>
    <s v="Y"/>
    <s v="Y"/>
    <s v="Y"/>
    <s v="N"/>
    <s v="N"/>
    <n v="0.38583333333333336"/>
    <n v="0"/>
    <n v="0"/>
    <n v="0.38583333333333336"/>
    <n v="0.35205183585313171"/>
    <n v="0.19291666666666668"/>
    <n v="0.19291666666666668"/>
    <m/>
    <x v="0"/>
    <n v="0"/>
    <n v="0"/>
    <n v="0"/>
  </r>
  <r>
    <x v="2"/>
    <s v="Yes"/>
    <m/>
    <m/>
    <n v="9910"/>
    <s v="P08MMS-JPN"/>
    <s v="Medical Management System"/>
    <s v="New Contracts / Medical Assessment Management System"/>
    <x v="2"/>
    <s v="Customer Service and Operations Systems Group 34965"/>
    <s v="New Business Team 34966"/>
    <s v="MetLife IT Hosted/Supported"/>
    <s v="Core Business Application"/>
    <s v="Production"/>
    <s v="AD Supported"/>
    <s v="N"/>
    <s v="Global Technology &amp; Operations"/>
    <s v="No"/>
    <s v="Yes"/>
    <s v="Thick Client"/>
    <s v=""/>
    <s v="VB.NET"/>
    <s v="MetLife Owned Application Code"/>
    <s v=""/>
    <s v="No"/>
    <s v="Y"/>
    <s v="Y"/>
    <s v="Y"/>
    <s v="N"/>
    <s v="N"/>
    <n v="6.25E-2"/>
    <n v="0"/>
    <n v="0"/>
    <n v="6.25E-2"/>
    <n v="1"/>
    <n v="3.125E-2"/>
    <n v="3.125E-2"/>
    <m/>
    <x v="1"/>
    <n v="0"/>
    <n v="1"/>
    <n v="0"/>
  </r>
  <r>
    <x v="2"/>
    <s v="Yes"/>
    <m/>
    <m/>
    <n v="9920"/>
    <s v="WPSYEC-JPN"/>
    <s v="Direct Marketing Site"/>
    <s v="To capture prospective customers by providing online insurance simulation, online requests for brochures, online applications, etc. for customers in general."/>
    <x v="7"/>
    <s v="Customer and Channel Engineering 34961"/>
    <s v="Marketing and Leads Team 34964"/>
    <s v="MetLife IT Hosted/Supported"/>
    <s v="Core Business Application"/>
    <s v="Production"/>
    <s v="AD Supported"/>
    <s v="N"/>
    <s v="Global Marketing and Communications"/>
    <s v="Yes"/>
    <s v="Yes"/>
    <s v="Web Services"/>
    <s v=""/>
    <s v="JAVA"/>
    <s v="MetLife Owned Application Code"/>
    <s v=""/>
    <s v="No"/>
    <s v="Y"/>
    <s v="Y"/>
    <s v="Y"/>
    <s v="N"/>
    <s v="N"/>
    <n v="10.337500000000002"/>
    <n v="3.5583333333333336"/>
    <n v="5.1816666666666675"/>
    <n v="19.077500000000004"/>
    <n v="0.93360415847639022"/>
    <n v="9.5387500000000021"/>
    <n v="9.5387500000000021"/>
    <m/>
    <x v="0"/>
    <n v="0"/>
    <n v="0"/>
    <n v="0"/>
  </r>
  <r>
    <x v="2"/>
    <s v="Yes"/>
    <m/>
    <m/>
    <n v="9921"/>
    <s v="W07IPC-JPN"/>
    <s v="Internet Prospective Information"/>
    <s v="Internet Prospective Information"/>
    <x v="7"/>
    <s v="Customer and Channel Engineering 34961"/>
    <s v="Marketing and Leads Team 34964"/>
    <s v="MetLife IT Hosted/Supported"/>
    <s v="Core Business Application"/>
    <s v="Production"/>
    <s v="AD Supported"/>
    <s v="N"/>
    <s v="Asia Region"/>
    <s v="No"/>
    <s v="Yes"/>
    <s v="Web Services"/>
    <s v=""/>
    <s v="JAVA"/>
    <s v="MetLife Owned Application Code"/>
    <s v="Platform as a Service (PaaS)"/>
    <s v="Yes"/>
    <s v="Y"/>
    <s v="Y"/>
    <s v="Y"/>
    <s v="N"/>
    <s v="N"/>
    <n v="0.3041666666666667"/>
    <n v="4.1666666666666664E-2"/>
    <n v="0"/>
    <n v="0.34583333333333338"/>
    <n v="1"/>
    <n v="0.17291666666666669"/>
    <n v="0.17291666666666669"/>
    <m/>
    <x v="0"/>
    <n v="0"/>
    <n v="0"/>
    <n v="0"/>
  </r>
  <r>
    <x v="2"/>
    <s v="Yes"/>
    <m/>
    <m/>
    <n v="9926"/>
    <s v="W01LOI-JPN"/>
    <s v="Japan Authorization / login"/>
    <s v="This is a system which provides SSO authentication function and control over Portal site menu display for Infostation(Portal site for various Web application)"/>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
    <s v="No"/>
    <s v="Y"/>
    <s v="Y"/>
    <s v="Y"/>
    <s v="N"/>
    <s v="N"/>
    <n v="7.4999999999999997E-2"/>
    <n v="0"/>
    <n v="0"/>
    <n v="7.4999999999999997E-2"/>
    <n v="0"/>
    <n v="3.7499999999999999E-2"/>
    <n v="3.7499999999999999E-2"/>
    <m/>
    <x v="0"/>
    <n v="0"/>
    <n v="0"/>
    <n v="0"/>
  </r>
  <r>
    <x v="2"/>
    <s v="Yes"/>
    <m/>
    <m/>
    <n v="9928"/>
    <s v="W01MAS-JPN"/>
    <s v="Common Framework(Master4)"/>
    <s v="Common Framework(Master4)"/>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Platform as a Service (PaaS)"/>
    <s v="Yes"/>
    <s v="Y"/>
    <s v="Y"/>
    <s v="Y"/>
    <s v="N"/>
    <s v="N"/>
    <n v="1.3970833333333335"/>
    <n v="1"/>
    <n v="0"/>
    <n v="2.3970833333333337"/>
    <n v="0.86441856422735963"/>
    <n v="1.1985416666666668"/>
    <n v="1.1985416666666668"/>
    <m/>
    <x v="0"/>
    <n v="0"/>
    <n v="0"/>
    <n v="0"/>
  </r>
  <r>
    <x v="1"/>
    <s v="Yes"/>
    <m/>
    <m/>
    <n v="9930"/>
    <s v="A04MMP-JPN"/>
    <s v="AS400 Mass Marketing System"/>
    <s v="MM (Mass Marketing)** is a system that integrates MetLife Japan's insurance premium calculation, claims management, and payment processing. The AS/400 works in conjunction with the Windows server to process, manage, and transfer insurance premium data."/>
    <x v="6"/>
    <s v="Core Insurance Systems Group 34956"/>
    <s v="Corporate Systems Team 34959"/>
    <s v="MetLife IT Hosted/Supported"/>
    <s v="Core Business Application"/>
    <s v="Production"/>
    <s v="AD Supported"/>
    <s v="Y"/>
    <s v="Global Technology &amp; Operations"/>
    <s v="No"/>
    <s v="Yes"/>
    <s v="Other#AS400"/>
    <s v=""/>
    <s v="Other#RPG"/>
    <s v="MetLife Owned Application Code"/>
    <s v=""/>
    <s v="No"/>
    <s v="Y"/>
    <s v="Y"/>
    <s v="Y"/>
    <s v="N"/>
    <s v="N"/>
    <n v="2.4083333333333332"/>
    <n v="7.4999999999999997E-2"/>
    <n v="0"/>
    <n v="2.4833333333333334"/>
    <n v="0.89932885906040272"/>
    <n v="1.2416666666666667"/>
    <n v="1.2416666666666667"/>
    <m/>
    <x v="0"/>
    <n v="0"/>
    <n v="0"/>
    <n v="0"/>
  </r>
  <r>
    <x v="2"/>
    <s v="Yes"/>
    <m/>
    <m/>
    <n v="9931"/>
    <s v="P02BKE-JPN"/>
    <s v="Sales illustration system (based on EXCEL) for BAN"/>
    <s v="Sales illustration system (based on EXCEL) for BANK"/>
    <x v="8"/>
    <s v="Customer and Channel Engineering 34961"/>
    <s v="Distribution Banca Team 34963"/>
    <s v="MetLife IT Hosted/Supported"/>
    <s v="Core Business Application"/>
    <s v="Production"/>
    <s v="AD Supported"/>
    <s v="N"/>
    <s v="Asia Region"/>
    <s v="No"/>
    <s v="Yes"/>
    <s v="Thick Client"/>
    <s v=""/>
    <s v="Other#VBA"/>
    <s v="MetLife Owned Application Code"/>
    <s v=""/>
    <s v="No"/>
    <s v="Y"/>
    <s v="Y"/>
    <s v="Y"/>
    <s v="N"/>
    <s v="N"/>
    <n v="13"/>
    <n v="2.2749999999999999"/>
    <n v="0"/>
    <n v="15.275"/>
    <n v="0.91728849185496575"/>
    <n v="7.6375000000000002"/>
    <n v="7.6375000000000002"/>
    <m/>
    <x v="0"/>
    <n v="0"/>
    <n v="0"/>
    <n v="0"/>
  </r>
  <r>
    <x v="2"/>
    <s v="Yes"/>
    <m/>
    <m/>
    <n v="9940"/>
    <s v="WPSC2S-JPN"/>
    <s v="Call Control System"/>
    <s v="The outgoing call control system is a system that checks whether a prohibited call number has been registered before making a call._x000a_- Consists of four apps:_x000a__x0009_- Outgoing Regulation Confirmation System (C2S)_x000a__x0009_- Outgoing Restricted Telephone Number Inquiry System (C2SREF)_x000a__x0009_- Outgoing Restricted Phone Number Download System (C2SDWL)_x000a__x0009_- Outgoing Regulation Batch System (C2SBAT)"/>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38750000000000007"/>
    <n v="2.4999999999999998E-2"/>
    <n v="0"/>
    <n v="0.41250000000000009"/>
    <n v="0.81818181818181812"/>
    <n v="0.20625000000000004"/>
    <n v="0.20625000000000004"/>
    <m/>
    <x v="0"/>
    <n v="0"/>
    <n v="0"/>
    <n v="0"/>
  </r>
  <r>
    <x v="2"/>
    <s v="Yes"/>
    <m/>
    <m/>
    <n v="9941"/>
    <s v="B13ITS-JPN"/>
    <s v="ITS-PCIS(Mutual Fund System(Including Bestway)"/>
    <s v="BESTWAY/JJ is an integrated package system that supports the sales operations of investment trusts for financial institutions. Developed and provided by Nomura Research Institute (NRI)."/>
    <x v="6"/>
    <s v="Core Insurance Systems Group 34956"/>
    <s v="Corporate Systems Team 34959"/>
    <s v="Co-Located / Vendor Supported"/>
    <s v="Core Business Application"/>
    <s v="Production"/>
    <s v="AD Supported"/>
    <s v="N"/>
    <s v="Asia Region"/>
    <s v="No"/>
    <s v="Yes"/>
    <s v="Web Services"/>
    <s v=""/>
    <s v="JAVA"/>
    <s v="MetLife Owned Application Code"/>
    <s v="Software as a Service (SaaS)"/>
    <s v="Yes"/>
    <s v="Y"/>
    <s v="Y"/>
    <s v="Y"/>
    <s v="N"/>
    <s v="N"/>
    <n v="0.92916458333333329"/>
    <n v="8.7499999999999994E-2"/>
    <n v="0"/>
    <n v="1.0166645833333332"/>
    <n v="0.41311355146219564"/>
    <n v="0.5083322916666666"/>
    <n v="0.5083322916666666"/>
    <m/>
    <x v="0"/>
    <n v="0"/>
    <n v="0"/>
    <n v="0"/>
  </r>
  <r>
    <x v="2"/>
    <s v="Yes"/>
    <m/>
    <m/>
    <n v="9947"/>
    <s v="W13WEP-JPN"/>
    <s v="Web Payment"/>
    <s v="Web Payment"/>
    <x v="3"/>
    <s v="Customer Service and Operations Systems Group 34965"/>
    <s v="Policy Servicing Team 34967"/>
    <s v="MetLife IT Hosted/Supported"/>
    <s v="Core Business Application"/>
    <s v="Production"/>
    <s v="AD Supported"/>
    <s v="Y"/>
    <s v="Global Technology &amp; Operations"/>
    <s v="No"/>
    <s v="Yes"/>
    <s v="Web Services"/>
    <s v=""/>
    <s v="JAVA"/>
    <s v="MetLife Owned Application Code"/>
    <s v=""/>
    <s v="No"/>
    <s v="Y"/>
    <s v="Y"/>
    <s v="Y"/>
    <s v="N"/>
    <s v="N"/>
    <n v="9"/>
    <n v="1.1541666666666666"/>
    <n v="0"/>
    <n v="10"/>
    <n v="0.75904634544925254"/>
    <n v="5"/>
    <n v="5"/>
    <m/>
    <x v="1"/>
    <n v="0"/>
    <n v="1"/>
    <n v="0"/>
  </r>
  <r>
    <x v="1"/>
    <s v="Yes"/>
    <m/>
    <m/>
    <n v="9948"/>
    <s v="Data Send System for BANC  MF-JP"/>
    <s v="Data Send System for BANC"/>
    <s v="A subsystem developed in-house. As a business domain, it mainly handles data creation for joint gateways for bank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nframe"/>
    <s v=""/>
    <s v="COBOL, MU(EASYPLUS), Assembler, JCL"/>
    <s v="MetLife Owned Application Code"/>
    <s v=""/>
    <s v="No"/>
    <s v="Y"/>
    <s v="Y"/>
    <s v="Y"/>
    <s v="N"/>
    <s v="N"/>
    <n v="9.2697083333333321"/>
    <n v="2.8458333333333332"/>
    <n v="0"/>
    <n v="12.115541666666665"/>
    <n v="0.77129926093550627"/>
    <n v="6.0577708333333327"/>
    <n v="6.0577708333333327"/>
    <m/>
    <x v="0"/>
    <n v="0"/>
    <n v="0"/>
    <n v="0"/>
  </r>
  <r>
    <x v="2"/>
    <s v="Yes"/>
    <m/>
    <m/>
    <n v="9949"/>
    <s v="CCMDNT-JPN"/>
    <s v=".NET Common Infrastructure"/>
    <s v="It provides APIs common to subsystem applications running on .NET FrameWork._x000a_Common features include database access, caching, configuration, and logging,_x000a_These include encryption and reducation functions, authentication and authentication functions, and character code checking functions, all of which are provided."/>
    <x v="6"/>
    <s v="Core Insurance Systems Group 34956"/>
    <s v="Corporate Systems Team 34959"/>
    <s v="MetLife IT Hosted/Supported"/>
    <s v="Common Service Business Application"/>
    <s v="Production"/>
    <s v="AD Supported"/>
    <s v="N"/>
    <s v="Global Technology &amp; Operations"/>
    <s v="No"/>
    <s v="Yes"/>
    <s v="Web Services"/>
    <s v=""/>
    <s v="VB.NET; C #"/>
    <s v="MetLife Owned Application Code"/>
    <s v=""/>
    <s v="No"/>
    <s v="Y"/>
    <s v="Y"/>
    <s v="Y"/>
    <s v="N"/>
    <s v="N"/>
    <n v="6.6666666666666666E-2"/>
    <n v="0"/>
    <n v="0"/>
    <n v="6.6666666666666666E-2"/>
    <n v="0"/>
    <n v="3.3333333333333333E-2"/>
    <n v="3.3333333333333333E-2"/>
    <m/>
    <x v="0"/>
    <n v="0"/>
    <n v="0"/>
    <n v="0"/>
  </r>
  <r>
    <x v="3"/>
    <s v="Yes"/>
    <s v="Yes"/>
    <s v=" Batch integration Tech stack is not yet clear to ascertain if only &amp;D needs to support or also needs Mainframe skills . However this app is marked as Priority Target for Transition.  FSI vendor manages this app-  Transition Priority # 2 for &quot;Data Platforms&quot;_x000a__x000a_Data validation, ETL testing will be handled by I&amp;D; Non-functional testing by QA Testing team"/>
    <n v="9951"/>
    <s v="BCMHRP-JPN"/>
    <s v="Data cooperation"/>
    <s v="Data cooperation, integration between open system and HOST/AS400._x000a__x000a_Master data managed by HOST and AS 400 is processed for integration to open type backbone DB. Conversely, data managed by open backbone DB is integrated to HOST._x000a__x000a_All batch processes are operated by JP1._x000a_Other name: HRP(Host Relationship Program)"/>
    <x v="10"/>
    <s v="Data Platforms Team 34980"/>
    <s v="Data Platforms Team 34980"/>
    <s v="MetLife IT Hosted/Supported"/>
    <s v="Common Service Business Application"/>
    <s v="Production"/>
    <s v="AD Supported"/>
    <s v="N"/>
    <s v="Global Technology &amp; Operations"/>
    <s v="No"/>
    <s v="Yes"/>
    <s v="Other#none."/>
    <s v=""/>
    <s v="Other#MS-DOS ,AWK,VBScript,JAVA"/>
    <s v="MetLife Owned Application Code"/>
    <s v="Running on both on-premises and Azure.  The on-premises version will be decommissioned by the end of 2027."/>
    <s v="No"/>
    <s v="Y"/>
    <s v="Y"/>
    <s v="Y"/>
    <s v="N"/>
    <s v="Y"/>
    <n v="7"/>
    <n v="1"/>
    <n v="0"/>
    <n v="7.9270416666666641"/>
    <n v="0.77923668455550354"/>
    <n v="3.963520833333332"/>
    <n v="3.963520833333332"/>
    <s v="Considering AMS+AD over 3 years post initial Transition_x000a__x000a_Estimation Approach for AMS - based on assumed # of Incidents, Problem Tickets, SRs and CRs including minor enhancements and YoY AI-driven productivity"/>
    <x v="0"/>
    <n v="0"/>
    <n v="0"/>
    <n v="0"/>
  </r>
  <r>
    <x v="0"/>
    <s v="Yes"/>
    <m/>
    <m/>
    <n v="9962"/>
    <s v="WPSCUS-JPN"/>
    <s v="Customer Support System"/>
    <s v="Customer Support System"/>
    <x v="7"/>
    <s v="Customer and Channel Engineering 34961"/>
    <s v="Marketing and Leads Team 34964"/>
    <s v="MetLife IT Hosted/Supported"/>
    <s v="Core Business Application"/>
    <s v="Production"/>
    <s v="AD Supported"/>
    <s v="N"/>
    <s v="Asia Region"/>
    <s v="No"/>
    <s v="Yes"/>
    <s v="Web Services"/>
    <s v=""/>
    <s v="JavaScript; Other#APEX"/>
    <s v="MetLife Owned Application Code"/>
    <s v="Platform as a Service (PaaS)"/>
    <s v="Yes"/>
    <s v="Y"/>
    <s v="Y"/>
    <s v="Y"/>
    <s v="N"/>
    <s v="N"/>
    <n v="8.9216666666666686"/>
    <n v="2.4104166666666669"/>
    <n v="1.5199999999999998"/>
    <n v="12.852083333333335"/>
    <n v="0.82739503971470241"/>
    <n v="6.4260416666666673"/>
    <n v="6.4260416666666673"/>
    <m/>
    <x v="0"/>
    <n v="0"/>
    <n v="0"/>
    <n v="0"/>
  </r>
  <r>
    <x v="2"/>
    <s v="Yes"/>
    <m/>
    <m/>
    <n v="9964"/>
    <s v="WAANSO-JPN"/>
    <s v="New Submit Online System"/>
    <s v="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9533333333333334"/>
    <n v="0.36249999999999993"/>
    <n v="0"/>
    <n v="2.3158333333333334"/>
    <n v="0.90824037423533643"/>
    <n v="1.1579166666666667"/>
    <n v="1.1579166666666667"/>
    <m/>
    <x v="0"/>
    <n v="0"/>
    <n v="0"/>
    <n v="0"/>
  </r>
  <r>
    <x v="2"/>
    <s v="Yes"/>
    <m/>
    <m/>
    <n v="9965"/>
    <s v="WZZHYO-JPN"/>
    <s v="Report Template Management System"/>
    <s v="RMS (Report Management System) is MetLife's form management system. This system centrally registers, manages, searches, and approves various forms used within the company."/>
    <x v="6"/>
    <s v="Core Insurance Systems Group 34956"/>
    <s v="Corporate Systems Team 34959"/>
    <s v="MetLife IT Hosted/Supported"/>
    <s v="Core Business Application"/>
    <s v="Production"/>
    <s v="AD Supported"/>
    <s v="N"/>
    <s v="Global Technology &amp; Operations"/>
    <s v="No"/>
    <s v="Yes"/>
    <s v="Web Application Client"/>
    <s v=""/>
    <s v="JAVA"/>
    <s v="MetLife Owned Application Code"/>
    <s v=""/>
    <s v="No"/>
    <s v="Y"/>
    <s v="Y"/>
    <s v="Y"/>
    <s v="N"/>
    <s v="N"/>
    <n v="2.4999999999999998E-2"/>
    <n v="3.7499999999999999E-2"/>
    <n v="0"/>
    <n v="6.25E-2"/>
    <n v="0.2"/>
    <n v="3.125E-2"/>
    <n v="3.125E-2"/>
    <m/>
    <x v="0"/>
    <n v="0"/>
    <n v="0"/>
    <n v="0"/>
  </r>
  <r>
    <x v="2"/>
    <s v="Yes"/>
    <m/>
    <m/>
    <n v="9969"/>
    <s v="EAADRS-JPN"/>
    <s v="Dr.SUM"/>
    <s v="It is a packaged product that accumulates performance data such as new contract data, BUDGET data, and ESTIMATION data, as well as solicitation data such as A/A Master, as well as functions for querying and extracting information."/>
    <x v="6"/>
    <s v="Core Insurance Systems Group 34956"/>
    <s v="Corporate Systems Team 34959"/>
    <s v="MetLife IT Hosted/Supported"/>
    <s v="Core Business Application"/>
    <s v="Production"/>
    <s v="AD Supported"/>
    <s v="N"/>
    <s v="Asia Region"/>
    <s v="No"/>
    <s v="Yes"/>
    <s v="Web Services"/>
    <s v=""/>
    <s v="JAVA"/>
    <s v="Non-MetLife Owned Application Code (3rd party/COTS)"/>
    <s v=""/>
    <s v="No"/>
    <s v="Y"/>
    <s v="Y"/>
    <s v="Y"/>
    <s v="N"/>
    <s v="N"/>
    <n v="0.31237500000000001"/>
    <n v="2.4999999999999998E-2"/>
    <n v="0"/>
    <n v="0.33737500000000004"/>
    <n v="0.67580585402000737"/>
    <n v="0.16868750000000002"/>
    <n v="0.16868750000000002"/>
    <m/>
    <x v="0"/>
    <n v="0"/>
    <n v="0"/>
    <n v="0"/>
  </r>
  <r>
    <x v="2"/>
    <s v="Yes"/>
    <m/>
    <m/>
    <n v="9975"/>
    <s v="WPMWCC-JPN"/>
    <s v="Web Contact Center"/>
    <s v="Web Services for Recruiters (Collection Preservation &amp; Insurance Claims Related)"/>
    <x v="5"/>
    <s v="Customer Service and Operations Systems Group 34965"/>
    <s v="Customer Care Team 34969"/>
    <s v="MetLife IT Hosted/Supported"/>
    <s v="Core Business Application"/>
    <s v="Production"/>
    <s v="AD Supported"/>
    <s v="N"/>
    <s v="Global Technology &amp; Operations"/>
    <s v="No"/>
    <s v="Yes"/>
    <s v="Web Application Client"/>
    <s v=""/>
    <s v="JAVA"/>
    <s v="MetLife Owned Application Code"/>
    <s v=""/>
    <s v="No"/>
    <s v="Y"/>
    <s v="Y"/>
    <s v="Y"/>
    <s v="N"/>
    <s v="N"/>
    <n v="1.1116666666666668"/>
    <n v="0"/>
    <n v="0"/>
    <n v="1.1116666666666668"/>
    <n v="0.5850824587706146"/>
    <n v="0.5558333333333334"/>
    <n v="0.5558333333333334"/>
    <m/>
    <x v="0"/>
    <n v="0"/>
    <n v="0"/>
    <n v="0"/>
  </r>
  <r>
    <x v="2"/>
    <s v="Yes"/>
    <m/>
    <m/>
    <n v="9977"/>
    <s v="WGLRPC-JPN"/>
    <s v="ReportConnection"/>
    <s v="ReportConnection"/>
    <x v="8"/>
    <s v="Customer and Channel Engineering 34961"/>
    <s v="Distribution F2F Team 34962"/>
    <s v="MetLife IT Hosted/Supported"/>
    <s v="Core Business Application"/>
    <s v="Production"/>
    <s v="AD Supported"/>
    <s v="N"/>
    <s v="Asia Region"/>
    <s v="No"/>
    <s v="Yes"/>
    <s v="Web Services"/>
    <s v=""/>
    <s v="JAVA"/>
    <s v="MetLife Owned Application Code"/>
    <s v=""/>
    <s v="No"/>
    <s v="Y"/>
    <s v="Y"/>
    <s v="Y"/>
    <s v="N"/>
    <s v="N"/>
    <n v="1"/>
    <n v="1"/>
    <n v="0"/>
    <n v="0.45791666666666669"/>
    <n v="0"/>
    <n v="0.22895833333333335"/>
    <n v="0.22895833333333335"/>
    <m/>
    <x v="0"/>
    <n v="0"/>
    <n v="0"/>
    <n v="0"/>
  </r>
  <r>
    <x v="1"/>
    <s v="Yes"/>
    <m/>
    <m/>
    <n v="9980"/>
    <s v="Policy UWIBATCH MF-JPN"/>
    <s v="Policy Underwriting and Issue Batch"/>
    <s v="A subsystem developed in-house. In the business domain, it mainly handles the creation of insurance policies for new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Other#ASM; Cobol"/>
    <s v="MetLife Owned Application Code"/>
    <s v=""/>
    <s v="No"/>
    <s v="Y"/>
    <s v="Y"/>
    <s v="Y"/>
    <s v="N"/>
    <s v="N"/>
    <n v="12.606875000000006"/>
    <n v="1.1416666666666668"/>
    <n v="0"/>
    <n v="13.748541666666673"/>
    <n v="0.81496522358431966"/>
    <n v="6.8742708333333367"/>
    <n v="6.8742708333333367"/>
    <m/>
    <x v="0"/>
    <n v="0"/>
    <n v="0"/>
    <n v="0"/>
  </r>
  <r>
    <x v="2"/>
    <s v="Yes"/>
    <m/>
    <m/>
    <n v="9983"/>
    <s v="WAAATF-JPN"/>
    <s v="Agents Target Following system"/>
    <s v="Agents Target Following system"/>
    <x v="8"/>
    <s v="Customer and Channel Engineering 34961"/>
    <s v="Distribution F2F Team 34962"/>
    <s v="MetLife IT Hosted/Supported"/>
    <s v="Core Business Application"/>
    <s v="Production"/>
    <s v="AD Supported"/>
    <s v="N"/>
    <s v="Asia Region"/>
    <s v="No"/>
    <s v="Yes"/>
    <s v="Other#(C/S)"/>
    <s v=""/>
    <s v="JAVA"/>
    <s v="MetLife Owned Application Code"/>
    <s v="Platform as a Service (PaaS)"/>
    <s v="Yes"/>
    <s v="Y"/>
    <s v="Y"/>
    <s v="Y"/>
    <s v="N"/>
    <s v="N"/>
    <n v="6.6141666666666667"/>
    <n v="0.6479166666666667"/>
    <n v="0"/>
    <n v="7.262083333333333"/>
    <n v="0.93912444775948134"/>
    <n v="3.6310416666666665"/>
    <n v="3.6310416666666665"/>
    <m/>
    <x v="0"/>
    <n v="0"/>
    <n v="0"/>
    <n v="0"/>
  </r>
  <r>
    <x v="0"/>
    <s v="Yes"/>
    <m/>
    <m/>
    <n v="9986"/>
    <s v="ZGLEST-JPN"/>
    <s v="eSTATION"/>
    <s v="eSTATION (9986_MAIN) is MetLife's integrated business management system. This system offers the following key features:_x000a__x000a_- **Employee Profile Management**: Register, update, and delete employee information_x000a_- **Asset Management**: Manage and track IT equipment and supplies_x000a_- **Form Supply**: Management and supply of various forms and papers_x000a_- **Call Management**: Integrated management with phone systems_x000a_- **Workflow Management**: Various application and approval workflows_x000a_- **Report Generation**: Output various forms and generate PDFs_x000a_- **Job Management**: Batch processing and schedule management_x000a_- **SELS (Self Entry Lifecycle System)**: Self-service portal_x000a_- **Media Management**: Subsystems for various media_x000a_- **Print Management**: Manage print services_x000a_- **EZ-Travel**: Business trip management system"/>
    <x v="6"/>
    <s v="Core Insurance Systems Group 34956"/>
    <s v="Corporate Systems Team 34959"/>
    <s v="MetLife IT Hosted/Supported"/>
    <s v="Core Business Application"/>
    <s v="Production"/>
    <s v="AD Supported"/>
    <s v="N"/>
    <s v="Financial Management Group"/>
    <s v="No"/>
    <s v="Yes"/>
    <s v="Web Application Client"/>
    <s v=""/>
    <s v="JavaScript; VB.NET; C#;HTML"/>
    <s v="MetLife Owned Application Code"/>
    <s v=""/>
    <s v="No"/>
    <s v="Y"/>
    <s v="Y"/>
    <s v="Y"/>
    <s v="N"/>
    <s v="N"/>
    <n v="2.4426666666666668"/>
    <n v="0.5708333333333333"/>
    <n v="0"/>
    <n v="3.0135000000000001"/>
    <n v="0.2751507106907804"/>
    <n v="1.50675"/>
    <n v="1.50675"/>
    <m/>
    <x v="0"/>
    <n v="0"/>
    <n v="0"/>
    <n v="0"/>
  </r>
  <r>
    <x v="2"/>
    <s v="Yes"/>
    <m/>
    <m/>
    <n v="9992"/>
    <s v="CMESB-JPN"/>
    <s v="Enterprise Service Bus"/>
    <s v="Enterprise Service Bus"/>
    <x v="9"/>
    <s v="Japan Platform Team 35775"/>
    <s v="Japan Platform Team 35775"/>
    <s v="MetLife IT Hosted/Supported"/>
    <s v="Common Service Business Application"/>
    <s v="Production"/>
    <s v="AD Supported"/>
    <s v="N"/>
    <s v="Global Technology &amp; Operations"/>
    <s v="No"/>
    <s v="Yes"/>
    <s v="Web Services"/>
    <s v=""/>
    <s v="JAVA; Other#ESQL"/>
    <s v="MetLife Owned Application Code"/>
    <s v=""/>
    <s v="No"/>
    <s v="Y"/>
    <s v="Y"/>
    <s v="Y"/>
    <s v="N"/>
    <s v="N"/>
    <n v="7.2083333333333339"/>
    <n v="2.9958333333333336"/>
    <n v="2.5208333333333335"/>
    <n v="12.725000000000001"/>
    <n v="0.93778650949574338"/>
    <n v="6.3625000000000007"/>
    <n v="6.3625000000000007"/>
    <m/>
    <x v="1"/>
    <n v="12"/>
    <n v="0"/>
    <n v="9.28125"/>
  </r>
  <r>
    <x v="2"/>
    <s v="Yes"/>
    <m/>
    <m/>
    <n v="9994"/>
    <s v="WPMAUD-JPN"/>
    <s v="Unknown Address Tracking System"/>
    <s v="Address Unknown Contract Management System"/>
    <x v="3"/>
    <s v="Customer Service and Operations Systems Group 34965"/>
    <s v="Policy Servicing Team 34967"/>
    <s v="Vendor Hosted/MetLife IT Supported"/>
    <s v="Core Business Application"/>
    <s v="Production"/>
    <s v="AD Supported"/>
    <s v="N"/>
    <s v="Global Technology &amp; Operations"/>
    <s v="No"/>
    <s v="No"/>
    <s v="Web Application Client"/>
    <s v=""/>
    <s v="JAVA"/>
    <s v="Non-MetLife Owned Application Code (3rd party/COTS)"/>
    <s v="Platform as a Service (PaaS)"/>
    <s v="Yes"/>
    <s v="Y"/>
    <s v="Y"/>
    <s v="Y"/>
    <s v="N"/>
    <s v="N"/>
    <n v="0.79999999999999993"/>
    <n v="0.2"/>
    <n v="0"/>
    <n v="1.1729166666666664"/>
    <n v="0.42806394316163421"/>
    <n v="0.58645833333333319"/>
    <n v="0.58645833333333319"/>
    <m/>
    <x v="1"/>
    <n v="0"/>
    <n v="1"/>
    <n v="0"/>
  </r>
  <r>
    <x v="4"/>
    <s v="Yes"/>
    <m/>
    <m/>
    <n v="9995"/>
    <s v="WCMPXS-JPN"/>
    <s v="ProductXpress"/>
    <s v="Using Hewlett Packard's packaged product ProductXpress as a platform, it provides common computing functions to subsystems._x000a_The common calculation function is called only from the ESB via Web Service, and the amounts of premiums and surrender value, calculated based on the business method document, are sent and received in XML format."/>
    <x v="6"/>
    <s v="Core Insurance Systems Group 34956"/>
    <s v="Corporate Systems Team 34959"/>
    <s v="MetLife IT Hosted/Supported"/>
    <s v="Infrastructure Application"/>
    <s v="Production"/>
    <s v="AD Supported"/>
    <s v="N"/>
    <s v="Asia Region"/>
    <s v="No"/>
    <s v="Yes"/>
    <s v="Web Services"/>
    <s v=""/>
    <s v="Other#Peculiar Language, Implemented in PX designer."/>
    <s v="MetLife Owned Application Code"/>
    <s v=""/>
    <s v="No"/>
    <s v="Y"/>
    <s v="Y"/>
    <s v="Y"/>
    <s v="N"/>
    <s v="N"/>
    <n v="0.77916666666666667"/>
    <n v="0"/>
    <n v="0"/>
    <n v="0.77916666666666667"/>
    <n v="0.67914438502673802"/>
    <n v="0.38958333333333334"/>
    <n v="0.38958333333333334"/>
    <m/>
    <x v="0"/>
    <n v="0"/>
    <n v="0"/>
    <n v="0"/>
  </r>
  <r>
    <x v="2"/>
    <s v="Yes"/>
    <m/>
    <m/>
    <n v="9996"/>
    <s v="WUIURE-JPN"/>
    <s v="Pre-Underwriting"/>
    <s v="By providing an inquiry function for medical underwriting results,  this application provides followings."/>
    <x v="2"/>
    <s v="Customer Service and Operations Systems Group 34965"/>
    <s v="New Business Team 34966"/>
    <s v="MetLife IT Hosted/Supported"/>
    <s v="Core Business Application"/>
    <s v="Production"/>
    <s v="AD Supported"/>
    <s v="N"/>
    <s v="Global Technology &amp; Operations"/>
    <s v="No"/>
    <s v="Yes"/>
    <s v="Web Application Client"/>
    <s v=""/>
    <s v="JAVA"/>
    <s v="MetLife Owned Application Code"/>
    <s v=""/>
    <s v="No"/>
    <s v="Y"/>
    <s v="Y"/>
    <s v="Y"/>
    <s v="N"/>
    <s v="N"/>
    <n v="0.22625000000000001"/>
    <n v="0"/>
    <n v="0"/>
    <n v="0.22625000000000001"/>
    <n v="0.33701657458563533"/>
    <n v="0.113125"/>
    <n v="0.113125"/>
    <m/>
    <x v="1"/>
    <n v="0"/>
    <n v="1"/>
    <n v="0"/>
  </r>
  <r>
    <x v="1"/>
    <s v="Yes"/>
    <m/>
    <m/>
    <n v="9999"/>
    <s v="LINC MF-JPN"/>
    <s v="LINC"/>
    <s v="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0287500000000001"/>
    <n v="0"/>
    <n v="0"/>
    <n v="1.0287500000000001"/>
    <n v="0.12920210611583638"/>
    <n v="0.51437500000000003"/>
    <n v="0.51437500000000003"/>
    <m/>
    <x v="0"/>
    <n v="0"/>
    <n v="0"/>
    <n v="0"/>
  </r>
  <r>
    <x v="1"/>
    <s v="Yes"/>
    <m/>
    <m/>
    <n v="10001"/>
    <s v="A06TOG-JPN"/>
    <s v="Group Policy Management System"/>
    <s v="TOGAS is the mainframe system for managing MetLife Japan's insurance contracts. The COBOL/RPG program runs on the AS/400, performing registration, modification, and inquiry of contract information, form output, and batch processing."/>
    <x v="6"/>
    <s v="Core Insurance Systems Group 34956"/>
    <s v="Corporate Systems Team 34959"/>
    <s v="MetLife IT Hosted/Supported"/>
    <s v="Core Business Application"/>
    <s v="Production"/>
    <s v="AD Supported"/>
    <s v="Y"/>
    <s v="Global Technology &amp; Operations"/>
    <s v="No"/>
    <s v="Yes"/>
    <s v="Thick Client"/>
    <s v=""/>
    <s v="Other#RPG; Cobol"/>
    <s v="MetLife Owned Application Code"/>
    <s v=""/>
    <s v="No"/>
    <s v="Y"/>
    <s v="Y"/>
    <s v="Y"/>
    <s v="N"/>
    <s v="N"/>
    <n v="2.7291666666666665"/>
    <n v="3.0249999999999999"/>
    <n v="0"/>
    <n v="5.7541666666666664"/>
    <n v="0.34540188269370026"/>
    <n v="2.8770833333333332"/>
    <n v="2.8770833333333332"/>
    <m/>
    <x v="0"/>
    <n v="0"/>
    <n v="0"/>
    <n v="0"/>
  </r>
  <r>
    <x v="2"/>
    <s v="Yes"/>
    <m/>
    <m/>
    <n v="10032"/>
    <s v="W06TGR-JPN"/>
    <s v="Group Policy Inquiry System for Intranet"/>
    <s v="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
    <x v="6"/>
    <s v="Core Insurance Systems Group 34956"/>
    <s v="Corporate Systems Team 34959"/>
    <s v="MetLife IT Hosted/Supported"/>
    <s v="Core Business Application"/>
    <s v="Production"/>
    <s v="AD Supported"/>
    <s v="Y"/>
    <s v="Global Technology &amp; Operations"/>
    <s v="No"/>
    <s v="Yes"/>
    <s v="Web Services"/>
    <s v=""/>
    <s v="VB.NET; JAVA"/>
    <s v="MetLife Owned Application Code"/>
    <s v=""/>
    <s v="No"/>
    <s v="Y"/>
    <s v="Y"/>
    <s v="Y"/>
    <s v="N"/>
    <s v="N"/>
    <n v="1.8583333333333334"/>
    <n v="0.94166666666666676"/>
    <n v="0"/>
    <n v="2.8000000000000003"/>
    <n v="0.26934523809523808"/>
    <n v="1.4000000000000001"/>
    <n v="1.4000000000000001"/>
    <m/>
    <x v="0"/>
    <n v="0"/>
    <n v="0"/>
    <n v="0"/>
  </r>
  <r>
    <x v="2"/>
    <s v="Yes"/>
    <m/>
    <m/>
    <n v="11004"/>
    <s v="WAAICM-JPN"/>
    <s v="ICM"/>
    <s v="Varicent's package system (Incentive Compensation magement). As a business domain, it is responsible for calculating commissions and reporting them. Development is carried out using a proprietary non-code (GUI) development tool."/>
    <x v="0"/>
    <s v="Core Insurance Systems Group 34956"/>
    <s v="Commission Systems Team 34958"/>
    <s v="MetLife IT Hosted/Supported"/>
    <s v="Core Business Application"/>
    <s v="Production"/>
    <s v="AD Supported"/>
    <s v="N"/>
    <s v="Asia Region"/>
    <s v="No"/>
    <s v="Yes"/>
    <s v="Web Services"/>
    <s v=""/>
    <s v="JAVA; C#; Other#ETL_x000a_JAVA(ADJP)_x000a_SQL"/>
    <s v="MetLife Owned Application Code"/>
    <s v="Software as a Service (SaaS)"/>
    <s v="Yes"/>
    <s v="Y"/>
    <s v="Y"/>
    <s v="Y"/>
    <s v="N"/>
    <s v="N"/>
    <n v="21.50612499999999"/>
    <n v="7.7291666666666643"/>
    <n v="0"/>
    <n v="29.235291666666654"/>
    <n v="0.83096913405173833"/>
    <n v="14.617645833333327"/>
    <n v="14.617645833333327"/>
    <m/>
    <x v="0"/>
    <n v="0"/>
    <n v="0"/>
    <n v="0"/>
  </r>
  <r>
    <x v="2"/>
    <s v="Yes"/>
    <m/>
    <m/>
    <n v="11005"/>
    <s v="WAACPS-JPN"/>
    <s v="Commission and Performance System"/>
    <s v="CPS (Commission Processing System) is a commission processing system. This system supports all operations related to the calculation, management, and payment processing of fees associated with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Platform as a Service (PaaS)"/>
    <s v="Yes"/>
    <s v="Y"/>
    <s v="Y"/>
    <s v="Y"/>
    <s v="N"/>
    <s v="N"/>
    <n v="0.36249999999999999"/>
    <n v="4.1666666666666664E-2"/>
    <n v="0.5"/>
    <n v="0.90416666666666667"/>
    <n v="0.44700460829493088"/>
    <n v="0.45208333333333334"/>
    <n v="0.45208333333333334"/>
    <m/>
    <x v="0"/>
    <n v="0"/>
    <n v="0"/>
    <n v="0"/>
  </r>
  <r>
    <x v="2"/>
    <s v="Yes"/>
    <m/>
    <m/>
    <n v="11007"/>
    <s v="OMSIKN-JPN"/>
    <s v="Conservation contract transferring system"/>
    <s v="OMSIKN (Alico Management System Inquiry Knowledge Network) is an online inquiry system for insurance policyholders. This system provides a self-service portal where policyholders can check and inquire about their insurance contract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23491666666666666"/>
    <n v="7.2916666666666657E-2"/>
    <n v="0"/>
    <n v="0.30783333333333329"/>
    <n v="0.95939361126150513"/>
    <n v="0.15391666666666665"/>
    <n v="0.15391666666666665"/>
    <m/>
    <x v="0"/>
    <n v="0"/>
    <n v="0"/>
    <n v="0"/>
  </r>
  <r>
    <x v="2"/>
    <s v="Yes"/>
    <m/>
    <m/>
    <n v="11008"/>
    <s v="OMSTAT-JPN"/>
    <s v="Conservation contract allowance system"/>
    <s v="Conservation contract allowance system"/>
    <x v="7"/>
    <s v="Customer and Channel Engineering 34961"/>
    <s v="Marketing and Leads Team 34964"/>
    <s v="MetLife IT Hosted/Supported"/>
    <s v="Core Business Application"/>
    <s v="Production"/>
    <s v="AD Supported"/>
    <s v="N"/>
    <s v="Asia Region"/>
    <s v="No"/>
    <s v="Yes"/>
    <s v="Web Services"/>
    <s v=""/>
    <s v="JAVA"/>
    <s v="MetLife Owned Application Code"/>
    <s v=""/>
    <s v="No"/>
    <s v="Y"/>
    <s v="Y"/>
    <s v="Y"/>
    <s v="N"/>
    <s v="N"/>
    <n v="0.13541666666666669"/>
    <n v="1.6666666666666666E-2"/>
    <n v="0"/>
    <n v="0.15208333333333335"/>
    <n v="0.52054794520547942"/>
    <n v="7.6041666666666674E-2"/>
    <n v="7.6041666666666674E-2"/>
    <m/>
    <x v="0"/>
    <n v="0"/>
    <n v="0"/>
    <n v="0"/>
  </r>
  <r>
    <x v="2"/>
    <s v="Yes"/>
    <m/>
    <m/>
    <n v="11010"/>
    <s v="ZGLEDQ-JPN"/>
    <s v="FATCA Oracle EDQ"/>
    <s v="To comply with the FATCA Act, we process the necessary items of customer information held in our database at the necessary timing, and integrate them into the FATCA Azure system."/>
    <x v="6"/>
    <s v="Core Insurance Systems Group 34956"/>
    <s v="Corporate Systems Team 34959"/>
    <s v="MetLife IT Hosted/Supported"/>
    <s v="Core Business Application"/>
    <s v="Production"/>
    <s v="AD Supported"/>
    <s v="N"/>
    <s v="Financial Management Group"/>
    <s v="No"/>
    <s v="Yes"/>
    <s v="Web Application Client"/>
    <s v=""/>
    <s v="JAVA; C #"/>
    <s v="MetLife Owned Application Code"/>
    <s v="Platform as a Service (PaaS)"/>
    <s v="Yes"/>
    <s v="Y"/>
    <s v="Y"/>
    <s v="Y"/>
    <s v="Y"/>
    <s v="N"/>
    <n v="1.2583333333333331"/>
    <n v="2.9166666666666667E-2"/>
    <n v="0.5"/>
    <n v="1.7874999999999996"/>
    <n v="0.55710955710955723"/>
    <n v="0.89374999999999982"/>
    <n v="0.89374999999999982"/>
    <m/>
    <x v="0"/>
    <n v="0"/>
    <n v="0"/>
    <n v="0"/>
  </r>
  <r>
    <x v="2"/>
    <s v="Yes"/>
    <m/>
    <m/>
    <n v="11011"/>
    <s v="WGLWLF-JPN"/>
    <s v="Watch List Filtering system"/>
    <s v="To prevent transactions with antisocial forces, internal customer data screening is conducted. It uses Actimize's package."/>
    <x v="6"/>
    <s v="Core Insurance Systems Group 34956"/>
    <s v="Corporate Systems Team 34959"/>
    <s v="MetLife IT Hosted/Supported"/>
    <s v="Core Business Application"/>
    <s v="Production"/>
    <s v="AD Supported"/>
    <s v="N"/>
    <s v="Global Risk Management"/>
    <s v="No"/>
    <s v="Yes"/>
    <s v="Web Application Client"/>
    <s v=""/>
    <s v="JAVA"/>
    <s v="MetLife Owned Application Code"/>
    <s v=""/>
    <s v="No"/>
    <s v="Y"/>
    <s v="Y"/>
    <s v="Y"/>
    <s v="N"/>
    <s v="N"/>
    <n v="6.0791666666666666"/>
    <n v="1.0708333333333333"/>
    <n v="0"/>
    <n v="7.15"/>
    <n v="0.90384615384615385"/>
    <n v="3.5750000000000002"/>
    <n v="3.5750000000000002"/>
    <m/>
    <x v="0"/>
    <n v="0"/>
    <n v="0"/>
    <n v="0"/>
  </r>
  <r>
    <x v="2"/>
    <s v="Yes"/>
    <m/>
    <m/>
    <n v="11012"/>
    <s v="WZZMNB-JPN"/>
    <s v="My number management system"/>
    <s v="My Number Management System"/>
    <x v="4"/>
    <s v="Customer Service and Operations Systems Group 34965"/>
    <s v="Claims Team 34968"/>
    <s v="MetLife IT Hosted/Supported"/>
    <s v="Core Business Application"/>
    <s v="Production"/>
    <s v="AD Supported"/>
    <s v="N"/>
    <s v="Global Technology &amp; Operations"/>
    <s v="No"/>
    <s v="Yes"/>
    <s v="Web Application Client"/>
    <s v=""/>
    <s v="JAVA"/>
    <s v="MetLife Owned Application Code"/>
    <s v=""/>
    <s v="No"/>
    <s v="Y"/>
    <s v="Y"/>
    <s v="Y"/>
    <s v="N"/>
    <s v="N"/>
    <n v="1.6523333333333334"/>
    <n v="0.29166666666666669"/>
    <n v="0"/>
    <n v="1.9440000000000002"/>
    <n v="0.83217592592592593"/>
    <n v="0.97200000000000009"/>
    <n v="0.97200000000000009"/>
    <m/>
    <x v="1"/>
    <n v="0"/>
    <n v="1"/>
    <n v="0"/>
  </r>
  <r>
    <x v="3"/>
    <s v="Yes"/>
    <s v="Yes"/>
    <s v="Informatica On Prem CDI-PC ETL platform undergoing modernization to Azure Sypanse through different vendor so AMS can be for Informatica Platform , future AD can be taken up post-modernization. Approx 9-10 CG FTCs support this currently. This app is marked as Priority Target for Transition -  Transition Priority # 1  for &quot;Data Platforms&quot;_x000a__x000a__x000a_Data validation, ETL testing will be handled by I&amp;D; Non-functional testing by QA Testing team"/>
    <n v="11014"/>
    <s v="BCMETL-JPN"/>
    <s v="Informatica Platform"/>
    <s v="Common platform for Informatica for ETL, IDQ &amp; Address Doctor"/>
    <x v="10"/>
    <s v="Data Platforms Team 34980"/>
    <s v="Data Platforms Team 34980"/>
    <s v="MetLife IT Hosted/Supported"/>
    <s v="Common Service Business Application"/>
    <s v="Production"/>
    <s v="AD Supported"/>
    <s v="N"/>
    <s v="Global Technology &amp; Operations"/>
    <s v="No"/>
    <s v="Yes"/>
    <s v="Other#Informatica PowerCenter"/>
    <s v=""/>
    <s v="Other#Used UI for development and stored data as XML"/>
    <s v="MetLife Owned Application Code"/>
    <s v=""/>
    <s v="Yes"/>
    <s v="Y"/>
    <s v="Y"/>
    <s v="Y"/>
    <s v="Y"/>
    <s v="Y"/>
    <n v="29.097916666666663"/>
    <n v="6.8250000000000011"/>
    <n v="6.8500000000000005"/>
    <n v="42.772916666666667"/>
    <n v="0.88284058253372955"/>
    <n v="21.386458333333334"/>
    <n v="21.386458333333334"/>
    <s v="Considering AMS+AD over 3 years post initial Transition_x000a__x000a_1st Year, more Informatica FTCs% compared to Azure whereas 3rd Year only Azure FTCs _x000a__x000a__x000a_Estimation Approach for AMS - based on assumed # of Incidents, Problem Tickets, SRs and CRs including minor enhancements, and YoY AI-driven productivity"/>
    <x v="1"/>
    <n v="9"/>
    <n v="0"/>
    <n v="9.4499999999999993"/>
  </r>
  <r>
    <x v="0"/>
    <s v="Yes"/>
    <m/>
    <m/>
    <n v="11203"/>
    <s v="WPSCFC-JPN"/>
    <s v="c-Force"/>
    <s v="c-Force(SVD) was built on SFDC platform to improve the activity of sales quality and to promote more effective and efficient supervision of solicitors/agents."/>
    <x v="8"/>
    <s v="Customer and Channel Engineering 34961"/>
    <s v="Distribution F2F Team 34962"/>
    <s v="MetLife IT Hosted/Supported"/>
    <s v="Core Business Application"/>
    <s v="Production"/>
    <s v="AD Supported"/>
    <s v="N"/>
    <s v="Asia Region"/>
    <s v="No"/>
    <s v="No"/>
    <s v="Web Services"/>
    <s v=""/>
    <s v="Other#APEX;HTML; JavaScript"/>
    <s v="Non-MetLife Owned Application Code (3rd party/COTS)"/>
    <s v="Software as a Service (SaaS)"/>
    <s v="Yes"/>
    <s v="Y"/>
    <s v="Y"/>
    <s v="Y"/>
    <s v="N"/>
    <s v="Y"/>
    <n v="20.833333333333332"/>
    <n v="10.004166666666666"/>
    <n v="12.724999999999998"/>
    <n v="43.5625"/>
    <n v="0.86915351506456251"/>
    <n v="21.78125"/>
    <n v="21.78125"/>
    <s v="BSA, BA, ETL, TestRelated members are in the scope."/>
    <x v="1"/>
    <n v="14"/>
    <n v="0"/>
    <n v="16.537500000000001"/>
  </r>
  <r>
    <x v="2"/>
    <s v="Yes"/>
    <m/>
    <m/>
    <n v="11288"/>
    <s v="CGLFJM-JPN"/>
    <s v="Misconduct Management system"/>
    <s v="Record the investigation process, results, and dispositions of the accident, and store them in a searchable format."/>
    <x v="6"/>
    <s v="Core Insurance Systems Group 34956"/>
    <s v="Corporate Systems Team 34959"/>
    <s v="MetLife IT Hosted/Supported"/>
    <s v="Core Business Application"/>
    <s v="Production"/>
    <s v="AD Supported"/>
    <s v="N"/>
    <s v="Global Risk Management"/>
    <s v="No"/>
    <s v="Yes"/>
    <s v="Thick Client"/>
    <s v=""/>
    <s v="VB"/>
    <s v="MetLife Owned Application Code"/>
    <s v=""/>
    <s v="No"/>
    <s v="Y"/>
    <s v="Y"/>
    <s v="Y"/>
    <s v="N"/>
    <s v="N"/>
    <n v="9.166666666666666E-2"/>
    <n v="0"/>
    <n v="0"/>
    <n v="9.166666666666666E-2"/>
    <n v="0.27272727272727271"/>
    <n v="4.583333333333333E-2"/>
    <n v="4.583333333333333E-2"/>
    <m/>
    <x v="0"/>
    <n v="0"/>
    <n v="0"/>
    <n v="0"/>
  </r>
  <r>
    <x v="2"/>
    <s v="Yes"/>
    <m/>
    <m/>
    <n v="11308"/>
    <s v="WGLBSR-JPN"/>
    <s v="BSRec"/>
    <s v="BSRec (Balance Sheet Reconciliation) is a balance sheet adjustment support system used within MetLife Japan. This is a web application that ingests balance data from various systems (PeopleSoft, Essbase, HFM, etc.) and streamlines reconciliation and adjustment work at the account level."/>
    <x v="6"/>
    <s v="Core Insurance Systems Group 34956"/>
    <s v="Corporate Systems Team 34959"/>
    <s v="MetLife IT Hosted/Supported"/>
    <s v="Core Business Application"/>
    <s v="Production"/>
    <s v="AD Supported"/>
    <s v="N"/>
    <s v="Financial Management Group"/>
    <s v="No"/>
    <s v="Yes"/>
    <s v="Web Application Client"/>
    <s v=""/>
    <s v="JAVA"/>
    <s v="MetLife Owned Application Code"/>
    <s v=""/>
    <s v="No"/>
    <s v="Y"/>
    <s v="Y"/>
    <s v="Y"/>
    <s v="N"/>
    <s v="N"/>
    <n v="0.48124999999999996"/>
    <n v="6.25E-2"/>
    <n v="0"/>
    <n v="0.54374999999999996"/>
    <n v="0.37931034482758624"/>
    <n v="0.27187499999999998"/>
    <n v="0.27187499999999998"/>
    <m/>
    <x v="0"/>
    <n v="0"/>
    <n v="0"/>
    <n v="0"/>
  </r>
  <r>
    <x v="4"/>
    <s v="Yes"/>
    <m/>
    <m/>
    <n v="11604"/>
    <s v="JP-RPASS"/>
    <s v="JAPAN_BluePrism RPA"/>
    <s v="Shared Service for Robotic Automatic to support automated data entry for existing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Thick Client"/>
    <s v=""/>
    <s v="Other#COTS from BluePrism"/>
    <s v="Non-MetLife Owned Application Code (3rd party/COTS)"/>
    <s v=""/>
    <s v="No"/>
    <s v="Y"/>
    <s v="Y"/>
    <s v="Y"/>
    <s v="N"/>
    <s v="N"/>
    <n v="5.6624583333333343"/>
    <n v="4.0750000000000002"/>
    <n v="0"/>
    <n v="9.7374583333333344"/>
    <n v="0.89730379676421379"/>
    <n v="4.8687291666666672"/>
    <n v="4.8687291666666672"/>
    <m/>
    <x v="0"/>
    <n v="0"/>
    <n v="0"/>
    <n v="0"/>
  </r>
  <r>
    <x v="2"/>
    <s v="Yes"/>
    <m/>
    <m/>
    <n v="11893"/>
    <s v="W03CCP-JPN"/>
    <s v="Customer Communication Preferences"/>
    <s v="Communication preference of notifications for customers(policyholders/beneficiaries) like FX Notification/Annual report etc.  The prefernces can be modified by business policy or customer request."/>
    <x v="3"/>
    <s v="Customer Service and Operations Systems Group 34965"/>
    <s v="Policy Servicing Team 34967"/>
    <s v="MetLife IT Hosted/Supported"/>
    <s v="Core Business Application"/>
    <s v="Production"/>
    <s v="AD Supported"/>
    <s v="N"/>
    <s v="Global Technology &amp; Operations"/>
    <s v="No"/>
    <s v="Yes"/>
    <s v="Web Application Client"/>
    <s v=""/>
    <s v="JAVA"/>
    <s v="MetLife Owned Application Code"/>
    <s v="Platform as a Service (PaaS)"/>
    <s v="Yes"/>
    <s v="Y"/>
    <s v="Y"/>
    <s v="Y"/>
    <s v="N"/>
    <s v="N"/>
    <n v="0.2"/>
    <n v="0.2"/>
    <n v="0"/>
    <n v="0.35416666666666669"/>
    <n v="0.56470588235294117"/>
    <n v="0.17708333333333334"/>
    <n v="0.17708333333333334"/>
    <m/>
    <x v="1"/>
    <n v="0"/>
    <n v="1"/>
    <n v="0"/>
  </r>
  <r>
    <x v="2"/>
    <s v="Yes"/>
    <m/>
    <m/>
    <n v="11986"/>
    <s v="JP-Banca Report"/>
    <s v="Japan Banca Report"/>
    <s v="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
    <x v="8"/>
    <s v="Customer and Channel Engineering 34961"/>
    <s v="Distribution Banca Team 34963"/>
    <s v="MetLife IT Hosted/Supported"/>
    <s v="Common Service Business Application"/>
    <s v="Production"/>
    <s v="AD Supported"/>
    <s v="N"/>
    <s v="Asia Region"/>
    <s v="No"/>
    <s v="Yes"/>
    <s v="Web Services"/>
    <s v=""/>
    <s v="JAVA"/>
    <s v="MetLife Owned Application Code"/>
    <s v="Infrastructure as a Service (IaaS); Platform as a Service (PaaS)"/>
    <s v="Yes"/>
    <s v="Y"/>
    <s v="Y"/>
    <s v="Y"/>
    <s v="N"/>
    <s v="N"/>
    <n v="6"/>
    <n v="6"/>
    <n v="3"/>
    <n v="15"/>
    <n v="1"/>
    <n v="7.5"/>
    <n v="7.5"/>
    <m/>
    <x v="1"/>
    <n v="7"/>
    <n v="0"/>
    <n v="8.0875000000000004"/>
  </r>
  <r>
    <x v="2"/>
    <s v="Yes"/>
    <m/>
    <m/>
    <n v="12021"/>
    <s v="LPS-JPN(EUC081)"/>
    <s v="Life Plan Simulation Japan"/>
    <s v="Based on the life plan entered or selected for each customer, the simulation result output from the calculation engine in the package is displayed and printed."/>
    <x v="7"/>
    <s v="Customer and Channel Engineering 34961"/>
    <s v="Marketing and Leads Team 34964"/>
    <s v="MetLife IT Hosted/Vendor Supported"/>
    <s v="Core Business Application"/>
    <s v="Production"/>
    <s v="Business Supported"/>
    <s v="N"/>
    <s v="Asia Region"/>
    <s v="No"/>
    <s v="Yes"/>
    <s v="Web Services"/>
    <s v=""/>
    <s v="PHP"/>
    <s v="Non-MetLife Owned Application Code (3rd party/COTS)"/>
    <s v=""/>
    <s v="No"/>
    <s v="Y"/>
    <s v="Y"/>
    <s v="Y"/>
    <s v="N"/>
    <s v="N"/>
    <m/>
    <m/>
    <m/>
    <m/>
    <m/>
    <s v=""/>
    <s v=""/>
    <m/>
    <x v="0"/>
    <n v="0"/>
    <n v="0"/>
    <n v="0"/>
  </r>
  <r>
    <x v="2"/>
    <s v="Yes"/>
    <m/>
    <m/>
    <n v="12030"/>
    <s v="CIT-JPN(EUC082)"/>
    <s v="Inheritance Tax Simulation"/>
    <s v="Based on the life plan entered or selected for each customer, a simulation is created from the calculated values in the package."/>
    <x v="7"/>
    <s v="Customer and Channel Engineering 34961"/>
    <s v="Marketing and Leads Team 34964"/>
    <s v="MetLife IT Hosted/Vendor Supported"/>
    <s v="Core Business Application"/>
    <s v="Production"/>
    <s v="Business Supported"/>
    <s v="N"/>
    <s v="Asia Region"/>
    <s v="No"/>
    <s v="Yes"/>
    <s v="Web Services"/>
    <s v=""/>
    <s v="JAVA"/>
    <s v="Non-MetLife Owned Application Code (3rd party/COTS)"/>
    <s v=""/>
    <s v="No"/>
    <s v="Y"/>
    <s v="Y"/>
    <s v="Y"/>
    <s v="N"/>
    <s v="N"/>
    <m/>
    <m/>
    <m/>
    <m/>
    <m/>
    <s v=""/>
    <s v=""/>
    <m/>
    <x v="0"/>
    <n v="0"/>
    <n v="0"/>
    <n v="0"/>
  </r>
  <r>
    <x v="2"/>
    <s v="Yes"/>
    <m/>
    <m/>
    <n v="12038"/>
    <s v="CMIAPI-JPN"/>
    <s v="API Hub"/>
    <s v="API Hub hosts all types of APIs leveraging IBM API Connect"/>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9.246666666666666"/>
    <n v="4.1333333333333329"/>
    <n v="16.910416666666666"/>
    <n v="40.290416666666665"/>
    <n v="0.94847823613969406"/>
    <n v="20.145208333333333"/>
    <n v="20.145208333333333"/>
    <m/>
    <x v="1"/>
    <n v="31"/>
    <n v="0"/>
    <n v="18.309374999999999"/>
  </r>
  <r>
    <x v="2"/>
    <s v="Yes"/>
    <m/>
    <m/>
    <n v="12117"/>
    <s v="K2"/>
    <s v="Japan K2 - Digital Workflows"/>
    <s v="To provide core function for POS operation global digitization and automation by K2 solutions"/>
    <x v="3"/>
    <s v="Customer Service and Operations Systems Group 34965"/>
    <s v="Policy Servicing Team 34967"/>
    <s v="MetLife IT Hosted/Supported"/>
    <s v="Core Business Application"/>
    <s v="Production"/>
    <s v="AD Supported"/>
    <s v="Y"/>
    <s v="Global Technology &amp; Operations"/>
    <s v="No"/>
    <s v="Yes"/>
    <s v="Web Services"/>
    <s v=""/>
    <s v="VB.NET"/>
    <s v="Non-MetLife Owned Application Code (3rd party/COTS)"/>
    <s v=""/>
    <s v="No"/>
    <s v="Y"/>
    <s v="Y"/>
    <s v="Y"/>
    <s v="N"/>
    <s v="N"/>
    <n v="6"/>
    <n v="15.537500000000005"/>
    <n v="11"/>
    <n v="62.64237500000003"/>
    <n v="0.8631983009371319"/>
    <n v="31.321187500000015"/>
    <n v="31.321187500000015"/>
    <m/>
    <x v="1"/>
    <n v="11"/>
    <n v="0"/>
    <n v="7.2281250000000004"/>
  </r>
  <r>
    <x v="4"/>
    <m/>
    <m/>
    <m/>
    <n v="12198"/>
    <s v="JP-PCI-RPASS"/>
    <s v="Japan PCI Robotics Process Automation Service"/>
    <s v="Shared Service for Robotic Automatic to support automated data entry for existing PCI related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Other#Robotics platform"/>
    <s v=""/>
    <s v="Other#This is coded within blueprism"/>
    <s v="Non-MetLife Owned Application Code (3rd party/COTS)"/>
    <s v=""/>
    <s v="No"/>
    <s v="Y"/>
    <s v="Y"/>
    <s v="Y"/>
    <s v="Y"/>
    <s v="N"/>
    <n v="1"/>
    <n v="2"/>
    <n v="0"/>
    <n v="3"/>
    <m/>
    <n v="1.5"/>
    <n v="1.5"/>
    <m/>
    <x v="0"/>
    <n v="0"/>
    <n v="0"/>
    <n v="0"/>
  </r>
  <r>
    <x v="2"/>
    <s v="Yes"/>
    <m/>
    <m/>
    <n v="12520"/>
    <s v="RBRARS-JPN"/>
    <s v="RBWF Report Automatic Recognition System"/>
    <s v="New Contract Workflow for Online Shopping"/>
    <x v="2"/>
    <s v="Customer Service and Operations Systems Group 34965"/>
    <s v="New Business Team 34966"/>
    <s v="Vendor Hosted/MetLife IT Supported"/>
    <s v="Core Business Application"/>
    <s v="Production"/>
    <s v="Business Supported"/>
    <s v="N"/>
    <s v="Global Technology &amp; Operations"/>
    <s v="No"/>
    <s v="Yes"/>
    <s v="Web Services"/>
    <s v=""/>
    <s v="JAVA"/>
    <s v="MetLife Owned Application Code"/>
    <s v=""/>
    <s v="Yes"/>
    <s v="Y"/>
    <s v="Y"/>
    <s v="Y"/>
    <s v="N"/>
    <s v="N"/>
    <n v="0.125"/>
    <n v="0"/>
    <n v="0"/>
    <n v="0.125"/>
    <n v="1"/>
    <n v="6.25E-2"/>
    <n v="6.25E-2"/>
    <m/>
    <x v="1"/>
    <n v="0"/>
    <n v="1"/>
    <n v="0"/>
  </r>
  <r>
    <x v="2"/>
    <s v="Yes"/>
    <m/>
    <m/>
    <n v="12527"/>
    <s v="CMEAPI-JP"/>
    <s v="Japan Partner API"/>
    <s v="Headless API that is interfaced for our agencies/partner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0.10833333333333334"/>
    <n v="0"/>
    <n v="2.4999999999999998E-2"/>
    <n v="0.13333333333333333"/>
    <n v="1"/>
    <n v="6.6666666666666666E-2"/>
    <n v="6.6666666666666666E-2"/>
    <m/>
    <x v="0"/>
    <n v="0"/>
    <n v="0"/>
    <n v="0"/>
  </r>
  <r>
    <x v="2"/>
    <s v="Yes"/>
    <m/>
    <m/>
    <n v="12607"/>
    <s v="JP-WCMAUT"/>
    <s v="JP Authentication Platform"/>
    <s v="Redefined authentication platform leveraging SiteMinder for customers, agents and employees that would enable SingleSignOn and OAuth, API, OIDC and SAML federation with other apps and API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3374999999999999"/>
    <n v="0"/>
    <n v="1"/>
    <n v="2.3374999999999999"/>
    <n v="1"/>
    <n v="1.16875"/>
    <n v="1.16875"/>
    <m/>
    <x v="1"/>
    <n v="1"/>
    <n v="0"/>
    <n v="0.45"/>
  </r>
  <r>
    <x v="0"/>
    <s v="Yes"/>
    <m/>
    <m/>
    <n v="12646"/>
    <s v="Himawari"/>
    <s v="Himawari (Call Center Platform)"/>
    <s v="Application for call center operator to intake and process the policy administration requests from customers"/>
    <x v="5"/>
    <s v="Customer Service and Operations Systems Group 34965"/>
    <s v="Customer Care Team 34969"/>
    <s v="Vendor Hosted/MetLife IT Supported"/>
    <s v="Core Business Application"/>
    <s v="Production"/>
    <s v="AD Supported"/>
    <s v="Y"/>
    <s v="Global Technology &amp; Operations"/>
    <s v="No"/>
    <s v="No"/>
    <s v="Web Services"/>
    <s v=""/>
    <s v="JavaScript;HTML; Other#APEX"/>
    <s v="Non-MetLife Owned Application Code (3rd party/COTS)"/>
    <s v="Software as a Service (SaaS)"/>
    <s v="Yes"/>
    <s v="Y"/>
    <s v="Y"/>
    <s v="Y"/>
    <s v="N"/>
    <s v="N"/>
    <n v="9.5833333333333321"/>
    <n v="11.337500000000002"/>
    <n v="7.0833333333333357"/>
    <n v="28.00416666666667"/>
    <n v="0.81223032286862074"/>
    <n v="14.002083333333335"/>
    <n v="14.002083333333335"/>
    <m/>
    <x v="1"/>
    <n v="3"/>
    <n v="0"/>
    <n v="3.5437500000000002"/>
  </r>
  <r>
    <x v="4"/>
    <m/>
    <m/>
    <m/>
    <n v="12654"/>
    <s v="JP-QA Shared Service"/>
    <s v="Japan QA Shared Service- multiple projects"/>
    <s v="Generic App to Track team details and processes linked to Testing NON-PROD lab of things._x000a_To Manage the testing infrastructure - Grid , servers a"/>
    <x v="9"/>
    <s v="Customer Service and Operations Systems Group 34965"/>
    <m/>
    <s v="MetLife IT Hosted/Supported"/>
    <s v="Platform"/>
    <s v="Production"/>
    <s v="AD Supported"/>
    <s v="N"/>
    <s v="Global Technology &amp; Operations"/>
    <s v="No"/>
    <s v="Yes"/>
    <s v="Web Services"/>
    <s v=""/>
    <s v="Other#Selenese, but supports others"/>
    <s v="MetLife Owned Application Code"/>
    <s v=""/>
    <s v="No"/>
    <s v="Y"/>
    <s v="Y"/>
    <s v="Y"/>
    <s v="N"/>
    <s v="N"/>
    <n v="0"/>
    <n v="0.25"/>
    <n v="0"/>
    <n v="0.25"/>
    <n v="1"/>
    <n v="0.125"/>
    <n v="0.125"/>
    <m/>
    <x v="0"/>
    <n v="0"/>
    <n v="0"/>
    <n v="0"/>
  </r>
  <r>
    <x v="4"/>
    <m/>
    <m/>
    <m/>
    <n v="12675"/>
    <s v="JP-DB2-CONNECT"/>
    <s v="Japan DB2 Connect Proxy"/>
    <s v="Japan DB2 Connect is used a proxy to DB2"/>
    <x v="3"/>
    <s v="Customer Service and Operations Systems Group 34965"/>
    <s v="Policy Servicing Team 34967"/>
    <s v="MetLife IT Hosted/Supported"/>
    <s v="Platform"/>
    <s v="Production"/>
    <s v="Infrastructure Supported"/>
    <s v="N"/>
    <s v="Global Technology &amp; Operations"/>
    <s v="No"/>
    <s v="Yes"/>
    <s v="Other#Shared database proxy used to connect between DB2 hosted in US data center and the applications hosted in Japan"/>
    <s v=""/>
    <s v="Other#COTS"/>
    <s v="Non-MetLife Owned Application Code (3rd party/COTS)"/>
    <s v=""/>
    <s v="No"/>
    <s v="Y"/>
    <s v="Y"/>
    <s v="Y"/>
    <s v="N"/>
    <s v="N"/>
    <n v="0"/>
    <n v="0.1"/>
    <n v="0"/>
    <n v="0.1"/>
    <m/>
    <n v="0.05"/>
    <n v="0.05"/>
    <m/>
    <x v="0"/>
    <n v="0"/>
    <n v="0"/>
    <n v="0"/>
  </r>
  <r>
    <x v="2"/>
    <s v="Yes"/>
    <m/>
    <m/>
    <n v="12721"/>
    <s v="JP-Payroll"/>
    <s v="Japan Payroll System"/>
    <s v="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
    <x v="6"/>
    <s v="Core Insurance Systems Group 34956"/>
    <s v="Corporate Systems Team 34959"/>
    <s v="Vendor Hosted/MetLife IT Supported"/>
    <s v="Core Business Application"/>
    <s v="Production"/>
    <s v="AD Supported"/>
    <s v="N"/>
    <s v="Human Resources"/>
    <s v="Yes"/>
    <s v="No"/>
    <s v="Other#N/A(SaaS); Web Application Client"/>
    <s v=""/>
    <s v="Other#N/A(SaaS)"/>
    <s v="Non-MetLife Owned Application Code (3rd party/COTS)"/>
    <s v="Software as a Service (SaaS)"/>
    <s v="Yes"/>
    <s v="Y"/>
    <s v="Y"/>
    <s v="Y"/>
    <s v="N"/>
    <s v="N"/>
    <n v="0.24166666666666664"/>
    <n v="0"/>
    <n v="0"/>
    <n v="0.24166666666666664"/>
    <n v="0.93103448275862066"/>
    <n v="0.12083333333333332"/>
    <n v="0.12083333333333332"/>
    <m/>
    <x v="0"/>
    <n v="0"/>
    <n v="0"/>
    <n v="0"/>
  </r>
  <r>
    <x v="2"/>
    <s v="Yes"/>
    <m/>
    <m/>
    <n v="12820"/>
    <s v="JP-OLB Batch"/>
    <s v="Japan - Direct Marketing Batch Applications"/>
    <s v="Batch applications to transfer simulation and application information from #9920: Direct Marketing site to #12520: RBWF"/>
    <x v="7"/>
    <s v="Customer and Channel Engineering 34961"/>
    <s v="Marketing and Leads Team 34964"/>
    <s v="MetLife IT Hosted/Supported"/>
    <s v="Core Business Application"/>
    <s v="Production"/>
    <s v="AD Supported"/>
    <s v="N"/>
    <s v="Global Marketing and Communications"/>
    <s v="No"/>
    <s v="Yes"/>
    <s v="Other#Batch program"/>
    <s v=""/>
    <s v="JAVA"/>
    <s v="MetLife Owned Application Code"/>
    <s v=""/>
    <s v="No"/>
    <s v="Y"/>
    <s v="Y"/>
    <s v="Y"/>
    <s v="N"/>
    <s v="N"/>
    <n v="0.36249999999999999"/>
    <n v="0"/>
    <n v="0"/>
    <n v="0.36249999999999999"/>
    <n v="1"/>
    <n v="0.18124999999999999"/>
    <n v="0.18124999999999999"/>
    <m/>
    <x v="0"/>
    <n v="0"/>
    <n v="0"/>
    <n v="0"/>
  </r>
  <r>
    <x v="2"/>
    <s v="Yes"/>
    <m/>
    <m/>
    <n v="12890"/>
    <s v="ASP B_O-JPN"/>
    <s v="ASP Bridge (OPEN)"/>
    <s v="The VA-Bridge (OPEN) system is a core system for managing Variable Annuity insurance products. This INDEX aims to help new employees efficiently understand the system and carry out their daily tasks."/>
    <x v="6"/>
    <s v="Core Insurance Systems Group 34956"/>
    <s v="Corporate Systems Team 34959"/>
    <s v="MetLife IT Hosted/Supported"/>
    <s v="Common Service Business Application"/>
    <s v="Production"/>
    <s v="AD Supported"/>
    <s v="Y"/>
    <s v="Global Technology &amp; Operations"/>
    <s v="No"/>
    <s v="Yes"/>
    <s v="Web Services"/>
    <s v=""/>
    <s v="JAVA; C#; VB.NET"/>
    <s v="MetLife Owned Application Code"/>
    <s v=""/>
    <s v="No"/>
    <s v="Y"/>
    <s v="Y"/>
    <s v="Y"/>
    <s v="N"/>
    <s v="N"/>
    <n v="1.2346249999999999"/>
    <n v="6.25E-2"/>
    <n v="0"/>
    <n v="1.2971249999999999"/>
    <n v="0.85063120362339784"/>
    <n v="0.64856249999999993"/>
    <n v="0.64856249999999993"/>
    <m/>
    <x v="0"/>
    <n v="0"/>
    <n v="0"/>
    <n v="0"/>
  </r>
  <r>
    <x v="2"/>
    <s v="Yes"/>
    <m/>
    <m/>
    <n v="12894"/>
    <s v="WCMCCMJPN"/>
    <s v="Inspire - Forms Management"/>
    <s v="Customer Communication Management system to support correspondance generation and interactive webform generation."/>
    <x v="5"/>
    <s v="Customer Service and Operations Systems Group 34965"/>
    <s v="Customer Care Team 34969"/>
    <s v="MetLife IT Hosted/Supported"/>
    <s v="Common Service Business Application"/>
    <s v="Production"/>
    <s v="AD Supported"/>
    <s v="N"/>
    <s v="Global Technology &amp; Operations"/>
    <s v="No"/>
    <s v="Yes"/>
    <s v="Web Services"/>
    <s v=""/>
    <s v="JavaScript"/>
    <s v="MetLife Owned Application Code"/>
    <s v="Platform as a Service (PaaS)"/>
    <s v="Yes"/>
    <s v="Y"/>
    <s v="Y"/>
    <s v="Y"/>
    <s v="N"/>
    <s v="N"/>
    <n v="2.6333333333333337"/>
    <n v="2.7791666666666672"/>
    <n v="2.9187500000000002"/>
    <n v="8.3312500000000007"/>
    <n v="0.92748187046761688"/>
    <n v="4.1656250000000004"/>
    <n v="4.1656250000000004"/>
    <m/>
    <x v="1"/>
    <n v="2"/>
    <n v="0"/>
    <n v="2.3624999999999998"/>
  </r>
  <r>
    <x v="2"/>
    <s v="Yes"/>
    <m/>
    <m/>
    <n v="12932"/>
    <s v="Digital Portal"/>
    <s v="Digital Portals for Policy Administration"/>
    <s v="Unified portal for customer, producers &amp; operation users for end to end servicing need."/>
    <x v="5"/>
    <s v="Customer Service and Operations Systems Group 34965"/>
    <s v="Customer Care Team 34969"/>
    <s v="Vendor Hosted/MetLife IT Supported"/>
    <s v="Core Business Application"/>
    <s v="Production"/>
    <s v="AD Supported"/>
    <s v="N"/>
    <s v="Global Technology &amp; Operations"/>
    <s v="Yes"/>
    <s v="Yes"/>
    <s v="Web Services; RESTful APIs; Mobile Client (iOS, Android)"/>
    <s v=""/>
    <s v="JAVA; JavaScript"/>
    <s v="MetLife Owned Application Code"/>
    <s v="Platform as a Service (PaaS)"/>
    <s v="Yes"/>
    <s v="Y"/>
    <s v="Y"/>
    <s v="Y"/>
    <s v="N"/>
    <s v="N"/>
    <n v="35.819583333333327"/>
    <n v="25.000000000000068"/>
    <n v="12.866666666666667"/>
    <n v="73.686250000000058"/>
    <n v="0.91167506375567586"/>
    <n v="36.843125000000029"/>
    <n v="36.843125000000029"/>
    <m/>
    <x v="1"/>
    <n v="11"/>
    <n v="0"/>
    <n v="8.4937500000000004"/>
  </r>
  <r>
    <x v="2"/>
    <s v="Yes"/>
    <m/>
    <m/>
    <n v="12991"/>
    <s v="JP - Remote Closing"/>
    <s v="JP - Remote Sales Closing"/>
    <s v="Remote Closing application is intended to assist producers to conduct sales process remotely._x000a_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
    <x v="8"/>
    <s v="Customer and Channel Engineering 34961"/>
    <s v="Distribution F2F Team 34962"/>
    <s v="Vendor Hosted/MetLife IT Supported"/>
    <s v="Common Service Business Application"/>
    <s v="Production"/>
    <s v="AD Supported"/>
    <s v="N"/>
    <s v="Asia Region"/>
    <s v="Yes"/>
    <s v="Yes"/>
    <s v="Web Application Client"/>
    <s v=""/>
    <s v="JAVA"/>
    <s v="MetLife Owned Application Code"/>
    <s v="Platform as a Service (PaaS)"/>
    <s v="Yes"/>
    <s v="Y"/>
    <s v="Y"/>
    <s v="Y"/>
    <s v="N"/>
    <s v="Y"/>
    <n v="4.6458333333333321"/>
    <n v="4.5625"/>
    <n v="2.9999999999999996"/>
    <n v="12.208333333333332"/>
    <n v="1"/>
    <n v="6.1041666666666661"/>
    <n v="6.1041666666666661"/>
    <s v="BSA, BA, Test related members are in the scope"/>
    <x v="1"/>
    <n v="1"/>
    <n v="0"/>
    <n v="1.1812499999999999"/>
  </r>
  <r>
    <x v="2"/>
    <s v="Yes"/>
    <m/>
    <m/>
    <n v="13139"/>
    <s v="PaymentService"/>
    <s v="Payment Common Service - JP"/>
    <s v="Payment Common Service - JP"/>
    <x v="9"/>
    <s v="Japan Platform Team 35775"/>
    <s v="Japan Platform Team 35775"/>
    <s v="MetLife IT Hosted/Supported"/>
    <s v="Common Service Business Application"/>
    <s v="Production"/>
    <s v="AD Supported"/>
    <s v="N"/>
    <s v="Global Technology &amp; Operations"/>
    <s v="Yes"/>
    <s v="Yes"/>
    <s v="Web Services"/>
    <s v=""/>
    <s v="JAVA"/>
    <s v="MetLife Owned Application Code"/>
    <s v="Platform as a Service (PaaS)"/>
    <s v="Yes"/>
    <s v="Y"/>
    <s v="Y"/>
    <m/>
    <s v="N"/>
    <s v="N"/>
    <n v="0"/>
    <n v="1.3"/>
    <n v="0.69166666666666665"/>
    <n v="1.9916666666666667"/>
    <n v="1"/>
    <n v="0.99583333333333335"/>
    <n v="0.99583333333333335"/>
    <m/>
    <x v="0"/>
    <n v="0"/>
    <n v="0"/>
    <n v="0"/>
  </r>
  <r>
    <x v="2"/>
    <s v="Yes"/>
    <m/>
    <m/>
    <n v="13197"/>
    <s v="JP-GSSP"/>
    <s v="Japan Sales Platform (GSSP)"/>
    <s v="Japan Sales Platform - For banks &amp; face to face channels for new business"/>
    <x v="8"/>
    <s v="Customer and Channel Engineering 34961"/>
    <s v="Distribution F2F Team 34962"/>
    <s v="Vendor Hosted/MetLife IT Supported"/>
    <s v="Core Business Application"/>
    <s v="Production"/>
    <s v="AD Supported"/>
    <s v="Y"/>
    <s v="Asia Region"/>
    <s v="No"/>
    <s v="Yes"/>
    <s v="RESTful APIs; Web Application Client"/>
    <s v=""/>
    <s v="JAVA; JavaScript"/>
    <s v="MetLife Owned Application Code"/>
    <s v="Platform as a Service (PaaS)"/>
    <s v="Yes"/>
    <s v="Y"/>
    <s v="Y"/>
    <s v="Y"/>
    <s v="N"/>
    <s v="Y"/>
    <n v="151.77083333333334"/>
    <n v="30.937500000000007"/>
    <n v="47.204166666666666"/>
    <n v="229.91250000000002"/>
    <n v="0.94717193135069511"/>
    <n v="114.95625000000001"/>
    <n v="114.95625000000001"/>
    <s v="BSA, BA, Test related members are in the scope"/>
    <x v="1"/>
    <n v="50"/>
    <n v="0"/>
    <n v="55.575000000000003"/>
  </r>
  <r>
    <x v="2"/>
    <s v="Yes"/>
    <m/>
    <m/>
    <n v="13262"/>
    <s v="Business Content Management"/>
    <s v="Business Content Management"/>
    <s v="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
    <x v="6"/>
    <s v="Core Insurance Systems Group 34956"/>
    <s v="Corporate Systems Team 34959"/>
    <s v="Vendor Hosted/MetLife IT Supported"/>
    <s v="Common Service Business Application"/>
    <s v="Production"/>
    <s v="AD Supported"/>
    <s v="N"/>
    <s v="Global Technology &amp; Operations"/>
    <s v="No"/>
    <s v="No"/>
    <s v="Web Application Client"/>
    <s v=""/>
    <s v="Other#n/a"/>
    <s v="Non-MetLife Owned Application Code (3rd party/COTS)"/>
    <s v="Software as a Service (SaaS); Platform as a Service (PaaS)"/>
    <s v="Yes"/>
    <s v="Y"/>
    <s v="Y"/>
    <s v="Y"/>
    <s v="Y"/>
    <s v="N"/>
    <n v="1.5133333333333332"/>
    <n v="1.75"/>
    <n v="0.5"/>
    <n v="3.7633333333333332"/>
    <n v="0.21147032772364921"/>
    <n v="1.8816666666666666"/>
    <n v="1.8816666666666666"/>
    <m/>
    <x v="1"/>
    <n v="2"/>
    <n v="0"/>
    <n v="0.64687499999999998"/>
  </r>
  <r>
    <x v="2"/>
    <s v="Yes"/>
    <m/>
    <m/>
    <n v="13274"/>
    <s v="DSP"/>
    <s v="Digital Servicing Platform"/>
    <s v="This EAI manages transactions such as &quot;name change,&quot; &quot;address change,&quot; &quot;surrender,&quot; &quot;policy_loan,&quot; and &quot;account_change&quot; that are submitted by customers and agents through Salesforce for call centers and the Digital Portal web system._x000a_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
    <x v="3"/>
    <s v="Customer Service and Operations Systems Group 34965"/>
    <s v="Policy Servicing Team 34967"/>
    <s v="MetLife IT Hosted/Supported"/>
    <s v="Platform"/>
    <s v="Production"/>
    <s v="AD Supported"/>
    <s v="N"/>
    <s v="Global Technology &amp; Operations"/>
    <s v="No"/>
    <s v="Yes"/>
    <s v="Other#Database platform"/>
    <s v=""/>
    <s v="PL/SQL"/>
    <s v="MetLife Owned Application Code"/>
    <s v=""/>
    <s v="No"/>
    <s v="Y"/>
    <s v="Y"/>
    <s v="Y"/>
    <s v="N"/>
    <s v="N"/>
    <n v="0"/>
    <n v="1"/>
    <n v="0"/>
    <n v="1"/>
    <n v="1"/>
    <n v="0.5"/>
    <n v="0.5"/>
    <m/>
    <x v="0"/>
    <n v="0"/>
    <n v="0"/>
    <n v="0"/>
  </r>
  <r>
    <x v="3"/>
    <s v="Yes"/>
    <s v="Yes"/>
    <s v="CG is already supporting Japan Data Platform on Azure including Oracle ODS Exit to Azure ODS with ~16-17 FTCs. Limited Transition required for work handled by FTCs that are outside CG - Transition Priority # 3 for  for &quot;Data Platforms&quot; as this is marked as Transfer Priority = N  by Metlife_x000a__x000a_Data validation, ETL testing will be handled by I&amp;D; Non-functional testing by QA Testing team"/>
    <n v="13314"/>
    <s v="JDPREP"/>
    <s v="Japan Data Platform and Reporting-JP"/>
    <s v="Data Platform on Azure for business applications and BI/reporting in MetLife Japan"/>
    <x v="10"/>
    <s v="Data Platforms Team 34980"/>
    <s v="Data Platforms Team 34980"/>
    <s v="MetLife IT Hosted/Supported"/>
    <s v="Platform"/>
    <s v="Production"/>
    <s v="AD Supported"/>
    <s v="N"/>
    <s v="Global Technology &amp; Operations"/>
    <s v="No"/>
    <s v="Yes"/>
    <s v="Web Services"/>
    <s v=""/>
    <s v="Other#Transact SQL"/>
    <s v="MetLife Owned Application Code"/>
    <s v="Platform as a Service (PaaS)"/>
    <s v="Yes"/>
    <s v="Y"/>
    <s v="Y"/>
    <s v="Y"/>
    <s v="Y"/>
    <s v="N"/>
    <n v="28.606677083333327"/>
    <n v="11"/>
    <n v="9.1416666666666639"/>
    <n v="50.065010416666659"/>
    <n v="0.86264109519268806"/>
    <n v="25.03250520833333"/>
    <n v="25.03250520833333"/>
    <s v="Considering AMS+AD over 3 years post initial Transition_x000a__x000a_70% Azure and 30% PowerBI Skills assumed_x000a__x000a_Estimation Approach for AMS - based on assumed # of Incidents, Problem Tickets, SRs and CRs including minor enhancements and YoY AI-driven productivity"/>
    <x v="1"/>
    <n v="18"/>
    <n v="0"/>
    <n v="17.356249999999999"/>
  </r>
  <r>
    <x v="2"/>
    <s v="Yes"/>
    <m/>
    <m/>
    <n v="13405"/>
    <s v="Kintone-JPN"/>
    <s v="kintone and paperlogic electronic contract system"/>
    <s v="Centralized management of contract information (kintone), workflows (kintone), and compliance with Electronic Book Law requirements (PaperLogic) are realized."/>
    <x v="6"/>
    <s v="Core Insurance Systems Group 34956"/>
    <s v="Corporate Systems Team 34959"/>
    <s v="Vendor Hosted/MetLife IT Supported"/>
    <s v="Common Service Business Application"/>
    <s v="Production"/>
    <s v="Business Supported"/>
    <s v="N"/>
    <s v="Global Technology &amp; Operations"/>
    <s v="Yes"/>
    <s v="No"/>
    <s v="Web Services"/>
    <s v=""/>
    <s v="Other#Vendor Managed"/>
    <s v="Non-MetLife Owned Application Code (3rd party/COTS)"/>
    <s v="Software as a Service (SaaS)"/>
    <s v="Yes"/>
    <s v="Y"/>
    <s v="Y"/>
    <s v="Y"/>
    <s v="N"/>
    <s v="N"/>
    <m/>
    <m/>
    <m/>
    <m/>
    <m/>
    <s v=""/>
    <s v=""/>
    <m/>
    <x v="0"/>
    <n v="0"/>
    <n v="0"/>
    <n v="0"/>
  </r>
  <r>
    <x v="2"/>
    <s v="Yes"/>
    <m/>
    <m/>
    <n v="13453"/>
    <s v="POS-IMS"/>
    <s v="POS - Integrated Management System"/>
    <s v="Platform EAI for Online/Batch Systems of POS"/>
    <x v="3"/>
    <s v="Customer Service and Operations Systems Group 34965"/>
    <s v="Policy Servicing Team 34967"/>
    <s v="MetLife IT Hosted/Supported"/>
    <s v="Platform"/>
    <s v="Production"/>
    <s v="AD Supported"/>
    <s v="N"/>
    <s v="Global Technology &amp; Operations"/>
    <s v="No"/>
    <s v="Yes"/>
    <s v="Thick Client; Web Application Client"/>
    <s v=""/>
    <s v="VB.NET; JAVA"/>
    <s v="MetLife Owned Application Code"/>
    <s v=""/>
    <s v="No"/>
    <s v="Y"/>
    <s v="Y"/>
    <s v="Y"/>
    <s v="N"/>
    <s v="N"/>
    <n v="0.89999999999999991"/>
    <n v="0.3"/>
    <n v="0"/>
    <n v="9.9375"/>
    <n v="0.90440251572327046"/>
    <n v="4.96875"/>
    <n v="4.96875"/>
    <m/>
    <x v="1"/>
    <n v="0"/>
    <n v="1"/>
    <n v="0"/>
  </r>
  <r>
    <x v="2"/>
    <s v="Yes"/>
    <m/>
    <m/>
    <n v="13476"/>
    <s v="AppsPortal"/>
    <s v="Enterprise Apps Portal"/>
    <s v="Apps Portals is the enterprise portals for all Japan users of MetLife and Agents becoming a single entry portal for many hosted apps."/>
    <x v="9"/>
    <s v="Customer Service and Operations Systems Group 34965"/>
    <m/>
    <s v="Vendor Hosted/MetLife IT Supported"/>
    <s v="Core Business Application"/>
    <s v="Production"/>
    <s v="AD Supported"/>
    <s v="N"/>
    <s v="Global Technology &amp; Operations"/>
    <s v="No"/>
    <s v="Yes"/>
    <s v="RESTful APIs; Web Application Client"/>
    <s v=""/>
    <s v="JavaScript; JAVA"/>
    <s v="MetLife Owned Application Code"/>
    <s v="Platform as a Service (PaaS)"/>
    <s v="Yes"/>
    <s v="Y"/>
    <s v="Y"/>
    <s v="Y"/>
    <s v="N"/>
    <s v="Y"/>
    <n v="57.149875000000016"/>
    <n v="23.302083333333329"/>
    <n v="42.086666666666666"/>
    <n v="122.53862500000002"/>
    <n v="0.88077908768221724"/>
    <n v="61.269312500000012"/>
    <n v="61.269312500000012"/>
    <m/>
    <x v="1"/>
    <n v="40"/>
    <n v="0"/>
    <n v="34.821874999999999"/>
  </r>
  <r>
    <x v="2"/>
    <s v="Yes"/>
    <m/>
    <m/>
    <n v="13500"/>
    <s v="Scan Manager"/>
    <s v="Digital Scan Manager"/>
    <s v="Scan forms and sort image files by barcode or QR code using PaperStream Capture."/>
    <x v="3"/>
    <s v="Customer Service and Operations Systems Group 34965"/>
    <s v="Policy Servicing Team 34967"/>
    <s v="MetLife IT Hosted/Supported"/>
    <s v="Core Business Application"/>
    <s v="Production"/>
    <s v="AD Supported"/>
    <s v="N"/>
    <s v="Global Technology &amp; Operations"/>
    <s v="No"/>
    <s v="Yes"/>
    <s v="Thick Client"/>
    <s v=""/>
    <s v="VB.NET"/>
    <s v="Non-MetLife Owned Application Code (3rd party/COTS)"/>
    <s v=""/>
    <s v="No"/>
    <s v="Y"/>
    <s v="Y"/>
    <s v="Y"/>
    <s v="N"/>
    <s v="N"/>
    <n v="0.5"/>
    <n v="0.19999999999999998"/>
    <n v="0"/>
    <n v="0.59583333333333333"/>
    <n v="0.66433566433566438"/>
    <n v="0.29791666666666666"/>
    <n v="0.29791666666666666"/>
    <m/>
    <x v="0"/>
    <n v="0"/>
    <n v="0"/>
    <n v="0"/>
  </r>
  <r>
    <x v="2"/>
    <s v="Yes"/>
    <m/>
    <m/>
    <n v="13676"/>
    <s v="ODMoC"/>
    <s v="IBM Operational Decision Manager on Cloud"/>
    <s v="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
    <x v="9"/>
    <s v="Japan Platform Team 35775"/>
    <s v="Japan Platform Team 35775"/>
    <s v="Vendor Hosted/Supported"/>
    <s v="Core Business Application"/>
    <s v="Production"/>
    <s v="AD Supported"/>
    <s v="N"/>
    <s v="Global Technology &amp; Operations"/>
    <s v="No"/>
    <s v="No"/>
    <s v="Web Services; RESTful APIs"/>
    <s v=""/>
    <s v="Other#IRL Vendor supported language"/>
    <s v="MetLife Owned Application Code"/>
    <s v="Software as a Service (SaaS)"/>
    <s v="Yes"/>
    <s v="Y"/>
    <s v="Y"/>
    <s v="Y"/>
    <s v="N"/>
    <s v="N"/>
    <n v="11.572916666666664"/>
    <n v="2.333333333333333"/>
    <n v="2.135416666666667"/>
    <n v="16.041666666666664"/>
    <n v="0.93766233766233764"/>
    <n v="8.0208333333333321"/>
    <n v="8.0208333333333321"/>
    <m/>
    <x v="1"/>
    <n v="18"/>
    <n v="0"/>
    <n v="12.63125"/>
  </r>
  <r>
    <x v="2"/>
    <s v="Yes"/>
    <m/>
    <m/>
    <n v="13721"/>
    <s v="External Portal"/>
    <s v="External Apps Portal"/>
    <s v="A subsystem developed in-house. Agents can directly register and update information for sales staff. Development is carried out in Java."/>
    <x v="0"/>
    <s v="Core Insurance Systems Group 34956"/>
    <s v="Commission Systems Team 34958"/>
    <s v="Vendor Hosted/MetLife IT Supported"/>
    <s v="Core Business Application"/>
    <s v="Production"/>
    <s v="AD Supported"/>
    <s v="N"/>
    <s v="Global Technology &amp; Operations"/>
    <s v="Yes"/>
    <s v="Yes"/>
    <s v="Web Application Client; RESTful APIs"/>
    <s v=""/>
    <s v="JAVA; JavaScript"/>
    <s v="MetLife Owned Application Code"/>
    <s v="Platform as a Service (PaaS)"/>
    <s v="Yes"/>
    <s v="Y"/>
    <s v="Y"/>
    <s v="Y"/>
    <s v="N"/>
    <s v="N"/>
    <n v="1.6666666666666665"/>
    <n v="0.70833333333333337"/>
    <n v="0.58333333333333337"/>
    <n v="2.9583333333333335"/>
    <n v="0.91549295774647887"/>
    <n v="1.4791666666666667"/>
    <n v="1.4791666666666667"/>
    <m/>
    <x v="1"/>
    <n v="2"/>
    <n v="0"/>
    <n v="2.3624999999999998"/>
  </r>
  <r>
    <x v="2"/>
    <s v="Yes"/>
    <m/>
    <m/>
    <n v="13738"/>
    <s v="Distribution Systems - Internal"/>
    <s v="Distribution Systems - Internal"/>
    <s v="This EAI will represent auxiliary internal and internal applications for distribution and marketing services._x000a_Following is list of services._x000a_1.  Tekigosei - Tool to do suitability check for Variable Life Products_x000a__x000a_?? EAI?? Intranet??????????????????_x000a_???? EAI?????????????????_x000a_? ?????????"/>
    <x v="8"/>
    <s v="Customer and Channel Engineering 34961"/>
    <s v="Distribution F2F Team 34962"/>
    <s v="Vendor Hosted/MetLife IT Supported"/>
    <s v="Core Business Application"/>
    <s v="Production"/>
    <s v="AD Supported"/>
    <s v="N"/>
    <s v="Asia Region"/>
    <s v="No"/>
    <s v="No"/>
    <s v="Web Services"/>
    <s v=""/>
    <s v="JAVA"/>
    <s v="MetLife Owned Application Code"/>
    <s v="Platform as a Service (PaaS)"/>
    <s v="Yes"/>
    <s v="Y"/>
    <s v="Y"/>
    <s v="Y"/>
    <s v="N"/>
    <s v="Y"/>
    <n v="0.33333333333333337"/>
    <n v="0.25"/>
    <n v="8.3333333333333329E-2"/>
    <n v="0.66666666666666674"/>
    <n v="1"/>
    <n v="0.33333333333333337"/>
    <n v="0.33333333333333337"/>
    <m/>
    <x v="1"/>
    <n v="1"/>
    <n v="0"/>
    <n v="0.28125"/>
  </r>
  <r>
    <x v="2"/>
    <s v="Yes"/>
    <m/>
    <m/>
    <n v="13812"/>
    <s v="Corporate Batch"/>
    <s v="OpenBatch system for Corporate"/>
    <s v="EAI gathered batch processing when rebuilding the Infostation app into AppsPortal._x000a_It has the following features_x000a_Automated email distribution, CRSDB, GIM/DOM, MetLifeSFTP, NVES"/>
    <x v="6"/>
    <s v="Core Insurance Systems Group 34956"/>
    <s v="Corporate Systems Team 34959"/>
    <s v="MetLife IT Hosted/Supported"/>
    <s v="Core Business Application"/>
    <s v="Production"/>
    <s v="AD Supported"/>
    <s v="N"/>
    <s v="Global Technology &amp; Operations"/>
    <s v="No"/>
    <s v="Yes"/>
    <s v="Other#Batch"/>
    <s v=""/>
    <s v="VB.NET"/>
    <s v="MetLife Owned Application Code"/>
    <s v=""/>
    <s v="No"/>
    <s v="Y"/>
    <s v="Y"/>
    <s v="Y"/>
    <s v="N"/>
    <s v="N"/>
    <n v="2.0400000000000009"/>
    <n v="1.7"/>
    <n v="0"/>
    <n v="3.7400000000000011"/>
    <n v="0.30837789661319076"/>
    <n v="1.8700000000000006"/>
    <n v="1.8700000000000006"/>
    <m/>
    <x v="0"/>
    <n v="0"/>
    <n v="0"/>
    <n v="0"/>
  </r>
  <r>
    <x v="2"/>
    <s v="Yes"/>
    <m/>
    <m/>
    <n v="13820"/>
    <s v="Claim Batch"/>
    <s v="OpenBatch system for Claim"/>
    <s v="Insurance Claims / Batch Processing Group"/>
    <x v="4"/>
    <s v="Customer Service and Operations Systems Group 34965"/>
    <s v="Claims Team 34968"/>
    <s v="MetLife IT Hosted/Supported"/>
    <s v="Common Service Business Application"/>
    <s v="Production"/>
    <s v="AD Supported"/>
    <s v="N"/>
    <s v="Global Technology &amp; Operations"/>
    <s v="No"/>
    <s v="Yes"/>
    <s v="Other#Batch Application"/>
    <s v=""/>
    <s v="JAVA"/>
    <s v="MetLife Owned Application Code"/>
    <s v="Platform as a Service (PaaS)"/>
    <s v="Yes"/>
    <s v="Y"/>
    <s v="Y"/>
    <s v="Y"/>
    <s v="N"/>
    <s v="N"/>
    <n v="20.590416666666673"/>
    <n v="5.0458333333333316"/>
    <n v="18.145833333333332"/>
    <n v="43.782083333333333"/>
    <n v="0.98365960200614777"/>
    <n v="21.891041666666666"/>
    <n v="21.891041666666666"/>
    <m/>
    <x v="1"/>
    <n v="4"/>
    <n v="0"/>
    <n v="3.7687499999999998"/>
  </r>
  <r>
    <x v="4"/>
    <m/>
    <m/>
    <m/>
    <n v="13856"/>
    <s v="Customer Care Batch"/>
    <s v="Open Batch System for Customer Care"/>
    <s v="Application/batch processing group for call centers"/>
    <x v="5"/>
    <s v="Customer Service and Operations Systems Group 34965"/>
    <s v="Customer Care Team 34969"/>
    <s v="MetLife IT Hosted/Supported"/>
    <s v="Core Business Application"/>
    <s v="Production"/>
    <s v="AD Supported"/>
    <s v="N"/>
    <s v="Global Technology &amp; Operations"/>
    <s v="No"/>
    <s v="Yes"/>
    <s v="Other#Batch Manager"/>
    <s v=""/>
    <s v="Other#ETL (Infomatica)"/>
    <s v="MetLife Owned Application Code"/>
    <s v=""/>
    <s v="No"/>
    <s v="Y"/>
    <s v="Y"/>
    <s v="Y"/>
    <s v="N"/>
    <s v="N"/>
    <n v="4.4024999999999999"/>
    <n v="1.9583333333333335"/>
    <n v="4.1666666666666664E-2"/>
    <n v="6.4025000000000007"/>
    <n v="0.95769881556683589"/>
    <n v="3.2012500000000004"/>
    <n v="3.2012500000000004"/>
    <m/>
    <x v="1"/>
    <n v="8"/>
    <n v="0"/>
    <n v="7.2"/>
  </r>
  <r>
    <x v="2"/>
    <s v="Yes"/>
    <m/>
    <m/>
    <n v="13863"/>
    <s v="AURA"/>
    <s v="AURA Underwriting"/>
    <s v="AURA, is a medical underwriting and decision framework provided by RGA Technology Partners, Inc."/>
    <x v="2"/>
    <s v="Customer Service and Operations Systems Group 34965"/>
    <s v="New Business Team 34966"/>
    <s v="Vendor Hosted/MetLife IT Supported"/>
    <s v="Common Service Business Application"/>
    <s v="Production"/>
    <s v="AD Supported"/>
    <s v="N"/>
    <s v="Global Technology &amp; Operations"/>
    <s v="No"/>
    <s v="No"/>
    <s v="Other#SaaS"/>
    <s v=""/>
    <s v="JAVA"/>
    <s v="Non-MetLife Owned Application Code (3rd party/COTS)"/>
    <s v="Software as a Service (SaaS)"/>
    <s v="Yes"/>
    <s v="Y"/>
    <s v="Y"/>
    <s v="Y"/>
    <s v="N"/>
    <s v="N"/>
    <n v="1"/>
    <n v="0"/>
    <n v="0"/>
    <n v="0"/>
    <m/>
    <n v="0"/>
    <n v="0"/>
    <m/>
    <x v="0"/>
    <n v="0"/>
    <n v="0"/>
    <n v="0"/>
  </r>
  <r>
    <x v="2"/>
    <s v="Yes"/>
    <m/>
    <m/>
    <n v="13884"/>
    <s v="POS Batch"/>
    <s v="OpenBatch system for Policy Servicing"/>
    <s v="Storage and Preservation Area / Batch Processing Group"/>
    <x v="3"/>
    <s v="Customer Service and Operations Systems Group 34965"/>
    <s v="Policy Servicing Team 34967"/>
    <s v="MetLife IT Hosted/Supported"/>
    <s v="Core Business Application"/>
    <s v="Production"/>
    <s v="AD Supported"/>
    <s v="N"/>
    <s v="Global Technology &amp; Operations"/>
    <s v="No"/>
    <s v="Yes"/>
    <s v="Other#Batch Manager"/>
    <s v=""/>
    <s v="JAVA"/>
    <s v="MetLife Owned Application Code"/>
    <s v=""/>
    <s v="No"/>
    <s v="Y"/>
    <s v="Y"/>
    <s v="Y"/>
    <s v="N"/>
    <s v="N"/>
    <n v="0.4"/>
    <n v="0.3"/>
    <n v="0"/>
    <n v="4.2762499999999992"/>
    <n v="0.90909090909090917"/>
    <n v="2.1381249999999996"/>
    <n v="2.1381249999999996"/>
    <m/>
    <x v="1"/>
    <n v="0"/>
    <n v="1"/>
    <n v="0"/>
  </r>
  <r>
    <x v="2"/>
    <s v="Yes"/>
    <m/>
    <m/>
    <n v="13888"/>
    <s v="Distribution Marketing batches"/>
    <s v="Distribution Marketing related batches"/>
    <s v="The batches from , decommissioned EAI (9850 , 9825)s of Distribution Marketing, has been migrated under this EAI."/>
    <x v="7"/>
    <s v="Customer and Channel Engineering 34961"/>
    <s v="Marketing and Leads Team 34964"/>
    <s v="MetLife IT Hosted/Vendor Supported"/>
    <s v="Common Service Business Application"/>
    <s v="Production"/>
    <s v="AD Supported"/>
    <s v="N"/>
    <s v="Global Technology &amp; Operations"/>
    <s v="No"/>
    <s v="Yes"/>
    <s v="Thick Client"/>
    <s v=""/>
    <s v="PL/SQL"/>
    <s v="MetLife Owned Application Code"/>
    <s v=""/>
    <s v="No"/>
    <s v="Y"/>
    <s v="Y"/>
    <s v="Y"/>
    <s v="N"/>
    <s v="N"/>
    <n v="2.9475000000000016"/>
    <n v="0.49999999999999994"/>
    <n v="1"/>
    <n v="4.4475000000000016"/>
    <n v="0.24077196927112607"/>
    <n v="2.2237500000000008"/>
    <n v="2.2237500000000008"/>
    <m/>
    <x v="0"/>
    <n v="0"/>
    <n v="0"/>
    <n v="0"/>
  </r>
  <r>
    <x v="2"/>
    <s v="Yes"/>
    <m/>
    <m/>
    <n v="13971"/>
    <s v="HIMAWARI backend apps"/>
    <s v="HIMAWARI backend applications"/>
    <s v="Call Center Apps / Backend Batch Processing Group"/>
    <x v="5"/>
    <s v="Customer Service and Operations Systems Group 34965"/>
    <s v="Customer Care Team 34969"/>
    <s v="MetLife IT Hosted/Supported"/>
    <s v="Core Business Application"/>
    <s v="Production"/>
    <s v="AD Supported"/>
    <s v="N"/>
    <s v="Global Technology &amp; Operations"/>
    <s v="No"/>
    <s v="Yes"/>
    <s v="Other#VB.net"/>
    <s v=""/>
    <s v="VB.NET"/>
    <s v="MetLife Owned Application Code"/>
    <s v=""/>
    <s v="No"/>
    <s v="Y"/>
    <s v="Y"/>
    <s v="Y"/>
    <s v="N"/>
    <s v="N"/>
    <n v="0.95416666666666661"/>
    <n v="0.54999999999999993"/>
    <n v="0"/>
    <n v="1.5041666666666664"/>
    <n v="0.29362880886426596"/>
    <n v="0.75208333333333321"/>
    <n v="0.75208333333333321"/>
    <m/>
    <x v="0"/>
    <n v="0"/>
    <n v="0"/>
    <n v="0"/>
  </r>
  <r>
    <x v="2"/>
    <s v="Yes"/>
    <m/>
    <m/>
    <n v="13982"/>
    <s v="New Business Batch"/>
    <s v="OpenBatch system for New Business"/>
    <s v="New Contract-Related Batch Processing Group"/>
    <x v="2"/>
    <s v="Customer Service and Operations Systems Group 34965"/>
    <s v="New Business Team 34966"/>
    <s v="MetLife IT Hosted/Supported"/>
    <s v="Core Business Application"/>
    <s v="Production"/>
    <s v="AD Supported"/>
    <s v="N"/>
    <s v="Global Technology &amp; Operations"/>
    <s v="No"/>
    <s v="Yes"/>
    <s v="Other#Batch Manager"/>
    <s v=""/>
    <s v="JAVA"/>
    <s v="MetLife Owned Application Code"/>
    <s v=""/>
    <s v="No"/>
    <s v="Y"/>
    <s v="Y"/>
    <s v="Y"/>
    <s v="N"/>
    <s v="N"/>
    <n v="0.86916666666666664"/>
    <n v="3.3333333333333333E-2"/>
    <n v="0"/>
    <n v="0.90249999999999997"/>
    <n v="1"/>
    <n v="0.45124999999999998"/>
    <n v="0.45124999999999998"/>
    <m/>
    <x v="1"/>
    <n v="0"/>
    <n v="1"/>
    <n v="0"/>
  </r>
  <r>
    <x v="2"/>
    <s v="Yes"/>
    <m/>
    <m/>
    <n v="14049"/>
    <s v="WCC"/>
    <s v="Web Credit Card"/>
    <s v="This application will support Web Credit Card payment feature"/>
    <x v="8"/>
    <s v="Customer and Channel Engineering 34961"/>
    <s v="Distribution F2F Team 34962"/>
    <s v="Vendor Hosted/MetLife IT Supported"/>
    <s v="Common Service Business Application"/>
    <s v="Production"/>
    <s v="AD Supported"/>
    <s v="N"/>
    <s v="Asia Region"/>
    <s v="Yes"/>
    <s v="Yes"/>
    <s v="Web Services"/>
    <s v=""/>
    <s v="JAVA; HTML5; JavaScript"/>
    <s v="MetLife Owned Application Code"/>
    <s v="Platform as a Service (PaaS)"/>
    <s v="Yes"/>
    <s v="Y"/>
    <s v="Y"/>
    <s v="Y"/>
    <s v="N"/>
    <s v="Y"/>
    <n v="0"/>
    <n v="0"/>
    <n v="0.125"/>
    <n v="0.125"/>
    <n v="1"/>
    <n v="6.25E-2"/>
    <n v="6.25E-2"/>
    <s v="BSA, BA, Test related members are in the scope"/>
    <x v="0"/>
    <n v="0"/>
    <n v="0"/>
    <n v="0"/>
  </r>
  <r>
    <x v="2"/>
    <s v="Yes"/>
    <m/>
    <m/>
    <n v="14059"/>
    <s v="PDF Auto Loader Batch"/>
    <s v="Open Batch System for PDF Auto Loader"/>
    <s v="Batch System for PDF Auto Loader"/>
    <x v="1"/>
    <s v="Core Insurance Systems Group 34956"/>
    <s v="Policy Admin Systems Team 34957"/>
    <s v="MetLife IT Hosted/Supported"/>
    <s v="Core Business Application"/>
    <s v="Production"/>
    <s v="AD Supported"/>
    <s v="N"/>
    <s v="Asia Region"/>
    <s v="No"/>
    <s v="Yes"/>
    <s v="Other#Batch Manager"/>
    <s v=""/>
    <s v="JAVA"/>
    <s v="MetLife Owned Application Code"/>
    <s v=""/>
    <s v="No"/>
    <s v="Y"/>
    <s v="Y"/>
    <s v="Y"/>
    <s v="N"/>
    <s v="N"/>
    <n v="1.0166666666666666"/>
    <n v="1.0416666666666666E-2"/>
    <n v="0"/>
    <n v="1.0270833333333333"/>
    <n v="0.9026369168356998"/>
    <n v="0.51354166666666667"/>
    <n v="0.51354166666666667"/>
    <m/>
    <x v="0"/>
    <n v="0"/>
    <n v="0"/>
    <n v="0"/>
  </r>
  <r>
    <x v="2"/>
    <s v="Yes"/>
    <m/>
    <m/>
    <n v="14097"/>
    <s v="IVR Tekigosei"/>
    <s v="Confirming UnitLink product suitability via IVR"/>
    <s v="This application is SaaS solution by Kore.ai which will provide service to make a automated phone call to check Policyholder's understanding and suitability for UnitLink product."/>
    <x v="8"/>
    <s v="Customer and Channel Engineering 34961"/>
    <s v="Distribution F2F Team 34962"/>
    <s v="Vendor Hosted/MetLife IT Supported"/>
    <s v="Common Service Business Application"/>
    <s v="Production"/>
    <s v="Business Supported"/>
    <s v="N"/>
    <s v="Asia Region"/>
    <s v="Yes"/>
    <s v="No"/>
    <s v="Web Services; RESTful APIs"/>
    <s v=""/>
    <s v="Other#N/A"/>
    <s v="Non-MetLife Owned Application Code (3rd party/COTS)"/>
    <s v="Software as a Service (SaaS)"/>
    <s v="Yes"/>
    <s v="Y"/>
    <s v="Y"/>
    <s v="Y"/>
    <s v="N"/>
    <s v="Y"/>
    <n v="8.3333333333333329E-2"/>
    <n v="0"/>
    <n v="8.3333333333333329E-2"/>
    <n v="0.16666666666666666"/>
    <n v="1"/>
    <n v="8.3333333333333329E-2"/>
    <n v="8.3333333333333329E-2"/>
    <s v="BSA, BA, Test related members are in the scope"/>
    <x v="0"/>
    <n v="0"/>
    <n v="0"/>
    <n v="0"/>
  </r>
  <r>
    <x v="2"/>
    <s v="Yes"/>
    <m/>
    <m/>
    <n v="14217"/>
    <s v="W09WSD-JPN BIS"/>
    <s v="Call Center WSD BIS"/>
    <s v="Financial Institutions LoB/Distribution Digital Planning Group"/>
    <x v="8"/>
    <s v="Customer and Channel Engineering 34961"/>
    <s v="Distribution Banca Team 34963"/>
    <s v="MetLife IT Hosted/Supported"/>
    <s v="Core Business Application"/>
    <s v="Production"/>
    <s v="AD Supported"/>
    <s v="N"/>
    <s v="Asia Region"/>
    <s v="No"/>
    <s v="Yes"/>
    <s v="Other#Batch Application"/>
    <s v=""/>
    <s v="VB.NET"/>
    <s v="MetLife Owned Application Code"/>
    <s v=""/>
    <s v="No"/>
    <s v="Y"/>
    <s v="Y"/>
    <s v="Y"/>
    <s v="N"/>
    <s v="N"/>
    <n v="0.80833333333333335"/>
    <n v="7.4999999999999997E-2"/>
    <n v="0"/>
    <n v="0.8833333333333333"/>
    <n v="0.48113207547169817"/>
    <n v="0.44166666666666665"/>
    <n v="0.44166666666666665"/>
    <m/>
    <x v="0"/>
    <n v="0"/>
    <n v="0"/>
    <n v="0"/>
  </r>
  <r>
    <x v="2"/>
    <s v="Yes"/>
    <m/>
    <m/>
    <n v="14267"/>
    <s v="NBAPPS-JPN"/>
    <s v="New Business Operation Apps"/>
    <s v="New Contract-Related Applications"/>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12.256666666666677"/>
    <n v="0.5"/>
    <n v="0"/>
    <n v="12.756666666666677"/>
    <n v="0.88241442383067681"/>
    <n v="6.3783333333333383"/>
    <n v="6.3783333333333383"/>
    <m/>
    <x v="1"/>
    <n v="0"/>
    <n v="1"/>
    <n v="0"/>
  </r>
  <r>
    <x v="2"/>
    <s v="Yes"/>
    <m/>
    <m/>
    <n v="14285"/>
    <s v="SCS"/>
    <s v="Sales Compensation System"/>
    <s v="A subsystem developed in-house. A successor development environment for exiting ICM (11004). As a business domain, it handles commission calculation and reporting. Development is carried out using Azure Databricks and Sparc."/>
    <x v="0"/>
    <s v="Core Insurance Systems Group 34956"/>
    <s v="Commission Systems Team 34958"/>
    <s v="MetLife IT Hosted/Supported"/>
    <s v="Core Business Application"/>
    <s v="Development"/>
    <s v="AD Supported"/>
    <s v="N"/>
    <s v="Asia Region"/>
    <s v="No"/>
    <s v="Yes"/>
    <s v="Other#Commission Data Platform and associated functions"/>
    <s v=""/>
    <s v="JAVA; Other#SQL"/>
    <s v="MetLife Owned Application Code"/>
    <s v="Platform as a Service (PaaS)"/>
    <s v="Yes"/>
    <s v="Y"/>
    <s v="Y"/>
    <s v="Y"/>
    <s v="Y"/>
    <s v="N"/>
    <n v="14.975000000000003"/>
    <n v="1.3416666666666668"/>
    <n v="0"/>
    <n v="16.31666666666667"/>
    <n v="0.98774259448416757"/>
    <n v="8.158333333333335"/>
    <n v="8.158333333333335"/>
    <m/>
    <x v="0"/>
    <n v="0"/>
    <n v="0"/>
    <n v="0"/>
  </r>
  <r>
    <x v="2"/>
    <s v="Yes"/>
    <m/>
    <m/>
    <n v="14322"/>
    <s v="Pega for Claims"/>
    <s v="Pega for Claims - Pega Workflow"/>
    <s v="Pega for Claims - Pega Workflow"/>
    <x v="4"/>
    <s v="Customer Service and Operations Systems Group 34965"/>
    <s v="Claims Team 34968"/>
    <s v="Vendor Hosted/Supported"/>
    <s v="Core Business Application"/>
    <s v="Production"/>
    <s v="AD Supported"/>
    <s v="N"/>
    <s v="Global Technology &amp; Operations"/>
    <s v="No"/>
    <s v="No"/>
    <s v="Web Application Client; Web Services"/>
    <s v=""/>
    <s v="JAVA"/>
    <s v="MetLife Owned Application Code"/>
    <s v="Software as a Service (SaaS)"/>
    <s v="Yes"/>
    <s v="Y"/>
    <s v="Y"/>
    <s v="Y"/>
    <s v="N"/>
    <s v="N"/>
    <n v="11.491666666666667"/>
    <n v="0.70833333333333337"/>
    <n v="4.5"/>
    <n v="16.700000000000003"/>
    <n v="0.98702594810379252"/>
    <n v="8.3500000000000014"/>
    <n v="8.3500000000000014"/>
    <m/>
    <x v="1"/>
    <n v="2"/>
    <n v="0"/>
    <n v="2.1812499999999999"/>
  </r>
  <r>
    <x v="2"/>
    <s v="Yes"/>
    <m/>
    <m/>
    <n v="14376"/>
    <s v="RAPS"/>
    <s v="Retirement Allowance Payment System"/>
    <s v="Open System 'CT Retirement Allowance System' Calculates and pays retirement benefits for CTs (including APM and ASM)"/>
    <x v="6"/>
    <s v="Core Insurance Systems Group 34956"/>
    <s v="Corporate Systems Team 34959"/>
    <s v="MetLife IT Hosted/Supported"/>
    <s v="Core Business Application"/>
    <s v="Production"/>
    <s v="AD Supported"/>
    <s v="N"/>
    <s v="Asia Region"/>
    <s v="No"/>
    <s v="Yes"/>
    <s v="Other#NA"/>
    <s v=""/>
    <s v="VB.NET"/>
    <s v="MetLife Owned Application Code"/>
    <s v=""/>
    <s v="No"/>
    <s v="Y"/>
    <s v="Y"/>
    <s v="Y"/>
    <s v="N"/>
    <s v="N"/>
    <n v="0.27479166666666671"/>
    <n v="0"/>
    <n v="0"/>
    <n v="0.27479166666666671"/>
    <n v="0.7725549658832449"/>
    <n v="0.13739583333333336"/>
    <n v="0.13739583333333336"/>
    <m/>
    <x v="0"/>
    <n v="0"/>
    <n v="0"/>
    <n v="0"/>
  </r>
  <r>
    <x v="2"/>
    <s v="Yes"/>
    <m/>
    <m/>
    <n v="14377"/>
    <s v="Commission System Support Tool"/>
    <s v="Support Tool for Commission System"/>
    <s v="Reference and update EAI:9808 batch results, commission codes, and rates_x000a_It has the following features_x000a_Rate Expert: Registers and updates commission codes and rates._x000a_Transfer and Return Information Management System (NORIS): References and updates batch processing results for excellent producer evaluations, early erase returns, and transfer decisions._x000a_Non-life Insurance Commission Master Management System: Updates or references the Non-Life Insurance Commission Master._x000a_A/A General-Purpose Correction System: Generic references and updates files linked to agent code (files containing agent code as key entries)"/>
    <x v="6"/>
    <s v="Core Insurance Systems Group 34956"/>
    <s v="Corporate Systems Team 34959"/>
    <s v="MetLife IT Hosted/Supported"/>
    <s v="Core Business Application"/>
    <s v="Production"/>
    <s v="AD Supported"/>
    <s v="N"/>
    <s v="Asia Region"/>
    <s v="No"/>
    <s v="Yes"/>
    <s v="Other#Client-Server"/>
    <s v=""/>
    <s v="VB.NET"/>
    <s v="MetLife Owned Application Code"/>
    <s v=""/>
    <s v="No"/>
    <s v="Y"/>
    <s v="Y"/>
    <s v="Y"/>
    <s v="N"/>
    <s v="N"/>
    <n v="0.59708333333333341"/>
    <n v="0.12916666666666665"/>
    <n v="0"/>
    <n v="0.72625000000000006"/>
    <n v="0.97991967871485952"/>
    <n v="0.36312500000000003"/>
    <n v="0.36312500000000003"/>
    <m/>
    <x v="0"/>
    <n v="0"/>
    <n v="0"/>
    <n v="0"/>
  </r>
  <r>
    <x v="2"/>
    <s v="Yes"/>
    <m/>
    <m/>
    <n v="14423"/>
    <s v="MDRS"/>
    <s v="Maturity and Deferral Related System"/>
    <s v="Maturity/Deferred Contract Management System"/>
    <x v="4"/>
    <s v="Customer Service and Operations Systems Group 34965"/>
    <s v="Claims Team 34968"/>
    <s v="MetLife IT Hosted/Supported"/>
    <s v="Core Business Application"/>
    <s v="Production"/>
    <s v="AD Supported"/>
    <s v="Y"/>
    <s v="Global Technology &amp; Operations"/>
    <s v="No"/>
    <s v="Yes"/>
    <s v="Thick Client"/>
    <s v=""/>
    <s v="VB.NET"/>
    <s v="MetLife Owned Application Code"/>
    <s v=""/>
    <s v="No"/>
    <s v="Y"/>
    <s v="Y"/>
    <s v="Y"/>
    <s v="N"/>
    <s v="N"/>
    <n v="2.1225000000000001"/>
    <n v="0"/>
    <n v="0"/>
    <n v="2.1225000000000001"/>
    <n v="0.75068708284255981"/>
    <n v="1.06125"/>
    <n v="1.06125"/>
    <m/>
    <x v="1"/>
    <n v="0"/>
    <n v="1"/>
    <n v="0"/>
  </r>
  <r>
    <x v="2"/>
    <s v="Yes"/>
    <m/>
    <m/>
    <n v="14595"/>
    <s v="JP-BANCA"/>
    <s v="Japan Sales Platform-BANCA"/>
    <s v="Paperless insurance design and application system for banks"/>
    <x v="8"/>
    <s v="Customer and Channel Engineering 34961"/>
    <m/>
    <s v="Vendor Hosted/MetLife IT Supported"/>
    <s v="Core Business Application"/>
    <s v="Production"/>
    <s v="AD Supported"/>
    <s v="N"/>
    <s v="Asia Region"/>
    <s v="No"/>
    <s v="Yes"/>
    <s v="Web Application Client; RESTful APIs"/>
    <s v=""/>
    <s v="JavaScript; JAVA"/>
    <s v="MetLife Owned Application Code"/>
    <s v="Platform as a Service (PaaS)"/>
    <s v="Yes"/>
    <s v="Y"/>
    <s v="N"/>
    <s v="Y"/>
    <s v="N"/>
    <s v="Y"/>
    <n v="60"/>
    <n v="25"/>
    <n v="25"/>
    <n v="110"/>
    <n v="0.99242965891407664"/>
    <n v="55"/>
    <n v="55"/>
    <m/>
    <x v="1"/>
    <n v="38"/>
    <n v="0"/>
    <n v="34.018749999999997"/>
  </r>
  <r>
    <x v="2"/>
    <s v="Yes"/>
    <m/>
    <m/>
    <n v="14701"/>
    <s v="Commission calculation"/>
    <s v="Commission Calculation Service"/>
    <s v="A subsystem developed in-house.  Register the fee rate to display the primary reward fee on e-mirai and Banca. Development is carried out in Java."/>
    <x v="0"/>
    <s v="Core Insurance Systems Group 34956"/>
    <s v="Commission Systems Team 34958"/>
    <s v="MetLife IT Hosted/Supported"/>
    <s v="Common Service Business Application"/>
    <s v="New Application"/>
    <s v="AD Supported"/>
    <s v="N"/>
    <s v="Global Technology &amp; Operations"/>
    <s v="No"/>
    <s v="Yes"/>
    <s v="Web Application Client"/>
    <s v=""/>
    <s v="JAVA"/>
    <s v="MetLife Owned Application Code"/>
    <s v="Platform as a Service (PaaS)"/>
    <s v="Yes"/>
    <s v="Y"/>
    <s v="Y"/>
    <s v="Y"/>
    <s v="N"/>
    <s v="N"/>
    <m/>
    <m/>
    <m/>
    <m/>
    <m/>
    <n v="0"/>
    <n v="0"/>
    <m/>
    <x v="0"/>
    <n v="0"/>
    <n v="0"/>
    <n v="0"/>
  </r>
  <r>
    <x v="2"/>
    <s v="Yes"/>
    <m/>
    <m/>
    <n v="14930"/>
    <s v="Vcalc-JPN"/>
    <s v="Variable Insurance Guarantee Calculation System"/>
    <s v="This is a batch processing system that calculates the minimum guaranteed benefit (V) for variable insurance."/>
    <x v="6"/>
    <s v="Core Insurance Systems Group 34956"/>
    <s v="Corporate Systems Team 34959"/>
    <s v="MetLife IT Hosted/Supported"/>
    <s v="Core Business Application"/>
    <s v="Development"/>
    <s v="AD Supported"/>
    <s v="N"/>
    <s v="Financial Management Group"/>
    <s v="No"/>
    <s v="Yes"/>
    <s v="Other#Batch System"/>
    <s v=""/>
    <s v="JAVA"/>
    <s v="MetLife Owned Application Code"/>
    <s v="Platform as a Service (PaaS)"/>
    <s v="Yes"/>
    <s v="Y"/>
    <s v="Y"/>
    <s v="Y"/>
    <s v="N"/>
    <s v="N"/>
    <n v="1.5"/>
    <n v="0.5"/>
    <n v="0"/>
    <n v="2"/>
    <n v="1"/>
    <n v="1"/>
    <n v="1"/>
    <m/>
    <x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x v="0"/>
    <s v="Yes"/>
    <m/>
    <m/>
    <n v="9629"/>
    <x v="0"/>
    <s v="Global Sales Comp - Japan"/>
    <s v="Responsible for data integration (ETL) between ICM (11004) and Life-Comm. Runs on US environments."/>
    <x v="0"/>
    <s v="Core Insurance Systems Group 34956"/>
    <s v="Commission Systems Team 34958"/>
    <s v="MetLife IT Hosted/Supported"/>
    <s v="Core Business Application"/>
    <s v="Production"/>
    <s v="AD Supported"/>
    <s v="N"/>
    <s v="Asia Region"/>
    <s v="Yes"/>
    <s v="Yes"/>
    <s v="Other#Schduler / orchastration tool call servers batches."/>
    <s v=""/>
    <s v="Other#Infomatica workflow_x000a_Bash shell_x000a_Dos batch"/>
    <s v="Non-MetLife Owned Application Code (3rd party/COTS)"/>
    <s v="Software as a Service (SaaS)"/>
    <s v="Yes"/>
    <s v="Y"/>
    <s v="Y"/>
    <s v="Y"/>
    <s v="N"/>
    <s v="N"/>
    <m/>
    <m/>
    <m/>
    <m/>
    <m/>
    <s v=""/>
    <s v=""/>
    <s v="The number of personnel is included in 11004."/>
  </r>
  <r>
    <x v="1"/>
    <s v="Yes"/>
    <m/>
    <m/>
    <n v="9796"/>
    <x v="1"/>
    <s v="LifeComm POSPMC"/>
    <s v="A subsystem based on LifeComm (mainframe package). Responsible for transaction processing for the contract management master. As a business domain, it handles contract maintenance (such as name changes, address changes, cancellations, and reductio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59.558958333333365"/>
    <n v="7.7541666666666673"/>
    <n v="0"/>
    <n v="67.313125000000028"/>
    <n v="0.71176374097424044"/>
    <n v="33.6565625"/>
    <n v="33.656562500000014"/>
    <m/>
  </r>
  <r>
    <x v="1"/>
    <s v="Yes"/>
    <m/>
    <m/>
    <n v="9800"/>
    <x v="2"/>
    <s v="LifeComm Billing"/>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0.892166666666654"/>
    <n v="1.8537499999999998"/>
    <n v="0"/>
    <n v="22.745916666666652"/>
    <n v="0.94285787558939149"/>
    <n v="11.372958333333326"/>
    <n v="11.372958333333326"/>
    <m/>
  </r>
  <r>
    <x v="1"/>
    <s v="Yes"/>
    <m/>
    <m/>
    <n v="9801"/>
    <x v="3"/>
    <s v="LifeComm Collection"/>
    <s v="A subsystem based on LifeComm (mainframe package). As a business domain, it handles insurance premium claims and payment contract protection (such as name changes, address changes, cancellations, and reduction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m/>
    <m/>
    <m/>
    <m/>
    <m/>
    <s v=""/>
    <s v=""/>
    <s v="The number of staff is included in the 9,800"/>
  </r>
  <r>
    <x v="1"/>
    <s v="Yes"/>
    <m/>
    <m/>
    <n v="9802"/>
    <x v="4"/>
    <s v="LifeComm Corresponding"/>
    <s v="A subsystem based on LifeComm (mainframe package). As a business domain, it is responsible for guidance (form creation).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15.953625000000002"/>
    <n v="1.6541666666666663"/>
    <n v="0"/>
    <n v="17.607791666666667"/>
    <n v="0.98287216596819116"/>
    <n v="8.8038958333333337"/>
    <n v="8.8038958333333337"/>
    <m/>
  </r>
  <r>
    <x v="1"/>
    <s v="Yes"/>
    <m/>
    <m/>
    <n v="9803"/>
    <x v="5"/>
    <s v="LifeComm  UWI"/>
    <s v="A subsystem based on LifeComm (mainframe package). As a business domain, it handles part of new contracts and contract maintenance (such as price reductions). Some contract preservation functions utilize new contract features, resulting in overlap between EAI:9796 and business domains. We continue to utilize the functions built with assemblers, continuously developing assemblers for new product development, other development projects, and maintenance projects."/>
    <x v="1"/>
    <s v="Core Insurance Systems Group 34956"/>
    <s v="Policy Admin Systems Team 34957"/>
    <s v="MetLife IT Hosted/Supported"/>
    <s v="Core Business Application"/>
    <s v="Production"/>
    <s v="AD Supported"/>
    <s v="Y"/>
    <s v="Global Technology &amp; Operations"/>
    <s v="No"/>
    <s v="Yes"/>
    <s v="Other#Mainframe"/>
    <s v=""/>
    <s v="Assembler, COBOL, MU(EASYPLUS), JCL"/>
    <s v="MetLife Owned Application Code"/>
    <s v=""/>
    <s v="No"/>
    <s v="Y"/>
    <s v="Y"/>
    <s v="Y"/>
    <s v="N"/>
    <s v="N"/>
    <n v="8.8045833333333299"/>
    <n v="0.85"/>
    <n v="0"/>
    <n v="9.6545833333333295"/>
    <n v="0.94821112597643609"/>
    <n v="4.8272916666666648"/>
    <n v="4.8272916666666648"/>
    <m/>
  </r>
  <r>
    <x v="1"/>
    <s v="Yes"/>
    <m/>
    <m/>
    <n v="9804"/>
    <x v="6"/>
    <s v="LifeComm AgentAgencyPerformance"/>
    <s v="A subsystem based on LifeComm (mainframe package). As a business domain, it is responsible for performance (number of new contract ANPs, number of held ANPs, retention rate,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0.784166666666668"/>
    <n v="0.74583333333333335"/>
    <n v="0"/>
    <n v="11.530000000000001"/>
    <n v="0.83304423243712056"/>
    <n v="5.7650000000000006"/>
    <n v="5.7650000000000006"/>
    <m/>
  </r>
  <r>
    <x v="1"/>
    <s v="Yes"/>
    <m/>
    <m/>
    <n v="9805"/>
    <x v="7"/>
    <s v="LifeComm Payment"/>
    <s v="A subsystem based on LifeComm (mainframe package). As a business domain, it handles paymen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Global Technology &amp; Operations"/>
    <s v="No"/>
    <s v="Yes"/>
    <s v="Other#Mainframe"/>
    <s v=""/>
    <s v="COBOL, Assembler, MU(EASYPLUS), JCL"/>
    <s v="MetLife Owned Application Code"/>
    <s v=""/>
    <s v="No"/>
    <s v="Y"/>
    <s v="Y"/>
    <s v="Y"/>
    <s v="N"/>
    <s v="N"/>
    <n v="2.8966666666666661"/>
    <n v="2.4999999999999998E-2"/>
    <n v="0"/>
    <n v="2.921666666666666"/>
    <n v="0.90587564175698809"/>
    <n v="1.460833333333333"/>
    <n v="1.460833333333333"/>
    <m/>
  </r>
  <r>
    <x v="1"/>
    <s v="Yes"/>
    <m/>
    <m/>
    <n v="9806"/>
    <x v="8"/>
    <s v="LifeComm GL/SC"/>
    <s v="A subsystem based on LifeComm (mainframe package). As a business domain, it is responsible for accounting.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Financial Management Group"/>
    <s v="No"/>
    <s v="Yes"/>
    <s v="Other#Mainframe"/>
    <s v=""/>
    <s v="COBOL, Assembler, MU(EASYPLUS), JCL"/>
    <s v="MetLife Owned Application Code"/>
    <s v=""/>
    <s v="No"/>
    <s v="Y"/>
    <s v="Y"/>
    <s v="Y"/>
    <s v="N"/>
    <s v="N"/>
    <n v="5.2887500000000012"/>
    <n v="1.0249999999999999"/>
    <n v="0"/>
    <n v="6.3137500000000006"/>
    <n v="0.83765590972084747"/>
    <n v="3.1568750000000003"/>
    <n v="3.1568750000000003"/>
    <m/>
  </r>
  <r>
    <x v="1"/>
    <s v="Yes"/>
    <m/>
    <m/>
    <n v="9807"/>
    <x v="9"/>
    <s v="LifeComm Valuation"/>
    <s v="A subsystem based on LifeComm (mainframe package). As a business domain, it handles asset management (not real estate, but calculating the asset value of our insurance contracts).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N"/>
    <s v="Financial Management Group"/>
    <s v="No"/>
    <s v="Yes"/>
    <s v="Other#Mainframe"/>
    <s v=""/>
    <s v="COBOL, Assembler, MU(EASYPLUS), JCL"/>
    <s v="MetLife Owned Application Code"/>
    <s v=""/>
    <s v="No"/>
    <s v="Y"/>
    <s v="Y"/>
    <s v="Y"/>
    <s v="N"/>
    <s v="N"/>
    <n v="9.7687500000000007"/>
    <n v="1.4833333333333334"/>
    <n v="0"/>
    <n v="11.252083333333335"/>
    <n v="0.85632290316608028"/>
    <n v="5.6260416666666675"/>
    <n v="5.6260416666666675"/>
    <m/>
  </r>
  <r>
    <x v="1"/>
    <s v="Yes"/>
    <m/>
    <m/>
    <n v="9808"/>
    <x v="10"/>
    <s v="LifeComm AgentAgencyComp"/>
    <s v="A subsystem based on LifeComm (mainframe package). As a business domain, it handles fees (such as recruiter management, sales staff fees, agency fees, etc.). While we maintain the features built with assembler, our company's main features are developed in COBOL, and except for table modifications, we are not continuously developing assemblers."/>
    <x v="1"/>
    <s v="Core Insurance Systems Group 34956"/>
    <s v="Policy Admin Systems Team 34957"/>
    <s v="MetLife IT Hosted/Supported"/>
    <s v="Core Business Application"/>
    <s v="Production"/>
    <s v="AD Supported"/>
    <s v="Y"/>
    <s v="Asia Region"/>
    <s v="No"/>
    <s v="Yes"/>
    <s v="Other#Mainframe"/>
    <s v=""/>
    <s v="COBOL, Assembler, MU(EASYPLUS), JCL"/>
    <s v="MetLife Owned Application Code"/>
    <s v=""/>
    <s v="No"/>
    <s v="Y"/>
    <s v="Y"/>
    <s v="Y"/>
    <s v="N"/>
    <s v="N"/>
    <n v="13.545708333333339"/>
    <n v="3.1437500000000003"/>
    <n v="0"/>
    <n v="16.689458333333338"/>
    <n v="0.72662384189620677"/>
    <n v="8.344729166666669"/>
    <n v="8.344729166666669"/>
    <m/>
  </r>
  <r>
    <x v="1"/>
    <s v="Yes"/>
    <m/>
    <m/>
    <n v="9810"/>
    <x v="11"/>
    <s v="Claim payment (Processor-I)"/>
    <s v="A subsystem based on a different package from LifeComm (mainframe package). As a business domain, it is responsible for payment of benefits and insurance claim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7.6683333333333339"/>
    <n v="1.1291666666666667"/>
    <n v="0"/>
    <n v="8.7975000000000012"/>
    <n v="0.75561238988348978"/>
    <n v="4.3987500000000006"/>
    <n v="4.3987500000000006"/>
    <m/>
  </r>
  <r>
    <x v="1"/>
    <s v="Yes"/>
    <m/>
    <m/>
    <n v="9811"/>
    <x v="12"/>
    <s v="Submit Online"/>
    <s v="A subsystem developed in-house. As a business domain, it provides daily performance update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1.9683333333333333"/>
    <n v="0.16458333333333336"/>
    <n v="0"/>
    <n v="2.1329166666666666"/>
    <n v="0.95311584293807383"/>
    <n v="1.0664583333333333"/>
    <n v="1.0664583333333333"/>
    <m/>
  </r>
  <r>
    <x v="1"/>
    <s v="Yes"/>
    <m/>
    <m/>
    <n v="9813"/>
    <x v="13"/>
    <s v="Micro-Index"/>
    <s v="A subsystem developed in-house. It is a collection of numerous detailed fun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2.1174999999999997"/>
    <n v="0"/>
    <n v="0"/>
    <n v="2.1174999999999997"/>
    <n v="0.64580873671782768"/>
    <n v="1.0587499999999999"/>
    <n v="1.0587499999999999"/>
    <m/>
  </r>
  <r>
    <x v="1"/>
    <s v="Yes"/>
    <m/>
    <m/>
    <n v="9814"/>
    <x v="14"/>
    <s v="Foreign"/>
    <s v="A subsystem developed in-house. Responsible for managing foreign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the 9813"/>
  </r>
  <r>
    <x v="1"/>
    <s v="Yes"/>
    <m/>
    <m/>
    <n v="9816"/>
    <x v="15"/>
    <s v="CT Salary System"/>
    <s v="A subsystem developed in-house. As a business domain, it manages the salaries of our sales staff. However, since salaries based on performance are calculated using EAI:9808, only certain items such as base salary and deductions are covered.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inframe"/>
    <s v=""/>
    <s v="COBOL, MU(EASYPLUS), Assembler, JCL"/>
    <s v="MetLife Owned Application Code"/>
    <s v=""/>
    <s v="No"/>
    <s v="Y"/>
    <s v="Y"/>
    <s v="Y"/>
    <s v="N"/>
    <s v="N"/>
    <n v="0.2"/>
    <n v="0"/>
    <n v="0"/>
    <n v="0.19999999999999998"/>
    <n v="0"/>
    <n v="9.9999999999999992E-2"/>
    <n v="9.9999999999999992E-2"/>
    <m/>
  </r>
  <r>
    <x v="1"/>
    <s v="Yes"/>
    <m/>
    <m/>
    <n v="9817"/>
    <x v="16"/>
    <s v="TaxCertification"/>
    <s v="A subsystem developed in-house. As a business domain, it serves as proof of deductions.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n v="1.6648749999999999"/>
    <n v="0"/>
    <n v="0"/>
    <n v="1.6648749999999999"/>
    <n v="0.40748804965337743"/>
    <n v="0.83243749999999994"/>
    <n v="0.83243749999999994"/>
    <m/>
  </r>
  <r>
    <x v="1"/>
    <s v="Yes"/>
    <m/>
    <m/>
    <n v="9818"/>
    <x v="17"/>
    <s v="SWING MANAGER"/>
    <s v="A subsystem developed in-house. He is responsible for managing the savings fund of Universal Lif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r>
  <r>
    <x v="1"/>
    <s v="Yes"/>
    <m/>
    <m/>
    <n v="9819"/>
    <x v="18"/>
    <s v="Premium Collection History DB"/>
    <s v="A subsystem developed in-house. It is responsible for the deposit history function.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Global Technology &amp; Operations"/>
    <s v="No"/>
    <s v="Yes"/>
    <s v="Other#Mainframe"/>
    <s v=""/>
    <s v="COBOL, MU(EASYPLUS), Assembler, JCL"/>
    <s v="MetLife Owned Application Code"/>
    <s v=""/>
    <s v="No"/>
    <s v="Y"/>
    <s v="Y"/>
    <s v="Y"/>
    <s v="N"/>
    <s v="N"/>
    <m/>
    <m/>
    <m/>
    <m/>
    <m/>
    <s v=""/>
    <s v=""/>
    <s v="The number of personnel is included in 9796."/>
  </r>
  <r>
    <x v="1"/>
    <s v="Yes"/>
    <m/>
    <m/>
    <n v="9820"/>
    <x v="19"/>
    <s v="MCFA Coupon DB"/>
    <s v="A subsystem developed in-house. It serves as the fixed withdrawal function for MCFA (pension insurance). It is managed together with EAI:9796.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m/>
    <m/>
    <m/>
    <m/>
    <m/>
    <s v=""/>
    <s v=""/>
    <s v="The number of personnel is included in 9796."/>
  </r>
  <r>
    <x v="1"/>
    <s v="Yes"/>
    <m/>
    <m/>
    <n v="9821"/>
    <x v="20"/>
    <s v="Payment  maturity existing benefit etc"/>
    <s v="A subsystem developed in-house. As a business domain, it serves as maturity.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4.378333333333333"/>
    <n v="0.97083333333333321"/>
    <n v="0"/>
    <n v="5.3491666666666662"/>
    <n v="0.62610998597912448"/>
    <n v="2.6745833333333331"/>
    <n v="2.6745833333333331"/>
    <m/>
  </r>
  <r>
    <x v="1"/>
    <s v="Yes"/>
    <m/>
    <m/>
    <n v="9822"/>
    <x v="21"/>
    <s v="Reinsurance"/>
    <s v="A subsystem developed in-house. As a business domain, it handles reinsurance. It is basically built with COBOL, and except for the LIFECOMM integration part, almost no assembler is used."/>
    <x v="1"/>
    <s v="Core Insurance Systems Group 34956"/>
    <s v="Policy Admin Systems Team 34957"/>
    <s v="MetLife IT Hosted/Supported"/>
    <s v="Core Business Application"/>
    <s v="Production"/>
    <s v="AD Supported"/>
    <s v="N"/>
    <s v="Financial Management Group"/>
    <s v="No"/>
    <s v="Yes"/>
    <s v="Other#Mainframe"/>
    <s v=""/>
    <s v="COBOL, MU(EASYPLUS), Assembler, JCL"/>
    <s v="MetLife Owned Application Code"/>
    <s v=""/>
    <s v="No"/>
    <s v="Y"/>
    <s v="Y"/>
    <s v="Y"/>
    <s v="N"/>
    <s v="N"/>
    <n v="6.0129166666666656"/>
    <n v="0.25416666666666665"/>
    <n v="0"/>
    <n v="6.267083333333332"/>
    <n v="0.78990758593178645"/>
    <n v="3.133541666666666"/>
    <n v="3.133541666666666"/>
    <m/>
  </r>
  <r>
    <x v="1"/>
    <s v="Yes"/>
    <m/>
    <m/>
    <n v="9823"/>
    <x v="22"/>
    <s v="ASP Bridge (HOST)"/>
    <s v="A subsystem developed in-house. It handles interfaces (data integration) with EAI:9925 and EAI:12559. It is basically built with COBOL, and except for the LIFECOMM integration part, almost no assembler is used."/>
    <x v="1"/>
    <s v="Core Insurance Systems Group 34956"/>
    <s v="Policy Admin Systems Team 34957"/>
    <s v="MetLife IT Hosted/Supported"/>
    <s v="Common Service Business Application"/>
    <s v="Production"/>
    <s v="AD Supported"/>
    <s v="Y"/>
    <s v="Global Technology &amp; Operations"/>
    <s v="No"/>
    <s v="Yes"/>
    <s v="Other#Mainframe"/>
    <s v=""/>
    <s v="COBOL, MU(EASYPLUS), Assembler, JCL"/>
    <s v="MetLife Owned Application Code"/>
    <s v=""/>
    <s v="No"/>
    <s v="Y"/>
    <s v="Y"/>
    <s v="Y"/>
    <s v="N"/>
    <s v="N"/>
    <n v="6.7267083333333355"/>
    <n v="1.4624999999999999"/>
    <n v="0"/>
    <n v="8.189208333333335"/>
    <n v="0.72808726932294032"/>
    <n v="4.0946041666666675"/>
    <n v="4.0946041666666675"/>
    <m/>
  </r>
  <r>
    <x v="1"/>
    <s v="Yes"/>
    <m/>
    <m/>
    <n v="9824"/>
    <x v="23"/>
    <s v="Client Contract Administration"/>
    <s v="A subsystem based on a different package from LifeComm (mainframe package). As a business domain, it serves as a customer name imperson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6308333333333336"/>
    <n v="0"/>
    <n v="0"/>
    <n v="1.6308333333333336"/>
    <n v="0.38681655595298936"/>
    <n v="0.81541666666666679"/>
    <n v="0.81541666666666679"/>
    <m/>
  </r>
  <r>
    <x v="2"/>
    <s v="Yes"/>
    <m/>
    <m/>
    <n v="9833"/>
    <x v="24"/>
    <s v="CenterServer"/>
    <s v="Rule engine for new contract workflows"/>
    <x v="2"/>
    <s v="Customer Service and Operations Systems Group 34965"/>
    <s v="New Business Team 34966"/>
    <s v="MetLife IT Hosted/Supported"/>
    <s v="Core Business Application"/>
    <s v="Production"/>
    <s v="AD Supported"/>
    <s v="N"/>
    <s v="Global Technology &amp; Operations"/>
    <s v="No"/>
    <s v="Yes"/>
    <s v="Other#ASP"/>
    <s v=""/>
    <s v="C/C++"/>
    <s v="MetLife Owned Application Code"/>
    <s v=""/>
    <s v="No"/>
    <s v="Y"/>
    <s v="Y"/>
    <s v="Y"/>
    <s v="N"/>
    <s v="N"/>
    <n v="8.7316666666666691"/>
    <n v="0.11041666666666666"/>
    <n v="0"/>
    <n v="8.8420833333333366"/>
    <n v="0.91687479383629433"/>
    <n v="4.4210416666666683"/>
    <n v="4.4210416666666683"/>
    <m/>
  </r>
  <r>
    <x v="2"/>
    <s v="Yes"/>
    <m/>
    <m/>
    <n v="9834"/>
    <x v="25"/>
    <s v="POS Workflow Payment Workflow (Restoring cancelled"/>
    <s v="Restoring and Cancelled Policy"/>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2"/>
    <n v="0.2"/>
    <n v="0"/>
    <n v="0.37083333333333335"/>
    <n v="0.32584269662921345"/>
    <n v="0.18541666666666667"/>
    <n v="0.18541666666666667"/>
    <m/>
  </r>
  <r>
    <x v="2"/>
    <s v="Yes"/>
    <m/>
    <m/>
    <n v="9835"/>
    <x v="26"/>
    <s v="POS Workflow Payment Workflow (Claim Transaction A"/>
    <s v="Claim Transaction Automatic Development of Benefit"/>
    <x v="4"/>
    <s v="Customer Service and Operations Systems Group 34965"/>
    <s v="Claims Team 34968"/>
    <s v="MetLife IT Hosted/Supported"/>
    <s v="Core Business Application"/>
    <s v="Production"/>
    <s v="AD Supported"/>
    <s v="Y"/>
    <s v="Global Technology &amp; Operations"/>
    <s v="No"/>
    <s v="Yes"/>
    <s v="Thick Client"/>
    <s v=""/>
    <s v="VB.NET; C/C++; JAVA"/>
    <s v="MetLife Owned Application Code"/>
    <s v=""/>
    <s v="No"/>
    <s v="Y"/>
    <s v="Y"/>
    <s v="Y"/>
    <s v="N"/>
    <s v="N"/>
    <n v="29.379874999999988"/>
    <n v="5.6166666666666663"/>
    <n v="0"/>
    <n v="34.996541666666651"/>
    <n v="0.90522873093412803"/>
    <n v="17.498270833333326"/>
    <n v="17.498270833333326"/>
    <m/>
  </r>
  <r>
    <x v="2"/>
    <s v="Yes"/>
    <m/>
    <m/>
    <n v="9836"/>
    <x v="27"/>
    <s v="POS Workflow Payment Workflow (Reduction of paymen"/>
    <s v="Storage and Maintenance Workflow (Reduction of Payment)"/>
    <x v="3"/>
    <s v="Customer Service and Operations Systems Group 34965"/>
    <s v="Policy Servicing Team 34967"/>
    <s v="MetLife IT Hosted/Supported"/>
    <s v="Core Business Application"/>
    <s v="Production"/>
    <s v="AD Supported"/>
    <s v="Y"/>
    <s v="Global Technology &amp; Operations"/>
    <s v="No"/>
    <s v="Yes"/>
    <s v="Thick Client"/>
    <s v=""/>
    <s v="VB.NET"/>
    <s v="MetLife Owned Application Code"/>
    <s v=""/>
    <s v="No"/>
    <s v="Y"/>
    <s v="Y"/>
    <s v="Y"/>
    <s v="N"/>
    <s v="N"/>
    <n v="0.30000000000000004"/>
    <n v="0.3"/>
    <n v="0"/>
    <n v="2.5258333333333329"/>
    <n v="0.90102276476410426"/>
    <n v="1.2629166666666665"/>
    <n v="1.2629166666666665"/>
    <m/>
  </r>
  <r>
    <x v="2"/>
    <s v="Yes"/>
    <m/>
    <m/>
    <n v="9842"/>
    <x v="28"/>
    <s v="Add Coverage"/>
    <s v="Storage and Preservation Special Contract Mid-Term Additional Processing System"/>
    <x v="3"/>
    <s v="Customer Service and Operations Systems Group 34965"/>
    <s v="Policy Servicing Team 34967"/>
    <s v="MetLife IT Hosted/Supported"/>
    <s v="Core Business Application"/>
    <s v="Production"/>
    <s v="AD Supported"/>
    <s v="N"/>
    <s v="Global Technology &amp; Operations"/>
    <s v="No"/>
    <s v="Yes"/>
    <s v="Other#C/S"/>
    <s v=""/>
    <s v="VB"/>
    <s v="MetLife Owned Application Code"/>
    <s v=""/>
    <s v="No"/>
    <s v="Y"/>
    <s v="Y"/>
    <s v="Y"/>
    <s v="N"/>
    <s v="N"/>
    <n v="0.30000000000000004"/>
    <n v="0.3"/>
    <n v="0"/>
    <n v="2.8862500000000004"/>
    <n v="0.90298830662624519"/>
    <n v="1.4431250000000002"/>
    <n v="1.4431250000000002"/>
    <m/>
  </r>
  <r>
    <x v="2"/>
    <s v="Yes"/>
    <m/>
    <m/>
    <n v="9843"/>
    <x v="29"/>
    <s v="FSC Call Support"/>
    <s v="Application for call centers for bank tellers (call history/case management)"/>
    <x v="5"/>
    <s v="Customer Service and Operations Systems Group 34965"/>
    <s v="Customer Care Team 34969"/>
    <s v="MetLife IT Hosted/Supported"/>
    <s v="Core Business Application"/>
    <s v="Production"/>
    <s v="AD Supported"/>
    <s v="N"/>
    <s v="Global Technology &amp; Operations"/>
    <s v="No"/>
    <s v="Yes"/>
    <s v="Web Application Client"/>
    <s v=""/>
    <s v="VB.NET"/>
    <s v="MetLife Owned Application Code"/>
    <s v=""/>
    <s v="No"/>
    <s v="Y"/>
    <s v="Y"/>
    <s v="Y"/>
    <s v="N"/>
    <s v="N"/>
    <n v="1.2120833333333334"/>
    <n v="0.20833333333333334"/>
    <n v="0"/>
    <n v="1.4204166666666667"/>
    <n v="0.63596362569668519"/>
    <n v="0.71020833333333333"/>
    <n v="0.71020833333333333"/>
    <m/>
  </r>
  <r>
    <x v="2"/>
    <s v="Yes"/>
    <m/>
    <m/>
    <n v="9844"/>
    <x v="30"/>
    <s v="Voucher Approval System for AS400"/>
    <s v="VAS (Voucher Accounting System) is MetLife's voucher approval and issuance system."/>
    <x v="6"/>
    <s v="Core Insurance Systems Group 34956"/>
    <s v="Corporate Systems Team 34959"/>
    <s v="MetLife IT Hosted/Supported"/>
    <s v="Core Business Application"/>
    <s v="Production"/>
    <s v="AD Supported"/>
    <s v="Y"/>
    <s v="Global Technology &amp; Operations"/>
    <s v="No"/>
    <s v="Yes"/>
    <s v="Thick Client"/>
    <s v=""/>
    <s v="VB.NET"/>
    <s v="MetLife Owned Application Code"/>
    <s v=""/>
    <s v="No"/>
    <s v="Y"/>
    <s v="Y"/>
    <s v="Y"/>
    <s v="N"/>
    <s v="N"/>
    <n v="0.67083333333333339"/>
    <n v="0.68333333333333324"/>
    <n v="0"/>
    <n v="1.3541666666666665"/>
    <n v="0.36923076923076931"/>
    <n v="0.67708333333333326"/>
    <n v="0.67708333333333326"/>
    <m/>
  </r>
  <r>
    <x v="2"/>
    <s v="Yes"/>
    <m/>
    <m/>
    <n v="9845"/>
    <x v="31"/>
    <s v="Renewal symap Business Work Flow"/>
    <s v="Workflow for Contract Renewal Process"/>
    <x v="2"/>
    <s v="Customer Service and Operations Systems Group 34965"/>
    <s v="New Business Team 34966"/>
    <s v="MetLife IT Hosted/Supported"/>
    <s v="Core Business Application"/>
    <s v="Production"/>
    <s v="AD Supported"/>
    <s v="N"/>
    <s v="Global Technology &amp; Operations"/>
    <s v="No"/>
    <s v="Yes"/>
    <s v="Other#Thick Client"/>
    <s v=""/>
    <s v="VB.NET"/>
    <s v="MetLife Owned Application Code"/>
    <s v=""/>
    <s v="No"/>
    <s v="Y"/>
    <s v="Y"/>
    <s v="Y"/>
    <s v="N"/>
    <s v="N"/>
    <n v="3.4049166666666668"/>
    <n v="0"/>
    <n v="0"/>
    <n v="3.4049166666666668"/>
    <n v="0.84091632198536437"/>
    <n v="1.7024583333333334"/>
    <n v="1.7024583333333334"/>
    <m/>
  </r>
  <r>
    <x v="2"/>
    <s v="Yes"/>
    <m/>
    <m/>
    <n v="9846"/>
    <x v="32"/>
    <s v="Variable Annuity Sun View"/>
    <s v="Call Center Applications / Call History Management Related to Variable Pensions"/>
    <x v="5"/>
    <s v="Customer Service and Operations Systems Group 34965"/>
    <s v="Customer Care Team 34969"/>
    <s v="MetLife IT Hosted/Supported"/>
    <s v="Core Business Application"/>
    <s v="Production"/>
    <s v="AD Supported"/>
    <s v="N"/>
    <s v="Global Technology &amp; Operations"/>
    <s v="No"/>
    <s v="Yes"/>
    <s v="Other#C/S"/>
    <s v=""/>
    <s v="VB.NET"/>
    <s v="MetLife Owned Application Code"/>
    <s v=""/>
    <s v="No"/>
    <s v="Y"/>
    <s v="Y"/>
    <s v="Y"/>
    <s v="N"/>
    <s v="N"/>
    <n v="3.125E-2"/>
    <n v="0.39999999999999997"/>
    <n v="0"/>
    <n v="0.43124999999999997"/>
    <n v="0.92753623188405798"/>
    <n v="0.21562499999999998"/>
    <n v="0.21562499999999998"/>
    <m/>
  </r>
  <r>
    <x v="2"/>
    <s v="Yes"/>
    <m/>
    <m/>
    <n v="9847"/>
    <x v="33"/>
    <s v="PinID Increase tool"/>
    <s v="EAI: A subsystem for managing PinID, a unique customer management number for 9925. Currently, it is built with .NET but is under development for migration to web applications."/>
    <x v="1"/>
    <s v="Core Insurance Systems Group 34956"/>
    <s v="Policy Admin Systems Team 34957"/>
    <s v="MetLife IT Hosted/Supported"/>
    <s v="Core Business Application"/>
    <s v="Production"/>
    <s v="AD Supported"/>
    <s v="N"/>
    <s v="Global Technology &amp; Operations"/>
    <s v="No"/>
    <s v="Yes"/>
    <s v="Other#C/S"/>
    <s v=""/>
    <s v="VB.NET"/>
    <s v="MetLife Owned Application Code"/>
    <s v=""/>
    <s v="No"/>
    <s v="Y"/>
    <s v="Y"/>
    <s v="Y"/>
    <s v="N"/>
    <s v="N"/>
    <n v="0.15262499999999998"/>
    <n v="0.3"/>
    <n v="0"/>
    <n v="0.45262499999999994"/>
    <n v="1"/>
    <n v="0.22631249999999997"/>
    <n v="0.22631249999999997"/>
    <m/>
  </r>
  <r>
    <x v="2"/>
    <s v="Yes"/>
    <m/>
    <m/>
    <n v="9848"/>
    <x v="34"/>
    <s v="Deposit Control System"/>
    <s v="New Contract Related/Deposit Management System"/>
    <x v="2"/>
    <s v="Customer Service and Operations Systems Group 34965"/>
    <s v="New Business Team 34966"/>
    <s v="MetLife IT Hosted/Supported"/>
    <s v="Core Business Application"/>
    <s v="Production"/>
    <s v="AD Supported"/>
    <s v="N"/>
    <s v="Global Technology &amp; Operations"/>
    <s v="No"/>
    <s v="Yes"/>
    <s v="Web Application Client"/>
    <s v=""/>
    <s v="VB.NET"/>
    <s v="MetLife Owned Application Code"/>
    <s v=""/>
    <s v="No"/>
    <s v="Y"/>
    <s v="Y"/>
    <s v="Y"/>
    <s v="N"/>
    <s v="N"/>
    <n v="0.88541666666666663"/>
    <n v="0"/>
    <n v="0"/>
    <n v="0.88541666666666663"/>
    <n v="0.83058823529411763"/>
    <n v="0.44270833333333331"/>
    <n v="0.44270833333333331"/>
    <m/>
  </r>
  <r>
    <x v="2"/>
    <s v="Yes"/>
    <m/>
    <m/>
    <n v="9849"/>
    <x v="35"/>
    <s v="S Sum Total System(Open)"/>
    <s v="New Contract Related/Comprehensive Management System"/>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5.1862499999999994"/>
    <n v="0.3833333333333333"/>
    <n v="0"/>
    <n v="5.5695833333333322"/>
    <n v="0.83152539836911799"/>
    <n v="2.7847916666666661"/>
    <n v="2.7847916666666661"/>
    <m/>
  </r>
  <r>
    <x v="2"/>
    <s v="Yes"/>
    <m/>
    <m/>
    <n v="9851"/>
    <x v="36"/>
    <s v="Guidance Refusal Information Administration System"/>
    <s v="A system for registering and managing information (DM, TELL) received via existing subscribers, agents, CTs, and internal staff._x000a_Additionally, the registered guide rejection information is linked to each system (HOST) to be used to send invitations and control calls to customers."/>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Platform as a Service (PaaS)"/>
    <s v="Yes"/>
    <s v="Y"/>
    <s v="Y"/>
    <s v="Y"/>
    <s v="N"/>
    <s v="N"/>
    <n v="0.29166666666666663"/>
    <n v="0.11666666666666667"/>
    <n v="0"/>
    <n v="0.40833333333333333"/>
    <n v="0.82653061224489799"/>
    <n v="0.20416666666666666"/>
    <n v="0.20416666666666666"/>
    <m/>
  </r>
  <r>
    <x v="2"/>
    <s v="Yes"/>
    <m/>
    <m/>
    <n v="9852"/>
    <x v="37"/>
    <s v="Apollocs"/>
    <s v="A system that displays reports created in MainFrame on the Client Viewer screen_x000a_In addition to the function of viewing and displaying forms, it offers search functions, information processing (for text and CSV output), sticky notes, markers, and other functions."/>
    <x v="6"/>
    <s v="Core Insurance Systems Group 34956"/>
    <s v="Corporate Systems Team 34959"/>
    <s v="MetLife IT Hosted/Supported"/>
    <s v="Core Business Application"/>
    <s v="Production"/>
    <s v="AD Supported"/>
    <s v="N"/>
    <s v="Global Technology &amp; Operations"/>
    <s v="No"/>
    <s v="Yes"/>
    <s v="Other#C/S"/>
    <s v=""/>
    <s v="Other#APOLLOCS"/>
    <s v="Non-MetLife Owned Application Code (3rd party/COTS)"/>
    <s v=""/>
    <s v="No"/>
    <s v="Y"/>
    <s v="N"/>
    <s v="Y"/>
    <s v="N"/>
    <s v="N"/>
    <n v="0.5083333333333333"/>
    <n v="0"/>
    <n v="0"/>
    <n v="0.5083333333333333"/>
    <n v="0.36885245901639346"/>
    <n v="0.25416666666666665"/>
    <n v="0.25416666666666665"/>
    <m/>
  </r>
  <r>
    <x v="2"/>
    <s v="Yes"/>
    <m/>
    <m/>
    <n v="9854"/>
    <x v="38"/>
    <s v="Image Search"/>
    <s v="New Contract Related / Image File Search System"/>
    <x v="2"/>
    <s v="Customer Service and Operations Systems Group 34965"/>
    <s v="New Business Team 34966"/>
    <s v="MetLife IT Hosted/Supported"/>
    <s v="Core Business Application"/>
    <s v="Production"/>
    <s v="AD Supported"/>
    <s v="N"/>
    <s v="Global Technology &amp; Operations"/>
    <s v="No"/>
    <s v="Yes"/>
    <s v="Web Application Client"/>
    <s v=""/>
    <s v="CSS; JAVA;HTML; VB.NET"/>
    <s v="MetLife Owned Application Code"/>
    <s v=""/>
    <s v="No"/>
    <s v="Y"/>
    <s v="Y"/>
    <s v="Y"/>
    <s v="N"/>
    <s v="N"/>
    <n v="1.4004166666666666"/>
    <n v="0"/>
    <n v="0"/>
    <n v="1.4004166666666666"/>
    <n v="0.92859268074977674"/>
    <n v="0.70020833333333332"/>
    <n v="0.70020833333333332"/>
    <m/>
  </r>
  <r>
    <x v="2"/>
    <s v="Yes"/>
    <m/>
    <m/>
    <n v="9857"/>
    <x v="39"/>
    <s v="Annuity Information Management System(AIMS)"/>
    <s v="Pension Information Management System"/>
    <x v="4"/>
    <s v="Customer Service and Operations Systems Group 34965"/>
    <s v="Claims Team 34968"/>
    <s v="MetLife IT Hosted/Supported"/>
    <s v="Core Business Application"/>
    <s v="Production"/>
    <s v="AD Supported"/>
    <s v="Y"/>
    <s v="Global Technology &amp; Operations"/>
    <s v="No"/>
    <s v="Yes"/>
    <s v="Web Services"/>
    <s v=""/>
    <s v="JAVA"/>
    <s v="MetLife Owned Application Code"/>
    <s v=""/>
    <s v="No"/>
    <s v="Y"/>
    <s v="Y"/>
    <s v="Y"/>
    <s v="N"/>
    <s v="N"/>
    <n v="20.211666666666652"/>
    <n v="1.8166666666666667"/>
    <n v="0"/>
    <n v="22.028333333333318"/>
    <n v="0.92547476734508582"/>
    <n v="11.014166666666659"/>
    <n v="11.014166666666659"/>
    <m/>
  </r>
  <r>
    <x v="2"/>
    <s v="Yes"/>
    <m/>
    <m/>
    <n v="9858"/>
    <x v="40"/>
    <s v="Insurance Planning for Operator"/>
    <s v="Insurance Planning for Operator / Insurance Design Application for Direct Business"/>
    <x v="7"/>
    <s v="Customer and Channel Engineering 34961"/>
    <m/>
    <s v="MetLife IT Hosted/Supported"/>
    <s v="Core Business Application"/>
    <s v="Production"/>
    <s v="AD Supported"/>
    <s v="N"/>
    <s v="Asia Region"/>
    <s v="No"/>
    <s v="Yes"/>
    <s v="Web Services; Web Application Client"/>
    <s v=""/>
    <s v="JAVA"/>
    <s v="MetLife Owned Application Code"/>
    <s v=""/>
    <s v="No"/>
    <s v="Y"/>
    <s v="Y"/>
    <s v="Y"/>
    <s v="N"/>
    <s v="N"/>
    <n v="4.8333333333333339"/>
    <n v="1"/>
    <n v="1.0833333333333333"/>
    <n v="6.916666666666667"/>
    <n v="0.71084337349397586"/>
    <n v="3.4583333333333335"/>
    <n v="3.4583333333333335"/>
    <m/>
  </r>
  <r>
    <x v="2"/>
    <s v="Yes"/>
    <m/>
    <m/>
    <n v="9861"/>
    <x v="41"/>
    <s v="Rule Engine"/>
    <s v="New Contract Related / Rule Engine"/>
    <x v="2"/>
    <s v="Customer Service and Operations Systems Group 34965"/>
    <s v="New Business Team 34966"/>
    <s v="MetLife IT Hosted/Supported"/>
    <s v="Core Business Application"/>
    <s v="Production"/>
    <s v="AD Supported"/>
    <s v="Y"/>
    <s v="Global Technology &amp; Operations"/>
    <s v="No"/>
    <s v="Yes"/>
    <s v="Other#Services in Windows Server"/>
    <s v=""/>
    <s v="JAVA"/>
    <s v="MetLife Owned Application Code"/>
    <s v=""/>
    <s v="No"/>
    <s v="Y"/>
    <s v="Y"/>
    <s v="Y"/>
    <s v="N"/>
    <s v="N"/>
    <n v="6.3152916666666679"/>
    <n v="0"/>
    <n v="0"/>
    <n v="6.3152916666666679"/>
    <n v="0.87325737132753167"/>
    <n v="3.1576458333333339"/>
    <n v="3.1576458333333339"/>
    <m/>
  </r>
  <r>
    <x v="2"/>
    <s v="Yes"/>
    <m/>
    <m/>
    <n v="9879"/>
    <x v="42"/>
    <s v="IS universal life insurance simulation"/>
    <s v="IS universal life insurance simulation"/>
    <x v="3"/>
    <s v="Customer Service and Operations Systems Group 34965"/>
    <s v="Policy Servicing Team 34967"/>
    <s v="MetLife IT Hosted/Supported"/>
    <s v="Core Business Application"/>
    <s v="Production"/>
    <s v="AD Supported"/>
    <s v="N"/>
    <s v="Global Technology &amp; Operations"/>
    <s v="No"/>
    <s v="Yes"/>
    <s v="Web Services"/>
    <s v=""/>
    <s v="JAVA"/>
    <s v="MetLife Owned Application Code"/>
    <s v=""/>
    <s v="No"/>
    <s v="Y"/>
    <s v="Y"/>
    <s v="Y"/>
    <s v="N"/>
    <s v="N"/>
    <n v="0.2"/>
    <n v="0.1"/>
    <n v="0"/>
    <n v="0.30833333333333329"/>
    <n v="0.67567567567567566"/>
    <n v="0.15416666666666665"/>
    <n v="0.15416666666666665"/>
    <m/>
  </r>
  <r>
    <x v="2"/>
    <s v="Yes"/>
    <m/>
    <m/>
    <n v="9890"/>
    <x v="43"/>
    <s v="conservation contact personnel entry system"/>
    <s v="The Office Management System (OMS) is a web-based system that manages and supports sales activities at MetLife Alico's sales offices. This system provides centralized management of office information, salesperson information, contract information, and various functions necessary for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5054583333333331"/>
    <n v="4.5833333333333337E-2"/>
    <n v="0"/>
    <n v="1.5512916666666665"/>
    <n v="7.2009884236254748E-2"/>
    <n v="0.77564583333333326"/>
    <n v="0.77564583333333326"/>
    <m/>
  </r>
  <r>
    <x v="2"/>
    <s v="Yes"/>
    <m/>
    <m/>
    <n v="9894"/>
    <x v="44"/>
    <s v="Branch Marketing Information System"/>
    <s v="Branch Marketing Information System"/>
    <x v="8"/>
    <s v="Customer and Channel Engineering 34961"/>
    <s v="Distribution F2F Team 34962"/>
    <s v="MetLife IT Hosted/Supported"/>
    <s v="Core Business Application"/>
    <s v="Production"/>
    <s v="AD Supported"/>
    <s v="N"/>
    <s v="Asia Region"/>
    <s v="No"/>
    <s v="Yes"/>
    <s v="Thick Client"/>
    <s v=""/>
    <s v="VB"/>
    <s v="MetLife Owned Application Code"/>
    <s v=""/>
    <s v="No"/>
    <s v="Y"/>
    <s v="Y"/>
    <s v="Y"/>
    <s v="N"/>
    <s v="N"/>
    <n v="2.8418749999999995"/>
    <n v="0.3520833333333333"/>
    <n v="0"/>
    <n v="3.1939583333333328"/>
    <n v="0.79192485813058511"/>
    <n v="1.5969791666666664"/>
    <n v="1.5969791666666664"/>
    <m/>
  </r>
  <r>
    <x v="2"/>
    <s v="Yes"/>
    <m/>
    <m/>
    <n v="9896"/>
    <x v="45"/>
    <s v="commission Inquiry"/>
    <s v="This system is a web application for referencing commission (fee) data of recruiters and agents, as well as contract information necessary for calculating retention rates and net increase rates of holding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091375"/>
    <n v="0.105"/>
    <n v="0"/>
    <n v="1.196375"/>
    <n v="0.98955177097481983"/>
    <n v="0.59818749999999998"/>
    <n v="0.59818749999999998"/>
    <m/>
  </r>
  <r>
    <x v="2"/>
    <s v="Yes"/>
    <m/>
    <m/>
    <n v="9899"/>
    <x v="46"/>
    <s v="Career Information System"/>
    <s v="CIS (Customer Information System) is MetLife's customer information management system. This system offers the following key features:_x000a__x000a_- Customer information inquiry and update_x000a_- Family information management_x000a_- Housing and commuting information management_x000a_- Information access control based on permissions_x000a_- Security log management_x000a_- Data export func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2041249999999999"/>
    <n v="0.52916666666666679"/>
    <n v="0"/>
    <n v="1.7332916666666667"/>
    <n v="0.82691891632010373"/>
    <n v="0.86664583333333334"/>
    <n v="0.86664583333333334"/>
    <m/>
  </r>
  <r>
    <x v="2"/>
    <s v="Yes"/>
    <m/>
    <m/>
    <n v="9906"/>
    <x v="47"/>
    <s v="producers information entry system"/>
    <s v="Recruiter and Agent Information Management System. Web applications running in on-premises environments (IBM WebSphere, Java/JSP, Oracle DB). Staff at headquarters and sales offices use it to manage recruiter and agent information, link data with related systems and the Life Insurance Association (LINC), synchronize bidirectionally with mainframes, and manage related documents."/>
    <x v="6"/>
    <s v="Core Insurance Systems Group 34956"/>
    <s v="Corporate Systems Team 34959"/>
    <s v="MetLife IT Hosted/Supported"/>
    <s v="Core Business Application"/>
    <s v="Production"/>
    <s v="AD Supported"/>
    <s v="N"/>
    <s v="Asia Region"/>
    <s v="No"/>
    <s v="Yes"/>
    <s v="Web Application Client"/>
    <s v=""/>
    <s v="JAVA"/>
    <s v="MetLife Owned Application Code"/>
    <s v=""/>
    <s v="No"/>
    <s v="Y"/>
    <s v="Y"/>
    <s v="Y"/>
    <s v="N"/>
    <s v="N"/>
    <n v="1.2860416666666665"/>
    <n v="0.14541666666666664"/>
    <n v="0"/>
    <n v="1.4314583333333331"/>
    <n v="0.950516664241013"/>
    <n v="0.71572916666666653"/>
    <n v="0.71572916666666653"/>
    <m/>
  </r>
  <r>
    <x v="2"/>
    <s v="Yes"/>
    <m/>
    <m/>
    <n v="9907"/>
    <x v="48"/>
    <s v="Web work flow"/>
    <s v="This system was developed to eliminate the exchange of forms via fax between headquarters and branches as part of personal information protection measures, and to enable web-based document exchange."/>
    <x v="6"/>
    <s v="Core Insurance Systems Group 34956"/>
    <s v="Corporate Systems Team 34959"/>
    <s v="MetLife IT Hosted/Supported"/>
    <s v="Core Business Application"/>
    <s v="Production"/>
    <s v="AD Supported"/>
    <s v="N"/>
    <s v="Global Technology &amp; Operations"/>
    <s v="No"/>
    <s v="Yes"/>
    <s v="Web Services"/>
    <s v=""/>
    <s v="JAVA"/>
    <s v="MetLife Owned Application Code"/>
    <s v=""/>
    <s v="No"/>
    <s v="Y"/>
    <s v="Y"/>
    <s v="Y"/>
    <s v="N"/>
    <s v="N"/>
    <n v="0.38583333333333336"/>
    <n v="0"/>
    <n v="0"/>
    <n v="0.38583333333333336"/>
    <n v="0.35205183585313171"/>
    <n v="0.19291666666666668"/>
    <n v="0.19291666666666668"/>
    <m/>
  </r>
  <r>
    <x v="2"/>
    <s v="Yes"/>
    <m/>
    <m/>
    <n v="9910"/>
    <x v="49"/>
    <s v="Medical Management System"/>
    <s v="New Contracts / Medical Assessment Management System"/>
    <x v="2"/>
    <s v="Customer Service and Operations Systems Group 34965"/>
    <s v="New Business Team 34966"/>
    <s v="MetLife IT Hosted/Supported"/>
    <s v="Core Business Application"/>
    <s v="Production"/>
    <s v="AD Supported"/>
    <s v="N"/>
    <s v="Global Technology &amp; Operations"/>
    <s v="No"/>
    <s v="Yes"/>
    <s v="Thick Client"/>
    <s v=""/>
    <s v="VB.NET"/>
    <s v="MetLife Owned Application Code"/>
    <s v=""/>
    <s v="No"/>
    <s v="Y"/>
    <s v="Y"/>
    <s v="Y"/>
    <s v="N"/>
    <s v="N"/>
    <n v="6.25E-2"/>
    <n v="0"/>
    <n v="0"/>
    <n v="6.25E-2"/>
    <n v="1"/>
    <n v="3.125E-2"/>
    <n v="3.125E-2"/>
    <m/>
  </r>
  <r>
    <x v="2"/>
    <s v="Yes"/>
    <m/>
    <m/>
    <n v="9920"/>
    <x v="50"/>
    <s v="Direct Marketing Site"/>
    <s v="To capture prospective customers by providing online insurance simulation, online requests for brochures, online applications, etc. for customers in general."/>
    <x v="7"/>
    <s v="Customer and Channel Engineering 34961"/>
    <s v="Marketing and Leads Team 34964"/>
    <s v="MetLife IT Hosted/Supported"/>
    <s v="Core Business Application"/>
    <s v="Production"/>
    <s v="AD Supported"/>
    <s v="N"/>
    <s v="Global Marketing and Communications"/>
    <s v="Yes"/>
    <s v="Yes"/>
    <s v="Web Services"/>
    <s v=""/>
    <s v="JAVA"/>
    <s v="MetLife Owned Application Code"/>
    <s v=""/>
    <s v="No"/>
    <s v="Y"/>
    <s v="Y"/>
    <s v="Y"/>
    <s v="N"/>
    <s v="N"/>
    <n v="10.337500000000002"/>
    <n v="3.5583333333333336"/>
    <n v="5.1816666666666675"/>
    <n v="19.077500000000004"/>
    <n v="0.93360415847639022"/>
    <n v="9.5387500000000021"/>
    <n v="9.5387500000000021"/>
    <m/>
  </r>
  <r>
    <x v="2"/>
    <s v="Yes"/>
    <m/>
    <m/>
    <n v="9921"/>
    <x v="51"/>
    <s v="Internet Prospective Information"/>
    <s v="Internet Prospective Information"/>
    <x v="7"/>
    <s v="Customer and Channel Engineering 34961"/>
    <s v="Marketing and Leads Team 34964"/>
    <s v="MetLife IT Hosted/Supported"/>
    <s v="Core Business Application"/>
    <s v="Production"/>
    <s v="AD Supported"/>
    <s v="N"/>
    <s v="Asia Region"/>
    <s v="No"/>
    <s v="Yes"/>
    <s v="Web Services"/>
    <s v=""/>
    <s v="JAVA"/>
    <s v="MetLife Owned Application Code"/>
    <s v="Platform as a Service (PaaS)"/>
    <s v="Yes"/>
    <s v="Y"/>
    <s v="Y"/>
    <s v="Y"/>
    <s v="N"/>
    <s v="N"/>
    <n v="0.3041666666666667"/>
    <n v="4.1666666666666664E-2"/>
    <n v="0"/>
    <n v="0.34583333333333338"/>
    <n v="1"/>
    <n v="0.17291666666666669"/>
    <n v="0.17291666666666669"/>
    <m/>
  </r>
  <r>
    <x v="2"/>
    <s v="Yes"/>
    <m/>
    <m/>
    <n v="9926"/>
    <x v="52"/>
    <s v="Japan Authorization / login"/>
    <s v="This is a system which provides SSO authentication function and control over Portal site menu display for Infostation(Portal site for various Web application)"/>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
    <s v="No"/>
    <s v="Y"/>
    <s v="Y"/>
    <s v="Y"/>
    <s v="N"/>
    <s v="N"/>
    <n v="7.4999999999999997E-2"/>
    <n v="0"/>
    <n v="0"/>
    <n v="7.4999999999999997E-2"/>
    <n v="0"/>
    <n v="3.7499999999999999E-2"/>
    <n v="3.7499999999999999E-2"/>
    <m/>
  </r>
  <r>
    <x v="2"/>
    <s v="Yes"/>
    <m/>
    <m/>
    <n v="9928"/>
    <x v="53"/>
    <s v="Common Framework(Master4)"/>
    <s v="Common Framework(Master4)"/>
    <x v="9"/>
    <s v="Japan Platform Team 35775"/>
    <s v="Japan Platform Team 35775"/>
    <s v="MetLife IT Hosted/Supported"/>
    <s v="Common Service Business Application"/>
    <s v="Production"/>
    <s v="AD Supported"/>
    <s v="N"/>
    <s v="Global Technology &amp; Operations"/>
    <s v="No"/>
    <s v="Yes"/>
    <s v="Web Application Client"/>
    <s v=""/>
    <s v="JAVA"/>
    <s v="MetLife Owned Application Code"/>
    <s v="Platform as a Service (PaaS)"/>
    <s v="Yes"/>
    <s v="Y"/>
    <s v="Y"/>
    <s v="Y"/>
    <s v="N"/>
    <s v="N"/>
    <n v="1.3970833333333335"/>
    <n v="1"/>
    <n v="0"/>
    <n v="2.3970833333333337"/>
    <n v="0.86441856422735963"/>
    <n v="1.1985416666666668"/>
    <n v="1.1985416666666668"/>
    <m/>
  </r>
  <r>
    <x v="1"/>
    <s v="Yes"/>
    <m/>
    <m/>
    <n v="9930"/>
    <x v="54"/>
    <s v="AS400 Mass Marketing System"/>
    <s v="MM (Mass Marketing)** is a system that integrates MetLife Japan's insurance premium calculation, claims management, and payment processing. The AS/400 works in conjunction with the Windows server to process, manage, and transfer insurance premium data."/>
    <x v="6"/>
    <s v="Core Insurance Systems Group 34956"/>
    <s v="Corporate Systems Team 34959"/>
    <s v="MetLife IT Hosted/Supported"/>
    <s v="Core Business Application"/>
    <s v="Production"/>
    <s v="AD Supported"/>
    <s v="Y"/>
    <s v="Global Technology &amp; Operations"/>
    <s v="No"/>
    <s v="Yes"/>
    <s v="Other#AS400"/>
    <s v=""/>
    <s v="Other#RPG"/>
    <s v="MetLife Owned Application Code"/>
    <s v=""/>
    <s v="No"/>
    <s v="Y"/>
    <s v="Y"/>
    <s v="Y"/>
    <s v="N"/>
    <s v="N"/>
    <n v="2.4083333333333332"/>
    <n v="7.4999999999999997E-2"/>
    <n v="0"/>
    <n v="2.4833333333333334"/>
    <n v="0.89932885906040272"/>
    <n v="1.2416666666666667"/>
    <n v="1.2416666666666667"/>
    <m/>
  </r>
  <r>
    <x v="2"/>
    <s v="Yes"/>
    <m/>
    <m/>
    <n v="9931"/>
    <x v="55"/>
    <s v="Sales illustration system (based on EXCEL) for BAN"/>
    <s v="Sales illustration system (based on EXCEL) for BANK"/>
    <x v="8"/>
    <s v="Customer and Channel Engineering 34961"/>
    <s v="Distribution Banca Team 34963"/>
    <s v="MetLife IT Hosted/Supported"/>
    <s v="Core Business Application"/>
    <s v="Production"/>
    <s v="AD Supported"/>
    <s v="N"/>
    <s v="Asia Region"/>
    <s v="No"/>
    <s v="Yes"/>
    <s v="Thick Client"/>
    <s v=""/>
    <s v="Other#VBA"/>
    <s v="MetLife Owned Application Code"/>
    <s v=""/>
    <s v="No"/>
    <s v="Y"/>
    <s v="Y"/>
    <s v="Y"/>
    <s v="N"/>
    <s v="N"/>
    <n v="13"/>
    <n v="2.2749999999999999"/>
    <n v="0"/>
    <n v="15.275"/>
    <n v="0.91728849185496575"/>
    <n v="7.6375000000000002"/>
    <n v="7.6375000000000002"/>
    <m/>
  </r>
  <r>
    <x v="2"/>
    <s v="Yes"/>
    <m/>
    <m/>
    <n v="9940"/>
    <x v="56"/>
    <s v="Call Control System"/>
    <s v="The outgoing call control system is a system that checks whether a prohibited call number has been registered before making a call._x000a_- Consists of four apps:_x000a__x0009_- Outgoing Regulation Confirmation System (C2S)_x000a__x0009_- Outgoing Restricted Telephone Number Inquiry System (C2SREF)_x000a__x0009_- Outgoing Restricted Phone Number Download System (C2SDWL)_x000a__x0009_- Outgoing Regulation Batch System (C2SBAT)"/>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38750000000000007"/>
    <n v="2.4999999999999998E-2"/>
    <n v="0"/>
    <n v="0.41250000000000009"/>
    <n v="0.81818181818181812"/>
    <n v="0.20625000000000004"/>
    <n v="0.20625000000000004"/>
    <m/>
  </r>
  <r>
    <x v="2"/>
    <s v="Yes"/>
    <m/>
    <m/>
    <n v="9941"/>
    <x v="57"/>
    <s v="ITS-PCIS(Mutual Fund System(Including Bestway)"/>
    <s v="BESTWAY/JJ is an integrated package system that supports the sales operations of investment trusts for financial institutions. Developed and provided by Nomura Research Institute (NRI)."/>
    <x v="6"/>
    <s v="Core Insurance Systems Group 34956"/>
    <s v="Corporate Systems Team 34959"/>
    <s v="Co-Located / Vendor Supported"/>
    <s v="Core Business Application"/>
    <s v="Production"/>
    <s v="AD Supported"/>
    <s v="N"/>
    <s v="Asia Region"/>
    <s v="No"/>
    <s v="Yes"/>
    <s v="Web Services"/>
    <s v=""/>
    <s v="JAVA"/>
    <s v="MetLife Owned Application Code"/>
    <s v="Software as a Service (SaaS)"/>
    <s v="Yes"/>
    <s v="Y"/>
    <s v="Y"/>
    <s v="Y"/>
    <s v="N"/>
    <s v="N"/>
    <n v="0.92916458333333329"/>
    <n v="8.7499999999999994E-2"/>
    <n v="0"/>
    <n v="1.0166645833333332"/>
    <n v="0.41311355146219564"/>
    <n v="0.5083322916666666"/>
    <n v="0.5083322916666666"/>
    <m/>
  </r>
  <r>
    <x v="2"/>
    <s v="Yes"/>
    <m/>
    <m/>
    <n v="9947"/>
    <x v="58"/>
    <s v="Web Payment"/>
    <s v="Web Payment"/>
    <x v="3"/>
    <s v="Customer Service and Operations Systems Group 34965"/>
    <s v="Policy Servicing Team 34967"/>
    <s v="MetLife IT Hosted/Supported"/>
    <s v="Core Business Application"/>
    <s v="Production"/>
    <s v="AD Supported"/>
    <s v="Y"/>
    <s v="Global Technology &amp; Operations"/>
    <s v="No"/>
    <s v="Yes"/>
    <s v="Web Services"/>
    <s v=""/>
    <s v="JAVA"/>
    <s v="MetLife Owned Application Code"/>
    <s v=""/>
    <s v="No"/>
    <s v="Y"/>
    <s v="Y"/>
    <s v="Y"/>
    <s v="N"/>
    <s v="N"/>
    <n v="9"/>
    <n v="1.1541666666666666"/>
    <n v="0"/>
    <n v="10"/>
    <n v="0.75904634544925254"/>
    <n v="5"/>
    <n v="5"/>
    <m/>
  </r>
  <r>
    <x v="1"/>
    <s v="Yes"/>
    <m/>
    <m/>
    <n v="9948"/>
    <x v="59"/>
    <s v="Data Send System for BANC"/>
    <s v="A subsystem developed in-house. As a business domain, it mainly handles data creation for joint gateways for bank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Asia Region"/>
    <s v="No"/>
    <s v="Yes"/>
    <s v="Other#Manframe"/>
    <s v=""/>
    <s v="COBOL, MU(EASYPLUS), Assembler, JCL"/>
    <s v="MetLife Owned Application Code"/>
    <s v=""/>
    <s v="No"/>
    <s v="Y"/>
    <s v="Y"/>
    <s v="Y"/>
    <s v="N"/>
    <s v="N"/>
    <n v="9.2697083333333321"/>
    <n v="2.8458333333333332"/>
    <n v="0"/>
    <n v="12.115541666666665"/>
    <n v="0.77129926093550627"/>
    <n v="6.0577708333333327"/>
    <n v="6.0577708333333327"/>
    <m/>
  </r>
  <r>
    <x v="2"/>
    <s v="Yes"/>
    <m/>
    <m/>
    <n v="9949"/>
    <x v="60"/>
    <s v=".NET Common Infrastructure"/>
    <s v="It provides APIs common to subsystem applications running on .NET FrameWork._x000a_Common features include database access, caching, configuration, and logging,_x000a_These include encryption and reducation functions, authentication and authentication functions, and character code checking functions, all of which are provided."/>
    <x v="6"/>
    <s v="Core Insurance Systems Group 34956"/>
    <s v="Corporate Systems Team 34959"/>
    <s v="MetLife IT Hosted/Supported"/>
    <s v="Common Service Business Application"/>
    <s v="Production"/>
    <s v="AD Supported"/>
    <s v="N"/>
    <s v="Global Technology &amp; Operations"/>
    <s v="No"/>
    <s v="Yes"/>
    <s v="Web Services"/>
    <s v=""/>
    <s v="VB.NET; C #"/>
    <s v="MetLife Owned Application Code"/>
    <s v=""/>
    <s v="No"/>
    <s v="Y"/>
    <s v="Y"/>
    <s v="Y"/>
    <s v="N"/>
    <s v="N"/>
    <n v="6.6666666666666666E-2"/>
    <n v="0"/>
    <n v="0"/>
    <n v="6.6666666666666666E-2"/>
    <n v="0"/>
    <n v="3.3333333333333333E-2"/>
    <n v="3.3333333333333333E-2"/>
    <m/>
  </r>
  <r>
    <x v="3"/>
    <s v="Yes"/>
    <s v="Yes"/>
    <s v=" Batch integration Tech stack is not yet clear to ascertain if only &amp;D needs to support or also needs Mainframe skills . However this app is marked as Priority Target for Transition.  FSI vendor manages this app-  Transition Priority # 2 for &quot;Data Platforms&quot;_x000a__x000a_Data validation, ETL testing will be handled by I&amp;D; Non-functional testing by QA Testing team"/>
    <n v="9951"/>
    <x v="61"/>
    <s v="Data cooperation"/>
    <s v="Data cooperation, integration between open system and HOST/AS400._x000a__x000a_Master data managed by HOST and AS 400 is processed for integration to open type backbone DB. Conversely, data managed by open backbone DB is integrated to HOST._x000a__x000a_All batch processes are operated by JP1._x000a_Other name: HRP(Host Relationship Program)"/>
    <x v="10"/>
    <s v="Data Platforms Team 34980"/>
    <s v="Data Platforms Team 34980"/>
    <s v="MetLife IT Hosted/Supported"/>
    <s v="Common Service Business Application"/>
    <s v="Production"/>
    <s v="AD Supported"/>
    <s v="N"/>
    <s v="Global Technology &amp; Operations"/>
    <s v="No"/>
    <s v="Yes"/>
    <s v="Other#none."/>
    <s v=""/>
    <s v="Other#MS-DOS ,AWK,VBScript,JAVA"/>
    <s v="MetLife Owned Application Code"/>
    <s v="Running on both on-premises and Azure.  The on-premises version will be decommissioned by the end of 2027."/>
    <s v="No"/>
    <s v="Y"/>
    <s v="Y"/>
    <s v="Y"/>
    <s v="N"/>
    <s v="Y"/>
    <n v="7"/>
    <n v="1"/>
    <n v="0"/>
    <n v="7.9270416666666641"/>
    <n v="0.77923668455550354"/>
    <n v="3.963520833333332"/>
    <n v="3.963520833333332"/>
    <s v="Considering AMS+AD over 3 years post initial Transition_x000a__x000a_Estimation Approach for AMS - based on assumed # of Incidents, Problem Tickets, SRs and CRs including minor enhancements and YoY AI-driven productivity"/>
  </r>
  <r>
    <x v="0"/>
    <s v="Yes"/>
    <m/>
    <m/>
    <n v="9962"/>
    <x v="62"/>
    <s v="Customer Support System"/>
    <s v="Customer Support System"/>
    <x v="7"/>
    <s v="Customer and Channel Engineering 34961"/>
    <s v="Marketing and Leads Team 34964"/>
    <s v="MetLife IT Hosted/Supported"/>
    <s v="Core Business Application"/>
    <s v="Production"/>
    <s v="AD Supported"/>
    <s v="N"/>
    <s v="Asia Region"/>
    <s v="No"/>
    <s v="Yes"/>
    <s v="Web Services"/>
    <s v=""/>
    <s v="JavaScript; Other#APEX"/>
    <s v="MetLife Owned Application Code"/>
    <s v="Platform as a Service (PaaS)"/>
    <s v="Yes"/>
    <s v="Y"/>
    <s v="Y"/>
    <s v="Y"/>
    <s v="N"/>
    <s v="N"/>
    <n v="8.9216666666666686"/>
    <n v="2.4104166666666669"/>
    <n v="1.5199999999999998"/>
    <n v="12.852083333333335"/>
    <n v="0.82739503971470241"/>
    <n v="6.4260416666666673"/>
    <n v="6.4260416666666673"/>
    <m/>
  </r>
  <r>
    <x v="2"/>
    <s v="Yes"/>
    <m/>
    <m/>
    <n v="9964"/>
    <x v="63"/>
    <s v="New Submit Online System"/>
    <s v="NSO (Online Screen System) is a web-based enterprise application that supports MetLife Alico's sales and administrative operations. This system provides various functions such as sales activities, business processing, and data management on an online screen, enabling operational efficiency and information integration."/>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1.9533333333333334"/>
    <n v="0.36249999999999993"/>
    <n v="0"/>
    <n v="2.3158333333333334"/>
    <n v="0.90824037423533643"/>
    <n v="1.1579166666666667"/>
    <n v="1.1579166666666667"/>
    <m/>
  </r>
  <r>
    <x v="2"/>
    <s v="Yes"/>
    <m/>
    <m/>
    <n v="9965"/>
    <x v="64"/>
    <s v="Report Template Management System"/>
    <s v="RMS (Report Management System) is MetLife's form management system. This system centrally registers, manages, searches, and approves various forms used within the company."/>
    <x v="6"/>
    <s v="Core Insurance Systems Group 34956"/>
    <s v="Corporate Systems Team 34959"/>
    <s v="MetLife IT Hosted/Supported"/>
    <s v="Core Business Application"/>
    <s v="Production"/>
    <s v="AD Supported"/>
    <s v="N"/>
    <s v="Global Technology &amp; Operations"/>
    <s v="No"/>
    <s v="Yes"/>
    <s v="Web Application Client"/>
    <s v=""/>
    <s v="JAVA"/>
    <s v="MetLife Owned Application Code"/>
    <s v=""/>
    <s v="No"/>
    <s v="Y"/>
    <s v="Y"/>
    <s v="Y"/>
    <s v="N"/>
    <s v="N"/>
    <n v="2.4999999999999998E-2"/>
    <n v="3.7499999999999999E-2"/>
    <n v="0"/>
    <n v="6.25E-2"/>
    <n v="0.2"/>
    <n v="3.125E-2"/>
    <n v="3.125E-2"/>
    <m/>
  </r>
  <r>
    <x v="2"/>
    <s v="Yes"/>
    <m/>
    <m/>
    <n v="9969"/>
    <x v="65"/>
    <s v="Dr.SUM"/>
    <s v="It is a packaged product that accumulates performance data such as new contract data, BUDGET data, and ESTIMATION data, as well as solicitation data such as A/A Master, as well as functions for querying and extracting information."/>
    <x v="6"/>
    <s v="Core Insurance Systems Group 34956"/>
    <s v="Corporate Systems Team 34959"/>
    <s v="MetLife IT Hosted/Supported"/>
    <s v="Core Business Application"/>
    <s v="Production"/>
    <s v="AD Supported"/>
    <s v="N"/>
    <s v="Asia Region"/>
    <s v="No"/>
    <s v="Yes"/>
    <s v="Web Services"/>
    <s v=""/>
    <s v="JAVA"/>
    <s v="Non-MetLife Owned Application Code (3rd party/COTS)"/>
    <s v=""/>
    <s v="No"/>
    <s v="Y"/>
    <s v="Y"/>
    <s v="Y"/>
    <s v="N"/>
    <s v="N"/>
    <n v="0.31237500000000001"/>
    <n v="2.4999999999999998E-2"/>
    <n v="0"/>
    <n v="0.33737500000000004"/>
    <n v="0.67580585402000737"/>
    <n v="0.16868750000000002"/>
    <n v="0.16868750000000002"/>
    <m/>
  </r>
  <r>
    <x v="2"/>
    <s v="Yes"/>
    <m/>
    <m/>
    <n v="9975"/>
    <x v="66"/>
    <s v="Web Contact Center"/>
    <s v="Web Services for Recruiters (Collection Preservation &amp; Insurance Claims Related)"/>
    <x v="5"/>
    <s v="Customer Service and Operations Systems Group 34965"/>
    <s v="Customer Care Team 34969"/>
    <s v="MetLife IT Hosted/Supported"/>
    <s v="Core Business Application"/>
    <s v="Production"/>
    <s v="AD Supported"/>
    <s v="N"/>
    <s v="Global Technology &amp; Operations"/>
    <s v="No"/>
    <s v="Yes"/>
    <s v="Web Application Client"/>
    <s v=""/>
    <s v="JAVA"/>
    <s v="MetLife Owned Application Code"/>
    <s v=""/>
    <s v="No"/>
    <s v="Y"/>
    <s v="Y"/>
    <s v="Y"/>
    <s v="N"/>
    <s v="N"/>
    <n v="1.1116666666666668"/>
    <n v="0"/>
    <n v="0"/>
    <n v="1.1116666666666668"/>
    <n v="0.5850824587706146"/>
    <n v="0.5558333333333334"/>
    <n v="0.5558333333333334"/>
    <m/>
  </r>
  <r>
    <x v="2"/>
    <s v="Yes"/>
    <m/>
    <m/>
    <n v="9977"/>
    <x v="67"/>
    <s v="ReportConnection"/>
    <s v="ReportConnection"/>
    <x v="8"/>
    <s v="Customer and Channel Engineering 34961"/>
    <s v="Distribution F2F Team 34962"/>
    <s v="MetLife IT Hosted/Supported"/>
    <s v="Core Business Application"/>
    <s v="Production"/>
    <s v="AD Supported"/>
    <s v="N"/>
    <s v="Asia Region"/>
    <s v="No"/>
    <s v="Yes"/>
    <s v="Web Services"/>
    <s v=""/>
    <s v="JAVA"/>
    <s v="MetLife Owned Application Code"/>
    <s v=""/>
    <s v="No"/>
    <s v="Y"/>
    <s v="Y"/>
    <s v="Y"/>
    <s v="N"/>
    <s v="N"/>
    <n v="1"/>
    <n v="1"/>
    <n v="0"/>
    <n v="0.45791666666666669"/>
    <n v="0"/>
    <n v="0.22895833333333335"/>
    <n v="0.22895833333333335"/>
    <m/>
  </r>
  <r>
    <x v="1"/>
    <s v="Yes"/>
    <m/>
    <m/>
    <n v="9980"/>
    <x v="68"/>
    <s v="Policy Underwriting and Issue Batch"/>
    <s v="A subsystem developed in-house. In the business domain, it mainly handles the creation of insurance policies for new contracts.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Other#ASM; Cobol"/>
    <s v="MetLife Owned Application Code"/>
    <s v=""/>
    <s v="No"/>
    <s v="Y"/>
    <s v="Y"/>
    <s v="Y"/>
    <s v="N"/>
    <s v="N"/>
    <n v="12.606875000000006"/>
    <n v="1.1416666666666668"/>
    <n v="0"/>
    <n v="13.748541666666673"/>
    <n v="0.81496522358431966"/>
    <n v="6.8742708333333367"/>
    <n v="6.8742708333333367"/>
    <m/>
  </r>
  <r>
    <x v="2"/>
    <s v="Yes"/>
    <m/>
    <m/>
    <n v="9983"/>
    <x v="69"/>
    <s v="Agents Target Following system"/>
    <s v="Agents Target Following system"/>
    <x v="8"/>
    <s v="Customer and Channel Engineering 34961"/>
    <s v="Distribution F2F Team 34962"/>
    <s v="MetLife IT Hosted/Supported"/>
    <s v="Core Business Application"/>
    <s v="Production"/>
    <s v="AD Supported"/>
    <s v="N"/>
    <s v="Asia Region"/>
    <s v="No"/>
    <s v="Yes"/>
    <s v="Other#(C/S)"/>
    <s v=""/>
    <s v="JAVA"/>
    <s v="MetLife Owned Application Code"/>
    <s v="Platform as a Service (PaaS)"/>
    <s v="Yes"/>
    <s v="Y"/>
    <s v="Y"/>
    <s v="Y"/>
    <s v="N"/>
    <s v="N"/>
    <n v="6.6141666666666667"/>
    <n v="0.6479166666666667"/>
    <n v="0"/>
    <n v="7.262083333333333"/>
    <n v="0.93912444775948134"/>
    <n v="3.6310416666666665"/>
    <n v="3.6310416666666665"/>
    <m/>
  </r>
  <r>
    <x v="0"/>
    <s v="Yes"/>
    <m/>
    <m/>
    <n v="9986"/>
    <x v="70"/>
    <s v="eSTATION"/>
    <s v="eSTATION (9986_MAIN) is MetLife's integrated business management system. This system offers the following key features:_x000a__x000a_- **Employee Profile Management**: Register, update, and delete employee information_x000a_- **Asset Management**: Manage and track IT equipment and supplies_x000a_- **Form Supply**: Management and supply of various forms and papers_x000a_- **Call Management**: Integrated management with phone systems_x000a_- **Workflow Management**: Various application and approval workflows_x000a_- **Report Generation**: Output various forms and generate PDFs_x000a_- **Job Management**: Batch processing and schedule management_x000a_- **SELS (Self Entry Lifecycle System)**: Self-service portal_x000a_- **Media Management**: Subsystems for various media_x000a_- **Print Management**: Manage print services_x000a_- **EZ-Travel**: Business trip management system"/>
    <x v="6"/>
    <s v="Core Insurance Systems Group 34956"/>
    <s v="Corporate Systems Team 34959"/>
    <s v="MetLife IT Hosted/Supported"/>
    <s v="Core Business Application"/>
    <s v="Production"/>
    <s v="AD Supported"/>
    <s v="N"/>
    <s v="Financial Management Group"/>
    <s v="No"/>
    <s v="Yes"/>
    <s v="Web Application Client"/>
    <s v=""/>
    <s v="JavaScript; VB.NET; C#;HTML"/>
    <s v="MetLife Owned Application Code"/>
    <s v=""/>
    <s v="No"/>
    <s v="Y"/>
    <s v="Y"/>
    <s v="Y"/>
    <s v="N"/>
    <s v="N"/>
    <n v="2.4426666666666668"/>
    <n v="0.5708333333333333"/>
    <n v="0"/>
    <n v="3.0135000000000001"/>
    <n v="0.2751507106907804"/>
    <n v="1.50675"/>
    <n v="1.50675"/>
    <m/>
  </r>
  <r>
    <x v="2"/>
    <s v="Yes"/>
    <m/>
    <m/>
    <n v="9992"/>
    <x v="71"/>
    <s v="Enterprise Service Bus"/>
    <s v="Enterprise Service Bus"/>
    <x v="9"/>
    <s v="Japan Platform Team 35775"/>
    <s v="Japan Platform Team 35775"/>
    <s v="MetLife IT Hosted/Supported"/>
    <s v="Common Service Business Application"/>
    <s v="Production"/>
    <s v="AD Supported"/>
    <s v="N"/>
    <s v="Global Technology &amp; Operations"/>
    <s v="No"/>
    <s v="Yes"/>
    <s v="Web Services"/>
    <s v=""/>
    <s v="JAVA; Other#ESQL"/>
    <s v="MetLife Owned Application Code"/>
    <s v=""/>
    <s v="No"/>
    <s v="Y"/>
    <s v="Y"/>
    <s v="Y"/>
    <s v="N"/>
    <s v="N"/>
    <n v="7.2083333333333339"/>
    <n v="2.9958333333333336"/>
    <n v="2.5208333333333335"/>
    <n v="12.725000000000001"/>
    <n v="0.93778650949574338"/>
    <n v="6.3625000000000007"/>
    <n v="6.3625000000000007"/>
    <m/>
  </r>
  <r>
    <x v="2"/>
    <s v="Yes"/>
    <m/>
    <m/>
    <n v="9994"/>
    <x v="72"/>
    <s v="Unknown Address Tracking System"/>
    <s v="Address Unknown Contract Management System"/>
    <x v="3"/>
    <s v="Customer Service and Operations Systems Group 34965"/>
    <s v="Policy Servicing Team 34967"/>
    <s v="Vendor Hosted/MetLife IT Supported"/>
    <s v="Core Business Application"/>
    <s v="Production"/>
    <s v="AD Supported"/>
    <s v="N"/>
    <s v="Global Technology &amp; Operations"/>
    <s v="No"/>
    <s v="No"/>
    <s v="Web Application Client"/>
    <s v=""/>
    <s v="JAVA"/>
    <s v="Non-MetLife Owned Application Code (3rd party/COTS)"/>
    <s v="Platform as a Service (PaaS)"/>
    <s v="Yes"/>
    <s v="Y"/>
    <s v="Y"/>
    <s v="Y"/>
    <s v="N"/>
    <s v="N"/>
    <n v="0.79999999999999993"/>
    <n v="0.2"/>
    <n v="0"/>
    <n v="1.1729166666666664"/>
    <n v="0.42806394316163421"/>
    <n v="0.58645833333333319"/>
    <n v="0.58645833333333319"/>
    <m/>
  </r>
  <r>
    <x v="4"/>
    <s v="Yes"/>
    <m/>
    <m/>
    <n v="9995"/>
    <x v="73"/>
    <s v="ProductXpress"/>
    <s v="Using Hewlett Packard's packaged product ProductXpress as a platform, it provides common computing functions to subsystems._x000a_The common calculation function is called only from the ESB via Web Service, and the amounts of premiums and surrender value, calculated based on the business method document, are sent and received in XML format."/>
    <x v="6"/>
    <s v="Core Insurance Systems Group 34956"/>
    <s v="Corporate Systems Team 34959"/>
    <s v="MetLife IT Hosted/Supported"/>
    <s v="Infrastructure Application"/>
    <s v="Production"/>
    <s v="AD Supported"/>
    <s v="N"/>
    <s v="Asia Region"/>
    <s v="No"/>
    <s v="Yes"/>
    <s v="Web Services"/>
    <s v=""/>
    <s v="Other#Peculiar Language, Implemented in PX designer."/>
    <s v="MetLife Owned Application Code"/>
    <s v=""/>
    <s v="No"/>
    <s v="Y"/>
    <s v="Y"/>
    <s v="Y"/>
    <s v="N"/>
    <s v="N"/>
    <n v="0.77916666666666667"/>
    <n v="0"/>
    <n v="0"/>
    <n v="0.77916666666666667"/>
    <n v="0.67914438502673802"/>
    <n v="0.38958333333333334"/>
    <n v="0.38958333333333334"/>
    <m/>
  </r>
  <r>
    <x v="2"/>
    <s v="Yes"/>
    <m/>
    <m/>
    <n v="9996"/>
    <x v="74"/>
    <s v="Pre-Underwriting"/>
    <s v="By providing an inquiry function for medical underwriting results,  this application provides followings."/>
    <x v="2"/>
    <s v="Customer Service and Operations Systems Group 34965"/>
    <s v="New Business Team 34966"/>
    <s v="MetLife IT Hosted/Supported"/>
    <s v="Core Business Application"/>
    <s v="Production"/>
    <s v="AD Supported"/>
    <s v="N"/>
    <s v="Global Technology &amp; Operations"/>
    <s v="No"/>
    <s v="Yes"/>
    <s v="Web Application Client"/>
    <s v=""/>
    <s v="JAVA"/>
    <s v="MetLife Owned Application Code"/>
    <s v=""/>
    <s v="No"/>
    <s v="Y"/>
    <s v="Y"/>
    <s v="Y"/>
    <s v="N"/>
    <s v="N"/>
    <n v="0.22625000000000001"/>
    <n v="0"/>
    <n v="0"/>
    <n v="0.22625000000000001"/>
    <n v="0.33701657458563533"/>
    <n v="0.113125"/>
    <n v="0.113125"/>
    <m/>
  </r>
  <r>
    <x v="1"/>
    <s v="Yes"/>
    <m/>
    <m/>
    <n v="9999"/>
    <x v="75"/>
    <s v="LINC"/>
    <s v="A subsystem developed in-house. As a business domain, it mainly handles LINC integration used at new contracts (a function to check industry-shared contract limits and other functions through collaboration with the Life Insurance Association). It is basically built with COBOL, and except for the LIFECOMM integration part, almost no assembler is used."/>
    <x v="1"/>
    <s v="Core Insurance Systems Group 34956"/>
    <s v="Policy Admin Systems Team 34957"/>
    <s v="MetLife IT Hosted/Supported"/>
    <s v="Core Business Application"/>
    <s v="Production"/>
    <s v="AD Supported"/>
    <s v="Y"/>
    <s v="Global Technology &amp; Operations"/>
    <s v="No"/>
    <s v="Yes"/>
    <s v="Other#Mainframe"/>
    <s v=""/>
    <s v="COBOL, MU(EASYPLUS), Assembler, JCL"/>
    <s v="MetLife Owned Application Code"/>
    <s v=""/>
    <s v="No"/>
    <s v="Y"/>
    <s v="Y"/>
    <s v="Y"/>
    <s v="N"/>
    <s v="N"/>
    <n v="1.0287500000000001"/>
    <n v="0"/>
    <n v="0"/>
    <n v="1.0287500000000001"/>
    <n v="0.12920210611583638"/>
    <n v="0.51437500000000003"/>
    <n v="0.51437500000000003"/>
    <m/>
  </r>
  <r>
    <x v="1"/>
    <s v="Yes"/>
    <m/>
    <m/>
    <n v="10001"/>
    <x v="76"/>
    <s v="Group Policy Management System"/>
    <s v="TOGAS is the mainframe system for managing MetLife Japan's insurance contracts. The COBOL/RPG program runs on the AS/400, performing registration, modification, and inquiry of contract information, form output, and batch processing."/>
    <x v="6"/>
    <s v="Core Insurance Systems Group 34956"/>
    <s v="Corporate Systems Team 34959"/>
    <s v="MetLife IT Hosted/Supported"/>
    <s v="Core Business Application"/>
    <s v="Production"/>
    <s v="AD Supported"/>
    <s v="Y"/>
    <s v="Global Technology &amp; Operations"/>
    <s v="No"/>
    <s v="Yes"/>
    <s v="Thick Client"/>
    <s v=""/>
    <s v="Other#RPG; Cobol"/>
    <s v="MetLife Owned Application Code"/>
    <s v=""/>
    <s v="No"/>
    <s v="Y"/>
    <s v="Y"/>
    <s v="Y"/>
    <s v="N"/>
    <s v="N"/>
    <n v="2.7291666666666665"/>
    <n v="3.0249999999999999"/>
    <n v="0"/>
    <n v="5.7541666666666664"/>
    <n v="0.34540188269370026"/>
    <n v="2.8770833333333332"/>
    <n v="2.8770833333333332"/>
    <m/>
  </r>
  <r>
    <x v="2"/>
    <s v="Yes"/>
    <m/>
    <m/>
    <n v="10032"/>
    <x v="77"/>
    <s v="Group Policy Inquiry System for Intranet"/>
    <s v="The Group Insurance Inquiry System is a web application system that provides various inquiry functions related to group insurance. It provides integrated inquiry functions for insurance contracts, insured person information, payment information, commissions, and more, supporting efficient execution of duties by business staff."/>
    <x v="6"/>
    <s v="Core Insurance Systems Group 34956"/>
    <s v="Corporate Systems Team 34959"/>
    <s v="MetLife IT Hosted/Supported"/>
    <s v="Core Business Application"/>
    <s v="Production"/>
    <s v="AD Supported"/>
    <s v="Y"/>
    <s v="Global Technology &amp; Operations"/>
    <s v="No"/>
    <s v="Yes"/>
    <s v="Web Services"/>
    <s v=""/>
    <s v="VB.NET; JAVA"/>
    <s v="MetLife Owned Application Code"/>
    <s v=""/>
    <s v="No"/>
    <s v="Y"/>
    <s v="Y"/>
    <s v="Y"/>
    <s v="N"/>
    <s v="N"/>
    <n v="1.8583333333333334"/>
    <n v="0.94166666666666676"/>
    <n v="0"/>
    <n v="2.8000000000000003"/>
    <n v="0.26934523809523808"/>
    <n v="1.4000000000000001"/>
    <n v="1.4000000000000001"/>
    <m/>
  </r>
  <r>
    <x v="2"/>
    <s v="Yes"/>
    <m/>
    <m/>
    <n v="11004"/>
    <x v="78"/>
    <s v="ICM"/>
    <s v="Varicent's package system (Incentive Compensation magement). As a business domain, it is responsible for calculating commissions and reporting them. Development is carried out using a proprietary non-code (GUI) development tool."/>
    <x v="0"/>
    <s v="Core Insurance Systems Group 34956"/>
    <s v="Commission Systems Team 34958"/>
    <s v="MetLife IT Hosted/Supported"/>
    <s v="Core Business Application"/>
    <s v="Production"/>
    <s v="AD Supported"/>
    <s v="N"/>
    <s v="Asia Region"/>
    <s v="No"/>
    <s v="Yes"/>
    <s v="Web Services"/>
    <s v=""/>
    <s v="JAVA; C#; Other#ETL_x000a_JAVA(ADJP)_x000a_SQL"/>
    <s v="MetLife Owned Application Code"/>
    <s v="Software as a Service (SaaS)"/>
    <s v="Yes"/>
    <s v="Y"/>
    <s v="Y"/>
    <s v="Y"/>
    <s v="N"/>
    <s v="N"/>
    <n v="21.50612499999999"/>
    <n v="7.7291666666666643"/>
    <n v="0"/>
    <n v="29.235291666666654"/>
    <n v="0.83096913405173833"/>
    <n v="14.617645833333327"/>
    <n v="14.617645833333327"/>
    <m/>
  </r>
  <r>
    <x v="2"/>
    <s v="Yes"/>
    <m/>
    <m/>
    <n v="11005"/>
    <x v="79"/>
    <s v="Commission and Performance System"/>
    <s v="CPS (Commission Processing System) is a commission processing system. This system supports all operations related to the calculation, management, and payment processing of fees associated with sales activities."/>
    <x v="6"/>
    <s v="Core Insurance Systems Group 34956"/>
    <s v="Corporate Systems Team 34959"/>
    <s v="MetLife IT Hosted/Supported"/>
    <s v="Core Business Application"/>
    <s v="Production"/>
    <s v="AD Supported"/>
    <s v="N"/>
    <s v="Asia Region"/>
    <s v="No"/>
    <s v="Yes"/>
    <s v="Web Services"/>
    <s v=""/>
    <s v="JAVA"/>
    <s v="MetLife Owned Application Code"/>
    <s v="Platform as a Service (PaaS)"/>
    <s v="Yes"/>
    <s v="Y"/>
    <s v="Y"/>
    <s v="Y"/>
    <s v="N"/>
    <s v="N"/>
    <n v="0.36249999999999999"/>
    <n v="4.1666666666666664E-2"/>
    <n v="0.5"/>
    <n v="0.90416666666666667"/>
    <n v="0.44700460829493088"/>
    <n v="0.45208333333333334"/>
    <n v="0.45208333333333334"/>
    <m/>
  </r>
  <r>
    <x v="2"/>
    <s v="Yes"/>
    <m/>
    <m/>
    <n v="11007"/>
    <x v="80"/>
    <s v="Conservation contract transferring system"/>
    <s v="OMSIKN (Alico Management System Inquiry Knowledge Network) is an online inquiry system for insurance policyholders. This system provides a self-service portal where policyholders can check and inquire about their insurance contracts."/>
    <x v="6"/>
    <s v="Core Insurance Systems Group 34956"/>
    <s v="Corporate Systems Team 34959"/>
    <s v="MetLife IT Hosted/Supported"/>
    <s v="Core Business Application"/>
    <s v="Production"/>
    <s v="AD Supported"/>
    <s v="N"/>
    <s v="Asia Region"/>
    <s v="No"/>
    <s v="Yes"/>
    <s v="Web Services"/>
    <s v=""/>
    <s v="JAVA"/>
    <s v="MetLife Owned Application Code"/>
    <s v=""/>
    <s v="No"/>
    <s v="Y"/>
    <s v="Y"/>
    <s v="Y"/>
    <s v="N"/>
    <s v="N"/>
    <n v="0.23491666666666666"/>
    <n v="7.2916666666666657E-2"/>
    <n v="0"/>
    <n v="0.30783333333333329"/>
    <n v="0.95939361126150513"/>
    <n v="0.15391666666666665"/>
    <n v="0.15391666666666665"/>
    <m/>
  </r>
  <r>
    <x v="2"/>
    <s v="Yes"/>
    <m/>
    <m/>
    <n v="11008"/>
    <x v="81"/>
    <s v="Conservation contract allowance system"/>
    <s v="Conservation contract allowance system"/>
    <x v="7"/>
    <s v="Customer and Channel Engineering 34961"/>
    <s v="Marketing and Leads Team 34964"/>
    <s v="MetLife IT Hosted/Supported"/>
    <s v="Core Business Application"/>
    <s v="Production"/>
    <s v="AD Supported"/>
    <s v="N"/>
    <s v="Asia Region"/>
    <s v="No"/>
    <s v="Yes"/>
    <s v="Web Services"/>
    <s v=""/>
    <s v="JAVA"/>
    <s v="MetLife Owned Application Code"/>
    <s v=""/>
    <s v="No"/>
    <s v="Y"/>
    <s v="Y"/>
    <s v="Y"/>
    <s v="N"/>
    <s v="N"/>
    <n v="0.13541666666666669"/>
    <n v="1.6666666666666666E-2"/>
    <n v="0"/>
    <n v="0.15208333333333335"/>
    <n v="0.52054794520547942"/>
    <n v="7.6041666666666674E-2"/>
    <n v="7.6041666666666674E-2"/>
    <m/>
  </r>
  <r>
    <x v="2"/>
    <s v="Yes"/>
    <m/>
    <m/>
    <n v="11010"/>
    <x v="82"/>
    <s v="FATCA Oracle EDQ"/>
    <s v="To comply with the FATCA Act, we process the necessary items of customer information held in our database at the necessary timing, and integrate them into the FATCA Azure system."/>
    <x v="6"/>
    <s v="Core Insurance Systems Group 34956"/>
    <s v="Corporate Systems Team 34959"/>
    <s v="MetLife IT Hosted/Supported"/>
    <s v="Core Business Application"/>
    <s v="Production"/>
    <s v="AD Supported"/>
    <s v="N"/>
    <s v="Financial Management Group"/>
    <s v="No"/>
    <s v="Yes"/>
    <s v="Web Application Client"/>
    <s v=""/>
    <s v="JAVA; C #"/>
    <s v="MetLife Owned Application Code"/>
    <s v="Platform as a Service (PaaS)"/>
    <s v="Yes"/>
    <s v="Y"/>
    <s v="Y"/>
    <s v="Y"/>
    <s v="Y"/>
    <s v="N"/>
    <n v="1.2583333333333331"/>
    <n v="2.9166666666666667E-2"/>
    <n v="0.5"/>
    <n v="1.7874999999999996"/>
    <n v="0.55710955710955723"/>
    <n v="0.89374999999999982"/>
    <n v="0.89374999999999982"/>
    <m/>
  </r>
  <r>
    <x v="2"/>
    <s v="Yes"/>
    <m/>
    <m/>
    <n v="11011"/>
    <x v="83"/>
    <s v="Watch List Filtering system"/>
    <s v="To prevent transactions with antisocial forces, internal customer data screening is conducted. It uses Actimize's package."/>
    <x v="6"/>
    <s v="Core Insurance Systems Group 34956"/>
    <s v="Corporate Systems Team 34959"/>
    <s v="MetLife IT Hosted/Supported"/>
    <s v="Core Business Application"/>
    <s v="Production"/>
    <s v="AD Supported"/>
    <s v="N"/>
    <s v="Global Risk Management"/>
    <s v="No"/>
    <s v="Yes"/>
    <s v="Web Application Client"/>
    <s v=""/>
    <s v="JAVA"/>
    <s v="MetLife Owned Application Code"/>
    <s v=""/>
    <s v="No"/>
    <s v="Y"/>
    <s v="Y"/>
    <s v="Y"/>
    <s v="N"/>
    <s v="N"/>
    <n v="6.0791666666666666"/>
    <n v="1.0708333333333333"/>
    <n v="0"/>
    <n v="7.15"/>
    <n v="0.90384615384615385"/>
    <n v="3.5750000000000002"/>
    <n v="3.5750000000000002"/>
    <m/>
  </r>
  <r>
    <x v="2"/>
    <s v="Yes"/>
    <m/>
    <m/>
    <n v="11012"/>
    <x v="84"/>
    <s v="My number management system"/>
    <s v="My Number Management System"/>
    <x v="4"/>
    <s v="Customer Service and Operations Systems Group 34965"/>
    <s v="Claims Team 34968"/>
    <s v="MetLife IT Hosted/Supported"/>
    <s v="Core Business Application"/>
    <s v="Production"/>
    <s v="AD Supported"/>
    <s v="N"/>
    <s v="Global Technology &amp; Operations"/>
    <s v="No"/>
    <s v="Yes"/>
    <s v="Web Application Client"/>
    <s v=""/>
    <s v="JAVA"/>
    <s v="MetLife Owned Application Code"/>
    <s v=""/>
    <s v="No"/>
    <s v="Y"/>
    <s v="Y"/>
    <s v="Y"/>
    <s v="N"/>
    <s v="N"/>
    <n v="1.6523333333333334"/>
    <n v="0.29166666666666669"/>
    <n v="0"/>
    <n v="1.9440000000000002"/>
    <n v="0.83217592592592593"/>
    <n v="0.97200000000000009"/>
    <n v="0.97200000000000009"/>
    <m/>
  </r>
  <r>
    <x v="3"/>
    <s v="Yes"/>
    <s v="Yes"/>
    <s v="Informatica On Prem CDI-PC ETL platform undergoing modernization to Azure Sypanse through different vendor so AMS can be for Informatica Platform , future AD can be taken up post-modernization. Approx 9-10 CG FTCs support this currently. This app is marked as Priority Target for Transition -  Transition Priority # 1  for &quot;Data Platforms&quot;_x000a__x000a__x000a_Data validation, ETL testing will be handled by I&amp;D; Non-functional testing by QA Testing team"/>
    <n v="11014"/>
    <x v="85"/>
    <s v="Informatica Platform"/>
    <s v="Common platform for Informatica for ETL, IDQ &amp; Address Doctor"/>
    <x v="10"/>
    <s v="Data Platforms Team 34980"/>
    <s v="Data Platforms Team 34980"/>
    <s v="MetLife IT Hosted/Supported"/>
    <s v="Common Service Business Application"/>
    <s v="Production"/>
    <s v="AD Supported"/>
    <s v="N"/>
    <s v="Global Technology &amp; Operations"/>
    <s v="No"/>
    <s v="Yes"/>
    <s v="Other#Informatica PowerCenter"/>
    <s v=""/>
    <s v="Other#Used UI for development and stored data as XML"/>
    <s v="MetLife Owned Application Code"/>
    <s v=""/>
    <s v="Yes"/>
    <s v="Y"/>
    <s v="Y"/>
    <s v="Y"/>
    <s v="Y"/>
    <s v="Y"/>
    <n v="29.097916666666663"/>
    <n v="6.8250000000000011"/>
    <n v="6.8500000000000005"/>
    <n v="42.772916666666667"/>
    <n v="0.88284058253372955"/>
    <n v="21.386458333333334"/>
    <n v="21.386458333333334"/>
    <s v="Considering AMS+AD over 3 years post initial Transition_x000a__x000a_1st Year, more Informatica FTCs% compared to Azure whereas 3rd Year only Azure FTCs _x000a__x000a__x000a_Estimation Approach for AMS - based on assumed # of Incidents, Problem Tickets, SRs and CRs including minor enhancements, and YoY AI-driven productivity"/>
  </r>
  <r>
    <x v="0"/>
    <s v="Yes"/>
    <m/>
    <m/>
    <n v="11203"/>
    <x v="86"/>
    <s v="c-Force"/>
    <s v="c-Force(SVD) was built on SFDC platform to improve the activity of sales quality and to promote more effective and efficient supervision of solicitors/agents."/>
    <x v="8"/>
    <s v="Customer and Channel Engineering 34961"/>
    <s v="Distribution F2F Team 34962"/>
    <s v="MetLife IT Hosted/Supported"/>
    <s v="Core Business Application"/>
    <s v="Production"/>
    <s v="AD Supported"/>
    <s v="N"/>
    <s v="Asia Region"/>
    <s v="No"/>
    <s v="No"/>
    <s v="Web Services"/>
    <s v=""/>
    <s v="Other#APEX;HTML; JavaScript"/>
    <s v="Non-MetLife Owned Application Code (3rd party/COTS)"/>
    <s v="Software as a Service (SaaS)"/>
    <s v="Yes"/>
    <s v="Y"/>
    <s v="Y"/>
    <s v="Y"/>
    <s v="N"/>
    <s v="Y"/>
    <n v="20.833333333333332"/>
    <n v="10.004166666666666"/>
    <n v="12.724999999999998"/>
    <n v="43.5625"/>
    <n v="0.86915351506456251"/>
    <n v="21.78125"/>
    <n v="21.78125"/>
    <s v="BSA, BA, ETL, TestRelated members are in the scope."/>
  </r>
  <r>
    <x v="2"/>
    <s v="Yes"/>
    <m/>
    <m/>
    <n v="11288"/>
    <x v="87"/>
    <s v="Misconduct Management system"/>
    <s v="Record the investigation process, results, and dispositions of the accident, and store them in a searchable format."/>
    <x v="6"/>
    <s v="Core Insurance Systems Group 34956"/>
    <s v="Corporate Systems Team 34959"/>
    <s v="MetLife IT Hosted/Supported"/>
    <s v="Core Business Application"/>
    <s v="Production"/>
    <s v="AD Supported"/>
    <s v="N"/>
    <s v="Global Risk Management"/>
    <s v="No"/>
    <s v="Yes"/>
    <s v="Thick Client"/>
    <s v=""/>
    <s v="VB"/>
    <s v="MetLife Owned Application Code"/>
    <s v=""/>
    <s v="No"/>
    <s v="Y"/>
    <s v="Y"/>
    <s v="Y"/>
    <s v="N"/>
    <s v="N"/>
    <n v="9.166666666666666E-2"/>
    <n v="0"/>
    <n v="0"/>
    <n v="9.166666666666666E-2"/>
    <n v="0.27272727272727271"/>
    <n v="4.583333333333333E-2"/>
    <n v="4.583333333333333E-2"/>
    <m/>
  </r>
  <r>
    <x v="2"/>
    <s v="Yes"/>
    <m/>
    <m/>
    <n v="11308"/>
    <x v="88"/>
    <s v="BSRec"/>
    <s v="BSRec (Balance Sheet Reconciliation) is a balance sheet adjustment support system used within MetLife Japan. This is a web application that ingests balance data from various systems (PeopleSoft, Essbase, HFM, etc.) and streamlines reconciliation and adjustment work at the account level."/>
    <x v="6"/>
    <s v="Core Insurance Systems Group 34956"/>
    <s v="Corporate Systems Team 34959"/>
    <s v="MetLife IT Hosted/Supported"/>
    <s v="Core Business Application"/>
    <s v="Production"/>
    <s v="AD Supported"/>
    <s v="N"/>
    <s v="Financial Management Group"/>
    <s v="No"/>
    <s v="Yes"/>
    <s v="Web Application Client"/>
    <s v=""/>
    <s v="JAVA"/>
    <s v="MetLife Owned Application Code"/>
    <s v=""/>
    <s v="No"/>
    <s v="Y"/>
    <s v="Y"/>
    <s v="Y"/>
    <s v="N"/>
    <s v="N"/>
    <n v="0.48124999999999996"/>
    <n v="6.25E-2"/>
    <n v="0"/>
    <n v="0.54374999999999996"/>
    <n v="0.37931034482758624"/>
    <n v="0.27187499999999998"/>
    <n v="0.27187499999999998"/>
    <m/>
  </r>
  <r>
    <x v="4"/>
    <s v="Yes"/>
    <m/>
    <m/>
    <n v="11604"/>
    <x v="89"/>
    <s v="JAPAN_BluePrism RPA"/>
    <s v="Shared Service for Robotic Automatic to support automated data entry for existing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Thick Client"/>
    <s v=""/>
    <s v="Other#COTS from BluePrism"/>
    <s v="Non-MetLife Owned Application Code (3rd party/COTS)"/>
    <s v=""/>
    <s v="No"/>
    <s v="Y"/>
    <s v="Y"/>
    <s v="Y"/>
    <s v="N"/>
    <s v="N"/>
    <n v="5.6624583333333343"/>
    <n v="4.0750000000000002"/>
    <n v="0"/>
    <n v="9.7374583333333344"/>
    <n v="0.89730379676421379"/>
    <n v="4.8687291666666672"/>
    <n v="4.8687291666666672"/>
    <m/>
  </r>
  <r>
    <x v="2"/>
    <s v="Yes"/>
    <m/>
    <m/>
    <n v="11893"/>
    <x v="90"/>
    <s v="Customer Communication Preferences"/>
    <s v="Communication preference of notifications for customers(policyholders/beneficiaries) like FX Notification/Annual report etc.  The prefernces can be modified by business policy or customer request."/>
    <x v="3"/>
    <s v="Customer Service and Operations Systems Group 34965"/>
    <s v="Policy Servicing Team 34967"/>
    <s v="MetLife IT Hosted/Supported"/>
    <s v="Core Business Application"/>
    <s v="Production"/>
    <s v="AD Supported"/>
    <s v="N"/>
    <s v="Global Technology &amp; Operations"/>
    <s v="No"/>
    <s v="Yes"/>
    <s v="Web Application Client"/>
    <s v=""/>
    <s v="JAVA"/>
    <s v="MetLife Owned Application Code"/>
    <s v="Platform as a Service (PaaS)"/>
    <s v="Yes"/>
    <s v="Y"/>
    <s v="Y"/>
    <s v="Y"/>
    <s v="N"/>
    <s v="N"/>
    <n v="0.2"/>
    <n v="0.2"/>
    <n v="0"/>
    <n v="0.35416666666666669"/>
    <n v="0.56470588235294117"/>
    <n v="0.17708333333333334"/>
    <n v="0.17708333333333334"/>
    <m/>
  </r>
  <r>
    <x v="2"/>
    <s v="Yes"/>
    <m/>
    <m/>
    <n v="11986"/>
    <x v="91"/>
    <s v="Japan Banca Report"/>
    <s v="Report Engine creates illustration and application reports in PDF format based on the data sent from the Banca Paperless Front-End(GSSP) and send them back to the GSSP. Also, Report Engine receives requests from ETL which is new contracts interface and creates TIFF files.  The report files are stored on the NAS server for reprinting."/>
    <x v="8"/>
    <s v="Customer and Channel Engineering 34961"/>
    <s v="Distribution Banca Team 34963"/>
    <s v="MetLife IT Hosted/Supported"/>
    <s v="Common Service Business Application"/>
    <s v="Production"/>
    <s v="AD Supported"/>
    <s v="N"/>
    <s v="Asia Region"/>
    <s v="No"/>
    <s v="Yes"/>
    <s v="Web Services"/>
    <s v=""/>
    <s v="JAVA"/>
    <s v="MetLife Owned Application Code"/>
    <s v="Infrastructure as a Service (IaaS); Platform as a Service (PaaS)"/>
    <s v="Yes"/>
    <s v="Y"/>
    <s v="Y"/>
    <s v="Y"/>
    <s v="N"/>
    <s v="N"/>
    <n v="6"/>
    <n v="6"/>
    <n v="3"/>
    <n v="15"/>
    <n v="1"/>
    <n v="7.5"/>
    <n v="7.5"/>
    <m/>
  </r>
  <r>
    <x v="2"/>
    <s v="Yes"/>
    <m/>
    <m/>
    <n v="12021"/>
    <x v="92"/>
    <s v="Life Plan Simulation Japan"/>
    <s v="Based on the life plan entered or selected for each customer, the simulation result output from the calculation engine in the package is displayed and printed."/>
    <x v="7"/>
    <s v="Customer and Channel Engineering 34961"/>
    <s v="Marketing and Leads Team 34964"/>
    <s v="MetLife IT Hosted/Vendor Supported"/>
    <s v="Core Business Application"/>
    <s v="Production"/>
    <s v="Business Supported"/>
    <s v="N"/>
    <s v="Asia Region"/>
    <s v="No"/>
    <s v="Yes"/>
    <s v="Web Services"/>
    <s v=""/>
    <s v="PHP"/>
    <s v="Non-MetLife Owned Application Code (3rd party/COTS)"/>
    <s v=""/>
    <s v="No"/>
    <s v="Y"/>
    <s v="Y"/>
    <s v="Y"/>
    <s v="N"/>
    <s v="N"/>
    <m/>
    <m/>
    <m/>
    <m/>
    <m/>
    <s v=""/>
    <s v=""/>
    <m/>
  </r>
  <r>
    <x v="2"/>
    <s v="Yes"/>
    <m/>
    <m/>
    <n v="12030"/>
    <x v="93"/>
    <s v="Inheritance Tax Simulation"/>
    <s v="Based on the life plan entered or selected for each customer, a simulation is created from the calculated values in the package."/>
    <x v="7"/>
    <s v="Customer and Channel Engineering 34961"/>
    <s v="Marketing and Leads Team 34964"/>
    <s v="MetLife IT Hosted/Vendor Supported"/>
    <s v="Core Business Application"/>
    <s v="Production"/>
    <s v="Business Supported"/>
    <s v="N"/>
    <s v="Asia Region"/>
    <s v="No"/>
    <s v="Yes"/>
    <s v="Web Services"/>
    <s v=""/>
    <s v="JAVA"/>
    <s v="Non-MetLife Owned Application Code (3rd party/COTS)"/>
    <s v=""/>
    <s v="No"/>
    <s v="Y"/>
    <s v="Y"/>
    <s v="Y"/>
    <s v="N"/>
    <s v="N"/>
    <m/>
    <m/>
    <m/>
    <m/>
    <m/>
    <s v=""/>
    <s v=""/>
    <m/>
  </r>
  <r>
    <x v="2"/>
    <s v="Yes"/>
    <m/>
    <m/>
    <n v="12038"/>
    <x v="94"/>
    <s v="API Hub"/>
    <s v="API Hub hosts all types of APIs leveraging IBM API Connect"/>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9.246666666666666"/>
    <n v="4.1333333333333329"/>
    <n v="16.910416666666666"/>
    <n v="40.290416666666665"/>
    <n v="0.94847823613969406"/>
    <n v="20.145208333333333"/>
    <n v="20.145208333333333"/>
    <m/>
  </r>
  <r>
    <x v="2"/>
    <s v="Yes"/>
    <m/>
    <m/>
    <n v="12117"/>
    <x v="95"/>
    <s v="Japan K2 - Digital Workflows"/>
    <s v="To provide core function for POS operation global digitization and automation by K2 solutions"/>
    <x v="3"/>
    <s v="Customer Service and Operations Systems Group 34965"/>
    <s v="Policy Servicing Team 34967"/>
    <s v="MetLife IT Hosted/Supported"/>
    <s v="Core Business Application"/>
    <s v="Production"/>
    <s v="AD Supported"/>
    <s v="Y"/>
    <s v="Global Technology &amp; Operations"/>
    <s v="No"/>
    <s v="Yes"/>
    <s v="Web Services"/>
    <s v=""/>
    <s v="VB.NET"/>
    <s v="Non-MetLife Owned Application Code (3rd party/COTS)"/>
    <s v=""/>
    <s v="No"/>
    <s v="Y"/>
    <s v="Y"/>
    <s v="Y"/>
    <s v="N"/>
    <s v="N"/>
    <n v="6"/>
    <n v="15.537500000000005"/>
    <n v="11"/>
    <n v="62.64237500000003"/>
    <n v="0.8631983009371319"/>
    <n v="31.321187500000015"/>
    <n v="31.321187500000015"/>
    <m/>
  </r>
  <r>
    <x v="4"/>
    <m/>
    <m/>
    <m/>
    <n v="12198"/>
    <x v="96"/>
    <s v="Japan PCI Robotics Process Automation Service"/>
    <s v="Shared Service for Robotic Automatic to support automated data entry for existing PCI related business process that use manual data entry"/>
    <x v="3"/>
    <s v="Customer Service and Operations Systems Group 34965"/>
    <s v="Policy Servicing Team 34967"/>
    <s v="MetLife IT Hosted/Supported"/>
    <s v="Common Service Business Application"/>
    <s v="Production"/>
    <s v="AD Supported"/>
    <s v="N"/>
    <s v="Global Technology &amp; Operations"/>
    <s v="No"/>
    <s v="Yes"/>
    <s v="Other#Robotics platform"/>
    <s v=""/>
    <s v="Other#This is coded within blueprism"/>
    <s v="Non-MetLife Owned Application Code (3rd party/COTS)"/>
    <s v=""/>
    <s v="No"/>
    <s v="Y"/>
    <s v="Y"/>
    <s v="Y"/>
    <s v="Y"/>
    <s v="N"/>
    <n v="1"/>
    <n v="2"/>
    <n v="0"/>
    <n v="3"/>
    <m/>
    <n v="1.5"/>
    <n v="1.5"/>
    <m/>
  </r>
  <r>
    <x v="2"/>
    <s v="Yes"/>
    <m/>
    <m/>
    <n v="12520"/>
    <x v="97"/>
    <s v="RBWF Report Automatic Recognition System"/>
    <s v="New Contract Workflow for Online Shopping"/>
    <x v="2"/>
    <s v="Customer Service and Operations Systems Group 34965"/>
    <s v="New Business Team 34966"/>
    <s v="Vendor Hosted/MetLife IT Supported"/>
    <s v="Core Business Application"/>
    <s v="Production"/>
    <s v="Business Supported"/>
    <s v="N"/>
    <s v="Global Technology &amp; Operations"/>
    <s v="No"/>
    <s v="Yes"/>
    <s v="Web Services"/>
    <s v=""/>
    <s v="JAVA"/>
    <s v="MetLife Owned Application Code"/>
    <s v=""/>
    <s v="Yes"/>
    <s v="Y"/>
    <s v="Y"/>
    <s v="Y"/>
    <s v="N"/>
    <s v="N"/>
    <n v="0.125"/>
    <n v="0"/>
    <n v="0"/>
    <n v="0.125"/>
    <n v="1"/>
    <n v="6.25E-2"/>
    <n v="6.25E-2"/>
    <m/>
  </r>
  <r>
    <x v="2"/>
    <s v="Yes"/>
    <m/>
    <m/>
    <n v="12527"/>
    <x v="98"/>
    <s v="Japan Partner API"/>
    <s v="Headless API that is interfaced for our agencies/partner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0.10833333333333334"/>
    <n v="0"/>
    <n v="2.4999999999999998E-2"/>
    <n v="0.13333333333333333"/>
    <n v="1"/>
    <n v="6.6666666666666666E-2"/>
    <n v="6.6666666666666666E-2"/>
    <m/>
  </r>
  <r>
    <x v="2"/>
    <s v="Yes"/>
    <m/>
    <m/>
    <n v="12607"/>
    <x v="99"/>
    <s v="JP Authentication Platform"/>
    <s v="Redefined authentication platform leveraging SiteMinder for customers, agents and employees that would enable SingleSignOn and OAuth, API, OIDC and SAML federation with other apps and APIs"/>
    <x v="9"/>
    <s v="Japan Platform Team 35775"/>
    <s v="Japan Platform Team 35775"/>
    <s v="MetLife IT Hosted/Supported"/>
    <s v="Common Service Business Application"/>
    <s v="Production"/>
    <s v="AD Supported"/>
    <s v="N"/>
    <s v="Global Technology &amp; Operations"/>
    <s v="No"/>
    <s v="Yes"/>
    <s v="RESTful APIs"/>
    <s v=""/>
    <s v="JAVA"/>
    <s v="MetLife Owned Application Code"/>
    <s v="Platform as a Service (PaaS)"/>
    <s v="Yes"/>
    <s v="Y"/>
    <s v="Y"/>
    <s v="Y"/>
    <s v="N"/>
    <s v="N"/>
    <n v="1.3374999999999999"/>
    <n v="0"/>
    <n v="1"/>
    <n v="2.3374999999999999"/>
    <n v="1"/>
    <n v="1.16875"/>
    <n v="1.16875"/>
    <m/>
  </r>
  <r>
    <x v="0"/>
    <s v="Yes"/>
    <m/>
    <m/>
    <n v="12646"/>
    <x v="100"/>
    <s v="Himawari (Call Center Platform)"/>
    <s v="Application for call center operator to intake and process the policy administration requests from customers"/>
    <x v="5"/>
    <s v="Customer Service and Operations Systems Group 34965"/>
    <s v="Customer Care Team 34969"/>
    <s v="Vendor Hosted/MetLife IT Supported"/>
    <s v="Core Business Application"/>
    <s v="Production"/>
    <s v="AD Supported"/>
    <s v="Y"/>
    <s v="Global Technology &amp; Operations"/>
    <s v="No"/>
    <s v="No"/>
    <s v="Web Services"/>
    <s v=""/>
    <s v="JavaScript;HTML; Other#APEX"/>
    <s v="Non-MetLife Owned Application Code (3rd party/COTS)"/>
    <s v="Software as a Service (SaaS)"/>
    <s v="Yes"/>
    <s v="Y"/>
    <s v="Y"/>
    <s v="Y"/>
    <s v="N"/>
    <s v="N"/>
    <n v="9.5833333333333321"/>
    <n v="11.337500000000002"/>
    <n v="7.0833333333333357"/>
    <n v="28.00416666666667"/>
    <n v="0.81223032286862074"/>
    <n v="14.002083333333335"/>
    <n v="14.002083333333335"/>
    <m/>
  </r>
  <r>
    <x v="4"/>
    <m/>
    <m/>
    <m/>
    <n v="12654"/>
    <x v="101"/>
    <s v="Japan QA Shared Service- multiple projects"/>
    <s v="Generic App to Track team details and processes linked to Testing NON-PROD lab of things._x000a_To Manage the testing infrastructure - Grid , servers a"/>
    <x v="9"/>
    <s v="Customer Service and Operations Systems Group 34965"/>
    <m/>
    <s v="MetLife IT Hosted/Supported"/>
    <s v="Platform"/>
    <s v="Production"/>
    <s v="AD Supported"/>
    <s v="N"/>
    <s v="Global Technology &amp; Operations"/>
    <s v="No"/>
    <s v="Yes"/>
    <s v="Web Services"/>
    <s v=""/>
    <s v="Other#Selenese, but supports others"/>
    <s v="MetLife Owned Application Code"/>
    <s v=""/>
    <s v="No"/>
    <s v="Y"/>
    <s v="Y"/>
    <s v="Y"/>
    <s v="N"/>
    <s v="N"/>
    <n v="0"/>
    <n v="0.25"/>
    <n v="0"/>
    <n v="0.25"/>
    <n v="1"/>
    <n v="0.125"/>
    <n v="0.125"/>
    <m/>
  </r>
  <r>
    <x v="4"/>
    <m/>
    <m/>
    <m/>
    <n v="12675"/>
    <x v="102"/>
    <s v="Japan DB2 Connect Proxy"/>
    <s v="Japan DB2 Connect is used a proxy to DB2"/>
    <x v="3"/>
    <s v="Customer Service and Operations Systems Group 34965"/>
    <s v="Policy Servicing Team 34967"/>
    <s v="MetLife IT Hosted/Supported"/>
    <s v="Platform"/>
    <s v="Production"/>
    <s v="Infrastructure Supported"/>
    <s v="N"/>
    <s v="Global Technology &amp; Operations"/>
    <s v="No"/>
    <s v="Yes"/>
    <s v="Other#Shared database proxy used to connect between DB2 hosted in US data center and the applications hosted in Japan"/>
    <s v=""/>
    <s v="Other#COTS"/>
    <s v="Non-MetLife Owned Application Code (3rd party/COTS)"/>
    <s v=""/>
    <s v="No"/>
    <s v="Y"/>
    <s v="Y"/>
    <s v="Y"/>
    <s v="N"/>
    <s v="N"/>
    <n v="0"/>
    <n v="0.1"/>
    <n v="0"/>
    <n v="0.1"/>
    <m/>
    <n v="0.05"/>
    <n v="0.05"/>
    <m/>
  </r>
  <r>
    <x v="2"/>
    <s v="Yes"/>
    <m/>
    <m/>
    <n v="12721"/>
    <x v="103"/>
    <s v="Japan Payroll System"/>
    <s v="Japan Payroll is a payroll management system for MetLife Life provided by Japan Payroll Inc. In addition to managing and updating employees' personal and payroll-related information (various allowances, tax information, etc.), it is equipped with functions to provide electronic payslips (ePayslip)."/>
    <x v="6"/>
    <s v="Core Insurance Systems Group 34956"/>
    <s v="Corporate Systems Team 34959"/>
    <s v="Vendor Hosted/MetLife IT Supported"/>
    <s v="Core Business Application"/>
    <s v="Production"/>
    <s v="AD Supported"/>
    <s v="N"/>
    <s v="Human Resources"/>
    <s v="Yes"/>
    <s v="No"/>
    <s v="Other#N/A(SaaS); Web Application Client"/>
    <s v=""/>
    <s v="Other#N/A(SaaS)"/>
    <s v="Non-MetLife Owned Application Code (3rd party/COTS)"/>
    <s v="Software as a Service (SaaS)"/>
    <s v="Yes"/>
    <s v="Y"/>
    <s v="Y"/>
    <s v="Y"/>
    <s v="N"/>
    <s v="N"/>
    <n v="0.24166666666666664"/>
    <n v="0"/>
    <n v="0"/>
    <n v="0.24166666666666664"/>
    <n v="0.93103448275862066"/>
    <n v="0.12083333333333332"/>
    <n v="0.12083333333333332"/>
    <m/>
  </r>
  <r>
    <x v="2"/>
    <s v="Yes"/>
    <m/>
    <m/>
    <n v="12820"/>
    <x v="104"/>
    <s v="Japan - Direct Marketing Batch Applications"/>
    <s v="Batch applications to transfer simulation and application information from #9920: Direct Marketing site to #12520: RBWF"/>
    <x v="7"/>
    <s v="Customer and Channel Engineering 34961"/>
    <s v="Marketing and Leads Team 34964"/>
    <s v="MetLife IT Hosted/Supported"/>
    <s v="Core Business Application"/>
    <s v="Production"/>
    <s v="AD Supported"/>
    <s v="N"/>
    <s v="Global Marketing and Communications"/>
    <s v="No"/>
    <s v="Yes"/>
    <s v="Other#Batch program"/>
    <s v=""/>
    <s v="JAVA"/>
    <s v="MetLife Owned Application Code"/>
    <s v=""/>
    <s v="No"/>
    <s v="Y"/>
    <s v="Y"/>
    <s v="Y"/>
    <s v="N"/>
    <s v="N"/>
    <n v="0.36249999999999999"/>
    <n v="0"/>
    <n v="0"/>
    <n v="0.36249999999999999"/>
    <n v="1"/>
    <n v="0.18124999999999999"/>
    <n v="0.18124999999999999"/>
    <m/>
  </r>
  <r>
    <x v="2"/>
    <s v="Yes"/>
    <m/>
    <m/>
    <n v="12890"/>
    <x v="105"/>
    <s v="ASP Bridge (OPEN)"/>
    <s v="The VA-Bridge (OPEN) system is a core system for managing Variable Annuity insurance products. This INDEX aims to help new employees efficiently understand the system and carry out their daily tasks."/>
    <x v="6"/>
    <s v="Core Insurance Systems Group 34956"/>
    <s v="Corporate Systems Team 34959"/>
    <s v="MetLife IT Hosted/Supported"/>
    <s v="Common Service Business Application"/>
    <s v="Production"/>
    <s v="AD Supported"/>
    <s v="Y"/>
    <s v="Global Technology &amp; Operations"/>
    <s v="No"/>
    <s v="Yes"/>
    <s v="Web Services"/>
    <s v=""/>
    <s v="JAVA; C#; VB.NET"/>
    <s v="MetLife Owned Application Code"/>
    <s v=""/>
    <s v="No"/>
    <s v="Y"/>
    <s v="Y"/>
    <s v="Y"/>
    <s v="N"/>
    <s v="N"/>
    <n v="1.2346249999999999"/>
    <n v="6.25E-2"/>
    <n v="0"/>
    <n v="1.2971249999999999"/>
    <n v="0.85063120362339784"/>
    <n v="0.64856249999999993"/>
    <n v="0.64856249999999993"/>
    <m/>
  </r>
  <r>
    <x v="2"/>
    <s v="Yes"/>
    <m/>
    <m/>
    <n v="12894"/>
    <x v="106"/>
    <s v="Inspire - Forms Management"/>
    <s v="Customer Communication Management system to support correspondance generation and interactive webform generation."/>
    <x v="5"/>
    <s v="Customer Service and Operations Systems Group 34965"/>
    <s v="Customer Care Team 34969"/>
    <s v="MetLife IT Hosted/Supported"/>
    <s v="Common Service Business Application"/>
    <s v="Production"/>
    <s v="AD Supported"/>
    <s v="N"/>
    <s v="Global Technology &amp; Operations"/>
    <s v="No"/>
    <s v="Yes"/>
    <s v="Web Services"/>
    <s v=""/>
    <s v="JavaScript"/>
    <s v="MetLife Owned Application Code"/>
    <s v="Platform as a Service (PaaS)"/>
    <s v="Yes"/>
    <s v="Y"/>
    <s v="Y"/>
    <s v="Y"/>
    <s v="N"/>
    <s v="N"/>
    <n v="2.6333333333333337"/>
    <n v="2.7791666666666672"/>
    <n v="2.9187500000000002"/>
    <n v="8.3312500000000007"/>
    <n v="0.92748187046761688"/>
    <n v="4.1656250000000004"/>
    <n v="4.1656250000000004"/>
    <m/>
  </r>
  <r>
    <x v="2"/>
    <s v="Yes"/>
    <m/>
    <m/>
    <n v="12932"/>
    <x v="107"/>
    <s v="Digital Portals for Policy Administration"/>
    <s v="Unified portal for customer, producers &amp; operation users for end to end servicing need."/>
    <x v="5"/>
    <s v="Customer Service and Operations Systems Group 34965"/>
    <s v="Customer Care Team 34969"/>
    <s v="Vendor Hosted/MetLife IT Supported"/>
    <s v="Core Business Application"/>
    <s v="Production"/>
    <s v="AD Supported"/>
    <s v="N"/>
    <s v="Global Technology &amp; Operations"/>
    <s v="Yes"/>
    <s v="Yes"/>
    <s v="Web Services; RESTful APIs; Mobile Client (iOS, Android)"/>
    <s v=""/>
    <s v="JAVA; JavaScript"/>
    <s v="MetLife Owned Application Code"/>
    <s v="Platform as a Service (PaaS)"/>
    <s v="Yes"/>
    <s v="Y"/>
    <s v="Y"/>
    <s v="Y"/>
    <s v="N"/>
    <s v="N"/>
    <n v="35.819583333333327"/>
    <n v="25.000000000000068"/>
    <n v="12.866666666666667"/>
    <n v="73.686250000000058"/>
    <n v="0.91167506375567586"/>
    <n v="36.843125000000029"/>
    <n v="36.843125000000029"/>
    <m/>
  </r>
  <r>
    <x v="2"/>
    <s v="Yes"/>
    <m/>
    <m/>
    <n v="12991"/>
    <x v="108"/>
    <s v="JP - Remote Sales Closing"/>
    <s v="Remote Closing application is intended to assist producers to conduct sales process remotely._x000a_At present the main POS application in Japan is eMirai. This application us used by CA/IA/LA agents. eMirai is designed for a F2F type sales activity.  With Remote Closing all customer interaction screens are pulled out and exposed on the internet so that the customer can provide inputs using their own device."/>
    <x v="8"/>
    <s v="Customer and Channel Engineering 34961"/>
    <s v="Distribution F2F Team 34962"/>
    <s v="Vendor Hosted/MetLife IT Supported"/>
    <s v="Common Service Business Application"/>
    <s v="Production"/>
    <s v="AD Supported"/>
    <s v="N"/>
    <s v="Asia Region"/>
    <s v="Yes"/>
    <s v="Yes"/>
    <s v="Web Application Client"/>
    <s v=""/>
    <s v="JAVA"/>
    <s v="MetLife Owned Application Code"/>
    <s v="Platform as a Service (PaaS)"/>
    <s v="Yes"/>
    <s v="Y"/>
    <s v="Y"/>
    <s v="Y"/>
    <s v="N"/>
    <s v="Y"/>
    <n v="4.6458333333333321"/>
    <n v="4.5625"/>
    <n v="2.9999999999999996"/>
    <n v="12.208333333333332"/>
    <n v="1"/>
    <n v="6.1041666666666661"/>
    <n v="6.1041666666666661"/>
    <s v="BSA, BA, Test related members are in the scope"/>
  </r>
  <r>
    <x v="2"/>
    <s v="Yes"/>
    <m/>
    <m/>
    <n v="13139"/>
    <x v="109"/>
    <s v="Payment Common Service - JP"/>
    <s v="Payment Common Service - JP"/>
    <x v="9"/>
    <s v="Japan Platform Team 35775"/>
    <s v="Japan Platform Team 35775"/>
    <s v="MetLife IT Hosted/Supported"/>
    <s v="Common Service Business Application"/>
    <s v="Production"/>
    <s v="AD Supported"/>
    <s v="N"/>
    <s v="Global Technology &amp; Operations"/>
    <s v="Yes"/>
    <s v="Yes"/>
    <s v="Web Services"/>
    <s v=""/>
    <s v="JAVA"/>
    <s v="MetLife Owned Application Code"/>
    <s v="Platform as a Service (PaaS)"/>
    <s v="Yes"/>
    <s v="Y"/>
    <s v="Y"/>
    <m/>
    <s v="N"/>
    <s v="N"/>
    <n v="0"/>
    <n v="1.3"/>
    <n v="0.69166666666666665"/>
    <n v="1.9916666666666667"/>
    <n v="1"/>
    <n v="0.99583333333333335"/>
    <n v="0.99583333333333335"/>
    <m/>
  </r>
  <r>
    <x v="2"/>
    <s v="Yes"/>
    <m/>
    <m/>
    <n v="13197"/>
    <x v="110"/>
    <s v="Japan Sales Platform (GSSP)"/>
    <s v="Japan Sales Platform - For banks &amp; face to face channels for new business"/>
    <x v="8"/>
    <s v="Customer and Channel Engineering 34961"/>
    <s v="Distribution F2F Team 34962"/>
    <s v="Vendor Hosted/MetLife IT Supported"/>
    <s v="Core Business Application"/>
    <s v="Production"/>
    <s v="AD Supported"/>
    <s v="Y"/>
    <s v="Asia Region"/>
    <s v="No"/>
    <s v="Yes"/>
    <s v="RESTful APIs; Web Application Client"/>
    <s v=""/>
    <s v="JAVA; JavaScript"/>
    <s v="MetLife Owned Application Code"/>
    <s v="Platform as a Service (PaaS)"/>
    <s v="Yes"/>
    <s v="Y"/>
    <s v="Y"/>
    <s v="Y"/>
    <s v="N"/>
    <s v="Y"/>
    <n v="151.77083333333334"/>
    <n v="30.937500000000007"/>
    <n v="47.204166666666666"/>
    <n v="229.91250000000002"/>
    <n v="0.94717193135069511"/>
    <n v="114.95625000000001"/>
    <n v="114.95625000000001"/>
    <s v="BSA, BA, Test related members are in the scope"/>
  </r>
  <r>
    <x v="2"/>
    <s v="Yes"/>
    <m/>
    <m/>
    <n v="13262"/>
    <x v="111"/>
    <s v="Business Content Management"/>
    <s v="This is an information-sharing platform group designed to provide business-related documents and information for agents and internal users. In addition to BBS006, SharePoint and MetLifeNavi are also related, each responsible for providing users with business manuals, application documents, rules and conditions, and various information."/>
    <x v="6"/>
    <s v="Core Insurance Systems Group 34956"/>
    <s v="Corporate Systems Team 34959"/>
    <s v="Vendor Hosted/MetLife IT Supported"/>
    <s v="Common Service Business Application"/>
    <s v="Production"/>
    <s v="AD Supported"/>
    <s v="N"/>
    <s v="Global Technology &amp; Operations"/>
    <s v="No"/>
    <s v="No"/>
    <s v="Web Application Client"/>
    <s v=""/>
    <s v="Other#n/a"/>
    <s v="Non-MetLife Owned Application Code (3rd party/COTS)"/>
    <s v="Software as a Service (SaaS); Platform as a Service (PaaS)"/>
    <s v="Yes"/>
    <s v="Y"/>
    <s v="Y"/>
    <s v="Y"/>
    <s v="Y"/>
    <s v="N"/>
    <n v="1.5133333333333332"/>
    <n v="1.75"/>
    <n v="0.5"/>
    <n v="3.7633333333333332"/>
    <n v="0.21147032772364921"/>
    <n v="1.8816666666666666"/>
    <n v="1.8816666666666666"/>
    <m/>
  </r>
  <r>
    <x v="2"/>
    <s v="Yes"/>
    <m/>
    <m/>
    <n v="13274"/>
    <x v="112"/>
    <s v="Digital Servicing Platform"/>
    <s v="This EAI manages transactions such as &quot;name change,&quot; &quot;address change,&quot; &quot;surrender,&quot; &quot;policy_loan,&quot; and &quot;account_change&quot; that are submitted by customers and agents through Salesforce for call centers and the Digital Portal web system._x000a_At the time of transaction acceptance, the front-end system judges if automatic processing is possible. Transactions requiring operator confirmation or approval are processed using K2, a workflow system. Additionally, based on this transaction data, the back-end system creates transactions for the HOST (LIFECOMM) and data for other downstream systems."/>
    <x v="3"/>
    <s v="Customer Service and Operations Systems Group 34965"/>
    <s v="Policy Servicing Team 34967"/>
    <s v="MetLife IT Hosted/Supported"/>
    <s v="Platform"/>
    <s v="Production"/>
    <s v="AD Supported"/>
    <s v="N"/>
    <s v="Global Technology &amp; Operations"/>
    <s v="No"/>
    <s v="Yes"/>
    <s v="Other#Database platform"/>
    <s v=""/>
    <s v="PL/SQL"/>
    <s v="MetLife Owned Application Code"/>
    <s v=""/>
    <s v="No"/>
    <s v="Y"/>
    <s v="Y"/>
    <s v="Y"/>
    <s v="N"/>
    <s v="N"/>
    <n v="0"/>
    <n v="1"/>
    <n v="0"/>
    <n v="1"/>
    <n v="1"/>
    <n v="0.5"/>
    <n v="0.5"/>
    <m/>
  </r>
  <r>
    <x v="3"/>
    <s v="Yes"/>
    <s v="Yes"/>
    <s v="CG is already supporting Japan Data Platform on Azure including Oracle ODS Exit to Azure ODS with ~16-17 FTCs. Limited Transition required for work handled by FTCs that are outside CG - Transition Priority # 3 for  for &quot;Data Platforms&quot; as this is marked as Transfer Priority = N  by Metlife_x000a__x000a_Data validation, ETL testing will be handled by I&amp;D; Non-functional testing by QA Testing team"/>
    <n v="13314"/>
    <x v="113"/>
    <s v="Japan Data Platform and Reporting-JP"/>
    <s v="Data Platform on Azure for business applications and BI/reporting in MetLife Japan"/>
    <x v="10"/>
    <s v="Data Platforms Team 34980"/>
    <s v="Data Platforms Team 34980"/>
    <s v="MetLife IT Hosted/Supported"/>
    <s v="Platform"/>
    <s v="Production"/>
    <s v="AD Supported"/>
    <s v="N"/>
    <s v="Global Technology &amp; Operations"/>
    <s v="No"/>
    <s v="Yes"/>
    <s v="Web Services"/>
    <s v=""/>
    <s v="Other#Transact SQL"/>
    <s v="MetLife Owned Application Code"/>
    <s v="Platform as a Service (PaaS)"/>
    <s v="Yes"/>
    <s v="Y"/>
    <s v="Y"/>
    <s v="Y"/>
    <s v="Y"/>
    <s v="N"/>
    <n v="28.606677083333327"/>
    <n v="11"/>
    <n v="9.1416666666666639"/>
    <n v="50.065010416666659"/>
    <n v="0.86264109519268795"/>
    <n v="25.03250520833333"/>
    <n v="25.03250520833333"/>
    <s v="Considering AMS+AD over 3 years post initial Transition_x000a__x000a_70% Azure and 30% PowerBI Skills assumed_x000a__x000a_Estimation Approach for AMS - based on assumed # of Incidents, Problem Tickets, SRs and CRs including minor enhancements and YoY AI-driven productivity"/>
  </r>
  <r>
    <x v="2"/>
    <s v="Yes"/>
    <m/>
    <m/>
    <n v="13405"/>
    <x v="114"/>
    <s v="kintone and paperlogic electronic contract system"/>
    <s v="Centralized management of contract information (kintone), workflows (kintone), and compliance with Electronic Book Law requirements (PaperLogic) are realized."/>
    <x v="6"/>
    <s v="Core Insurance Systems Group 34956"/>
    <s v="Corporate Systems Team 34959"/>
    <s v="Vendor Hosted/MetLife IT Supported"/>
    <s v="Common Service Business Application"/>
    <s v="Production"/>
    <s v="Business Supported"/>
    <s v="N"/>
    <s v="Global Technology &amp; Operations"/>
    <s v="Yes"/>
    <s v="No"/>
    <s v="Web Services"/>
    <s v=""/>
    <s v="Other#Vendor Managed"/>
    <s v="Non-MetLife Owned Application Code (3rd party/COTS)"/>
    <s v="Software as a Service (SaaS)"/>
    <s v="Yes"/>
    <s v="Y"/>
    <s v="Y"/>
    <s v="Y"/>
    <s v="N"/>
    <s v="N"/>
    <m/>
    <m/>
    <m/>
    <m/>
    <m/>
    <s v=""/>
    <s v=""/>
    <m/>
  </r>
  <r>
    <x v="2"/>
    <s v="Yes"/>
    <m/>
    <m/>
    <n v="13453"/>
    <x v="115"/>
    <s v="POS - Integrated Management System"/>
    <s v="Platform EAI for Online/Batch Systems of POS"/>
    <x v="3"/>
    <s v="Customer Service and Operations Systems Group 34965"/>
    <s v="Policy Servicing Team 34967"/>
    <s v="MetLife IT Hosted/Supported"/>
    <s v="Platform"/>
    <s v="Production"/>
    <s v="AD Supported"/>
    <s v="N"/>
    <s v="Global Technology &amp; Operations"/>
    <s v="No"/>
    <s v="Yes"/>
    <s v="Thick Client; Web Application Client"/>
    <s v=""/>
    <s v="VB.NET; JAVA"/>
    <s v="MetLife Owned Application Code"/>
    <s v=""/>
    <s v="No"/>
    <s v="Y"/>
    <s v="Y"/>
    <s v="Y"/>
    <s v="N"/>
    <s v="N"/>
    <n v="0.89999999999999991"/>
    <n v="0.3"/>
    <n v="0"/>
    <n v="9.9375"/>
    <n v="0.90440251572327046"/>
    <n v="4.96875"/>
    <n v="4.96875"/>
    <m/>
  </r>
  <r>
    <x v="2"/>
    <s v="Yes"/>
    <m/>
    <m/>
    <n v="13476"/>
    <x v="116"/>
    <s v="Enterprise Apps Portal"/>
    <s v="Apps Portals is the enterprise portals for all Japan users of MetLife and Agents becoming a single entry portal for many hosted apps."/>
    <x v="9"/>
    <s v="Customer Service and Operations Systems Group 34965"/>
    <m/>
    <s v="Vendor Hosted/MetLife IT Supported"/>
    <s v="Core Business Application"/>
    <s v="Production"/>
    <s v="AD Supported"/>
    <s v="N"/>
    <s v="Global Technology &amp; Operations"/>
    <s v="No"/>
    <s v="Yes"/>
    <s v="RESTful APIs; Web Application Client"/>
    <s v=""/>
    <s v="JavaScript; JAVA"/>
    <s v="MetLife Owned Application Code"/>
    <s v="Platform as a Service (PaaS)"/>
    <s v="Yes"/>
    <s v="Y"/>
    <s v="Y"/>
    <s v="Y"/>
    <s v="N"/>
    <s v="Y"/>
    <n v="57.149875000000016"/>
    <n v="23.302083333333329"/>
    <n v="42.086666666666666"/>
    <n v="122.53862500000002"/>
    <n v="0.88077908768221724"/>
    <n v="61.269312500000012"/>
    <n v="61.269312500000012"/>
    <m/>
  </r>
  <r>
    <x v="2"/>
    <s v="Yes"/>
    <m/>
    <m/>
    <n v="13500"/>
    <x v="117"/>
    <s v="Digital Scan Manager"/>
    <s v="Scan forms and sort image files by barcode or QR code using PaperStream Capture."/>
    <x v="3"/>
    <s v="Customer Service and Operations Systems Group 34965"/>
    <s v="Policy Servicing Team 34967"/>
    <s v="MetLife IT Hosted/Supported"/>
    <s v="Core Business Application"/>
    <s v="Production"/>
    <s v="AD Supported"/>
    <s v="N"/>
    <s v="Global Technology &amp; Operations"/>
    <s v="No"/>
    <s v="Yes"/>
    <s v="Thick Client"/>
    <s v=""/>
    <s v="VB.NET"/>
    <s v="Non-MetLife Owned Application Code (3rd party/COTS)"/>
    <s v=""/>
    <s v="No"/>
    <s v="Y"/>
    <s v="Y"/>
    <s v="Y"/>
    <s v="N"/>
    <s v="N"/>
    <n v="0.5"/>
    <n v="0.19999999999999998"/>
    <n v="0"/>
    <n v="0.59583333333333333"/>
    <n v="0.66433566433566438"/>
    <n v="0.29791666666666666"/>
    <n v="0.29791666666666666"/>
    <m/>
  </r>
  <r>
    <x v="2"/>
    <s v="Yes"/>
    <m/>
    <m/>
    <n v="13676"/>
    <x v="118"/>
    <s v="IBM Operational Decision Manager on Cloud"/>
    <s v="IBM ODM on Cloud is a managed decision automation service that enables businesses to execute business rules and decision logic in a secure, scalable cloud environment. It allows organizations to externalize decision-making from applications, ensuring agility and consistency across processes.  With API-driven integration, automatic scaling, and enterprise-grade security, ODM on Cloud simplifies operations by eliminating infrastructure management. Designed for rapid rule deployment and faster time-to-market, it delivers real-time, accurate decisions that enhance compliance, efficiency, and customer experience while reducing operational complexity."/>
    <x v="9"/>
    <s v="Japan Platform Team 35775"/>
    <s v="Japan Platform Team 35775"/>
    <s v="Vendor Hosted/Supported"/>
    <s v="Core Business Application"/>
    <s v="Production"/>
    <s v="AD Supported"/>
    <s v="N"/>
    <s v="Global Technology &amp; Operations"/>
    <s v="No"/>
    <s v="No"/>
    <s v="Web Services; RESTful APIs"/>
    <s v=""/>
    <s v="Other#IRL Vendor supported language"/>
    <s v="MetLife Owned Application Code"/>
    <s v="Software as a Service (SaaS)"/>
    <s v="Yes"/>
    <s v="Y"/>
    <s v="Y"/>
    <s v="Y"/>
    <s v="N"/>
    <s v="N"/>
    <n v="11.572916666666664"/>
    <n v="2.333333333333333"/>
    <n v="2.135416666666667"/>
    <n v="16.041666666666664"/>
    <n v="0.93766233766233764"/>
    <n v="8.0208333333333321"/>
    <n v="8.0208333333333321"/>
    <m/>
  </r>
  <r>
    <x v="2"/>
    <s v="Yes"/>
    <m/>
    <m/>
    <n v="13721"/>
    <x v="119"/>
    <s v="External Apps Portal"/>
    <s v="A subsystem developed in-house. Agents can directly register and update information for sales staff. Development is carried out in Java."/>
    <x v="0"/>
    <s v="Core Insurance Systems Group 34956"/>
    <s v="Commission Systems Team 34958"/>
    <s v="Vendor Hosted/MetLife IT Supported"/>
    <s v="Core Business Application"/>
    <s v="Production"/>
    <s v="AD Supported"/>
    <s v="N"/>
    <s v="Global Technology &amp; Operations"/>
    <s v="Yes"/>
    <s v="Yes"/>
    <s v="Web Application Client; RESTful APIs"/>
    <s v=""/>
    <s v="JAVA; JavaScript"/>
    <s v="MetLife Owned Application Code"/>
    <s v="Platform as a Service (PaaS)"/>
    <s v="Yes"/>
    <s v="Y"/>
    <s v="Y"/>
    <s v="Y"/>
    <s v="N"/>
    <s v="N"/>
    <n v="1.6666666666666665"/>
    <n v="0.70833333333333337"/>
    <n v="0.58333333333333337"/>
    <n v="2.9583333333333335"/>
    <n v="0.91549295774647887"/>
    <n v="1.4791666666666667"/>
    <n v="1.4791666666666667"/>
    <m/>
  </r>
  <r>
    <x v="2"/>
    <s v="Yes"/>
    <m/>
    <m/>
    <n v="13738"/>
    <x v="120"/>
    <s v="Distribution Systems - Internal"/>
    <s v="This EAI will represent auxiliary internal and internal applications for distribution and marketing services._x000a_Following is list of services._x000a_1.  Tekigosei - Tool to do suitability check for Variable Life Products_x000a__x000a_?? EAI?? Intranet??????????????????_x000a_???? EAI?????????????????_x000a_? ?????????"/>
    <x v="8"/>
    <s v="Customer and Channel Engineering 34961"/>
    <s v="Distribution F2F Team 34962"/>
    <s v="Vendor Hosted/MetLife IT Supported"/>
    <s v="Core Business Application"/>
    <s v="Production"/>
    <s v="AD Supported"/>
    <s v="N"/>
    <s v="Asia Region"/>
    <s v="No"/>
    <s v="No"/>
    <s v="Web Services"/>
    <s v=""/>
    <s v="JAVA"/>
    <s v="MetLife Owned Application Code"/>
    <s v="Platform as a Service (PaaS)"/>
    <s v="Yes"/>
    <s v="Y"/>
    <s v="Y"/>
    <s v="Y"/>
    <s v="N"/>
    <s v="Y"/>
    <n v="0.33333333333333337"/>
    <n v="0.25"/>
    <n v="8.3333333333333329E-2"/>
    <n v="0.66666666666666674"/>
    <n v="1"/>
    <n v="0.33333333333333337"/>
    <n v="0.33333333333333337"/>
    <m/>
  </r>
  <r>
    <x v="2"/>
    <s v="Yes"/>
    <m/>
    <m/>
    <n v="13812"/>
    <x v="121"/>
    <s v="OpenBatch system for Corporate"/>
    <s v="EAI gathered batch processing when rebuilding the Infostation app into AppsPortal._x000a_It has the following features_x000a_Automated email distribution, CRSDB, GIM/DOM, MetLifeSFTP, NVES"/>
    <x v="6"/>
    <s v="Core Insurance Systems Group 34956"/>
    <s v="Corporate Systems Team 34959"/>
    <s v="MetLife IT Hosted/Supported"/>
    <s v="Core Business Application"/>
    <s v="Production"/>
    <s v="AD Supported"/>
    <s v="N"/>
    <s v="Global Technology &amp; Operations"/>
    <s v="No"/>
    <s v="Yes"/>
    <s v="Other#Batch"/>
    <s v=""/>
    <s v="VB.NET"/>
    <s v="MetLife Owned Application Code"/>
    <s v=""/>
    <s v="No"/>
    <s v="Y"/>
    <s v="Y"/>
    <s v="Y"/>
    <s v="N"/>
    <s v="N"/>
    <n v="2.0400000000000009"/>
    <n v="1.7"/>
    <n v="0"/>
    <n v="3.7400000000000011"/>
    <n v="0.30837789661319076"/>
    <n v="1.8700000000000006"/>
    <n v="1.8700000000000006"/>
    <m/>
  </r>
  <r>
    <x v="2"/>
    <s v="Yes"/>
    <m/>
    <m/>
    <n v="13820"/>
    <x v="122"/>
    <s v="OpenBatch system for Claim"/>
    <s v="Insurance Claims / Batch Processing Group"/>
    <x v="4"/>
    <s v="Customer Service and Operations Systems Group 34965"/>
    <s v="Claims Team 34968"/>
    <s v="MetLife IT Hosted/Supported"/>
    <s v="Common Service Business Application"/>
    <s v="Production"/>
    <s v="AD Supported"/>
    <s v="N"/>
    <s v="Global Technology &amp; Operations"/>
    <s v="No"/>
    <s v="Yes"/>
    <s v="Other#Batch Application"/>
    <s v=""/>
    <s v="JAVA"/>
    <s v="MetLife Owned Application Code"/>
    <s v="Platform as a Service (PaaS)"/>
    <s v="Yes"/>
    <s v="Y"/>
    <s v="Y"/>
    <s v="Y"/>
    <s v="N"/>
    <s v="N"/>
    <n v="20.590416666666673"/>
    <n v="5.0458333333333316"/>
    <n v="18.145833333333332"/>
    <n v="43.782083333333333"/>
    <n v="0.98365960200614777"/>
    <n v="21.891041666666666"/>
    <n v="21.891041666666666"/>
    <m/>
  </r>
  <r>
    <x v="4"/>
    <m/>
    <m/>
    <m/>
    <n v="13856"/>
    <x v="123"/>
    <s v="Open Batch System for Customer Care"/>
    <s v="Application/batch processing group for call centers"/>
    <x v="5"/>
    <s v="Customer Service and Operations Systems Group 34965"/>
    <s v="Customer Care Team 34969"/>
    <s v="MetLife IT Hosted/Supported"/>
    <s v="Core Business Application"/>
    <s v="Production"/>
    <s v="AD Supported"/>
    <s v="N"/>
    <s v="Global Technology &amp; Operations"/>
    <s v="No"/>
    <s v="Yes"/>
    <s v="Other#Batch Manager"/>
    <s v=""/>
    <s v="Other#ETL (Infomatica)"/>
    <s v="MetLife Owned Application Code"/>
    <s v=""/>
    <s v="No"/>
    <s v="Y"/>
    <s v="Y"/>
    <s v="Y"/>
    <s v="N"/>
    <s v="N"/>
    <n v="4.4024999999999999"/>
    <n v="1.9583333333333335"/>
    <n v="4.1666666666666664E-2"/>
    <n v="6.4025000000000007"/>
    <n v="0.95769881556683589"/>
    <n v="3.2012500000000004"/>
    <n v="3.2012500000000004"/>
    <m/>
  </r>
  <r>
    <x v="2"/>
    <s v="Yes"/>
    <m/>
    <m/>
    <n v="13863"/>
    <x v="124"/>
    <s v="AURA Underwriting"/>
    <s v="AURA, is a medical underwriting and decision framework provided by RGA Technology Partners, Inc."/>
    <x v="2"/>
    <s v="Customer Service and Operations Systems Group 34965"/>
    <s v="New Business Team 34966"/>
    <s v="Vendor Hosted/MetLife IT Supported"/>
    <s v="Common Service Business Application"/>
    <s v="Production"/>
    <s v="AD Supported"/>
    <s v="N"/>
    <s v="Global Technology &amp; Operations"/>
    <s v="No"/>
    <s v="No"/>
    <s v="Other#SaaS"/>
    <s v=""/>
    <s v="JAVA"/>
    <s v="Non-MetLife Owned Application Code (3rd party/COTS)"/>
    <s v="Software as a Service (SaaS)"/>
    <s v="Yes"/>
    <s v="Y"/>
    <s v="Y"/>
    <s v="Y"/>
    <s v="N"/>
    <s v="N"/>
    <n v="1"/>
    <n v="0"/>
    <n v="0"/>
    <n v="0"/>
    <m/>
    <n v="0"/>
    <n v="0"/>
    <m/>
  </r>
  <r>
    <x v="2"/>
    <s v="Yes"/>
    <m/>
    <m/>
    <n v="13884"/>
    <x v="125"/>
    <s v="OpenBatch system for Policy Servicing"/>
    <s v="Storage and Preservation Area / Batch Processing Group"/>
    <x v="3"/>
    <s v="Customer Service and Operations Systems Group 34965"/>
    <s v="Policy Servicing Team 34967"/>
    <s v="MetLife IT Hosted/Supported"/>
    <s v="Core Business Application"/>
    <s v="Production"/>
    <s v="AD Supported"/>
    <s v="N"/>
    <s v="Global Technology &amp; Operations"/>
    <s v="No"/>
    <s v="Yes"/>
    <s v="Other#Batch Manager"/>
    <s v=""/>
    <s v="JAVA"/>
    <s v="MetLife Owned Application Code"/>
    <s v=""/>
    <s v="No"/>
    <s v="Y"/>
    <s v="Y"/>
    <s v="Y"/>
    <s v="N"/>
    <s v="N"/>
    <n v="0.4"/>
    <n v="0.3"/>
    <n v="0"/>
    <n v="4.2762499999999992"/>
    <n v="0.90909090909090917"/>
    <n v="2.1381249999999996"/>
    <n v="2.1381249999999996"/>
    <m/>
  </r>
  <r>
    <x v="2"/>
    <s v="Yes"/>
    <m/>
    <m/>
    <n v="13888"/>
    <x v="126"/>
    <s v="Distribution Marketing related batches"/>
    <s v="The batches from , decommissioned EAI (9850 , 9825)s of Distribution Marketing, has been migrated under this EAI."/>
    <x v="7"/>
    <s v="Customer and Channel Engineering 34961"/>
    <s v="Marketing and Leads Team 34964"/>
    <s v="MetLife IT Hosted/Vendor Supported"/>
    <s v="Common Service Business Application"/>
    <s v="Production"/>
    <s v="AD Supported"/>
    <s v="N"/>
    <s v="Global Technology &amp; Operations"/>
    <s v="No"/>
    <s v="Yes"/>
    <s v="Thick Client"/>
    <s v=""/>
    <s v="PL/SQL"/>
    <s v="MetLife Owned Application Code"/>
    <s v=""/>
    <s v="No"/>
    <s v="Y"/>
    <s v="Y"/>
    <s v="Y"/>
    <s v="N"/>
    <s v="N"/>
    <n v="2.9475000000000016"/>
    <n v="0.49999999999999994"/>
    <n v="1"/>
    <n v="4.4475000000000016"/>
    <n v="0.24077196927112607"/>
    <n v="2.2237500000000008"/>
    <n v="2.2237500000000008"/>
    <m/>
  </r>
  <r>
    <x v="2"/>
    <s v="Yes"/>
    <m/>
    <m/>
    <n v="13971"/>
    <x v="127"/>
    <s v="HIMAWARI backend applications"/>
    <s v="Call Center Apps / Backend Batch Processing Group"/>
    <x v="5"/>
    <s v="Customer Service and Operations Systems Group 34965"/>
    <s v="Customer Care Team 34969"/>
    <s v="MetLife IT Hosted/Supported"/>
    <s v="Core Business Application"/>
    <s v="Production"/>
    <s v="AD Supported"/>
    <s v="N"/>
    <s v="Global Technology &amp; Operations"/>
    <s v="No"/>
    <s v="Yes"/>
    <s v="Other#VB.net"/>
    <s v=""/>
    <s v="VB.NET"/>
    <s v="MetLife Owned Application Code"/>
    <s v=""/>
    <s v="No"/>
    <s v="Y"/>
    <s v="Y"/>
    <s v="Y"/>
    <s v="N"/>
    <s v="N"/>
    <n v="0.95416666666666661"/>
    <n v="0.54999999999999993"/>
    <n v="0"/>
    <n v="1.5041666666666664"/>
    <n v="0.29362880886426596"/>
    <n v="0.75208333333333321"/>
    <n v="0.75208333333333321"/>
    <m/>
  </r>
  <r>
    <x v="2"/>
    <s v="Yes"/>
    <m/>
    <m/>
    <n v="13982"/>
    <x v="128"/>
    <s v="OpenBatch system for New Business"/>
    <s v="New Contract-Related Batch Processing Group"/>
    <x v="2"/>
    <s v="Customer Service and Operations Systems Group 34965"/>
    <s v="New Business Team 34966"/>
    <s v="MetLife IT Hosted/Supported"/>
    <s v="Core Business Application"/>
    <s v="Production"/>
    <s v="AD Supported"/>
    <s v="N"/>
    <s v="Global Technology &amp; Operations"/>
    <s v="No"/>
    <s v="Yes"/>
    <s v="Other#Batch Manager"/>
    <s v=""/>
    <s v="JAVA"/>
    <s v="MetLife Owned Application Code"/>
    <s v=""/>
    <s v="No"/>
    <s v="Y"/>
    <s v="Y"/>
    <s v="Y"/>
    <s v="N"/>
    <s v="N"/>
    <n v="0.86916666666666664"/>
    <n v="3.3333333333333333E-2"/>
    <n v="0"/>
    <n v="0.90249999999999997"/>
    <n v="1"/>
    <n v="0.45124999999999998"/>
    <n v="0.45124999999999998"/>
    <m/>
  </r>
  <r>
    <x v="2"/>
    <s v="Yes"/>
    <m/>
    <m/>
    <n v="14049"/>
    <x v="129"/>
    <s v="Web Credit Card"/>
    <s v="This application will support Web Credit Card payment feature"/>
    <x v="8"/>
    <s v="Customer and Channel Engineering 34961"/>
    <s v="Distribution F2F Team 34962"/>
    <s v="Vendor Hosted/MetLife IT Supported"/>
    <s v="Common Service Business Application"/>
    <s v="Production"/>
    <s v="AD Supported"/>
    <s v="N"/>
    <s v="Asia Region"/>
    <s v="Yes"/>
    <s v="Yes"/>
    <s v="Web Services"/>
    <s v=""/>
    <s v="JAVA; HTML5; JavaScript"/>
    <s v="MetLife Owned Application Code"/>
    <s v="Platform as a Service (PaaS)"/>
    <s v="Yes"/>
    <s v="Y"/>
    <s v="Y"/>
    <s v="Y"/>
    <s v="N"/>
    <s v="Y"/>
    <n v="0"/>
    <n v="0"/>
    <n v="0.125"/>
    <n v="0.125"/>
    <n v="1"/>
    <n v="6.25E-2"/>
    <n v="6.25E-2"/>
    <s v="BSA, BA, Test related members are in the scope"/>
  </r>
  <r>
    <x v="2"/>
    <s v="Yes"/>
    <m/>
    <m/>
    <n v="14059"/>
    <x v="130"/>
    <s v="Open Batch System for PDF Auto Loader"/>
    <s v="Batch System for PDF Auto Loader"/>
    <x v="1"/>
    <s v="Core Insurance Systems Group 34956"/>
    <s v="Policy Admin Systems Team 34957"/>
    <s v="MetLife IT Hosted/Supported"/>
    <s v="Core Business Application"/>
    <s v="Production"/>
    <s v="AD Supported"/>
    <s v="N"/>
    <s v="Asia Region"/>
    <s v="No"/>
    <s v="Yes"/>
    <s v="Other#Batch Manager"/>
    <s v=""/>
    <s v="JAVA"/>
    <s v="MetLife Owned Application Code"/>
    <s v=""/>
    <s v="No"/>
    <s v="Y"/>
    <s v="Y"/>
    <s v="Y"/>
    <s v="N"/>
    <s v="N"/>
    <n v="1.0166666666666666"/>
    <n v="1.0416666666666666E-2"/>
    <n v="0"/>
    <n v="1.0270833333333333"/>
    <n v="0.9026369168356998"/>
    <n v="0.51354166666666667"/>
    <n v="0.51354166666666667"/>
    <m/>
  </r>
  <r>
    <x v="2"/>
    <s v="Yes"/>
    <m/>
    <m/>
    <n v="14097"/>
    <x v="131"/>
    <s v="Confirming UnitLink product suitability via IVR"/>
    <s v="This application is SaaS solution by Kore.ai which will provide service to make a automated phone call to check Policyholder's understanding and suitability for UnitLink product."/>
    <x v="8"/>
    <s v="Customer and Channel Engineering 34961"/>
    <s v="Distribution F2F Team 34962"/>
    <s v="Vendor Hosted/MetLife IT Supported"/>
    <s v="Common Service Business Application"/>
    <s v="Production"/>
    <s v="Business Supported"/>
    <s v="N"/>
    <s v="Asia Region"/>
    <s v="Yes"/>
    <s v="No"/>
    <s v="Web Services; RESTful APIs"/>
    <s v=""/>
    <s v="Other#N/A"/>
    <s v="Non-MetLife Owned Application Code (3rd party/COTS)"/>
    <s v="Software as a Service (SaaS)"/>
    <s v="Yes"/>
    <s v="Y"/>
    <s v="Y"/>
    <s v="Y"/>
    <s v="N"/>
    <s v="Y"/>
    <n v="8.3333333333333329E-2"/>
    <n v="0"/>
    <n v="8.3333333333333329E-2"/>
    <n v="0.16666666666666666"/>
    <n v="1"/>
    <n v="8.3333333333333329E-2"/>
    <n v="8.3333333333333329E-2"/>
    <s v="BSA, BA, Test related members are in the scope"/>
  </r>
  <r>
    <x v="2"/>
    <s v="Yes"/>
    <m/>
    <m/>
    <n v="14217"/>
    <x v="132"/>
    <s v="Call Center WSD BIS"/>
    <s v="Financial Institutions LoB/Distribution Digital Planning Group"/>
    <x v="8"/>
    <s v="Customer and Channel Engineering 34961"/>
    <s v="Distribution Banca Team 34963"/>
    <s v="MetLife IT Hosted/Supported"/>
    <s v="Core Business Application"/>
    <s v="Production"/>
    <s v="AD Supported"/>
    <s v="N"/>
    <s v="Asia Region"/>
    <s v="No"/>
    <s v="Yes"/>
    <s v="Other#Batch Application"/>
    <s v=""/>
    <s v="VB.NET"/>
    <s v="MetLife Owned Application Code"/>
    <s v=""/>
    <s v="No"/>
    <s v="Y"/>
    <s v="Y"/>
    <s v="Y"/>
    <s v="N"/>
    <s v="N"/>
    <n v="0.80833333333333335"/>
    <n v="7.4999999999999997E-2"/>
    <n v="0"/>
    <n v="0.8833333333333333"/>
    <n v="0.48113207547169817"/>
    <n v="0.44166666666666665"/>
    <n v="0.44166666666666665"/>
    <m/>
  </r>
  <r>
    <x v="2"/>
    <s v="Yes"/>
    <m/>
    <m/>
    <n v="14267"/>
    <x v="133"/>
    <s v="New Business Operation Apps"/>
    <s v="New Contract-Related Applications"/>
    <x v="2"/>
    <s v="Customer Service and Operations Systems Group 34965"/>
    <s v="New Business Team 34966"/>
    <s v="MetLife IT Hosted/Supported"/>
    <s v="Common Service Business Application"/>
    <s v="Production"/>
    <s v="AD Supported"/>
    <s v="N"/>
    <s v="Global Technology &amp; Operations"/>
    <s v="No"/>
    <s v="Yes"/>
    <s v="Web Application Client"/>
    <s v=""/>
    <s v="JAVA"/>
    <s v="MetLife Owned Application Code"/>
    <s v=""/>
    <s v="No"/>
    <s v="Y"/>
    <s v="Y"/>
    <s v="Y"/>
    <s v="N"/>
    <s v="N"/>
    <n v="12.256666666666677"/>
    <n v="0.5"/>
    <n v="0"/>
    <n v="12.756666666666677"/>
    <n v="0.88241442383067681"/>
    <n v="6.3783333333333383"/>
    <n v="6.3783333333333383"/>
    <m/>
  </r>
  <r>
    <x v="2"/>
    <s v="Yes"/>
    <m/>
    <m/>
    <n v="14285"/>
    <x v="134"/>
    <s v="Sales Compensation System"/>
    <s v="A subsystem developed in-house. A successor development environment for exiting ICM (11004). As a business domain, it handles commission calculation and reporting. Development is carried out using Azure Databricks and Sparc."/>
    <x v="0"/>
    <s v="Core Insurance Systems Group 34956"/>
    <s v="Commission Systems Team 34958"/>
    <s v="MetLife IT Hosted/Supported"/>
    <s v="Core Business Application"/>
    <s v="Development"/>
    <s v="AD Supported"/>
    <s v="N"/>
    <s v="Asia Region"/>
    <s v="No"/>
    <s v="Yes"/>
    <s v="Other#Commission Data Platform and associated functions"/>
    <s v=""/>
    <s v="JAVA; Other#SQL"/>
    <s v="MetLife Owned Application Code"/>
    <s v="Platform as a Service (PaaS)"/>
    <s v="Yes"/>
    <s v="Y"/>
    <s v="Y"/>
    <s v="Y"/>
    <s v="Y"/>
    <s v="N"/>
    <n v="14.975000000000003"/>
    <n v="1.3416666666666668"/>
    <n v="0"/>
    <n v="16.31666666666667"/>
    <n v="0.98774259448416757"/>
    <n v="8.158333333333335"/>
    <n v="8.158333333333335"/>
    <m/>
  </r>
  <r>
    <x v="2"/>
    <s v="Yes"/>
    <m/>
    <m/>
    <n v="14322"/>
    <x v="135"/>
    <s v="Pega for Claims - Pega Workflow"/>
    <s v="Pega for Claims - Pega Workflow"/>
    <x v="4"/>
    <s v="Customer Service and Operations Systems Group 34965"/>
    <s v="Claims Team 34968"/>
    <s v="Vendor Hosted/Supported"/>
    <s v="Core Business Application"/>
    <s v="Production"/>
    <s v="AD Supported"/>
    <s v="N"/>
    <s v="Global Technology &amp; Operations"/>
    <s v="No"/>
    <s v="No"/>
    <s v="Web Application Client; Web Services"/>
    <s v=""/>
    <s v="JAVA"/>
    <s v="MetLife Owned Application Code"/>
    <s v="Software as a Service (SaaS)"/>
    <s v="Yes"/>
    <s v="Y"/>
    <s v="Y"/>
    <s v="Y"/>
    <s v="N"/>
    <s v="N"/>
    <n v="11.491666666666667"/>
    <n v="0.70833333333333337"/>
    <n v="4.5"/>
    <n v="16.700000000000003"/>
    <n v="0.98702594810379252"/>
    <n v="8.3500000000000014"/>
    <n v="8.3500000000000014"/>
    <m/>
  </r>
  <r>
    <x v="2"/>
    <s v="Yes"/>
    <m/>
    <m/>
    <n v="14376"/>
    <x v="136"/>
    <s v="Retirement Allowance Payment System"/>
    <s v="Open System 'CT Retirement Allowance System' Calculates and pays retirement benefits for CTs (including APM and ASM)"/>
    <x v="6"/>
    <s v="Core Insurance Systems Group 34956"/>
    <s v="Corporate Systems Team 34959"/>
    <s v="MetLife IT Hosted/Supported"/>
    <s v="Core Business Application"/>
    <s v="Production"/>
    <s v="AD Supported"/>
    <s v="N"/>
    <s v="Asia Region"/>
    <s v="No"/>
    <s v="Yes"/>
    <s v="Other#NA"/>
    <s v=""/>
    <s v="VB.NET"/>
    <s v="MetLife Owned Application Code"/>
    <s v=""/>
    <s v="No"/>
    <s v="Y"/>
    <s v="Y"/>
    <s v="Y"/>
    <s v="N"/>
    <s v="N"/>
    <n v="0.27479166666666671"/>
    <n v="0"/>
    <n v="0"/>
    <n v="0.27479166666666671"/>
    <n v="0.7725549658832449"/>
    <n v="0.13739583333333336"/>
    <n v="0.13739583333333336"/>
    <m/>
  </r>
  <r>
    <x v="2"/>
    <s v="Yes"/>
    <m/>
    <m/>
    <n v="14377"/>
    <x v="137"/>
    <s v="Support Tool for Commission System"/>
    <s v="Reference and update EAI:9808 batch results, commission codes, and rates_x000a_It has the following features_x000a_Rate Expert: Registers and updates commission codes and rates._x000a_Transfer and Return Information Management System (NORIS): References and updates batch processing results for excellent producer evaluations, early erase returns, and transfer decisions._x000a_Non-life Insurance Commission Master Management System: Updates or references the Non-Life Insurance Commission Master._x000a_A/A General-Purpose Correction System: Generic references and updates files linked to agent code (files containing agent code as key entries)"/>
    <x v="6"/>
    <s v="Core Insurance Systems Group 34956"/>
    <s v="Corporate Systems Team 34959"/>
    <s v="MetLife IT Hosted/Supported"/>
    <s v="Core Business Application"/>
    <s v="Production"/>
    <s v="AD Supported"/>
    <s v="N"/>
    <s v="Asia Region"/>
    <s v="No"/>
    <s v="Yes"/>
    <s v="Other#Client-Server"/>
    <s v=""/>
    <s v="VB.NET"/>
    <s v="MetLife Owned Application Code"/>
    <s v=""/>
    <s v="No"/>
    <s v="Y"/>
    <s v="Y"/>
    <s v="Y"/>
    <s v="N"/>
    <s v="N"/>
    <n v="0.59708333333333341"/>
    <n v="0.12916666666666665"/>
    <n v="0"/>
    <n v="0.72625000000000006"/>
    <n v="0.97991967871485952"/>
    <n v="0.36312500000000003"/>
    <n v="0.36312500000000003"/>
    <m/>
  </r>
  <r>
    <x v="2"/>
    <s v="Yes"/>
    <m/>
    <m/>
    <n v="14423"/>
    <x v="138"/>
    <s v="Maturity and Deferral Related System"/>
    <s v="Maturity/Deferred Contract Management System"/>
    <x v="4"/>
    <s v="Customer Service and Operations Systems Group 34965"/>
    <s v="Claims Team 34968"/>
    <s v="MetLife IT Hosted/Supported"/>
    <s v="Core Business Application"/>
    <s v="Production"/>
    <s v="AD Supported"/>
    <s v="Y"/>
    <s v="Global Technology &amp; Operations"/>
    <s v="No"/>
    <s v="Yes"/>
    <s v="Thick Client"/>
    <s v=""/>
    <s v="VB.NET"/>
    <s v="MetLife Owned Application Code"/>
    <s v=""/>
    <s v="No"/>
    <s v="Y"/>
    <s v="Y"/>
    <s v="Y"/>
    <s v="N"/>
    <s v="N"/>
    <n v="2.1225000000000001"/>
    <n v="0"/>
    <n v="0"/>
    <n v="2.1225000000000001"/>
    <n v="0.75068708284255981"/>
    <n v="1.06125"/>
    <n v="1.06125"/>
    <m/>
  </r>
  <r>
    <x v="2"/>
    <s v="Yes"/>
    <m/>
    <m/>
    <n v="14595"/>
    <x v="139"/>
    <s v="Japan Sales Platform-BANCA"/>
    <s v="Paperless insurance design and application system for banks"/>
    <x v="8"/>
    <s v="Customer and Channel Engineering 34961"/>
    <m/>
    <s v="Vendor Hosted/MetLife IT Supported"/>
    <s v="Core Business Application"/>
    <s v="Production"/>
    <s v="AD Supported"/>
    <s v="N"/>
    <s v="Asia Region"/>
    <s v="No"/>
    <s v="Yes"/>
    <s v="Web Application Client; RESTful APIs"/>
    <s v=""/>
    <s v="JavaScript; JAVA"/>
    <s v="MetLife Owned Application Code"/>
    <s v="Platform as a Service (PaaS)"/>
    <s v="Yes"/>
    <s v="Y"/>
    <s v="N"/>
    <s v="Y"/>
    <s v="N"/>
    <s v="Y"/>
    <n v="60"/>
    <n v="25"/>
    <n v="25"/>
    <n v="110"/>
    <n v="0.99242965891407664"/>
    <n v="55"/>
    <n v="55"/>
    <m/>
  </r>
  <r>
    <x v="2"/>
    <s v="Yes"/>
    <m/>
    <m/>
    <n v="14701"/>
    <x v="140"/>
    <s v="Commission Calculation Service"/>
    <s v="A subsystem developed in-house.  Register the fee rate to display the primary reward fee on e-mirai and Banca. Development is carried out in Java."/>
    <x v="0"/>
    <s v="Core Insurance Systems Group 34956"/>
    <s v="Commission Systems Team 34958"/>
    <s v="MetLife IT Hosted/Supported"/>
    <s v="Common Service Business Application"/>
    <s v="New Application"/>
    <s v="AD Supported"/>
    <s v="N"/>
    <s v="Global Technology &amp; Operations"/>
    <s v="No"/>
    <s v="Yes"/>
    <s v="Web Application Client"/>
    <s v=""/>
    <s v="JAVA"/>
    <s v="MetLife Owned Application Code"/>
    <s v="Platform as a Service (PaaS)"/>
    <s v="Yes"/>
    <s v="Y"/>
    <s v="Y"/>
    <s v="Y"/>
    <s v="N"/>
    <s v="N"/>
    <m/>
    <m/>
    <m/>
    <m/>
    <m/>
    <n v="0"/>
    <n v="0"/>
    <m/>
  </r>
  <r>
    <x v="2"/>
    <s v="Yes"/>
    <m/>
    <m/>
    <n v="14930"/>
    <x v="141"/>
    <s v="Variable Insurance Guarantee Calculation System"/>
    <s v="This is a batch processing system that calculates the minimum guaranteed benefit (V) for variable insurance."/>
    <x v="6"/>
    <s v="Core Insurance Systems Group 34956"/>
    <s v="Corporate Systems Team 34959"/>
    <s v="MetLife IT Hosted/Supported"/>
    <s v="Core Business Application"/>
    <s v="Development"/>
    <s v="AD Supported"/>
    <s v="N"/>
    <s v="Financial Management Group"/>
    <s v="No"/>
    <s v="Yes"/>
    <s v="Other#Batch System"/>
    <s v=""/>
    <s v="JAVA"/>
    <s v="MetLife Owned Application Code"/>
    <s v="Platform as a Service (PaaS)"/>
    <s v="Yes"/>
    <s v="Y"/>
    <s v="Y"/>
    <s v="Y"/>
    <s v="N"/>
    <s v="N"/>
    <n v="1.5"/>
    <n v="0.5"/>
    <n v="0"/>
    <n v="2"/>
    <n v="1"/>
    <n v="1"/>
    <n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E068C8-0C31-42F8-8B80-AAC0D27FC51B}" name="PivotTable1" cacheId="20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F15" firstHeaderRow="0" firstDataRow="1" firstDataCol="1"/>
  <pivotFields count="38">
    <pivotField showAll="0"/>
    <pivotField showAll="0"/>
    <pivotField showAll="0"/>
    <pivotField showAll="0"/>
    <pivotField showAll="0"/>
    <pivotField axis="axisRow" showAll="0">
      <items count="143">
        <item x="54"/>
        <item x="76"/>
        <item x="116"/>
        <item x="105"/>
        <item x="22"/>
        <item x="124"/>
        <item x="57"/>
        <item x="85"/>
        <item x="61"/>
        <item x="111"/>
        <item x="37"/>
        <item x="28"/>
        <item x="32"/>
        <item x="27"/>
        <item x="25"/>
        <item x="24"/>
        <item x="35"/>
        <item x="31"/>
        <item x="30"/>
        <item x="29"/>
        <item x="34"/>
        <item x="26"/>
        <item x="23"/>
        <item x="60"/>
        <item x="87"/>
        <item x="93"/>
        <item x="122"/>
        <item x="98"/>
        <item x="71"/>
        <item x="94"/>
        <item x="140"/>
        <item x="137"/>
        <item x="121"/>
        <item x="15"/>
        <item x="123"/>
        <item x="59"/>
        <item x="107"/>
        <item x="126"/>
        <item x="120"/>
        <item x="112"/>
        <item x="65"/>
        <item x="119"/>
        <item x="14"/>
        <item x="0"/>
        <item x="100"/>
        <item x="127"/>
        <item x="131"/>
        <item x="113"/>
        <item x="108"/>
        <item x="139"/>
        <item x="91"/>
        <item x="102"/>
        <item x="110"/>
        <item x="104"/>
        <item x="103"/>
        <item x="96"/>
        <item x="101"/>
        <item x="89"/>
        <item x="99"/>
        <item x="95"/>
        <item x="114"/>
        <item x="10"/>
        <item x="6"/>
        <item x="2"/>
        <item x="3"/>
        <item x="4"/>
        <item x="8"/>
        <item x="13"/>
        <item x="7"/>
        <item x="1"/>
        <item x="21"/>
        <item x="12"/>
        <item x="5"/>
        <item x="9"/>
        <item x="75"/>
        <item x="92"/>
        <item x="20"/>
        <item x="19"/>
        <item x="138"/>
        <item x="133"/>
        <item x="128"/>
        <item x="118"/>
        <item x="80"/>
        <item x="81"/>
        <item x="55"/>
        <item x="49"/>
        <item x="109"/>
        <item x="130"/>
        <item x="135"/>
        <item x="33"/>
        <item x="68"/>
        <item x="125"/>
        <item x="115"/>
        <item x="18"/>
        <item x="11"/>
        <item x="136"/>
        <item x="97"/>
        <item x="117"/>
        <item x="134"/>
        <item x="17"/>
        <item x="16"/>
        <item x="141"/>
        <item x="52"/>
        <item x="53"/>
        <item x="40"/>
        <item x="90"/>
        <item x="36"/>
        <item x="42"/>
        <item x="41"/>
        <item x="39"/>
        <item x="77"/>
        <item x="51"/>
        <item x="46"/>
        <item x="43"/>
        <item x="47"/>
        <item x="44"/>
        <item x="45"/>
        <item x="132"/>
        <item x="58"/>
        <item x="48"/>
        <item x="69"/>
        <item x="79"/>
        <item x="78"/>
        <item x="63"/>
        <item x="129"/>
        <item x="106"/>
        <item x="73"/>
        <item x="88"/>
        <item x="67"/>
        <item x="83"/>
        <item x="72"/>
        <item x="66"/>
        <item x="56"/>
        <item x="86"/>
        <item x="62"/>
        <item x="50"/>
        <item x="74"/>
        <item x="64"/>
        <item x="84"/>
        <item x="38"/>
        <item x="82"/>
        <item x="70"/>
        <item t="default"/>
      </items>
    </pivotField>
    <pivotField dataField="1" showAll="0"/>
    <pivotField showAll="0"/>
    <pivotField axis="axisRow" showAll="0">
      <items count="12">
        <item sd="0" x="9"/>
        <item sd="0" x="1"/>
        <item sd="0" x="6"/>
        <item sd="0" x="5"/>
        <item sd="0" x="10"/>
        <item sd="0" x="0"/>
        <item sd="0" x="4"/>
        <item sd="0" x="7"/>
        <item sd="0" x="2"/>
        <item sd="0" x="8"/>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s>
  <rowFields count="2">
    <field x="8"/>
    <field x="5"/>
  </rowFields>
  <rowItems count="12">
    <i>
      <x/>
    </i>
    <i>
      <x v="1"/>
    </i>
    <i>
      <x v="2"/>
    </i>
    <i>
      <x v="3"/>
    </i>
    <i>
      <x v="4"/>
    </i>
    <i>
      <x v="5"/>
    </i>
    <i>
      <x v="6"/>
    </i>
    <i>
      <x v="7"/>
    </i>
    <i>
      <x v="8"/>
    </i>
    <i>
      <x v="9"/>
    </i>
    <i>
      <x v="10"/>
    </i>
    <i t="grand">
      <x/>
    </i>
  </rowItems>
  <colFields count="1">
    <field x="-2"/>
  </colFields>
  <colItems count="5">
    <i>
      <x/>
    </i>
    <i i="1">
      <x v="1"/>
    </i>
    <i i="2">
      <x v="2"/>
    </i>
    <i i="3">
      <x v="3"/>
    </i>
    <i i="4">
      <x v="4"/>
    </i>
  </colItems>
  <dataFields count="5">
    <dataField name="Count of Application Long Name" fld="6" subtotal="count" baseField="0" baseItem="0"/>
    <dataField name="Sum of Current FTC" fld="30" baseField="0" baseItem="0" numFmtId="1"/>
    <dataField name="Sum of Current FTE" fld="31" baseField="0" baseItem="0" numFmtId="1"/>
    <dataField name="Sum of Current MGCC" fld="32" baseField="0" baseItem="0" numFmtId="1"/>
    <dataField name="Sum of Target # of FTC" fld="35" baseField="8" baseItem="0" numFmtId="1"/>
  </dataFields>
  <formats count="3">
    <format dxfId="7">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4"/>
          </reference>
        </references>
      </pivotArea>
    </format>
    <format dxfId="9">
      <pivotArea outline="0" collapsedLevelsAreSubtotals="1" fieldPosition="0">
        <references count="1">
          <reference field="4294967294" count="2" selected="0">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81F7A-B97C-4304-AC9E-70DE13C39172}" name="PivotTable2" cacheId="20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F60" firstHeaderRow="0" firstDataRow="1" firstDataCol="1"/>
  <pivotFields count="38">
    <pivotField axis="axisRow" showAll="0">
      <items count="6">
        <item sd="0" x="2"/>
        <item sd="0" x="3"/>
        <item x="0"/>
        <item x="1"/>
        <item sd="0" x="4"/>
        <item t="default" sd="0"/>
      </items>
    </pivotField>
    <pivotField showAll="0"/>
    <pivotField showAll="0"/>
    <pivotField showAll="0"/>
    <pivotField showAll="0"/>
    <pivotField axis="axisRow" showAll="0">
      <items count="143">
        <item x="54"/>
        <item x="76"/>
        <item x="116"/>
        <item x="105"/>
        <item x="22"/>
        <item x="124"/>
        <item x="57"/>
        <item x="85"/>
        <item x="61"/>
        <item x="111"/>
        <item x="37"/>
        <item x="28"/>
        <item x="32"/>
        <item x="27"/>
        <item x="25"/>
        <item x="24"/>
        <item x="35"/>
        <item x="31"/>
        <item x="30"/>
        <item x="29"/>
        <item x="34"/>
        <item x="26"/>
        <item x="23"/>
        <item x="60"/>
        <item x="87"/>
        <item x="93"/>
        <item x="122"/>
        <item x="98"/>
        <item x="71"/>
        <item x="94"/>
        <item x="140"/>
        <item x="137"/>
        <item x="121"/>
        <item x="15"/>
        <item x="123"/>
        <item x="59"/>
        <item x="107"/>
        <item x="126"/>
        <item x="120"/>
        <item x="112"/>
        <item x="65"/>
        <item x="119"/>
        <item x="14"/>
        <item x="0"/>
        <item x="100"/>
        <item x="127"/>
        <item x="131"/>
        <item x="113"/>
        <item x="108"/>
        <item x="139"/>
        <item x="91"/>
        <item x="102"/>
        <item x="110"/>
        <item x="104"/>
        <item x="103"/>
        <item x="96"/>
        <item x="101"/>
        <item x="89"/>
        <item x="99"/>
        <item x="95"/>
        <item x="114"/>
        <item x="10"/>
        <item x="6"/>
        <item x="2"/>
        <item x="3"/>
        <item x="4"/>
        <item x="8"/>
        <item x="13"/>
        <item x="7"/>
        <item x="1"/>
        <item x="21"/>
        <item x="12"/>
        <item x="5"/>
        <item x="9"/>
        <item x="75"/>
        <item x="92"/>
        <item x="20"/>
        <item x="19"/>
        <item x="138"/>
        <item x="133"/>
        <item x="128"/>
        <item x="118"/>
        <item x="80"/>
        <item x="81"/>
        <item x="55"/>
        <item x="49"/>
        <item x="109"/>
        <item x="130"/>
        <item x="135"/>
        <item x="33"/>
        <item x="68"/>
        <item x="125"/>
        <item x="115"/>
        <item x="18"/>
        <item x="11"/>
        <item x="136"/>
        <item x="97"/>
        <item x="117"/>
        <item x="134"/>
        <item x="17"/>
        <item x="16"/>
        <item x="141"/>
        <item x="52"/>
        <item x="53"/>
        <item x="40"/>
        <item x="90"/>
        <item x="36"/>
        <item x="42"/>
        <item x="41"/>
        <item x="39"/>
        <item x="77"/>
        <item x="51"/>
        <item x="46"/>
        <item x="43"/>
        <item x="47"/>
        <item x="44"/>
        <item x="45"/>
        <item x="132"/>
        <item x="58"/>
        <item x="48"/>
        <item x="69"/>
        <item x="79"/>
        <item x="78"/>
        <item x="63"/>
        <item x="129"/>
        <item x="106"/>
        <item x="73"/>
        <item x="88"/>
        <item x="67"/>
        <item x="83"/>
        <item x="72"/>
        <item x="66"/>
        <item x="56"/>
        <item x="86"/>
        <item x="62"/>
        <item x="50"/>
        <item x="74"/>
        <item x="64"/>
        <item x="84"/>
        <item x="38"/>
        <item x="82"/>
        <item x="70"/>
        <item t="default"/>
      </items>
    </pivotField>
    <pivotField dataField="1" showAll="0"/>
    <pivotField showAll="0"/>
    <pivotField axis="axisRow" showAll="0">
      <items count="12">
        <item sd="0" x="9"/>
        <item x="1"/>
        <item sd="0" x="6"/>
        <item x="5"/>
        <item sd="0" x="10"/>
        <item sd="0" x="0"/>
        <item sd="0" x="4"/>
        <item sd="0" x="7"/>
        <item sd="0" x="2"/>
        <item x="8"/>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s>
  <rowFields count="3">
    <field x="0"/>
    <field x="8"/>
    <field x="5"/>
  </rowFields>
  <rowItems count="41">
    <i>
      <x/>
    </i>
    <i>
      <x v="1"/>
    </i>
    <i>
      <x v="2"/>
    </i>
    <i r="1">
      <x v="2"/>
    </i>
    <i r="1">
      <x v="3"/>
    </i>
    <i r="2">
      <x v="44"/>
    </i>
    <i r="1">
      <x v="5"/>
    </i>
    <i r="1">
      <x v="7"/>
    </i>
    <i r="1">
      <x v="9"/>
    </i>
    <i r="2">
      <x v="133"/>
    </i>
    <i>
      <x v="3"/>
    </i>
    <i r="1">
      <x v="1"/>
    </i>
    <i r="2">
      <x v="4"/>
    </i>
    <i r="2">
      <x v="22"/>
    </i>
    <i r="2">
      <x v="33"/>
    </i>
    <i r="2">
      <x v="35"/>
    </i>
    <i r="2">
      <x v="42"/>
    </i>
    <i r="2">
      <x v="61"/>
    </i>
    <i r="2">
      <x v="62"/>
    </i>
    <i r="2">
      <x v="63"/>
    </i>
    <i r="2">
      <x v="64"/>
    </i>
    <i r="2">
      <x v="65"/>
    </i>
    <i r="2">
      <x v="66"/>
    </i>
    <i r="2">
      <x v="67"/>
    </i>
    <i r="2">
      <x v="68"/>
    </i>
    <i r="2">
      <x v="69"/>
    </i>
    <i r="2">
      <x v="70"/>
    </i>
    <i r="2">
      <x v="71"/>
    </i>
    <i r="2">
      <x v="72"/>
    </i>
    <i r="2">
      <x v="73"/>
    </i>
    <i r="2">
      <x v="74"/>
    </i>
    <i r="2">
      <x v="76"/>
    </i>
    <i r="2">
      <x v="77"/>
    </i>
    <i r="2">
      <x v="90"/>
    </i>
    <i r="2">
      <x v="93"/>
    </i>
    <i r="2">
      <x v="94"/>
    </i>
    <i r="2">
      <x v="99"/>
    </i>
    <i r="2">
      <x v="100"/>
    </i>
    <i r="1">
      <x v="2"/>
    </i>
    <i>
      <x v="4"/>
    </i>
    <i t="grand">
      <x/>
    </i>
  </rowItems>
  <colFields count="1">
    <field x="-2"/>
  </colFields>
  <colItems count="5">
    <i>
      <x/>
    </i>
    <i i="1">
      <x v="1"/>
    </i>
    <i i="2">
      <x v="2"/>
    </i>
    <i i="3">
      <x v="3"/>
    </i>
    <i i="4">
      <x v="4"/>
    </i>
  </colItems>
  <dataFields count="5">
    <dataField name="Count of Application Long Name" fld="6" subtotal="count" baseField="0" baseItem="0"/>
    <dataField name="Sum of Current FTC" fld="30" baseField="0" baseItem="0" numFmtId="1"/>
    <dataField name="Sum of Current FTE" fld="31" baseField="0" baseItem="0" numFmtId="1"/>
    <dataField name="Sum of Current MGCC" fld="32" baseField="0" baseItem="0" numFmtId="1"/>
    <dataField name="Sum of Target # of FTC" fld="35" baseField="8" baseItem="0" numFmtId="1"/>
  </dataFields>
  <formats count="6">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4"/>
          </reference>
        </references>
      </pivotArea>
    </format>
    <format dxfId="3">
      <pivotArea outline="0" collapsedLevelsAreSubtotals="1" fieldPosition="0">
        <references count="1">
          <reference field="4294967294" count="2" selected="0">
            <x v="2"/>
            <x v="3"/>
          </reference>
        </references>
      </pivotArea>
    </format>
    <format dxfId="4">
      <pivotArea dataOnly="0" labelOnly="1" fieldPosition="0">
        <references count="2">
          <reference field="0" count="1" selected="0">
            <x v="0"/>
          </reference>
          <reference field="8" count="1">
            <x v="9"/>
          </reference>
        </references>
      </pivotArea>
    </format>
    <format dxfId="5">
      <pivotArea dataOnly="0" labelOnly="1" fieldPosition="0">
        <references count="2">
          <reference field="0" count="1" selected="0">
            <x v="3"/>
          </reference>
          <reference field="8" count="2">
            <x v="1"/>
            <x v="2"/>
          </reference>
        </references>
      </pivotArea>
    </format>
    <format dxfId="6">
      <pivotArea dataOnly="0" labelOnly="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720F25-B1FF-4378-B728-811C0542A427}" name="PivotTable1"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6" firstHeaderRow="1" firstDataRow="2" firstDataCol="1"/>
  <pivotFields count="42">
    <pivotField axis="axisCol" showAll="0">
      <items count="6">
        <item x="2"/>
        <item x="3"/>
        <item x="0"/>
        <item x="1"/>
        <item x="4"/>
        <item t="default"/>
      </items>
    </pivotField>
    <pivotField showAll="0"/>
    <pivotField showAll="0"/>
    <pivotField showAll="0"/>
    <pivotField dataField="1" showAll="0"/>
    <pivotField showAll="0"/>
    <pivotField showAll="0"/>
    <pivotField showAll="0"/>
    <pivotField axis="axisRow" showAll="0">
      <items count="12">
        <item x="9"/>
        <item x="1"/>
        <item x="6"/>
        <item x="5"/>
        <item x="10"/>
        <item x="0"/>
        <item x="4"/>
        <item x="7"/>
        <item x="2"/>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s>
  <rowFields count="1">
    <field x="8"/>
  </rowFields>
  <rowItems count="12">
    <i>
      <x/>
    </i>
    <i>
      <x v="1"/>
    </i>
    <i>
      <x v="2"/>
    </i>
    <i>
      <x v="3"/>
    </i>
    <i>
      <x v="4"/>
    </i>
    <i>
      <x v="5"/>
    </i>
    <i>
      <x v="6"/>
    </i>
    <i>
      <x v="7"/>
    </i>
    <i>
      <x v="8"/>
    </i>
    <i>
      <x v="9"/>
    </i>
    <i>
      <x v="10"/>
    </i>
    <i t="grand">
      <x/>
    </i>
  </rowItems>
  <colFields count="1">
    <field x="0"/>
  </colFields>
  <colItems count="6">
    <i>
      <x/>
    </i>
    <i>
      <x v="1"/>
    </i>
    <i>
      <x v="2"/>
    </i>
    <i>
      <x v="3"/>
    </i>
    <i>
      <x v="4"/>
    </i>
    <i t="grand">
      <x/>
    </i>
  </colItems>
  <dataFields count="1">
    <dataField name="Count of EAI Application ID" fld="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0F034-97CD-4433-9A41-BB6A02801B15}" name="PivotTable2"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M34" firstHeaderRow="1" firstDataRow="3" firstDataCol="1" rowPageCount="1" colPageCount="1"/>
  <pivotFields count="42">
    <pivotField axis="axisCol" showAll="0">
      <items count="6">
        <item x="2"/>
        <item x="3"/>
        <item x="0"/>
        <item x="1"/>
        <item x="4"/>
        <item t="default"/>
      </items>
    </pivotField>
    <pivotField showAll="0"/>
    <pivotField showAll="0"/>
    <pivotField showAll="0"/>
    <pivotField dataField="1" showAll="0"/>
    <pivotField showAll="0"/>
    <pivotField showAll="0"/>
    <pivotField showAll="0"/>
    <pivotField axis="axisRow" showAll="0">
      <items count="12">
        <item x="9"/>
        <item x="1"/>
        <item x="6"/>
        <item x="5"/>
        <item x="10"/>
        <item x="0"/>
        <item x="4"/>
        <item x="7"/>
        <item x="2"/>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Page" showAll="0">
      <items count="3">
        <item x="0"/>
        <item x="1"/>
        <item t="default"/>
      </items>
    </pivotField>
    <pivotField showAll="0"/>
    <pivotField showAll="0"/>
    <pivotField showAll="0"/>
  </pivotFields>
  <rowFields count="1">
    <field x="8"/>
  </rowFields>
  <rowItems count="12">
    <i>
      <x/>
    </i>
    <i>
      <x v="1"/>
    </i>
    <i>
      <x v="2"/>
    </i>
    <i>
      <x v="3"/>
    </i>
    <i>
      <x v="4"/>
    </i>
    <i>
      <x v="5"/>
    </i>
    <i>
      <x v="6"/>
    </i>
    <i>
      <x v="7"/>
    </i>
    <i>
      <x v="8"/>
    </i>
    <i>
      <x v="9"/>
    </i>
    <i>
      <x v="10"/>
    </i>
    <i t="grand">
      <x/>
    </i>
  </rowItems>
  <colFields count="2">
    <field x="0"/>
    <field x="-2"/>
  </colFields>
  <colItems count="12">
    <i>
      <x/>
      <x/>
    </i>
    <i r="1" i="1">
      <x v="1"/>
    </i>
    <i>
      <x v="1"/>
      <x/>
    </i>
    <i r="1" i="1">
      <x v="1"/>
    </i>
    <i>
      <x v="2"/>
      <x/>
    </i>
    <i r="1" i="1">
      <x v="1"/>
    </i>
    <i>
      <x v="3"/>
      <x/>
    </i>
    <i r="1" i="1">
      <x v="1"/>
    </i>
    <i>
      <x v="4"/>
      <x/>
    </i>
    <i r="1" i="1">
      <x v="1"/>
    </i>
    <i t="grand">
      <x/>
    </i>
    <i t="grand" i="1">
      <x/>
    </i>
  </colItems>
  <pageFields count="1">
    <pageField fld="38" hier="-1"/>
  </pageFields>
  <dataFields count="2">
    <dataField name="Count of EAI Application ID" fld="4" subtotal="count" baseField="8" baseItem="0"/>
    <dataField name="Sum of Total"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EB03-F1A1-4C67-95FF-B6A0E2A597FA}">
  <dimension ref="A3:H60"/>
  <sheetViews>
    <sheetView topLeftCell="A28" workbookViewId="0"/>
  </sheetViews>
  <sheetFormatPr defaultRowHeight="14.45"/>
  <cols>
    <col min="1" max="1" width="29.85546875" customWidth="1"/>
    <col min="2" max="2" width="17.42578125" customWidth="1"/>
    <col min="3" max="3" width="17.140625" bestFit="1" customWidth="1"/>
    <col min="4" max="4" width="16.7109375" bestFit="1" customWidth="1"/>
    <col min="5" max="5" width="19.140625" bestFit="1" customWidth="1"/>
    <col min="6" max="6" width="16" bestFit="1" customWidth="1"/>
    <col min="7" max="7" width="4" customWidth="1"/>
  </cols>
  <sheetData>
    <row r="3" spans="1:8">
      <c r="A3" s="34" t="s">
        <v>0</v>
      </c>
      <c r="B3" t="s">
        <v>1</v>
      </c>
      <c r="C3" t="s">
        <v>2</v>
      </c>
      <c r="D3" t="s">
        <v>3</v>
      </c>
      <c r="E3" t="s">
        <v>4</v>
      </c>
      <c r="F3" t="s">
        <v>5</v>
      </c>
      <c r="H3" s="37" t="s">
        <v>6</v>
      </c>
    </row>
    <row r="4" spans="1:8">
      <c r="A4" s="35" t="s">
        <v>7</v>
      </c>
      <c r="B4">
        <v>10</v>
      </c>
      <c r="C4" s="36">
        <v>98.095708333333334</v>
      </c>
      <c r="D4" s="36">
        <v>35.314583333333331</v>
      </c>
      <c r="E4" s="36">
        <v>65.37</v>
      </c>
      <c r="F4" s="36">
        <v>99.390145833333335</v>
      </c>
      <c r="H4" s="36">
        <f>C4-F4</f>
        <v>-1.2944375000000008</v>
      </c>
    </row>
    <row r="5" spans="1:8">
      <c r="A5" s="35" t="s">
        <v>8</v>
      </c>
      <c r="B5">
        <v>28</v>
      </c>
      <c r="C5" s="36">
        <v>203.93583333333336</v>
      </c>
      <c r="D5" s="36">
        <v>26.814166666666669</v>
      </c>
      <c r="E5" s="36">
        <v>0</v>
      </c>
      <c r="F5" s="36">
        <v>115.37499999999999</v>
      </c>
      <c r="H5" s="36">
        <f>C5-F5</f>
        <v>88.560833333333377</v>
      </c>
    </row>
    <row r="6" spans="1:8">
      <c r="A6" s="35" t="s">
        <v>9</v>
      </c>
      <c r="B6">
        <v>33</v>
      </c>
      <c r="C6" s="36">
        <v>36.744706249999993</v>
      </c>
      <c r="D6" s="36">
        <v>12.194166666666666</v>
      </c>
      <c r="E6" s="36">
        <v>1.5</v>
      </c>
      <c r="F6" s="36">
        <v>25.219436458333334</v>
      </c>
      <c r="H6" s="36">
        <f>C6-F6</f>
        <v>11.525269791666659</v>
      </c>
    </row>
    <row r="7" spans="1:8">
      <c r="A7" s="35" t="s">
        <v>10</v>
      </c>
      <c r="B7">
        <v>8</v>
      </c>
      <c r="C7" s="36">
        <v>55.747916666666654</v>
      </c>
      <c r="D7" s="36">
        <v>42.233333333333398</v>
      </c>
      <c r="E7" s="36">
        <v>22.91041666666667</v>
      </c>
      <c r="F7" s="36">
        <v>60.445833333333368</v>
      </c>
      <c r="H7" s="36">
        <f>C7-F7</f>
        <v>-4.697916666666714</v>
      </c>
    </row>
    <row r="8" spans="1:8">
      <c r="A8" s="35" t="s">
        <v>11</v>
      </c>
      <c r="B8">
        <v>3</v>
      </c>
      <c r="C8" s="36">
        <v>64.704593749999987</v>
      </c>
      <c r="D8" s="36">
        <v>18.825000000000003</v>
      </c>
      <c r="E8" s="36">
        <v>15.991666666666664</v>
      </c>
      <c r="F8" s="36">
        <v>50.38248437499999</v>
      </c>
      <c r="H8" s="36">
        <f>C8-F8</f>
        <v>14.322109374999997</v>
      </c>
    </row>
    <row r="9" spans="1:8">
      <c r="A9" s="35" t="s">
        <v>12</v>
      </c>
      <c r="B9">
        <v>5</v>
      </c>
      <c r="C9" s="36">
        <v>38.147791666666663</v>
      </c>
      <c r="D9" s="36">
        <v>9.779166666666665</v>
      </c>
      <c r="E9" s="36">
        <v>0.58333333333333337</v>
      </c>
      <c r="F9" s="36">
        <v>24.25514583333333</v>
      </c>
      <c r="H9" s="36">
        <f>C9-F9</f>
        <v>13.892645833333333</v>
      </c>
    </row>
    <row r="10" spans="1:8">
      <c r="A10" s="35" t="s">
        <v>13</v>
      </c>
      <c r="B10">
        <v>6</v>
      </c>
      <c r="C10" s="36">
        <v>85.448458333333321</v>
      </c>
      <c r="D10" s="36">
        <v>13.479166666666666</v>
      </c>
      <c r="E10" s="36">
        <v>22.645833333333332</v>
      </c>
      <c r="F10" s="36">
        <v>60.786729166666653</v>
      </c>
      <c r="H10" s="36">
        <f>C10-F10</f>
        <v>24.661729166666667</v>
      </c>
    </row>
    <row r="11" spans="1:8">
      <c r="A11" s="35" t="s">
        <v>14</v>
      </c>
      <c r="B11">
        <v>9</v>
      </c>
      <c r="C11" s="36">
        <v>27.842083333333342</v>
      </c>
      <c r="D11" s="36">
        <v>7.5270833333333345</v>
      </c>
      <c r="E11" s="36">
        <v>8.7850000000000001</v>
      </c>
      <c r="F11" s="36">
        <v>22.077083333333334</v>
      </c>
      <c r="H11" s="36">
        <f>C11-F11</f>
        <v>5.7650000000000077</v>
      </c>
    </row>
    <row r="12" spans="1:8">
      <c r="A12" s="35" t="s">
        <v>15</v>
      </c>
      <c r="B12">
        <v>12</v>
      </c>
      <c r="C12" s="36">
        <v>40.463541666666671</v>
      </c>
      <c r="D12" s="36">
        <v>1.0270833333333333</v>
      </c>
      <c r="E12" s="36">
        <v>0</v>
      </c>
      <c r="F12" s="36">
        <v>20.245312500000008</v>
      </c>
      <c r="H12" s="36">
        <f>C12-F12</f>
        <v>20.218229166666664</v>
      </c>
    </row>
    <row r="13" spans="1:8">
      <c r="A13" s="35" t="s">
        <v>16</v>
      </c>
      <c r="B13">
        <v>13</v>
      </c>
      <c r="C13" s="36">
        <v>267.93104166666672</v>
      </c>
      <c r="D13" s="36">
        <v>81.104166666666686</v>
      </c>
      <c r="E13" s="36">
        <v>91.220833333333317</v>
      </c>
      <c r="F13" s="36">
        <v>219.35697916666669</v>
      </c>
      <c r="H13" s="36">
        <f>C13-F13</f>
        <v>48.574062500000025</v>
      </c>
    </row>
    <row r="14" spans="1:8">
      <c r="A14" s="35" t="s">
        <v>17</v>
      </c>
      <c r="B14">
        <v>15</v>
      </c>
      <c r="C14" s="36">
        <v>25.462458333333331</v>
      </c>
      <c r="D14" s="36">
        <v>25.966666666666676</v>
      </c>
      <c r="E14" s="36">
        <v>11</v>
      </c>
      <c r="F14" s="36">
        <v>54.453875000000018</v>
      </c>
      <c r="H14" s="36">
        <f>C14-F14</f>
        <v>-28.991416666666687</v>
      </c>
    </row>
    <row r="15" spans="1:8">
      <c r="A15" s="35" t="s">
        <v>18</v>
      </c>
      <c r="B15">
        <v>142</v>
      </c>
      <c r="C15" s="36">
        <v>944.524133333333</v>
      </c>
      <c r="D15" s="36">
        <v>274.26458333333341</v>
      </c>
      <c r="E15" s="36">
        <v>240.00708333333336</v>
      </c>
      <c r="F15" s="36">
        <v>751.98802500000011</v>
      </c>
      <c r="H15" s="36">
        <f>C15-F15</f>
        <v>192.53610833333289</v>
      </c>
    </row>
    <row r="16" spans="1:8">
      <c r="H16" s="36">
        <f>C16-F16</f>
        <v>0</v>
      </c>
    </row>
    <row r="17" spans="1:8">
      <c r="H17" s="36">
        <f>C17-F17</f>
        <v>0</v>
      </c>
    </row>
    <row r="18" spans="1:8">
      <c r="H18" s="36">
        <f>C18-F18</f>
        <v>0</v>
      </c>
    </row>
    <row r="19" spans="1:8">
      <c r="A19" s="34" t="s">
        <v>0</v>
      </c>
      <c r="B19" t="s">
        <v>1</v>
      </c>
      <c r="C19" t="s">
        <v>2</v>
      </c>
      <c r="D19" t="s">
        <v>3</v>
      </c>
      <c r="E19" t="s">
        <v>4</v>
      </c>
      <c r="F19" t="s">
        <v>5</v>
      </c>
      <c r="H19" s="37" t="s">
        <v>19</v>
      </c>
    </row>
    <row r="20" spans="1:8">
      <c r="A20" s="35" t="s">
        <v>20</v>
      </c>
      <c r="B20">
        <v>100</v>
      </c>
      <c r="C20" s="36">
        <v>618.29037291666657</v>
      </c>
      <c r="D20" s="36">
        <v>193.12958333333339</v>
      </c>
      <c r="E20" s="36">
        <v>202.6454166666667</v>
      </c>
      <c r="F20" s="36">
        <v>529.00095729166674</v>
      </c>
      <c r="H20" s="36">
        <f>C20-F20</f>
        <v>89.289415624999833</v>
      </c>
    </row>
    <row r="21" spans="1:8">
      <c r="A21" s="41" t="s">
        <v>21</v>
      </c>
      <c r="B21">
        <v>3</v>
      </c>
      <c r="C21" s="36">
        <v>64.704593749999987</v>
      </c>
      <c r="D21" s="36">
        <v>18.825000000000003</v>
      </c>
      <c r="E21" s="36">
        <v>15.991666666666664</v>
      </c>
      <c r="F21" s="36">
        <v>50.38248437499999</v>
      </c>
      <c r="H21" s="36">
        <f>C21-F21</f>
        <v>14.322109374999997</v>
      </c>
    </row>
    <row r="22" spans="1:8">
      <c r="A22" s="35" t="s">
        <v>22</v>
      </c>
      <c r="B22">
        <v>5</v>
      </c>
      <c r="C22" s="36">
        <v>41.781000000000006</v>
      </c>
      <c r="D22" s="36">
        <v>24.322916666666668</v>
      </c>
      <c r="E22" s="36">
        <v>21.328333333333333</v>
      </c>
      <c r="F22" s="36">
        <v>43.716125000000005</v>
      </c>
      <c r="H22" s="36">
        <f>C22-F22</f>
        <v>-1.9351249999999993</v>
      </c>
    </row>
    <row r="23" spans="1:8">
      <c r="A23" s="38" t="s">
        <v>9</v>
      </c>
      <c r="B23">
        <v>1</v>
      </c>
      <c r="C23" s="36">
        <v>2.4426666666666668</v>
      </c>
      <c r="D23" s="36">
        <v>0.5708333333333333</v>
      </c>
      <c r="E23" s="36">
        <v>0</v>
      </c>
      <c r="F23" s="36">
        <v>1.50675</v>
      </c>
      <c r="H23" s="36">
        <f>C23-F23</f>
        <v>0.93591666666666673</v>
      </c>
    </row>
    <row r="24" spans="1:8">
      <c r="A24" s="38" t="s">
        <v>10</v>
      </c>
      <c r="B24">
        <v>1</v>
      </c>
      <c r="C24" s="36">
        <v>9.5833333333333321</v>
      </c>
      <c r="D24" s="36">
        <v>11.337500000000002</v>
      </c>
      <c r="E24" s="36">
        <v>7.0833333333333357</v>
      </c>
      <c r="F24" s="36">
        <v>14.002083333333335</v>
      </c>
      <c r="H24" s="36">
        <f>C24-F24</f>
        <v>-4.4187500000000028</v>
      </c>
    </row>
    <row r="25" spans="1:8">
      <c r="A25" s="39" t="s">
        <v>23</v>
      </c>
      <c r="B25">
        <v>1</v>
      </c>
      <c r="C25" s="36">
        <v>9.5833333333333321</v>
      </c>
      <c r="D25" s="36">
        <v>11.337500000000002</v>
      </c>
      <c r="E25" s="36">
        <v>7.0833333333333357</v>
      </c>
      <c r="F25" s="36">
        <v>14.002083333333335</v>
      </c>
      <c r="H25" s="36">
        <f>C25-F25</f>
        <v>-4.4187500000000028</v>
      </c>
    </row>
    <row r="26" spans="1:8">
      <c r="A26" s="38" t="s">
        <v>12</v>
      </c>
      <c r="B26">
        <v>1</v>
      </c>
      <c r="C26" s="36"/>
      <c r="D26" s="36"/>
      <c r="E26" s="36"/>
      <c r="F26" s="36">
        <v>0</v>
      </c>
      <c r="H26" s="36">
        <f>C26-F26</f>
        <v>0</v>
      </c>
    </row>
    <row r="27" spans="1:8">
      <c r="A27" s="38" t="s">
        <v>14</v>
      </c>
      <c r="B27">
        <v>1</v>
      </c>
      <c r="C27" s="36">
        <v>8.9216666666666686</v>
      </c>
      <c r="D27" s="36">
        <v>2.4104166666666669</v>
      </c>
      <c r="E27" s="36">
        <v>1.5199999999999998</v>
      </c>
      <c r="F27" s="36">
        <v>6.4260416666666673</v>
      </c>
      <c r="H27" s="36">
        <f>C27-F27</f>
        <v>2.4956250000000013</v>
      </c>
    </row>
    <row r="28" spans="1:8">
      <c r="A28" s="38" t="s">
        <v>16</v>
      </c>
      <c r="B28">
        <v>1</v>
      </c>
      <c r="C28" s="36">
        <v>20.833333333333332</v>
      </c>
      <c r="D28" s="36">
        <v>10.004166666666666</v>
      </c>
      <c r="E28" s="36">
        <v>12.724999999999998</v>
      </c>
      <c r="F28" s="36">
        <v>21.78125</v>
      </c>
      <c r="H28" s="36">
        <f>C28-F28</f>
        <v>-0.94791666666666785</v>
      </c>
    </row>
    <row r="29" spans="1:8">
      <c r="A29" s="39" t="s">
        <v>24</v>
      </c>
      <c r="B29">
        <v>1</v>
      </c>
      <c r="C29" s="36">
        <v>20.833333333333332</v>
      </c>
      <c r="D29" s="36">
        <v>10.004166666666666</v>
      </c>
      <c r="E29" s="36">
        <v>12.724999999999998</v>
      </c>
      <c r="F29" s="36">
        <v>21.78125</v>
      </c>
      <c r="H29" s="36">
        <f>C29-F29</f>
        <v>-0.94791666666666785</v>
      </c>
    </row>
    <row r="30" spans="1:8">
      <c r="A30" s="35" t="s">
        <v>25</v>
      </c>
      <c r="B30">
        <v>28</v>
      </c>
      <c r="C30" s="36">
        <v>207.90404166666667</v>
      </c>
      <c r="D30" s="36">
        <v>29.603749999999998</v>
      </c>
      <c r="E30" s="36">
        <v>0</v>
      </c>
      <c r="F30" s="36">
        <v>118.75389583333332</v>
      </c>
      <c r="H30" s="36">
        <f>C30-F30</f>
        <v>89.150145833333355</v>
      </c>
    </row>
    <row r="31" spans="1:8">
      <c r="A31" s="40" t="s">
        <v>8</v>
      </c>
      <c r="B31">
        <v>26</v>
      </c>
      <c r="C31" s="36">
        <v>202.76654166666668</v>
      </c>
      <c r="D31" s="36">
        <v>26.50375</v>
      </c>
      <c r="E31" s="36">
        <v>0</v>
      </c>
      <c r="F31" s="36">
        <v>114.63514583333333</v>
      </c>
      <c r="H31" s="36">
        <f>C31-F31</f>
        <v>88.131395833333357</v>
      </c>
    </row>
    <row r="32" spans="1:8">
      <c r="A32" s="39" t="s">
        <v>26</v>
      </c>
      <c r="B32">
        <v>1</v>
      </c>
      <c r="C32" s="36">
        <v>6.7267083333333355</v>
      </c>
      <c r="D32" s="36">
        <v>1.4624999999999999</v>
      </c>
      <c r="E32" s="36">
        <v>0</v>
      </c>
      <c r="F32" s="36">
        <v>4.0946041666666675</v>
      </c>
      <c r="H32" s="36">
        <f>C32-F32</f>
        <v>2.632104166666668</v>
      </c>
    </row>
    <row r="33" spans="1:8">
      <c r="A33" s="39" t="s">
        <v>27</v>
      </c>
      <c r="B33">
        <v>1</v>
      </c>
      <c r="C33" s="36">
        <v>1.6308333333333336</v>
      </c>
      <c r="D33" s="36">
        <v>0</v>
      </c>
      <c r="E33" s="36">
        <v>0</v>
      </c>
      <c r="F33" s="36">
        <v>0.81541666666666679</v>
      </c>
      <c r="H33" s="36">
        <f>C33-F33</f>
        <v>0.81541666666666679</v>
      </c>
    </row>
    <row r="34" spans="1:8">
      <c r="A34" s="39" t="s">
        <v>28</v>
      </c>
      <c r="B34">
        <v>1</v>
      </c>
      <c r="C34" s="36">
        <v>0.2</v>
      </c>
      <c r="D34" s="36">
        <v>0</v>
      </c>
      <c r="E34" s="36">
        <v>0</v>
      </c>
      <c r="F34" s="36">
        <v>9.9999999999999992E-2</v>
      </c>
      <c r="H34" s="36">
        <f>C34-F34</f>
        <v>0.10000000000000002</v>
      </c>
    </row>
    <row r="35" spans="1:8">
      <c r="A35" s="39" t="s">
        <v>29</v>
      </c>
      <c r="B35">
        <v>1</v>
      </c>
      <c r="C35" s="36">
        <v>9.2697083333333321</v>
      </c>
      <c r="D35" s="36">
        <v>2.8458333333333332</v>
      </c>
      <c r="E35" s="36">
        <v>0</v>
      </c>
      <c r="F35" s="36">
        <v>6.0577708333333327</v>
      </c>
      <c r="H35" s="36">
        <f>C35-F35</f>
        <v>3.2119374999999994</v>
      </c>
    </row>
    <row r="36" spans="1:8">
      <c r="A36" s="39" t="s">
        <v>30</v>
      </c>
      <c r="B36">
        <v>1</v>
      </c>
      <c r="C36" s="36"/>
      <c r="D36" s="36"/>
      <c r="E36" s="36"/>
      <c r="F36" s="36">
        <v>0</v>
      </c>
      <c r="H36" s="36">
        <f>C36-F36</f>
        <v>0</v>
      </c>
    </row>
    <row r="37" spans="1:8">
      <c r="A37" s="39" t="s">
        <v>31</v>
      </c>
      <c r="B37">
        <v>1</v>
      </c>
      <c r="C37" s="36">
        <v>13.545708333333339</v>
      </c>
      <c r="D37" s="36">
        <v>3.1437500000000003</v>
      </c>
      <c r="E37" s="36">
        <v>0</v>
      </c>
      <c r="F37" s="36">
        <v>8.344729166666669</v>
      </c>
      <c r="H37" s="36">
        <f>C37-F37</f>
        <v>5.20097916666667</v>
      </c>
    </row>
    <row r="38" spans="1:8">
      <c r="A38" s="39" t="s">
        <v>32</v>
      </c>
      <c r="B38">
        <v>1</v>
      </c>
      <c r="C38" s="36">
        <v>10.784166666666668</v>
      </c>
      <c r="D38" s="36">
        <v>0.74583333333333335</v>
      </c>
      <c r="E38" s="36">
        <v>0</v>
      </c>
      <c r="F38" s="36">
        <v>5.7650000000000006</v>
      </c>
      <c r="H38" s="36">
        <f>C38-F38</f>
        <v>5.019166666666667</v>
      </c>
    </row>
    <row r="39" spans="1:8">
      <c r="A39" s="39" t="s">
        <v>33</v>
      </c>
      <c r="B39">
        <v>1</v>
      </c>
      <c r="C39" s="36">
        <v>20.892166666666654</v>
      </c>
      <c r="D39" s="36">
        <v>1.8537499999999998</v>
      </c>
      <c r="E39" s="36">
        <v>0</v>
      </c>
      <c r="F39" s="36">
        <v>11.372958333333326</v>
      </c>
      <c r="H39" s="36">
        <f>C39-F39</f>
        <v>9.5192083333333279</v>
      </c>
    </row>
    <row r="40" spans="1:8">
      <c r="A40" s="39" t="s">
        <v>34</v>
      </c>
      <c r="B40">
        <v>1</v>
      </c>
      <c r="C40" s="36"/>
      <c r="D40" s="36"/>
      <c r="E40" s="36"/>
      <c r="F40" s="36">
        <v>0</v>
      </c>
      <c r="H40" s="36">
        <f>C40-F40</f>
        <v>0</v>
      </c>
    </row>
    <row r="41" spans="1:8">
      <c r="A41" s="39" t="s">
        <v>35</v>
      </c>
      <c r="B41">
        <v>1</v>
      </c>
      <c r="C41" s="36">
        <v>15.953625000000002</v>
      </c>
      <c r="D41" s="36">
        <v>1.6541666666666663</v>
      </c>
      <c r="E41" s="36">
        <v>0</v>
      </c>
      <c r="F41" s="36">
        <v>8.8038958333333337</v>
      </c>
      <c r="H41" s="36">
        <f>C41-F41</f>
        <v>7.1497291666666687</v>
      </c>
    </row>
    <row r="42" spans="1:8">
      <c r="A42" s="39" t="s">
        <v>36</v>
      </c>
      <c r="B42">
        <v>1</v>
      </c>
      <c r="C42" s="36">
        <v>5.2887500000000012</v>
      </c>
      <c r="D42" s="36">
        <v>1.0249999999999999</v>
      </c>
      <c r="E42" s="36">
        <v>0</v>
      </c>
      <c r="F42" s="36">
        <v>3.1568750000000003</v>
      </c>
      <c r="H42" s="36">
        <f>C42-F42</f>
        <v>2.1318750000000009</v>
      </c>
    </row>
    <row r="43" spans="1:8">
      <c r="A43" s="39" t="s">
        <v>37</v>
      </c>
      <c r="B43">
        <v>1</v>
      </c>
      <c r="C43" s="36">
        <v>2.1174999999999997</v>
      </c>
      <c r="D43" s="36">
        <v>0</v>
      </c>
      <c r="E43" s="36">
        <v>0</v>
      </c>
      <c r="F43" s="36">
        <v>1.0587499999999999</v>
      </c>
      <c r="H43" s="36">
        <f>C43-F43</f>
        <v>1.0587499999999999</v>
      </c>
    </row>
    <row r="44" spans="1:8">
      <c r="A44" s="39" t="s">
        <v>38</v>
      </c>
      <c r="B44">
        <v>1</v>
      </c>
      <c r="C44" s="36">
        <v>2.8966666666666661</v>
      </c>
      <c r="D44" s="36">
        <v>2.4999999999999998E-2</v>
      </c>
      <c r="E44" s="36">
        <v>0</v>
      </c>
      <c r="F44" s="36">
        <v>1.460833333333333</v>
      </c>
      <c r="H44" s="36">
        <f>C44-F44</f>
        <v>1.4358333333333331</v>
      </c>
    </row>
    <row r="45" spans="1:8">
      <c r="A45" s="39" t="s">
        <v>39</v>
      </c>
      <c r="B45">
        <v>1</v>
      </c>
      <c r="C45" s="36">
        <v>59.558958333333365</v>
      </c>
      <c r="D45" s="36">
        <v>7.7541666666666673</v>
      </c>
      <c r="E45" s="36">
        <v>0</v>
      </c>
      <c r="F45" s="36">
        <v>33.6565625</v>
      </c>
      <c r="H45" s="36">
        <f>C45-F45</f>
        <v>25.902395833333365</v>
      </c>
    </row>
    <row r="46" spans="1:8">
      <c r="A46" s="39" t="s">
        <v>40</v>
      </c>
      <c r="B46">
        <v>1</v>
      </c>
      <c r="C46" s="36">
        <v>6.0129166666666656</v>
      </c>
      <c r="D46" s="36">
        <v>0.25416666666666665</v>
      </c>
      <c r="E46" s="36">
        <v>0</v>
      </c>
      <c r="F46" s="36">
        <v>3.133541666666666</v>
      </c>
      <c r="H46" s="36">
        <f>C46-F46</f>
        <v>2.8793749999999996</v>
      </c>
    </row>
    <row r="47" spans="1:8">
      <c r="A47" s="39" t="s">
        <v>41</v>
      </c>
      <c r="B47">
        <v>1</v>
      </c>
      <c r="C47" s="36">
        <v>1.9683333333333333</v>
      </c>
      <c r="D47" s="36">
        <v>0.16458333333333336</v>
      </c>
      <c r="E47" s="36">
        <v>0</v>
      </c>
      <c r="F47" s="36">
        <v>1.0664583333333333</v>
      </c>
      <c r="H47" s="36">
        <f>C47-F47</f>
        <v>0.90187499999999998</v>
      </c>
    </row>
    <row r="48" spans="1:8">
      <c r="A48" s="39" t="s">
        <v>42</v>
      </c>
      <c r="B48">
        <v>1</v>
      </c>
      <c r="C48" s="36">
        <v>8.8045833333333299</v>
      </c>
      <c r="D48" s="36">
        <v>0.85</v>
      </c>
      <c r="E48" s="36">
        <v>0</v>
      </c>
      <c r="F48" s="36">
        <v>4.8272916666666648</v>
      </c>
      <c r="H48" s="36">
        <f>C48-F48</f>
        <v>3.9772916666666651</v>
      </c>
    </row>
    <row r="49" spans="1:8">
      <c r="A49" s="39" t="s">
        <v>43</v>
      </c>
      <c r="B49">
        <v>1</v>
      </c>
      <c r="C49" s="36">
        <v>9.7687500000000007</v>
      </c>
      <c r="D49" s="36">
        <v>1.4833333333333334</v>
      </c>
      <c r="E49" s="36">
        <v>0</v>
      </c>
      <c r="F49" s="36">
        <v>5.6260416666666675</v>
      </c>
      <c r="H49" s="36">
        <f>C49-F49</f>
        <v>4.1427083333333332</v>
      </c>
    </row>
    <row r="50" spans="1:8">
      <c r="A50" s="39" t="s">
        <v>44</v>
      </c>
      <c r="B50">
        <v>1</v>
      </c>
      <c r="C50" s="36">
        <v>1.0287500000000001</v>
      </c>
      <c r="D50" s="36">
        <v>0</v>
      </c>
      <c r="E50" s="36">
        <v>0</v>
      </c>
      <c r="F50" s="36">
        <v>0.51437500000000003</v>
      </c>
      <c r="H50" s="36">
        <f>C50-F50</f>
        <v>0.51437500000000003</v>
      </c>
    </row>
    <row r="51" spans="1:8">
      <c r="A51" s="39" t="s">
        <v>45</v>
      </c>
      <c r="B51">
        <v>1</v>
      </c>
      <c r="C51" s="36">
        <v>4.378333333333333</v>
      </c>
      <c r="D51" s="36">
        <v>0.97083333333333321</v>
      </c>
      <c r="E51" s="36">
        <v>0</v>
      </c>
      <c r="F51" s="36">
        <v>2.6745833333333331</v>
      </c>
      <c r="H51" s="36">
        <f>C51-F51</f>
        <v>1.7037499999999999</v>
      </c>
    </row>
    <row r="52" spans="1:8">
      <c r="A52" s="39" t="s">
        <v>46</v>
      </c>
      <c r="B52">
        <v>1</v>
      </c>
      <c r="C52" s="36"/>
      <c r="D52" s="36"/>
      <c r="E52" s="36"/>
      <c r="F52" s="36">
        <v>0</v>
      </c>
      <c r="H52" s="36">
        <f>C52-F52</f>
        <v>0</v>
      </c>
    </row>
    <row r="53" spans="1:8">
      <c r="A53" s="39" t="s">
        <v>47</v>
      </c>
      <c r="B53">
        <v>1</v>
      </c>
      <c r="C53" s="36">
        <v>12.606875000000006</v>
      </c>
      <c r="D53" s="36">
        <v>1.1416666666666668</v>
      </c>
      <c r="E53" s="36">
        <v>0</v>
      </c>
      <c r="F53" s="36">
        <v>6.8742708333333367</v>
      </c>
      <c r="H53" s="36">
        <f>C53-F53</f>
        <v>5.7326041666666692</v>
      </c>
    </row>
    <row r="54" spans="1:8">
      <c r="A54" s="39" t="s">
        <v>48</v>
      </c>
      <c r="B54">
        <v>1</v>
      </c>
      <c r="C54" s="36"/>
      <c r="D54" s="36"/>
      <c r="E54" s="36"/>
      <c r="F54" s="36">
        <v>0</v>
      </c>
      <c r="H54" s="36">
        <f>C54-F54</f>
        <v>0</v>
      </c>
    </row>
    <row r="55" spans="1:8">
      <c r="A55" s="39" t="s">
        <v>49</v>
      </c>
      <c r="B55">
        <v>1</v>
      </c>
      <c r="C55" s="36">
        <v>7.6683333333333339</v>
      </c>
      <c r="D55" s="36">
        <v>1.1291666666666667</v>
      </c>
      <c r="E55" s="36">
        <v>0</v>
      </c>
      <c r="F55" s="36">
        <v>4.3987500000000006</v>
      </c>
      <c r="H55" s="36">
        <f>C55-F55</f>
        <v>3.2695833333333333</v>
      </c>
    </row>
    <row r="56" spans="1:8">
      <c r="A56" s="39" t="s">
        <v>50</v>
      </c>
      <c r="B56">
        <v>1</v>
      </c>
      <c r="C56" s="36"/>
      <c r="D56" s="36"/>
      <c r="E56" s="36"/>
      <c r="F56" s="36">
        <v>0</v>
      </c>
      <c r="H56" s="36">
        <f>C56-F56</f>
        <v>0</v>
      </c>
    </row>
    <row r="57" spans="1:8">
      <c r="A57" s="39" t="s">
        <v>51</v>
      </c>
      <c r="B57">
        <v>1</v>
      </c>
      <c r="C57" s="36">
        <v>1.6648749999999999</v>
      </c>
      <c r="D57" s="36">
        <v>0</v>
      </c>
      <c r="E57" s="36">
        <v>0</v>
      </c>
      <c r="F57" s="36">
        <v>0.83243749999999994</v>
      </c>
      <c r="H57" s="36">
        <f>C57-F57</f>
        <v>0.83243749999999994</v>
      </c>
    </row>
    <row r="58" spans="1:8">
      <c r="A58" s="40" t="s">
        <v>9</v>
      </c>
      <c r="B58">
        <v>2</v>
      </c>
      <c r="C58" s="36">
        <v>5.1374999999999993</v>
      </c>
      <c r="D58" s="36">
        <v>3.1</v>
      </c>
      <c r="E58" s="36">
        <v>0</v>
      </c>
      <c r="F58" s="36">
        <v>4.1187500000000004</v>
      </c>
      <c r="H58" s="36">
        <f>C58-F58</f>
        <v>1.0187499999999989</v>
      </c>
    </row>
    <row r="59" spans="1:8">
      <c r="A59" s="35" t="s">
        <v>52</v>
      </c>
      <c r="B59">
        <v>6</v>
      </c>
      <c r="C59" s="36">
        <v>11.844125000000002</v>
      </c>
      <c r="D59" s="36">
        <v>8.3833333333333329</v>
      </c>
      <c r="E59" s="36">
        <v>4.1666666666666664E-2</v>
      </c>
      <c r="F59" s="36">
        <v>10.134562500000001</v>
      </c>
      <c r="H59" s="36">
        <f>C59-F59</f>
        <v>1.7095625000000005</v>
      </c>
    </row>
    <row r="60" spans="1:8">
      <c r="A60" s="35" t="s">
        <v>18</v>
      </c>
      <c r="B60">
        <v>142</v>
      </c>
      <c r="C60" s="36">
        <v>944.52413333333357</v>
      </c>
      <c r="D60" s="36">
        <v>274.26458333333341</v>
      </c>
      <c r="E60" s="36">
        <v>240.00708333333336</v>
      </c>
      <c r="F60" s="36">
        <v>751.98802499999954</v>
      </c>
      <c r="H60" s="36">
        <f>C60-F60</f>
        <v>192.53610833333403</v>
      </c>
    </row>
  </sheetData>
  <conditionalFormatting sqref="H4:H18 H20:H60">
    <cfRule type="cellIs" dxfId="0"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5CF4-B58A-47D6-9D45-4F2C12C6C645}">
  <dimension ref="A3:M34"/>
  <sheetViews>
    <sheetView workbookViewId="0">
      <selection activeCell="B7" sqref="B7"/>
    </sheetView>
  </sheetViews>
  <sheetFormatPr defaultRowHeight="14.45"/>
  <cols>
    <col min="1" max="1" width="39.85546875" bestFit="1" customWidth="1"/>
    <col min="2" max="2" width="15.5703125" bestFit="1" customWidth="1"/>
    <col min="3" max="3" width="9" customWidth="1"/>
    <col min="4" max="4" width="6.28515625" bestFit="1" customWidth="1"/>
    <col min="5" max="5" width="9.85546875" bestFit="1" customWidth="1"/>
    <col min="6" max="6" width="6.85546875" bestFit="1" customWidth="1"/>
    <col min="7" max="7" width="10.42578125" bestFit="1" customWidth="1"/>
    <col min="8" max="8" width="23.42578125" bestFit="1" customWidth="1"/>
    <col min="9" max="9" width="15.28515625" customWidth="1"/>
    <col min="10" max="10" width="23.42578125" bestFit="1" customWidth="1"/>
    <col min="11" max="11" width="11.85546875" bestFit="1" customWidth="1"/>
    <col min="12" max="12" width="27.85546875" bestFit="1" customWidth="1"/>
    <col min="13" max="13" width="15.5703125" bestFit="1" customWidth="1"/>
    <col min="14" max="14" width="1.85546875" bestFit="1" customWidth="1"/>
    <col min="15" max="15" width="11.28515625" bestFit="1" customWidth="1"/>
    <col min="16" max="16" width="10.42578125" bestFit="1" customWidth="1"/>
  </cols>
  <sheetData>
    <row r="3" spans="1:7">
      <c r="A3" s="34" t="s">
        <v>53</v>
      </c>
      <c r="B3" s="34" t="s">
        <v>54</v>
      </c>
    </row>
    <row r="4" spans="1:7">
      <c r="A4" s="34" t="s">
        <v>0</v>
      </c>
      <c r="B4" t="s">
        <v>20</v>
      </c>
      <c r="C4" t="s">
        <v>21</v>
      </c>
      <c r="D4" t="s">
        <v>22</v>
      </c>
      <c r="E4" t="s">
        <v>25</v>
      </c>
      <c r="F4" t="s">
        <v>52</v>
      </c>
      <c r="G4" t="s">
        <v>18</v>
      </c>
    </row>
    <row r="5" spans="1:7">
      <c r="A5" s="35" t="s">
        <v>7</v>
      </c>
      <c r="B5">
        <v>9</v>
      </c>
      <c r="F5">
        <v>1</v>
      </c>
      <c r="G5">
        <v>10</v>
      </c>
    </row>
    <row r="6" spans="1:7">
      <c r="A6" s="35" t="s">
        <v>8</v>
      </c>
      <c r="B6">
        <v>2</v>
      </c>
      <c r="E6">
        <v>26</v>
      </c>
      <c r="G6">
        <v>28</v>
      </c>
    </row>
    <row r="7" spans="1:7">
      <c r="A7" s="35" t="s">
        <v>9</v>
      </c>
      <c r="B7">
        <v>29</v>
      </c>
      <c r="D7">
        <v>1</v>
      </c>
      <c r="E7">
        <v>2</v>
      </c>
      <c r="F7">
        <v>1</v>
      </c>
      <c r="G7">
        <v>33</v>
      </c>
    </row>
    <row r="8" spans="1:7">
      <c r="A8" s="35" t="s">
        <v>10</v>
      </c>
      <c r="B8">
        <v>6</v>
      </c>
      <c r="D8">
        <v>1</v>
      </c>
      <c r="F8">
        <v>1</v>
      </c>
      <c r="G8">
        <v>8</v>
      </c>
    </row>
    <row r="9" spans="1:7">
      <c r="A9" s="35" t="s">
        <v>11</v>
      </c>
      <c r="C9">
        <v>3</v>
      </c>
      <c r="G9">
        <v>3</v>
      </c>
    </row>
    <row r="10" spans="1:7">
      <c r="A10" s="35" t="s">
        <v>12</v>
      </c>
      <c r="B10">
        <v>4</v>
      </c>
      <c r="D10">
        <v>1</v>
      </c>
      <c r="G10">
        <v>5</v>
      </c>
    </row>
    <row r="11" spans="1:7">
      <c r="A11" s="35" t="s">
        <v>13</v>
      </c>
      <c r="B11">
        <v>6</v>
      </c>
      <c r="G11">
        <v>6</v>
      </c>
    </row>
    <row r="12" spans="1:7">
      <c r="A12" s="35" t="s">
        <v>14</v>
      </c>
      <c r="B12">
        <v>8</v>
      </c>
      <c r="D12">
        <v>1</v>
      </c>
      <c r="G12">
        <v>9</v>
      </c>
    </row>
    <row r="13" spans="1:7">
      <c r="A13" s="35" t="s">
        <v>15</v>
      </c>
      <c r="B13">
        <v>12</v>
      </c>
      <c r="G13">
        <v>12</v>
      </c>
    </row>
    <row r="14" spans="1:7">
      <c r="A14" s="35" t="s">
        <v>16</v>
      </c>
      <c r="B14">
        <v>12</v>
      </c>
      <c r="D14">
        <v>1</v>
      </c>
      <c r="G14">
        <v>13</v>
      </c>
    </row>
    <row r="15" spans="1:7">
      <c r="A15" s="35" t="s">
        <v>17</v>
      </c>
      <c r="B15">
        <v>12</v>
      </c>
      <c r="F15">
        <v>3</v>
      </c>
      <c r="G15">
        <v>15</v>
      </c>
    </row>
    <row r="16" spans="1:7">
      <c r="A16" s="35" t="s">
        <v>18</v>
      </c>
      <c r="B16">
        <v>100</v>
      </c>
      <c r="C16">
        <v>3</v>
      </c>
      <c r="D16">
        <v>5</v>
      </c>
      <c r="E16">
        <v>28</v>
      </c>
      <c r="F16">
        <v>6</v>
      </c>
      <c r="G16">
        <v>142</v>
      </c>
    </row>
    <row r="18" spans="1:13">
      <c r="A18" s="34" t="s">
        <v>55</v>
      </c>
      <c r="B18" t="s">
        <v>56</v>
      </c>
    </row>
    <row r="20" spans="1:13">
      <c r="B20" s="34" t="s">
        <v>54</v>
      </c>
    </row>
    <row r="21" spans="1:13">
      <c r="B21" t="s">
        <v>20</v>
      </c>
      <c r="D21" t="s">
        <v>21</v>
      </c>
      <c r="F21" t="s">
        <v>22</v>
      </c>
      <c r="H21" t="s">
        <v>25</v>
      </c>
      <c r="J21" t="s">
        <v>52</v>
      </c>
      <c r="L21" t="s">
        <v>57</v>
      </c>
      <c r="M21" t="s">
        <v>58</v>
      </c>
    </row>
    <row r="22" spans="1:13">
      <c r="A22" s="34" t="s">
        <v>0</v>
      </c>
      <c r="B22" t="s">
        <v>53</v>
      </c>
      <c r="C22" t="s">
        <v>59</v>
      </c>
      <c r="D22" t="s">
        <v>53</v>
      </c>
      <c r="E22" t="s">
        <v>59</v>
      </c>
      <c r="F22" t="s">
        <v>53</v>
      </c>
      <c r="G22" t="s">
        <v>59</v>
      </c>
      <c r="H22" t="s">
        <v>53</v>
      </c>
      <c r="I22" t="s">
        <v>59</v>
      </c>
      <c r="J22" t="s">
        <v>53</v>
      </c>
      <c r="K22" t="s">
        <v>59</v>
      </c>
    </row>
    <row r="23" spans="1:13">
      <c r="A23" s="35" t="s">
        <v>7</v>
      </c>
      <c r="B23">
        <v>9</v>
      </c>
      <c r="C23">
        <v>198.53029166666667</v>
      </c>
      <c r="J23">
        <v>1</v>
      </c>
      <c r="K23">
        <v>0.25</v>
      </c>
      <c r="L23">
        <v>10</v>
      </c>
      <c r="M23">
        <v>198.78029166666667</v>
      </c>
    </row>
    <row r="24" spans="1:13">
      <c r="A24" s="35" t="s">
        <v>8</v>
      </c>
      <c r="B24">
        <v>2</v>
      </c>
      <c r="C24">
        <v>1.4797083333333334</v>
      </c>
      <c r="H24">
        <v>26</v>
      </c>
      <c r="I24">
        <v>229.27029166666668</v>
      </c>
      <c r="L24">
        <v>28</v>
      </c>
      <c r="M24">
        <v>230.75000000000003</v>
      </c>
    </row>
    <row r="25" spans="1:13">
      <c r="A25" s="35" t="s">
        <v>9</v>
      </c>
      <c r="B25">
        <v>29</v>
      </c>
      <c r="C25">
        <v>38.408706249999994</v>
      </c>
      <c r="F25">
        <v>1</v>
      </c>
      <c r="G25">
        <v>3.0135000000000001</v>
      </c>
      <c r="H25">
        <v>2</v>
      </c>
      <c r="I25">
        <v>8.2375000000000007</v>
      </c>
      <c r="J25">
        <v>1</v>
      </c>
      <c r="K25">
        <v>0.77916666666666667</v>
      </c>
      <c r="L25">
        <v>33</v>
      </c>
      <c r="M25">
        <v>50.438872916666668</v>
      </c>
    </row>
    <row r="26" spans="1:13">
      <c r="A26" s="35" t="s">
        <v>10</v>
      </c>
      <c r="B26">
        <v>6</v>
      </c>
      <c r="C26">
        <v>86.485000000000056</v>
      </c>
      <c r="F26">
        <v>1</v>
      </c>
      <c r="G26">
        <v>28.00416666666667</v>
      </c>
      <c r="J26">
        <v>1</v>
      </c>
      <c r="K26">
        <v>6.4025000000000007</v>
      </c>
      <c r="L26">
        <v>8</v>
      </c>
      <c r="M26">
        <v>120.89166666666674</v>
      </c>
    </row>
    <row r="27" spans="1:13">
      <c r="A27" s="35" t="s">
        <v>11</v>
      </c>
      <c r="D27">
        <v>3</v>
      </c>
      <c r="E27">
        <v>100.76496874999998</v>
      </c>
      <c r="L27">
        <v>3</v>
      </c>
      <c r="M27">
        <v>100.76496874999998</v>
      </c>
    </row>
    <row r="28" spans="1:13">
      <c r="A28" s="35" t="s">
        <v>12</v>
      </c>
      <c r="B28">
        <v>4</v>
      </c>
      <c r="C28">
        <v>48.51029166666666</v>
      </c>
      <c r="F28">
        <v>1</v>
      </c>
      <c r="L28">
        <v>5</v>
      </c>
      <c r="M28">
        <v>48.51029166666666</v>
      </c>
    </row>
    <row r="29" spans="1:13">
      <c r="A29" s="35" t="s">
        <v>13</v>
      </c>
      <c r="B29">
        <v>6</v>
      </c>
      <c r="C29">
        <v>121.57345833333331</v>
      </c>
      <c r="L29">
        <v>6</v>
      </c>
      <c r="M29">
        <v>121.57345833333331</v>
      </c>
    </row>
    <row r="30" spans="1:13">
      <c r="A30" s="35" t="s">
        <v>14</v>
      </c>
      <c r="B30">
        <v>8</v>
      </c>
      <c r="C30">
        <v>31.302083333333343</v>
      </c>
      <c r="F30">
        <v>1</v>
      </c>
      <c r="G30">
        <v>12.852083333333335</v>
      </c>
      <c r="L30">
        <v>9</v>
      </c>
      <c r="M30">
        <v>44.154166666666676</v>
      </c>
    </row>
    <row r="31" spans="1:13">
      <c r="A31" s="35" t="s">
        <v>15</v>
      </c>
      <c r="B31">
        <v>12</v>
      </c>
      <c r="C31">
        <v>40.490625000000016</v>
      </c>
      <c r="L31">
        <v>12</v>
      </c>
      <c r="M31">
        <v>40.490625000000016</v>
      </c>
    </row>
    <row r="32" spans="1:13">
      <c r="A32" s="35" t="s">
        <v>16</v>
      </c>
      <c r="B32">
        <v>12</v>
      </c>
      <c r="C32">
        <v>395.15145833333338</v>
      </c>
      <c r="F32">
        <v>1</v>
      </c>
      <c r="G32">
        <v>43.5625</v>
      </c>
      <c r="L32">
        <v>13</v>
      </c>
      <c r="M32">
        <v>438.71395833333338</v>
      </c>
    </row>
    <row r="33" spans="1:13">
      <c r="A33" s="35" t="s">
        <v>17</v>
      </c>
      <c r="B33">
        <v>12</v>
      </c>
      <c r="C33">
        <v>96.070291666666705</v>
      </c>
      <c r="J33">
        <v>3</v>
      </c>
      <c r="K33">
        <v>12.837458333333334</v>
      </c>
      <c r="L33">
        <v>15</v>
      </c>
      <c r="M33">
        <v>108.90775000000004</v>
      </c>
    </row>
    <row r="34" spans="1:13">
      <c r="A34" s="35" t="s">
        <v>18</v>
      </c>
      <c r="B34">
        <v>100</v>
      </c>
      <c r="C34">
        <v>1058.0019145833328</v>
      </c>
      <c r="D34">
        <v>3</v>
      </c>
      <c r="E34">
        <v>100.76496874999998</v>
      </c>
      <c r="F34">
        <v>5</v>
      </c>
      <c r="G34">
        <v>87.43225000000001</v>
      </c>
      <c r="H34">
        <v>28</v>
      </c>
      <c r="I34">
        <v>237.50779166666666</v>
      </c>
      <c r="J34">
        <v>6</v>
      </c>
      <c r="K34">
        <v>20.269125000000003</v>
      </c>
      <c r="L34">
        <v>142</v>
      </c>
      <c r="M34">
        <v>1503.9760500000002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207F-1906-40C7-9E4B-B58C106E6EC4}">
  <sheetPr filterMode="1"/>
  <dimension ref="A1:BC153"/>
  <sheetViews>
    <sheetView showGridLines="0" tabSelected="1" topLeftCell="A3" zoomScale="70" zoomScaleNormal="70" workbookViewId="0">
      <pane xSplit="4" topLeftCell="N1" activePane="topRight" state="frozen"/>
      <selection pane="topRight" activeCell="H65" sqref="H65"/>
    </sheetView>
  </sheetViews>
  <sheetFormatPr defaultColWidth="8.85546875" defaultRowHeight="18.75" customHeight="1"/>
  <cols>
    <col min="1" max="3" width="11.42578125" style="16" customWidth="1"/>
    <col min="4" max="4" width="28.28515625" style="19" bestFit="1" customWidth="1"/>
    <col min="5" max="5" width="9.42578125" style="21" customWidth="1"/>
    <col min="6" max="6" width="29" style="21" customWidth="1"/>
    <col min="7" max="7" width="33" style="21" customWidth="1"/>
    <col min="8" max="8" width="84.140625" style="21" customWidth="1"/>
    <col min="9" max="9" width="31.85546875" style="21" customWidth="1"/>
    <col min="10" max="10" width="40.42578125" style="21" customWidth="1"/>
    <col min="11" max="11" width="27" style="21" customWidth="1"/>
    <col min="12" max="12" width="30" style="21" customWidth="1"/>
    <col min="13" max="13" width="32" style="21" customWidth="1"/>
    <col min="14" max="14" width="15.42578125" style="21" customWidth="1"/>
    <col min="15" max="15" width="20.42578125" style="21" customWidth="1"/>
    <col min="16" max="16" width="8.85546875" style="21" customWidth="1"/>
    <col min="17" max="17" width="36.42578125" style="21" customWidth="1"/>
    <col min="18" max="19" width="13.42578125" style="21" customWidth="1"/>
    <col min="20" max="20" width="20" style="21" customWidth="1"/>
    <col min="21" max="21" width="13.42578125" style="21" customWidth="1"/>
    <col min="22" max="22" width="31" style="21" customWidth="1"/>
    <col min="23" max="23" width="40" style="21" customWidth="1"/>
    <col min="24" max="24" width="31.42578125" style="21" customWidth="1"/>
    <col min="25" max="25" width="13.42578125" style="21" customWidth="1"/>
    <col min="26" max="28" width="11.42578125" style="21" customWidth="1"/>
    <col min="29" max="29" width="14.42578125" style="21" customWidth="1"/>
    <col min="30" max="30" width="11.42578125" style="21" customWidth="1"/>
    <col min="31" max="31" width="8.42578125" style="22"/>
    <col min="32" max="33" width="8.42578125" style="21"/>
    <col min="34" max="37" width="8.85546875" style="16"/>
    <col min="38" max="38" width="27.140625" style="16" bestFit="1" customWidth="1"/>
    <col min="39" max="39" width="27.140625" style="16" customWidth="1"/>
    <col min="40" max="43" width="8.85546875" style="16"/>
    <col min="44" max="44" width="23.5703125" style="16" bestFit="1" customWidth="1"/>
    <col min="45" max="45" width="10.140625" style="16" bestFit="1" customWidth="1"/>
    <col min="46" max="50" width="8.85546875" style="47"/>
    <col min="51" max="54" width="8.85546875" style="47" bestFit="1" customWidth="1"/>
    <col min="55" max="16384" width="8.85546875" style="16"/>
  </cols>
  <sheetData>
    <row r="1" spans="1:55" ht="18.75" customHeight="1">
      <c r="AM1" s="56">
        <f>AM3/AH3</f>
        <v>0.56752604505048498</v>
      </c>
      <c r="AN1" s="46" t="s">
        <v>60</v>
      </c>
      <c r="AR1" s="73">
        <f>SUM(AR3:AS3)</f>
        <v>5.4512916666666662</v>
      </c>
      <c r="AT1" s="69" t="e">
        <f>SUM(AT3:BA3)</f>
        <v>#REF!</v>
      </c>
    </row>
    <row r="3" spans="1:55" ht="18">
      <c r="AE3" s="54">
        <f>SUBTOTAL(9,AE5:AE146)</f>
        <v>3.7637916666666666</v>
      </c>
      <c r="AF3" s="54">
        <f>SUBTOTAL(9,AF5:AF146)</f>
        <v>1.6875</v>
      </c>
      <c r="AG3" s="54">
        <f>SUBTOTAL(9,AG5:AG146)</f>
        <v>0</v>
      </c>
      <c r="AH3" s="55">
        <f>SUBTOTAL(9,AH5:AH146)</f>
        <v>5.4512916666666662</v>
      </c>
      <c r="AI3" s="16">
        <f>SUBTOTAL(9,AI5:AI146)</f>
        <v>1.4892072109494052</v>
      </c>
      <c r="AJ3" s="16">
        <f>SUBTOTAL(9,AJ5:AJ146)</f>
        <v>2.7256458333333331</v>
      </c>
      <c r="AK3" s="16">
        <f>SUBTOTAL(9,AK5:AK146)</f>
        <v>2.7256458333333331</v>
      </c>
      <c r="AM3" s="16">
        <f>SUBTOTAL(9,AM5:AM146)</f>
        <v>3.09375</v>
      </c>
      <c r="AN3" s="78" t="s">
        <v>61</v>
      </c>
      <c r="AO3" s="78"/>
      <c r="AP3" s="78"/>
      <c r="AQ3" s="78"/>
      <c r="AR3" s="71">
        <f>SUBTOTAL(9,AR5:AR146)</f>
        <v>2.3575416666666666</v>
      </c>
      <c r="AS3" s="71">
        <f>SUBTOTAL(9,AS5:AS146)</f>
        <v>3.09375</v>
      </c>
      <c r="AT3" s="71" t="e">
        <f>SUBTOTAL(9,AT5:AT146)</f>
        <v>#REF!</v>
      </c>
      <c r="AU3" s="71" t="e">
        <f>SUBTOTAL(9,AU5:AU146)</f>
        <v>#REF!</v>
      </c>
      <c r="AV3" s="71" t="e">
        <f>SUBTOTAL(9,AV5:AV146)</f>
        <v>#REF!</v>
      </c>
      <c r="AW3" s="71" t="e">
        <f>SUBTOTAL(9,AW5:AW146)</f>
        <v>#REF!</v>
      </c>
      <c r="AX3" s="71" t="e">
        <f>SUBTOTAL(9,AX5:AX146)</f>
        <v>#REF!</v>
      </c>
      <c r="AY3" s="71" t="e">
        <f>SUBTOTAL(9,AY5:AY146)</f>
        <v>#REF!</v>
      </c>
      <c r="AZ3" s="71" t="e">
        <f>SUBTOTAL(9,AZ5:AZ146)</f>
        <v>#REF!</v>
      </c>
      <c r="BA3" s="71" t="e">
        <f>SUBTOTAL(9,BA5:BA146)</f>
        <v>#REF!</v>
      </c>
    </row>
    <row r="4" spans="1:55" s="19" customFormat="1" ht="53.1" customHeight="1">
      <c r="A4" s="17" t="s">
        <v>62</v>
      </c>
      <c r="B4" s="17" t="s">
        <v>63</v>
      </c>
      <c r="C4" s="17" t="s">
        <v>64</v>
      </c>
      <c r="D4" s="17" t="s">
        <v>65</v>
      </c>
      <c r="E4" s="3" t="s">
        <v>66</v>
      </c>
      <c r="F4" s="3" t="s">
        <v>67</v>
      </c>
      <c r="G4" s="3" t="s">
        <v>68</v>
      </c>
      <c r="H4" s="3" t="s">
        <v>69</v>
      </c>
      <c r="I4" s="3" t="s">
        <v>70</v>
      </c>
      <c r="J4" s="3" t="s">
        <v>71</v>
      </c>
      <c r="K4" s="3" t="s">
        <v>72</v>
      </c>
      <c r="L4" s="3" t="s">
        <v>73</v>
      </c>
      <c r="M4" s="3" t="s">
        <v>74</v>
      </c>
      <c r="N4" s="3" t="s">
        <v>75</v>
      </c>
      <c r="O4" s="3" t="s">
        <v>76</v>
      </c>
      <c r="P4" s="3" t="s">
        <v>77</v>
      </c>
      <c r="Q4" s="3" t="s">
        <v>78</v>
      </c>
      <c r="R4" s="3" t="s">
        <v>79</v>
      </c>
      <c r="S4" s="3" t="s">
        <v>80</v>
      </c>
      <c r="T4" s="3" t="s">
        <v>81</v>
      </c>
      <c r="U4" s="3" t="s">
        <v>82</v>
      </c>
      <c r="V4" s="3" t="s">
        <v>83</v>
      </c>
      <c r="W4" s="3" t="s">
        <v>84</v>
      </c>
      <c r="X4" s="3" t="s">
        <v>85</v>
      </c>
      <c r="Y4" s="3" t="s">
        <v>86</v>
      </c>
      <c r="Z4" s="23" t="s">
        <v>87</v>
      </c>
      <c r="AA4" s="23" t="s">
        <v>88</v>
      </c>
      <c r="AB4" s="23" t="s">
        <v>89</v>
      </c>
      <c r="AC4" s="24" t="s">
        <v>90</v>
      </c>
      <c r="AD4" s="23" t="s">
        <v>91</v>
      </c>
      <c r="AE4" s="25" t="s">
        <v>92</v>
      </c>
      <c r="AF4" s="26" t="s">
        <v>93</v>
      </c>
      <c r="AG4" s="26" t="s">
        <v>94</v>
      </c>
      <c r="AH4" s="26" t="s">
        <v>95</v>
      </c>
      <c r="AI4" s="27" t="s">
        <v>96</v>
      </c>
      <c r="AJ4" s="27" t="s">
        <v>97</v>
      </c>
      <c r="AK4" s="27" t="s">
        <v>98</v>
      </c>
      <c r="AL4" s="27" t="s">
        <v>99</v>
      </c>
      <c r="AM4" s="27" t="s">
        <v>100</v>
      </c>
      <c r="AN4" s="48" t="s">
        <v>55</v>
      </c>
      <c r="AO4" s="48" t="s">
        <v>101</v>
      </c>
      <c r="AP4" s="48" t="s">
        <v>102</v>
      </c>
      <c r="AQ4" s="57" t="s">
        <v>103</v>
      </c>
      <c r="AR4" s="64" t="s">
        <v>104</v>
      </c>
      <c r="AS4" s="64" t="s">
        <v>105</v>
      </c>
      <c r="AT4" s="17" t="s">
        <v>106</v>
      </c>
      <c r="AU4" s="17" t="s">
        <v>107</v>
      </c>
      <c r="AV4" s="17" t="s">
        <v>108</v>
      </c>
      <c r="AW4" s="17" t="s">
        <v>109</v>
      </c>
      <c r="AX4" s="17" t="s">
        <v>110</v>
      </c>
      <c r="AY4" s="17" t="s">
        <v>111</v>
      </c>
      <c r="AZ4" s="17" t="s">
        <v>112</v>
      </c>
      <c r="BA4" s="17" t="s">
        <v>113</v>
      </c>
      <c r="BB4" s="17" t="s">
        <v>114</v>
      </c>
      <c r="BC4" s="61"/>
    </row>
    <row r="5" spans="1:55" s="2" customFormat="1" ht="18.75" hidden="1" customHeight="1">
      <c r="A5" s="15" t="s">
        <v>22</v>
      </c>
      <c r="B5" s="15" t="s">
        <v>115</v>
      </c>
      <c r="C5" s="15"/>
      <c r="D5" s="15"/>
      <c r="E5" s="4">
        <v>9629</v>
      </c>
      <c r="F5" s="4" t="s">
        <v>116</v>
      </c>
      <c r="G5" s="4" t="s">
        <v>116</v>
      </c>
      <c r="H5" s="4" t="s">
        <v>117</v>
      </c>
      <c r="I5" s="4" t="s">
        <v>118</v>
      </c>
      <c r="J5" s="4" t="s">
        <v>119</v>
      </c>
      <c r="K5" s="4" t="s">
        <v>120</v>
      </c>
      <c r="L5" s="4" t="s">
        <v>121</v>
      </c>
      <c r="M5" s="4" t="s">
        <v>122</v>
      </c>
      <c r="N5" s="4" t="s">
        <v>123</v>
      </c>
      <c r="O5" s="4" t="s">
        <v>124</v>
      </c>
      <c r="P5" s="4" t="s">
        <v>125</v>
      </c>
      <c r="Q5" s="4" t="s">
        <v>126</v>
      </c>
      <c r="R5" s="4" t="s">
        <v>115</v>
      </c>
      <c r="S5" s="4" t="s">
        <v>115</v>
      </c>
      <c r="T5" s="4" t="s">
        <v>127</v>
      </c>
      <c r="U5" s="4" t="s">
        <v>128</v>
      </c>
      <c r="V5" s="4" t="s">
        <v>129</v>
      </c>
      <c r="W5" s="4" t="s">
        <v>130</v>
      </c>
      <c r="X5" s="4" t="s">
        <v>131</v>
      </c>
      <c r="Y5" s="4" t="s">
        <v>115</v>
      </c>
      <c r="Z5" s="4" t="s">
        <v>132</v>
      </c>
      <c r="AA5" s="4" t="s">
        <v>132</v>
      </c>
      <c r="AB5" s="4" t="s">
        <v>132</v>
      </c>
      <c r="AC5" s="4" t="s">
        <v>133</v>
      </c>
      <c r="AD5" s="4" t="s">
        <v>125</v>
      </c>
      <c r="AE5" s="5"/>
      <c r="AF5" s="5"/>
      <c r="AG5" s="5"/>
      <c r="AH5" s="5"/>
      <c r="AI5" s="6"/>
      <c r="AJ5" s="7" t="s">
        <v>128</v>
      </c>
      <c r="AK5" s="7" t="s">
        <v>128</v>
      </c>
      <c r="AL5" s="8" t="s">
        <v>134</v>
      </c>
      <c r="AM5" s="51">
        <f>AH5*(1-AI5)</f>
        <v>0</v>
      </c>
      <c r="AN5" s="49" t="str">
        <f>VLOOKUP($E5,'Capgemini PResence and HC'!$B$2:$G$143,4,0)</f>
        <v>N</v>
      </c>
      <c r="AO5" s="49">
        <f>VLOOKUP($E5,'Capgemini PResence and HC'!$B$2:$G$143,2,0)</f>
        <v>0</v>
      </c>
      <c r="AP5" s="49">
        <f>VLOOKUP($E5,'Capgemini PResence and HC'!$B$2:$G$143,3,0)</f>
        <v>0</v>
      </c>
      <c r="AQ5" s="49">
        <f>VLOOKUP($E5,'Capgemini PResence and HC'!$B$2:$G$143,6,0)</f>
        <v>0</v>
      </c>
      <c r="AR5" s="60"/>
      <c r="AS5" s="60"/>
      <c r="BB5" s="74">
        <f>SUM(AE5:AG5)-AH5</f>
        <v>0</v>
      </c>
    </row>
    <row r="6" spans="1:55" s="2" customFormat="1" ht="18.75" hidden="1" customHeight="1">
      <c r="A6" s="15" t="s">
        <v>25</v>
      </c>
      <c r="B6" s="15" t="s">
        <v>115</v>
      </c>
      <c r="C6" s="15"/>
      <c r="D6" s="15"/>
      <c r="E6" s="4">
        <v>9796</v>
      </c>
      <c r="F6" s="4" t="s">
        <v>39</v>
      </c>
      <c r="G6" s="4" t="s">
        <v>135</v>
      </c>
      <c r="H6" s="4" t="s">
        <v>136</v>
      </c>
      <c r="I6" s="4" t="s">
        <v>137</v>
      </c>
      <c r="J6" s="4" t="s">
        <v>119</v>
      </c>
      <c r="K6" s="4" t="s">
        <v>138</v>
      </c>
      <c r="L6" s="4" t="s">
        <v>121</v>
      </c>
      <c r="M6" s="4" t="s">
        <v>122</v>
      </c>
      <c r="N6" s="4" t="s">
        <v>123</v>
      </c>
      <c r="O6" s="4" t="s">
        <v>124</v>
      </c>
      <c r="P6" s="4" t="s">
        <v>132</v>
      </c>
      <c r="Q6" s="4" t="s">
        <v>139</v>
      </c>
      <c r="R6" s="4" t="s">
        <v>140</v>
      </c>
      <c r="S6" s="4" t="s">
        <v>115</v>
      </c>
      <c r="T6" s="4" t="s">
        <v>141</v>
      </c>
      <c r="U6" s="4" t="s">
        <v>128</v>
      </c>
      <c r="V6" s="4" t="s">
        <v>142</v>
      </c>
      <c r="W6" s="4" t="s">
        <v>143</v>
      </c>
      <c r="X6" s="4" t="s">
        <v>128</v>
      </c>
      <c r="Y6" s="4" t="s">
        <v>140</v>
      </c>
      <c r="Z6" s="4" t="s">
        <v>132</v>
      </c>
      <c r="AA6" s="4" t="s">
        <v>132</v>
      </c>
      <c r="AB6" s="4" t="s">
        <v>132</v>
      </c>
      <c r="AC6" s="4" t="s">
        <v>125</v>
      </c>
      <c r="AD6" s="4" t="s">
        <v>125</v>
      </c>
      <c r="AE6" s="5">
        <v>59.558958333333365</v>
      </c>
      <c r="AF6" s="5">
        <v>7.7541666666666673</v>
      </c>
      <c r="AG6" s="5">
        <v>0</v>
      </c>
      <c r="AH6" s="5">
        <v>67.313125000000028</v>
      </c>
      <c r="AI6" s="6">
        <v>0.71176374097424044</v>
      </c>
      <c r="AJ6" s="7">
        <v>33.6565625</v>
      </c>
      <c r="AK6" s="7">
        <v>33.656562500000014</v>
      </c>
      <c r="AL6" s="8"/>
      <c r="AM6" s="51">
        <f>AH6*(1-AI6)</f>
        <v>19.402083333333341</v>
      </c>
      <c r="AN6" s="50" t="str">
        <f>VLOOKUP($E6,'Capgemini PResence and HC'!$B$2:$G$143,4,0)</f>
        <v>N</v>
      </c>
      <c r="AO6" s="50">
        <f>VLOOKUP($E6,'Capgemini PResence and HC'!$B$2:$G$143,2,0)</f>
        <v>0</v>
      </c>
      <c r="AP6" s="50">
        <f>VLOOKUP($E6,'Capgemini PResence and HC'!$B$2:$G$143,3,0)</f>
        <v>0</v>
      </c>
      <c r="AQ6" s="50">
        <f>VLOOKUP($E6,'Capgemini PResence and HC'!$B$2:$G$143,6,0)</f>
        <v>0</v>
      </c>
      <c r="AR6" s="65"/>
      <c r="AS6" s="65"/>
      <c r="BB6" s="75">
        <f>SUM(AE6:AG6)-AH6</f>
        <v>0</v>
      </c>
    </row>
    <row r="7" spans="1:55" s="2" customFormat="1" ht="18.75" hidden="1" customHeight="1">
      <c r="A7" s="15" t="s">
        <v>25</v>
      </c>
      <c r="B7" s="15" t="s">
        <v>115</v>
      </c>
      <c r="C7" s="15"/>
      <c r="D7" s="15"/>
      <c r="E7" s="4">
        <v>9800</v>
      </c>
      <c r="F7" s="4" t="s">
        <v>33</v>
      </c>
      <c r="G7" s="4" t="s">
        <v>144</v>
      </c>
      <c r="H7" s="4" t="s">
        <v>145</v>
      </c>
      <c r="I7" s="4" t="s">
        <v>137</v>
      </c>
      <c r="J7" s="4" t="s">
        <v>119</v>
      </c>
      <c r="K7" s="4" t="s">
        <v>138</v>
      </c>
      <c r="L7" s="4" t="s">
        <v>121</v>
      </c>
      <c r="M7" s="4" t="s">
        <v>122</v>
      </c>
      <c r="N7" s="4" t="s">
        <v>123</v>
      </c>
      <c r="O7" s="4" t="s">
        <v>124</v>
      </c>
      <c r="P7" s="4" t="s">
        <v>132</v>
      </c>
      <c r="Q7" s="4" t="s">
        <v>139</v>
      </c>
      <c r="R7" s="4" t="s">
        <v>140</v>
      </c>
      <c r="S7" s="4" t="s">
        <v>115</v>
      </c>
      <c r="T7" s="4" t="s">
        <v>141</v>
      </c>
      <c r="U7" s="4" t="s">
        <v>128</v>
      </c>
      <c r="V7" s="4" t="s">
        <v>146</v>
      </c>
      <c r="W7" s="4" t="s">
        <v>143</v>
      </c>
      <c r="X7" s="4" t="s">
        <v>128</v>
      </c>
      <c r="Y7" s="4" t="s">
        <v>140</v>
      </c>
      <c r="Z7" s="4" t="s">
        <v>132</v>
      </c>
      <c r="AA7" s="4" t="s">
        <v>132</v>
      </c>
      <c r="AB7" s="4" t="s">
        <v>132</v>
      </c>
      <c r="AC7" s="4" t="s">
        <v>125</v>
      </c>
      <c r="AD7" s="4" t="s">
        <v>125</v>
      </c>
      <c r="AE7" s="5">
        <v>20.892166666666654</v>
      </c>
      <c r="AF7" s="5">
        <v>1.8537499999999998</v>
      </c>
      <c r="AG7" s="5">
        <v>0</v>
      </c>
      <c r="AH7" s="5">
        <v>22.745916666666652</v>
      </c>
      <c r="AI7" s="6">
        <v>0.94285787558939149</v>
      </c>
      <c r="AJ7" s="7">
        <v>11.372958333333326</v>
      </c>
      <c r="AK7" s="7">
        <v>11.372958333333326</v>
      </c>
      <c r="AL7" s="8"/>
      <c r="AM7" s="51">
        <f>AH7*(1-AI7)</f>
        <v>1.2997499999999993</v>
      </c>
      <c r="AN7" s="50" t="str">
        <f>VLOOKUP($E7,'Capgemini PResence and HC'!$B$2:$G$143,4,0)</f>
        <v>N</v>
      </c>
      <c r="AO7" s="50">
        <f>VLOOKUP($E7,'Capgemini PResence and HC'!$B$2:$G$143,2,0)</f>
        <v>0</v>
      </c>
      <c r="AP7" s="50">
        <f>VLOOKUP($E7,'Capgemini PResence and HC'!$B$2:$G$143,3,0)</f>
        <v>0</v>
      </c>
      <c r="AQ7" s="50">
        <f>VLOOKUP($E7,'Capgemini PResence and HC'!$B$2:$G$143,6,0)</f>
        <v>0</v>
      </c>
      <c r="AR7" s="65"/>
      <c r="AS7" s="65"/>
      <c r="BB7" s="75">
        <f>SUM(AE7:AG7)-AH7</f>
        <v>0</v>
      </c>
    </row>
    <row r="8" spans="1:55" s="2" customFormat="1" ht="18.75" hidden="1" customHeight="1">
      <c r="A8" s="15" t="s">
        <v>25</v>
      </c>
      <c r="B8" s="15" t="s">
        <v>115</v>
      </c>
      <c r="C8" s="15"/>
      <c r="D8" s="15"/>
      <c r="E8" s="4">
        <v>9801</v>
      </c>
      <c r="F8" s="4" t="s">
        <v>34</v>
      </c>
      <c r="G8" s="4" t="s">
        <v>147</v>
      </c>
      <c r="H8" s="4" t="s">
        <v>145</v>
      </c>
      <c r="I8" s="4" t="s">
        <v>137</v>
      </c>
      <c r="J8" s="4" t="s">
        <v>119</v>
      </c>
      <c r="K8" s="4" t="s">
        <v>138</v>
      </c>
      <c r="L8" s="4" t="s">
        <v>121</v>
      </c>
      <c r="M8" s="4" t="s">
        <v>122</v>
      </c>
      <c r="N8" s="4" t="s">
        <v>123</v>
      </c>
      <c r="O8" s="4" t="s">
        <v>124</v>
      </c>
      <c r="P8" s="4" t="s">
        <v>132</v>
      </c>
      <c r="Q8" s="4" t="s">
        <v>139</v>
      </c>
      <c r="R8" s="4" t="s">
        <v>140</v>
      </c>
      <c r="S8" s="4" t="s">
        <v>115</v>
      </c>
      <c r="T8" s="4" t="s">
        <v>141</v>
      </c>
      <c r="U8" s="4" t="s">
        <v>128</v>
      </c>
      <c r="V8" s="4" t="s">
        <v>146</v>
      </c>
      <c r="W8" s="4" t="s">
        <v>143</v>
      </c>
      <c r="X8" s="4" t="s">
        <v>128</v>
      </c>
      <c r="Y8" s="4" t="s">
        <v>140</v>
      </c>
      <c r="Z8" s="4" t="s">
        <v>132</v>
      </c>
      <c r="AA8" s="4" t="s">
        <v>132</v>
      </c>
      <c r="AB8" s="4" t="s">
        <v>132</v>
      </c>
      <c r="AC8" s="4" t="s">
        <v>125</v>
      </c>
      <c r="AD8" s="4" t="s">
        <v>125</v>
      </c>
      <c r="AE8" s="5"/>
      <c r="AF8" s="5"/>
      <c r="AG8" s="5"/>
      <c r="AH8" s="5"/>
      <c r="AI8" s="6"/>
      <c r="AJ8" s="7" t="s">
        <v>128</v>
      </c>
      <c r="AK8" s="7" t="s">
        <v>128</v>
      </c>
      <c r="AL8" s="8" t="s">
        <v>148</v>
      </c>
      <c r="AM8" s="51">
        <f>AH8*(1-AI8)</f>
        <v>0</v>
      </c>
      <c r="AN8" s="50" t="str">
        <f>VLOOKUP($E8,'Capgemini PResence and HC'!$B$2:$G$143,4,0)</f>
        <v>N</v>
      </c>
      <c r="AO8" s="50">
        <f>VLOOKUP($E8,'Capgemini PResence and HC'!$B$2:$G$143,2,0)</f>
        <v>0</v>
      </c>
      <c r="AP8" s="50">
        <f>VLOOKUP($E8,'Capgemini PResence and HC'!$B$2:$G$143,3,0)</f>
        <v>0</v>
      </c>
      <c r="AQ8" s="50">
        <f>VLOOKUP($E8,'Capgemini PResence and HC'!$B$2:$G$143,6,0)</f>
        <v>0</v>
      </c>
      <c r="AR8" s="65"/>
      <c r="AS8" s="65"/>
      <c r="BB8" s="75">
        <f>SUM(AE8:AG8)-AH8</f>
        <v>0</v>
      </c>
    </row>
    <row r="9" spans="1:55" s="2" customFormat="1" ht="18.75" hidden="1" customHeight="1">
      <c r="A9" s="15" t="s">
        <v>25</v>
      </c>
      <c r="B9" s="15" t="s">
        <v>115</v>
      </c>
      <c r="C9" s="15"/>
      <c r="D9" s="15"/>
      <c r="E9" s="4">
        <v>9802</v>
      </c>
      <c r="F9" s="4" t="s">
        <v>35</v>
      </c>
      <c r="G9" s="4" t="s">
        <v>149</v>
      </c>
      <c r="H9" s="4" t="s">
        <v>150</v>
      </c>
      <c r="I9" s="4" t="s">
        <v>137</v>
      </c>
      <c r="J9" s="4" t="s">
        <v>119</v>
      </c>
      <c r="K9" s="4" t="s">
        <v>138</v>
      </c>
      <c r="L9" s="4" t="s">
        <v>121</v>
      </c>
      <c r="M9" s="4" t="s">
        <v>122</v>
      </c>
      <c r="N9" s="4" t="s">
        <v>123</v>
      </c>
      <c r="O9" s="4" t="s">
        <v>124</v>
      </c>
      <c r="P9" s="4" t="s">
        <v>132</v>
      </c>
      <c r="Q9" s="4" t="s">
        <v>139</v>
      </c>
      <c r="R9" s="4" t="s">
        <v>140</v>
      </c>
      <c r="S9" s="4" t="s">
        <v>115</v>
      </c>
      <c r="T9" s="4" t="s">
        <v>141</v>
      </c>
      <c r="U9" s="4" t="s">
        <v>128</v>
      </c>
      <c r="V9" s="4" t="s">
        <v>146</v>
      </c>
      <c r="W9" s="4" t="s">
        <v>143</v>
      </c>
      <c r="X9" s="4" t="s">
        <v>128</v>
      </c>
      <c r="Y9" s="4" t="s">
        <v>140</v>
      </c>
      <c r="Z9" s="4" t="s">
        <v>132</v>
      </c>
      <c r="AA9" s="4" t="s">
        <v>132</v>
      </c>
      <c r="AB9" s="4" t="s">
        <v>132</v>
      </c>
      <c r="AC9" s="4" t="s">
        <v>125</v>
      </c>
      <c r="AD9" s="4" t="s">
        <v>125</v>
      </c>
      <c r="AE9" s="5">
        <v>15.953625000000002</v>
      </c>
      <c r="AF9" s="5">
        <v>1.6541666666666663</v>
      </c>
      <c r="AG9" s="5">
        <v>0</v>
      </c>
      <c r="AH9" s="5">
        <v>17.607791666666667</v>
      </c>
      <c r="AI9" s="6">
        <v>0.98287216596819116</v>
      </c>
      <c r="AJ9" s="7">
        <v>8.8038958333333337</v>
      </c>
      <c r="AK9" s="7">
        <v>8.8038958333333337</v>
      </c>
      <c r="AL9" s="8"/>
      <c r="AM9" s="51">
        <f>AH9*(1-AI9)</f>
        <v>0.30158333333333348</v>
      </c>
      <c r="AN9" s="50" t="str">
        <f>VLOOKUP($E9,'Capgemini PResence and HC'!$B$2:$G$143,4,0)</f>
        <v>N</v>
      </c>
      <c r="AO9" s="50">
        <f>VLOOKUP($E9,'Capgemini PResence and HC'!$B$2:$G$143,2,0)</f>
        <v>0</v>
      </c>
      <c r="AP9" s="50">
        <f>VLOOKUP($E9,'Capgemini PResence and HC'!$B$2:$G$143,3,0)</f>
        <v>0</v>
      </c>
      <c r="AQ9" s="50">
        <f>VLOOKUP($E9,'Capgemini PResence and HC'!$B$2:$G$143,6,0)</f>
        <v>0</v>
      </c>
      <c r="AR9" s="65"/>
      <c r="AS9" s="65"/>
      <c r="BB9" s="75">
        <f>SUM(AE9:AG9)-AH9</f>
        <v>0</v>
      </c>
    </row>
    <row r="10" spans="1:55" s="2" customFormat="1" ht="18.75" hidden="1" customHeight="1">
      <c r="A10" s="15" t="s">
        <v>25</v>
      </c>
      <c r="B10" s="15" t="s">
        <v>115</v>
      </c>
      <c r="C10" s="15"/>
      <c r="D10" s="15"/>
      <c r="E10" s="4">
        <v>9803</v>
      </c>
      <c r="F10" s="4" t="s">
        <v>42</v>
      </c>
      <c r="G10" s="4" t="s">
        <v>151</v>
      </c>
      <c r="H10" s="4" t="s">
        <v>152</v>
      </c>
      <c r="I10" s="4" t="s">
        <v>137</v>
      </c>
      <c r="J10" s="4" t="s">
        <v>119</v>
      </c>
      <c r="K10" s="4" t="s">
        <v>138</v>
      </c>
      <c r="L10" s="4" t="s">
        <v>121</v>
      </c>
      <c r="M10" s="4" t="s">
        <v>122</v>
      </c>
      <c r="N10" s="4" t="s">
        <v>123</v>
      </c>
      <c r="O10" s="4" t="s">
        <v>124</v>
      </c>
      <c r="P10" s="4" t="s">
        <v>132</v>
      </c>
      <c r="Q10" s="4" t="s">
        <v>139</v>
      </c>
      <c r="R10" s="4" t="s">
        <v>140</v>
      </c>
      <c r="S10" s="4" t="s">
        <v>115</v>
      </c>
      <c r="T10" s="4" t="s">
        <v>141</v>
      </c>
      <c r="U10" s="4" t="s">
        <v>128</v>
      </c>
      <c r="V10" s="4" t="s">
        <v>142</v>
      </c>
      <c r="W10" s="4" t="s">
        <v>143</v>
      </c>
      <c r="X10" s="4" t="s">
        <v>128</v>
      </c>
      <c r="Y10" s="4" t="s">
        <v>140</v>
      </c>
      <c r="Z10" s="4" t="s">
        <v>132</v>
      </c>
      <c r="AA10" s="4" t="s">
        <v>132</v>
      </c>
      <c r="AB10" s="4" t="s">
        <v>132</v>
      </c>
      <c r="AC10" s="4" t="s">
        <v>125</v>
      </c>
      <c r="AD10" s="4" t="s">
        <v>125</v>
      </c>
      <c r="AE10" s="5">
        <v>8.8045833333333299</v>
      </c>
      <c r="AF10" s="5">
        <v>0.85</v>
      </c>
      <c r="AG10" s="5">
        <v>0</v>
      </c>
      <c r="AH10" s="5">
        <v>9.6545833333333295</v>
      </c>
      <c r="AI10" s="6">
        <v>0.94821112597643609</v>
      </c>
      <c r="AJ10" s="7">
        <v>4.8272916666666648</v>
      </c>
      <c r="AK10" s="7">
        <v>4.8272916666666648</v>
      </c>
      <c r="AL10" s="8"/>
      <c r="AM10" s="51">
        <f>AH10*(1-AI10)</f>
        <v>0.49999999999999956</v>
      </c>
      <c r="AN10" s="50" t="str">
        <f>VLOOKUP($E10,'Capgemini PResence and HC'!$B$2:$G$143,4,0)</f>
        <v>N</v>
      </c>
      <c r="AO10" s="50">
        <f>VLOOKUP($E10,'Capgemini PResence and HC'!$B$2:$G$143,2,0)</f>
        <v>0</v>
      </c>
      <c r="AP10" s="50">
        <f>VLOOKUP($E10,'Capgemini PResence and HC'!$B$2:$G$143,3,0)</f>
        <v>0</v>
      </c>
      <c r="AQ10" s="50">
        <f>VLOOKUP($E10,'Capgemini PResence and HC'!$B$2:$G$143,6,0)</f>
        <v>0</v>
      </c>
      <c r="AR10" s="65"/>
      <c r="AS10" s="65"/>
      <c r="BB10" s="75">
        <f>SUM(AE10:AG10)-AH10</f>
        <v>0</v>
      </c>
    </row>
    <row r="11" spans="1:55" s="2" customFormat="1" ht="18.75" hidden="1" customHeight="1">
      <c r="A11" s="15" t="s">
        <v>25</v>
      </c>
      <c r="B11" s="15" t="s">
        <v>115</v>
      </c>
      <c r="C11" s="15"/>
      <c r="D11" s="15"/>
      <c r="E11" s="4">
        <v>9804</v>
      </c>
      <c r="F11" s="4" t="s">
        <v>32</v>
      </c>
      <c r="G11" s="4" t="s">
        <v>153</v>
      </c>
      <c r="H11" s="4" t="s">
        <v>154</v>
      </c>
      <c r="I11" s="4" t="s">
        <v>137</v>
      </c>
      <c r="J11" s="4" t="s">
        <v>119</v>
      </c>
      <c r="K11" s="4" t="s">
        <v>138</v>
      </c>
      <c r="L11" s="4" t="s">
        <v>121</v>
      </c>
      <c r="M11" s="4" t="s">
        <v>122</v>
      </c>
      <c r="N11" s="4" t="s">
        <v>123</v>
      </c>
      <c r="O11" s="4" t="s">
        <v>124</v>
      </c>
      <c r="P11" s="4" t="s">
        <v>132</v>
      </c>
      <c r="Q11" s="4" t="s">
        <v>126</v>
      </c>
      <c r="R11" s="4" t="s">
        <v>140</v>
      </c>
      <c r="S11" s="4" t="s">
        <v>115</v>
      </c>
      <c r="T11" s="4" t="s">
        <v>141</v>
      </c>
      <c r="U11" s="4" t="s">
        <v>128</v>
      </c>
      <c r="V11" s="4" t="s">
        <v>146</v>
      </c>
      <c r="W11" s="4" t="s">
        <v>143</v>
      </c>
      <c r="X11" s="4" t="s">
        <v>128</v>
      </c>
      <c r="Y11" s="4" t="s">
        <v>140</v>
      </c>
      <c r="Z11" s="4" t="s">
        <v>132</v>
      </c>
      <c r="AA11" s="4" t="s">
        <v>132</v>
      </c>
      <c r="AB11" s="4" t="s">
        <v>132</v>
      </c>
      <c r="AC11" s="4" t="s">
        <v>125</v>
      </c>
      <c r="AD11" s="4" t="s">
        <v>125</v>
      </c>
      <c r="AE11" s="5">
        <v>10.784166666666668</v>
      </c>
      <c r="AF11" s="5">
        <v>0.74583333333333335</v>
      </c>
      <c r="AG11" s="5">
        <v>0</v>
      </c>
      <c r="AH11" s="5">
        <v>11.530000000000001</v>
      </c>
      <c r="AI11" s="6">
        <v>0.83304423243712056</v>
      </c>
      <c r="AJ11" s="7">
        <v>5.7650000000000006</v>
      </c>
      <c r="AK11" s="7">
        <v>5.7650000000000006</v>
      </c>
      <c r="AL11" s="8"/>
      <c r="AM11" s="51">
        <f>AH11*(1-AI11)</f>
        <v>1.9250000000000003</v>
      </c>
      <c r="AN11" s="50" t="str">
        <f>VLOOKUP($E11,'Capgemini PResence and HC'!$B$2:$G$143,4,0)</f>
        <v>N</v>
      </c>
      <c r="AO11" s="50">
        <f>VLOOKUP($E11,'Capgemini PResence and HC'!$B$2:$G$143,2,0)</f>
        <v>0</v>
      </c>
      <c r="AP11" s="50">
        <f>VLOOKUP($E11,'Capgemini PResence and HC'!$B$2:$G$143,3,0)</f>
        <v>0</v>
      </c>
      <c r="AQ11" s="50">
        <f>VLOOKUP($E11,'Capgemini PResence and HC'!$B$2:$G$143,6,0)</f>
        <v>0</v>
      </c>
      <c r="AR11" s="65"/>
      <c r="AS11" s="65"/>
      <c r="BB11" s="75">
        <f>SUM(AE11:AG11)-AH11</f>
        <v>0</v>
      </c>
    </row>
    <row r="12" spans="1:55" s="2" customFormat="1" ht="18.75" hidden="1" customHeight="1">
      <c r="A12" s="15" t="s">
        <v>25</v>
      </c>
      <c r="B12" s="15" t="s">
        <v>115</v>
      </c>
      <c r="C12" s="15"/>
      <c r="D12" s="15"/>
      <c r="E12" s="4">
        <v>9805</v>
      </c>
      <c r="F12" s="4" t="s">
        <v>38</v>
      </c>
      <c r="G12" s="4" t="s">
        <v>155</v>
      </c>
      <c r="H12" s="4" t="s">
        <v>156</v>
      </c>
      <c r="I12" s="4" t="s">
        <v>137</v>
      </c>
      <c r="J12" s="4" t="s">
        <v>119</v>
      </c>
      <c r="K12" s="4" t="s">
        <v>138</v>
      </c>
      <c r="L12" s="4" t="s">
        <v>121</v>
      </c>
      <c r="M12" s="4" t="s">
        <v>122</v>
      </c>
      <c r="N12" s="4" t="s">
        <v>123</v>
      </c>
      <c r="O12" s="4" t="s">
        <v>124</v>
      </c>
      <c r="P12" s="4" t="s">
        <v>132</v>
      </c>
      <c r="Q12" s="4" t="s">
        <v>139</v>
      </c>
      <c r="R12" s="4" t="s">
        <v>140</v>
      </c>
      <c r="S12" s="4" t="s">
        <v>115</v>
      </c>
      <c r="T12" s="4" t="s">
        <v>141</v>
      </c>
      <c r="U12" s="4" t="s">
        <v>128</v>
      </c>
      <c r="V12" s="4" t="s">
        <v>146</v>
      </c>
      <c r="W12" s="4" t="s">
        <v>143</v>
      </c>
      <c r="X12" s="4" t="s">
        <v>128</v>
      </c>
      <c r="Y12" s="4" t="s">
        <v>140</v>
      </c>
      <c r="Z12" s="4" t="s">
        <v>132</v>
      </c>
      <c r="AA12" s="4" t="s">
        <v>132</v>
      </c>
      <c r="AB12" s="4" t="s">
        <v>132</v>
      </c>
      <c r="AC12" s="4" t="s">
        <v>125</v>
      </c>
      <c r="AD12" s="4" t="s">
        <v>125</v>
      </c>
      <c r="AE12" s="5">
        <v>2.8966666666666661</v>
      </c>
      <c r="AF12" s="5">
        <v>2.4999999999999998E-2</v>
      </c>
      <c r="AG12" s="5">
        <v>0</v>
      </c>
      <c r="AH12" s="5">
        <v>2.921666666666666</v>
      </c>
      <c r="AI12" s="6">
        <v>0.90587564175698809</v>
      </c>
      <c r="AJ12" s="7">
        <v>1.460833333333333</v>
      </c>
      <c r="AK12" s="7">
        <v>1.460833333333333</v>
      </c>
      <c r="AL12" s="8"/>
      <c r="AM12" s="51">
        <f>AH12*(1-AI12)</f>
        <v>0.27499999999999974</v>
      </c>
      <c r="AN12" s="50" t="str">
        <f>VLOOKUP($E12,'Capgemini PResence and HC'!$B$2:$G$143,4,0)</f>
        <v>N</v>
      </c>
      <c r="AO12" s="50">
        <f>VLOOKUP($E12,'Capgemini PResence and HC'!$B$2:$G$143,2,0)</f>
        <v>0</v>
      </c>
      <c r="AP12" s="50">
        <f>VLOOKUP($E12,'Capgemini PResence and HC'!$B$2:$G$143,3,0)</f>
        <v>0</v>
      </c>
      <c r="AQ12" s="50">
        <f>VLOOKUP($E12,'Capgemini PResence and HC'!$B$2:$G$143,6,0)</f>
        <v>0</v>
      </c>
      <c r="AR12" s="65"/>
      <c r="AS12" s="65"/>
      <c r="BB12" s="75">
        <f>SUM(AE12:AG12)-AH12</f>
        <v>0</v>
      </c>
    </row>
    <row r="13" spans="1:55" s="2" customFormat="1" ht="18.75" hidden="1" customHeight="1">
      <c r="A13" s="15" t="s">
        <v>25</v>
      </c>
      <c r="B13" s="15" t="s">
        <v>115</v>
      </c>
      <c r="C13" s="15"/>
      <c r="D13" s="15"/>
      <c r="E13" s="4">
        <v>9806</v>
      </c>
      <c r="F13" s="4" t="s">
        <v>36</v>
      </c>
      <c r="G13" s="4" t="s">
        <v>157</v>
      </c>
      <c r="H13" s="4" t="s">
        <v>158</v>
      </c>
      <c r="I13" s="4" t="s">
        <v>137</v>
      </c>
      <c r="J13" s="4" t="s">
        <v>119</v>
      </c>
      <c r="K13" s="4" t="s">
        <v>138</v>
      </c>
      <c r="L13" s="4" t="s">
        <v>121</v>
      </c>
      <c r="M13" s="4" t="s">
        <v>122</v>
      </c>
      <c r="N13" s="4" t="s">
        <v>123</v>
      </c>
      <c r="O13" s="4" t="s">
        <v>124</v>
      </c>
      <c r="P13" s="4" t="s">
        <v>132</v>
      </c>
      <c r="Q13" s="4" t="s">
        <v>159</v>
      </c>
      <c r="R13" s="4" t="s">
        <v>140</v>
      </c>
      <c r="S13" s="4" t="s">
        <v>115</v>
      </c>
      <c r="T13" s="4" t="s">
        <v>141</v>
      </c>
      <c r="U13" s="4" t="s">
        <v>128</v>
      </c>
      <c r="V13" s="4" t="s">
        <v>146</v>
      </c>
      <c r="W13" s="4" t="s">
        <v>143</v>
      </c>
      <c r="X13" s="4" t="s">
        <v>128</v>
      </c>
      <c r="Y13" s="4" t="s">
        <v>140</v>
      </c>
      <c r="Z13" s="4" t="s">
        <v>132</v>
      </c>
      <c r="AA13" s="4" t="s">
        <v>132</v>
      </c>
      <c r="AB13" s="4" t="s">
        <v>132</v>
      </c>
      <c r="AC13" s="4" t="s">
        <v>125</v>
      </c>
      <c r="AD13" s="4" t="s">
        <v>125</v>
      </c>
      <c r="AE13" s="5">
        <v>5.2887500000000012</v>
      </c>
      <c r="AF13" s="5">
        <v>1.0249999999999999</v>
      </c>
      <c r="AG13" s="5">
        <v>0</v>
      </c>
      <c r="AH13" s="5">
        <v>6.3137500000000006</v>
      </c>
      <c r="AI13" s="6">
        <v>0.83765590972084747</v>
      </c>
      <c r="AJ13" s="7">
        <v>3.1568750000000003</v>
      </c>
      <c r="AK13" s="7">
        <v>3.1568750000000003</v>
      </c>
      <c r="AL13" s="8"/>
      <c r="AM13" s="51">
        <f>AH13*(1-AI13)</f>
        <v>1.0249999999999995</v>
      </c>
      <c r="AN13" s="50" t="str">
        <f>VLOOKUP($E13,'Capgemini PResence and HC'!$B$2:$G$143,4,0)</f>
        <v>N</v>
      </c>
      <c r="AO13" s="50">
        <f>VLOOKUP($E13,'Capgemini PResence and HC'!$B$2:$G$143,2,0)</f>
        <v>0</v>
      </c>
      <c r="AP13" s="50">
        <f>VLOOKUP($E13,'Capgemini PResence and HC'!$B$2:$G$143,3,0)</f>
        <v>0</v>
      </c>
      <c r="AQ13" s="50">
        <f>VLOOKUP($E13,'Capgemini PResence and HC'!$B$2:$G$143,6,0)</f>
        <v>0</v>
      </c>
      <c r="AR13" s="65"/>
      <c r="AS13" s="65"/>
      <c r="BB13" s="75">
        <f>SUM(AE13:AG13)-AH13</f>
        <v>0</v>
      </c>
    </row>
    <row r="14" spans="1:55" s="2" customFormat="1" ht="18.75" hidden="1" customHeight="1">
      <c r="A14" s="15" t="s">
        <v>25</v>
      </c>
      <c r="B14" s="15" t="s">
        <v>115</v>
      </c>
      <c r="C14" s="15"/>
      <c r="D14" s="15"/>
      <c r="E14" s="4">
        <v>9807</v>
      </c>
      <c r="F14" s="4" t="s">
        <v>43</v>
      </c>
      <c r="G14" s="4" t="s">
        <v>160</v>
      </c>
      <c r="H14" s="4" t="s">
        <v>161</v>
      </c>
      <c r="I14" s="4" t="s">
        <v>137</v>
      </c>
      <c r="J14" s="4" t="s">
        <v>119</v>
      </c>
      <c r="K14" s="4" t="s">
        <v>138</v>
      </c>
      <c r="L14" s="4" t="s">
        <v>121</v>
      </c>
      <c r="M14" s="4" t="s">
        <v>122</v>
      </c>
      <c r="N14" s="4" t="s">
        <v>123</v>
      </c>
      <c r="O14" s="4" t="s">
        <v>124</v>
      </c>
      <c r="P14" s="4" t="s">
        <v>125</v>
      </c>
      <c r="Q14" s="4" t="s">
        <v>159</v>
      </c>
      <c r="R14" s="4" t="s">
        <v>140</v>
      </c>
      <c r="S14" s="4" t="s">
        <v>115</v>
      </c>
      <c r="T14" s="4" t="s">
        <v>141</v>
      </c>
      <c r="U14" s="4" t="s">
        <v>128</v>
      </c>
      <c r="V14" s="4" t="s">
        <v>146</v>
      </c>
      <c r="W14" s="4" t="s">
        <v>143</v>
      </c>
      <c r="X14" s="4" t="s">
        <v>128</v>
      </c>
      <c r="Y14" s="4" t="s">
        <v>140</v>
      </c>
      <c r="Z14" s="4" t="s">
        <v>132</v>
      </c>
      <c r="AA14" s="4" t="s">
        <v>132</v>
      </c>
      <c r="AB14" s="4" t="s">
        <v>132</v>
      </c>
      <c r="AC14" s="4" t="s">
        <v>125</v>
      </c>
      <c r="AD14" s="4" t="s">
        <v>125</v>
      </c>
      <c r="AE14" s="5">
        <v>9.7687500000000007</v>
      </c>
      <c r="AF14" s="5">
        <v>1.4833333333333334</v>
      </c>
      <c r="AG14" s="5">
        <v>0</v>
      </c>
      <c r="AH14" s="5">
        <v>11.252083333333335</v>
      </c>
      <c r="AI14" s="6">
        <v>0.85632290316608028</v>
      </c>
      <c r="AJ14" s="7">
        <v>5.6260416666666675</v>
      </c>
      <c r="AK14" s="7">
        <v>5.6260416666666675</v>
      </c>
      <c r="AL14" s="8"/>
      <c r="AM14" s="51">
        <f>AH14*(1-AI14)</f>
        <v>1.6166666666666678</v>
      </c>
      <c r="AN14" s="50" t="str">
        <f>VLOOKUP($E14,'Capgemini PResence and HC'!$B$2:$G$143,4,0)</f>
        <v>N</v>
      </c>
      <c r="AO14" s="50">
        <f>VLOOKUP($E14,'Capgemini PResence and HC'!$B$2:$G$143,2,0)</f>
        <v>0</v>
      </c>
      <c r="AP14" s="50">
        <f>VLOOKUP($E14,'Capgemini PResence and HC'!$B$2:$G$143,3,0)</f>
        <v>0</v>
      </c>
      <c r="AQ14" s="50">
        <f>VLOOKUP($E14,'Capgemini PResence and HC'!$B$2:$G$143,6,0)</f>
        <v>0</v>
      </c>
      <c r="AR14" s="65"/>
      <c r="AS14" s="65"/>
      <c r="BB14" s="75">
        <f>SUM(AE14:AG14)-AH14</f>
        <v>0</v>
      </c>
    </row>
    <row r="15" spans="1:55" s="2" customFormat="1" ht="18.75" hidden="1" customHeight="1">
      <c r="A15" s="15" t="s">
        <v>25</v>
      </c>
      <c r="B15" s="15" t="s">
        <v>115</v>
      </c>
      <c r="C15" s="15"/>
      <c r="D15" s="15"/>
      <c r="E15" s="4">
        <v>9808</v>
      </c>
      <c r="F15" s="4" t="s">
        <v>31</v>
      </c>
      <c r="G15" s="4" t="s">
        <v>162</v>
      </c>
      <c r="H15" s="4" t="s">
        <v>163</v>
      </c>
      <c r="I15" s="4" t="s">
        <v>137</v>
      </c>
      <c r="J15" s="4" t="s">
        <v>119</v>
      </c>
      <c r="K15" s="4" t="s">
        <v>138</v>
      </c>
      <c r="L15" s="4" t="s">
        <v>121</v>
      </c>
      <c r="M15" s="4" t="s">
        <v>122</v>
      </c>
      <c r="N15" s="4" t="s">
        <v>123</v>
      </c>
      <c r="O15" s="4" t="s">
        <v>124</v>
      </c>
      <c r="P15" s="4" t="s">
        <v>132</v>
      </c>
      <c r="Q15" s="4" t="s">
        <v>126</v>
      </c>
      <c r="R15" s="4" t="s">
        <v>140</v>
      </c>
      <c r="S15" s="4" t="s">
        <v>115</v>
      </c>
      <c r="T15" s="4" t="s">
        <v>141</v>
      </c>
      <c r="U15" s="4" t="s">
        <v>128</v>
      </c>
      <c r="V15" s="4" t="s">
        <v>146</v>
      </c>
      <c r="W15" s="4" t="s">
        <v>143</v>
      </c>
      <c r="X15" s="4" t="s">
        <v>128</v>
      </c>
      <c r="Y15" s="4" t="s">
        <v>140</v>
      </c>
      <c r="Z15" s="4" t="s">
        <v>132</v>
      </c>
      <c r="AA15" s="4" t="s">
        <v>132</v>
      </c>
      <c r="AB15" s="4" t="s">
        <v>132</v>
      </c>
      <c r="AC15" s="4" t="s">
        <v>125</v>
      </c>
      <c r="AD15" s="4" t="s">
        <v>125</v>
      </c>
      <c r="AE15" s="5">
        <v>13.545708333333339</v>
      </c>
      <c r="AF15" s="5">
        <v>3.1437500000000003</v>
      </c>
      <c r="AG15" s="5">
        <v>0</v>
      </c>
      <c r="AH15" s="5">
        <v>16.689458333333338</v>
      </c>
      <c r="AI15" s="6">
        <v>0.72662384189620677</v>
      </c>
      <c r="AJ15" s="7">
        <v>8.344729166666669</v>
      </c>
      <c r="AK15" s="7">
        <v>8.344729166666669</v>
      </c>
      <c r="AL15" s="8"/>
      <c r="AM15" s="51">
        <f>AH15*(1-AI15)</f>
        <v>4.5625000000000044</v>
      </c>
      <c r="AN15" s="50" t="str">
        <f>VLOOKUP($E15,'Capgemini PResence and HC'!$B$2:$G$143,4,0)</f>
        <v>N</v>
      </c>
      <c r="AO15" s="50">
        <f>VLOOKUP($E15,'Capgemini PResence and HC'!$B$2:$G$143,2,0)</f>
        <v>0</v>
      </c>
      <c r="AP15" s="50">
        <f>VLOOKUP($E15,'Capgemini PResence and HC'!$B$2:$G$143,3,0)</f>
        <v>0</v>
      </c>
      <c r="AQ15" s="50">
        <f>VLOOKUP($E15,'Capgemini PResence and HC'!$B$2:$G$143,6,0)</f>
        <v>0</v>
      </c>
      <c r="AR15" s="65"/>
      <c r="AS15" s="65"/>
      <c r="BB15" s="75">
        <f>SUM(AE15:AG15)-AH15</f>
        <v>0</v>
      </c>
    </row>
    <row r="16" spans="1:55" s="2" customFormat="1" ht="18.75" hidden="1" customHeight="1">
      <c r="A16" s="15" t="s">
        <v>25</v>
      </c>
      <c r="B16" s="15" t="s">
        <v>115</v>
      </c>
      <c r="C16" s="15"/>
      <c r="D16" s="15"/>
      <c r="E16" s="4">
        <v>9810</v>
      </c>
      <c r="F16" s="4" t="s">
        <v>49</v>
      </c>
      <c r="G16" s="4" t="s">
        <v>164</v>
      </c>
      <c r="H16" s="4" t="s">
        <v>165</v>
      </c>
      <c r="I16" s="4" t="s">
        <v>137</v>
      </c>
      <c r="J16" s="4" t="s">
        <v>119</v>
      </c>
      <c r="K16" s="4" t="s">
        <v>138</v>
      </c>
      <c r="L16" s="4" t="s">
        <v>121</v>
      </c>
      <c r="M16" s="4" t="s">
        <v>122</v>
      </c>
      <c r="N16" s="4" t="s">
        <v>123</v>
      </c>
      <c r="O16" s="4" t="s">
        <v>124</v>
      </c>
      <c r="P16" s="4" t="s">
        <v>132</v>
      </c>
      <c r="Q16" s="4" t="s">
        <v>139</v>
      </c>
      <c r="R16" s="4" t="s">
        <v>140</v>
      </c>
      <c r="S16" s="4" t="s">
        <v>115</v>
      </c>
      <c r="T16" s="4" t="s">
        <v>141</v>
      </c>
      <c r="U16" s="4" t="s">
        <v>128</v>
      </c>
      <c r="V16" s="4" t="s">
        <v>166</v>
      </c>
      <c r="W16" s="4" t="s">
        <v>143</v>
      </c>
      <c r="X16" s="4" t="s">
        <v>128</v>
      </c>
      <c r="Y16" s="4" t="s">
        <v>140</v>
      </c>
      <c r="Z16" s="4" t="s">
        <v>132</v>
      </c>
      <c r="AA16" s="4" t="s">
        <v>132</v>
      </c>
      <c r="AB16" s="4" t="s">
        <v>132</v>
      </c>
      <c r="AC16" s="4" t="s">
        <v>125</v>
      </c>
      <c r="AD16" s="4" t="s">
        <v>125</v>
      </c>
      <c r="AE16" s="5">
        <v>7.6683333333333339</v>
      </c>
      <c r="AF16" s="5">
        <v>1.1291666666666667</v>
      </c>
      <c r="AG16" s="5">
        <v>0</v>
      </c>
      <c r="AH16" s="5">
        <v>8.7975000000000012</v>
      </c>
      <c r="AI16" s="6">
        <v>0.75561238988348978</v>
      </c>
      <c r="AJ16" s="7">
        <v>4.3987500000000006</v>
      </c>
      <c r="AK16" s="7">
        <v>4.3987500000000006</v>
      </c>
      <c r="AL16" s="8"/>
      <c r="AM16" s="51">
        <f>AH16*(1-AI16)</f>
        <v>2.149999999999999</v>
      </c>
      <c r="AN16" s="50" t="str">
        <f>VLOOKUP($E16,'Capgemini PResence and HC'!$B$2:$G$143,4,0)</f>
        <v>N</v>
      </c>
      <c r="AO16" s="50">
        <f>VLOOKUP($E16,'Capgemini PResence and HC'!$B$2:$G$143,2,0)</f>
        <v>0</v>
      </c>
      <c r="AP16" s="50">
        <f>VLOOKUP($E16,'Capgemini PResence and HC'!$B$2:$G$143,3,0)</f>
        <v>0</v>
      </c>
      <c r="AQ16" s="50">
        <f>VLOOKUP($E16,'Capgemini PResence and HC'!$B$2:$G$143,6,0)</f>
        <v>0</v>
      </c>
      <c r="AR16" s="65"/>
      <c r="AS16" s="65"/>
      <c r="BB16" s="75">
        <f>SUM(AE16:AG16)-AH16</f>
        <v>0</v>
      </c>
    </row>
    <row r="17" spans="1:54" s="2" customFormat="1" ht="18.75" hidden="1" customHeight="1">
      <c r="A17" s="15" t="s">
        <v>25</v>
      </c>
      <c r="B17" s="15" t="s">
        <v>115</v>
      </c>
      <c r="C17" s="15"/>
      <c r="D17" s="15"/>
      <c r="E17" s="4">
        <v>9811</v>
      </c>
      <c r="F17" s="4" t="s">
        <v>41</v>
      </c>
      <c r="G17" s="4" t="s">
        <v>167</v>
      </c>
      <c r="H17" s="4" t="s">
        <v>168</v>
      </c>
      <c r="I17" s="4" t="s">
        <v>137</v>
      </c>
      <c r="J17" s="4" t="s">
        <v>119</v>
      </c>
      <c r="K17" s="4" t="s">
        <v>138</v>
      </c>
      <c r="L17" s="4" t="s">
        <v>121</v>
      </c>
      <c r="M17" s="4" t="s">
        <v>122</v>
      </c>
      <c r="N17" s="4" t="s">
        <v>123</v>
      </c>
      <c r="O17" s="4" t="s">
        <v>124</v>
      </c>
      <c r="P17" s="4" t="s">
        <v>132</v>
      </c>
      <c r="Q17" s="4" t="s">
        <v>126</v>
      </c>
      <c r="R17" s="4" t="s">
        <v>140</v>
      </c>
      <c r="S17" s="4" t="s">
        <v>115</v>
      </c>
      <c r="T17" s="4" t="s">
        <v>141</v>
      </c>
      <c r="U17" s="4" t="s">
        <v>128</v>
      </c>
      <c r="V17" s="4" t="s">
        <v>166</v>
      </c>
      <c r="W17" s="4" t="s">
        <v>143</v>
      </c>
      <c r="X17" s="4" t="s">
        <v>128</v>
      </c>
      <c r="Y17" s="4" t="s">
        <v>140</v>
      </c>
      <c r="Z17" s="4" t="s">
        <v>132</v>
      </c>
      <c r="AA17" s="4" t="s">
        <v>132</v>
      </c>
      <c r="AB17" s="4" t="s">
        <v>132</v>
      </c>
      <c r="AC17" s="4" t="s">
        <v>125</v>
      </c>
      <c r="AD17" s="4" t="s">
        <v>125</v>
      </c>
      <c r="AE17" s="5">
        <v>1.9683333333333333</v>
      </c>
      <c r="AF17" s="5">
        <v>0.16458333333333336</v>
      </c>
      <c r="AG17" s="5">
        <v>0</v>
      </c>
      <c r="AH17" s="5">
        <v>2.1329166666666666</v>
      </c>
      <c r="AI17" s="6">
        <v>0.95311584293807383</v>
      </c>
      <c r="AJ17" s="7">
        <v>1.0664583333333333</v>
      </c>
      <c r="AK17" s="7">
        <v>1.0664583333333333</v>
      </c>
      <c r="AL17" s="8"/>
      <c r="AM17" s="51">
        <f>AH17*(1-AI17)</f>
        <v>0.10000000000000002</v>
      </c>
      <c r="AN17" s="50" t="str">
        <f>VLOOKUP($E17,'Capgemini PResence and HC'!$B$2:$G$143,4,0)</f>
        <v>N</v>
      </c>
      <c r="AO17" s="50">
        <f>VLOOKUP($E17,'Capgemini PResence and HC'!$B$2:$G$143,2,0)</f>
        <v>0</v>
      </c>
      <c r="AP17" s="50">
        <f>VLOOKUP($E17,'Capgemini PResence and HC'!$B$2:$G$143,3,0)</f>
        <v>0</v>
      </c>
      <c r="AQ17" s="50">
        <f>VLOOKUP($E17,'Capgemini PResence and HC'!$B$2:$G$143,6,0)</f>
        <v>0</v>
      </c>
      <c r="AR17" s="65"/>
      <c r="AS17" s="65"/>
      <c r="BB17" s="75">
        <f>SUM(AE17:AG17)-AH17</f>
        <v>0</v>
      </c>
    </row>
    <row r="18" spans="1:54" s="2" customFormat="1" ht="18.75" hidden="1" customHeight="1">
      <c r="A18" s="15" t="s">
        <v>25</v>
      </c>
      <c r="B18" s="15" t="s">
        <v>115</v>
      </c>
      <c r="C18" s="15"/>
      <c r="D18" s="15"/>
      <c r="E18" s="4">
        <v>9813</v>
      </c>
      <c r="F18" s="4" t="s">
        <v>37</v>
      </c>
      <c r="G18" s="4" t="s">
        <v>169</v>
      </c>
      <c r="H18" s="4" t="s">
        <v>170</v>
      </c>
      <c r="I18" s="4" t="s">
        <v>137</v>
      </c>
      <c r="J18" s="4" t="s">
        <v>119</v>
      </c>
      <c r="K18" s="4" t="s">
        <v>138</v>
      </c>
      <c r="L18" s="4" t="s">
        <v>121</v>
      </c>
      <c r="M18" s="4" t="s">
        <v>122</v>
      </c>
      <c r="N18" s="4" t="s">
        <v>123</v>
      </c>
      <c r="O18" s="4" t="s">
        <v>124</v>
      </c>
      <c r="P18" s="4" t="s">
        <v>132</v>
      </c>
      <c r="Q18" s="4" t="s">
        <v>126</v>
      </c>
      <c r="R18" s="4" t="s">
        <v>140</v>
      </c>
      <c r="S18" s="4" t="s">
        <v>115</v>
      </c>
      <c r="T18" s="4" t="s">
        <v>141</v>
      </c>
      <c r="U18" s="4" t="s">
        <v>128</v>
      </c>
      <c r="V18" s="4" t="s">
        <v>166</v>
      </c>
      <c r="W18" s="4" t="s">
        <v>143</v>
      </c>
      <c r="X18" s="4" t="s">
        <v>128</v>
      </c>
      <c r="Y18" s="4" t="s">
        <v>140</v>
      </c>
      <c r="Z18" s="4" t="s">
        <v>132</v>
      </c>
      <c r="AA18" s="4" t="s">
        <v>132</v>
      </c>
      <c r="AB18" s="4" t="s">
        <v>132</v>
      </c>
      <c r="AC18" s="4" t="s">
        <v>125</v>
      </c>
      <c r="AD18" s="4" t="s">
        <v>125</v>
      </c>
      <c r="AE18" s="5">
        <v>2.1174999999999997</v>
      </c>
      <c r="AF18" s="5">
        <v>0</v>
      </c>
      <c r="AG18" s="5">
        <v>0</v>
      </c>
      <c r="AH18" s="5">
        <v>2.1174999999999997</v>
      </c>
      <c r="AI18" s="6">
        <v>0.64580873671782768</v>
      </c>
      <c r="AJ18" s="7">
        <v>1.0587499999999999</v>
      </c>
      <c r="AK18" s="7">
        <v>1.0587499999999999</v>
      </c>
      <c r="AL18" s="8"/>
      <c r="AM18" s="51">
        <f>AH18*(1-AI18)</f>
        <v>0.74999999999999978</v>
      </c>
      <c r="AN18" s="50" t="str">
        <f>VLOOKUP($E18,'Capgemini PResence and HC'!$B$2:$G$143,4,0)</f>
        <v>N</v>
      </c>
      <c r="AO18" s="50">
        <f>VLOOKUP($E18,'Capgemini PResence and HC'!$B$2:$G$143,2,0)</f>
        <v>0</v>
      </c>
      <c r="AP18" s="50">
        <f>VLOOKUP($E18,'Capgemini PResence and HC'!$B$2:$G$143,3,0)</f>
        <v>0</v>
      </c>
      <c r="AQ18" s="50">
        <f>VLOOKUP($E18,'Capgemini PResence and HC'!$B$2:$G$143,6,0)</f>
        <v>0</v>
      </c>
      <c r="AR18" s="65"/>
      <c r="AS18" s="65"/>
      <c r="BB18" s="75">
        <f>SUM(AE18:AG18)-AH18</f>
        <v>0</v>
      </c>
    </row>
    <row r="19" spans="1:54" s="2" customFormat="1" ht="18.75" hidden="1" customHeight="1">
      <c r="A19" s="15" t="s">
        <v>25</v>
      </c>
      <c r="B19" s="15" t="s">
        <v>115</v>
      </c>
      <c r="C19" s="15"/>
      <c r="D19" s="15"/>
      <c r="E19" s="4">
        <v>9814</v>
      </c>
      <c r="F19" s="4" t="s">
        <v>30</v>
      </c>
      <c r="G19" s="4" t="s">
        <v>171</v>
      </c>
      <c r="H19" s="4" t="s">
        <v>172</v>
      </c>
      <c r="I19" s="4" t="s">
        <v>137</v>
      </c>
      <c r="J19" s="4" t="s">
        <v>119</v>
      </c>
      <c r="K19" s="4" t="s">
        <v>138</v>
      </c>
      <c r="L19" s="4" t="s">
        <v>121</v>
      </c>
      <c r="M19" s="4" t="s">
        <v>122</v>
      </c>
      <c r="N19" s="4" t="s">
        <v>123</v>
      </c>
      <c r="O19" s="4" t="s">
        <v>124</v>
      </c>
      <c r="P19" s="4" t="s">
        <v>125</v>
      </c>
      <c r="Q19" s="4" t="s">
        <v>139</v>
      </c>
      <c r="R19" s="4" t="s">
        <v>140</v>
      </c>
      <c r="S19" s="4" t="s">
        <v>115</v>
      </c>
      <c r="T19" s="4" t="s">
        <v>141</v>
      </c>
      <c r="U19" s="4" t="s">
        <v>128</v>
      </c>
      <c r="V19" s="4" t="s">
        <v>166</v>
      </c>
      <c r="W19" s="4" t="s">
        <v>143</v>
      </c>
      <c r="X19" s="4" t="s">
        <v>128</v>
      </c>
      <c r="Y19" s="4" t="s">
        <v>140</v>
      </c>
      <c r="Z19" s="4" t="s">
        <v>132</v>
      </c>
      <c r="AA19" s="4" t="s">
        <v>132</v>
      </c>
      <c r="AB19" s="4" t="s">
        <v>132</v>
      </c>
      <c r="AC19" s="4" t="s">
        <v>125</v>
      </c>
      <c r="AD19" s="4" t="s">
        <v>125</v>
      </c>
      <c r="AE19" s="5"/>
      <c r="AF19" s="5"/>
      <c r="AG19" s="5"/>
      <c r="AH19" s="5"/>
      <c r="AI19" s="6"/>
      <c r="AJ19" s="7" t="s">
        <v>128</v>
      </c>
      <c r="AK19" s="7" t="s">
        <v>128</v>
      </c>
      <c r="AL19" s="8" t="s">
        <v>173</v>
      </c>
      <c r="AM19" s="51">
        <f>AH19*(1-AI19)</f>
        <v>0</v>
      </c>
      <c r="AN19" s="50" t="str">
        <f>VLOOKUP($E19,'Capgemini PResence and HC'!$B$2:$G$143,4,0)</f>
        <v>N</v>
      </c>
      <c r="AO19" s="50">
        <f>VLOOKUP($E19,'Capgemini PResence and HC'!$B$2:$G$143,2,0)</f>
        <v>0</v>
      </c>
      <c r="AP19" s="50">
        <f>VLOOKUP($E19,'Capgemini PResence and HC'!$B$2:$G$143,3,0)</f>
        <v>0</v>
      </c>
      <c r="AQ19" s="50">
        <f>VLOOKUP($E19,'Capgemini PResence and HC'!$B$2:$G$143,6,0)</f>
        <v>0</v>
      </c>
      <c r="AR19" s="65"/>
      <c r="AS19" s="65"/>
      <c r="BB19" s="75">
        <f>SUM(AE19:AG19)-AH19</f>
        <v>0</v>
      </c>
    </row>
    <row r="20" spans="1:54" s="2" customFormat="1" ht="18.75" hidden="1" customHeight="1">
      <c r="A20" s="15" t="s">
        <v>25</v>
      </c>
      <c r="B20" s="15" t="s">
        <v>115</v>
      </c>
      <c r="C20" s="15"/>
      <c r="D20" s="15"/>
      <c r="E20" s="4">
        <v>9816</v>
      </c>
      <c r="F20" s="4" t="s">
        <v>28</v>
      </c>
      <c r="G20" s="4" t="s">
        <v>174</v>
      </c>
      <c r="H20" s="4" t="s">
        <v>175</v>
      </c>
      <c r="I20" s="4" t="s">
        <v>137</v>
      </c>
      <c r="J20" s="4" t="s">
        <v>119</v>
      </c>
      <c r="K20" s="4" t="s">
        <v>138</v>
      </c>
      <c r="L20" s="4" t="s">
        <v>121</v>
      </c>
      <c r="M20" s="4" t="s">
        <v>122</v>
      </c>
      <c r="N20" s="4" t="s">
        <v>123</v>
      </c>
      <c r="O20" s="4" t="s">
        <v>124</v>
      </c>
      <c r="P20" s="4" t="s">
        <v>132</v>
      </c>
      <c r="Q20" s="4" t="s">
        <v>126</v>
      </c>
      <c r="R20" s="4" t="s">
        <v>140</v>
      </c>
      <c r="S20" s="4" t="s">
        <v>115</v>
      </c>
      <c r="T20" s="4" t="s">
        <v>141</v>
      </c>
      <c r="U20" s="4" t="s">
        <v>128</v>
      </c>
      <c r="V20" s="4" t="s">
        <v>166</v>
      </c>
      <c r="W20" s="4" t="s">
        <v>143</v>
      </c>
      <c r="X20" s="4" t="s">
        <v>128</v>
      </c>
      <c r="Y20" s="4" t="s">
        <v>140</v>
      </c>
      <c r="Z20" s="4" t="s">
        <v>132</v>
      </c>
      <c r="AA20" s="4" t="s">
        <v>132</v>
      </c>
      <c r="AB20" s="4" t="s">
        <v>132</v>
      </c>
      <c r="AC20" s="4" t="s">
        <v>125</v>
      </c>
      <c r="AD20" s="4" t="s">
        <v>125</v>
      </c>
      <c r="AE20" s="5">
        <v>0.2</v>
      </c>
      <c r="AF20" s="5">
        <v>0</v>
      </c>
      <c r="AG20" s="5">
        <v>0</v>
      </c>
      <c r="AH20" s="5">
        <v>0.19999999999999998</v>
      </c>
      <c r="AI20" s="6">
        <v>0</v>
      </c>
      <c r="AJ20" s="7">
        <v>9.9999999999999992E-2</v>
      </c>
      <c r="AK20" s="7">
        <v>9.9999999999999992E-2</v>
      </c>
      <c r="AL20" s="8"/>
      <c r="AM20" s="51">
        <f>AH20*(1-AI20)</f>
        <v>0.19999999999999998</v>
      </c>
      <c r="AN20" s="50" t="str">
        <f>VLOOKUP($E20,'Capgemini PResence and HC'!$B$2:$G$143,4,0)</f>
        <v>N</v>
      </c>
      <c r="AO20" s="50">
        <f>VLOOKUP($E20,'Capgemini PResence and HC'!$B$2:$G$143,2,0)</f>
        <v>0</v>
      </c>
      <c r="AP20" s="50">
        <f>VLOOKUP($E20,'Capgemini PResence and HC'!$B$2:$G$143,3,0)</f>
        <v>0</v>
      </c>
      <c r="AQ20" s="50">
        <f>VLOOKUP($E20,'Capgemini PResence and HC'!$B$2:$G$143,6,0)</f>
        <v>0</v>
      </c>
      <c r="AR20" s="65"/>
      <c r="AS20" s="65"/>
      <c r="BB20" s="75">
        <f>SUM(AE20:AG20)-AH20</f>
        <v>0</v>
      </c>
    </row>
    <row r="21" spans="1:54" s="2" customFormat="1" ht="18.75" hidden="1" customHeight="1">
      <c r="A21" s="15" t="s">
        <v>25</v>
      </c>
      <c r="B21" s="15" t="s">
        <v>115</v>
      </c>
      <c r="C21" s="15"/>
      <c r="D21" s="15"/>
      <c r="E21" s="4">
        <v>9817</v>
      </c>
      <c r="F21" s="4" t="s">
        <v>51</v>
      </c>
      <c r="G21" s="4" t="s">
        <v>176</v>
      </c>
      <c r="H21" s="4" t="s">
        <v>177</v>
      </c>
      <c r="I21" s="4" t="s">
        <v>137</v>
      </c>
      <c r="J21" s="4" t="s">
        <v>178</v>
      </c>
      <c r="K21" s="4" t="s">
        <v>138</v>
      </c>
      <c r="L21" s="4" t="s">
        <v>121</v>
      </c>
      <c r="M21" s="4" t="s">
        <v>122</v>
      </c>
      <c r="N21" s="4" t="s">
        <v>123</v>
      </c>
      <c r="O21" s="4" t="s">
        <v>124</v>
      </c>
      <c r="P21" s="4" t="s">
        <v>125</v>
      </c>
      <c r="Q21" s="4" t="s">
        <v>139</v>
      </c>
      <c r="R21" s="4" t="s">
        <v>140</v>
      </c>
      <c r="S21" s="4" t="s">
        <v>115</v>
      </c>
      <c r="T21" s="4" t="s">
        <v>141</v>
      </c>
      <c r="U21" s="4" t="s">
        <v>128</v>
      </c>
      <c r="V21" s="4" t="s">
        <v>166</v>
      </c>
      <c r="W21" s="4" t="s">
        <v>143</v>
      </c>
      <c r="X21" s="4" t="s">
        <v>128</v>
      </c>
      <c r="Y21" s="4" t="s">
        <v>140</v>
      </c>
      <c r="Z21" s="4" t="s">
        <v>132</v>
      </c>
      <c r="AA21" s="4" t="s">
        <v>132</v>
      </c>
      <c r="AB21" s="4" t="s">
        <v>132</v>
      </c>
      <c r="AC21" s="4" t="s">
        <v>125</v>
      </c>
      <c r="AD21" s="4" t="s">
        <v>125</v>
      </c>
      <c r="AE21" s="5">
        <v>1.6648749999999999</v>
      </c>
      <c r="AF21" s="5">
        <v>0</v>
      </c>
      <c r="AG21" s="5">
        <v>0</v>
      </c>
      <c r="AH21" s="5">
        <v>1.6648749999999999</v>
      </c>
      <c r="AI21" s="6">
        <v>0.40748804965337743</v>
      </c>
      <c r="AJ21" s="7">
        <v>0.83243749999999994</v>
      </c>
      <c r="AK21" s="7">
        <v>0.83243749999999994</v>
      </c>
      <c r="AL21" s="8"/>
      <c r="AM21" s="51">
        <f>AH21*(1-AI21)</f>
        <v>0.9864583333333331</v>
      </c>
      <c r="AN21" s="50" t="str">
        <f>VLOOKUP($E21,'Capgemini PResence and HC'!$B$2:$G$143,4,0)</f>
        <v>N</v>
      </c>
      <c r="AO21" s="50">
        <f>VLOOKUP($E21,'Capgemini PResence and HC'!$B$2:$G$143,2,0)</f>
        <v>0</v>
      </c>
      <c r="AP21" s="50">
        <f>VLOOKUP($E21,'Capgemini PResence and HC'!$B$2:$G$143,3,0)</f>
        <v>0</v>
      </c>
      <c r="AQ21" s="50">
        <f>VLOOKUP($E21,'Capgemini PResence and HC'!$B$2:$G$143,6,0)</f>
        <v>0</v>
      </c>
      <c r="AR21" s="65"/>
      <c r="AS21" s="65"/>
      <c r="BB21" s="75">
        <f>SUM(AE21:AG21)-AH21</f>
        <v>0</v>
      </c>
    </row>
    <row r="22" spans="1:54" s="2" customFormat="1" ht="18.75" hidden="1" customHeight="1">
      <c r="A22" s="15" t="s">
        <v>25</v>
      </c>
      <c r="B22" s="15" t="s">
        <v>115</v>
      </c>
      <c r="C22" s="15"/>
      <c r="D22" s="15"/>
      <c r="E22" s="4">
        <v>9818</v>
      </c>
      <c r="F22" s="4" t="s">
        <v>50</v>
      </c>
      <c r="G22" s="4" t="s">
        <v>179</v>
      </c>
      <c r="H22" s="4" t="s">
        <v>180</v>
      </c>
      <c r="I22" s="4" t="s">
        <v>137</v>
      </c>
      <c r="J22" s="4" t="s">
        <v>119</v>
      </c>
      <c r="K22" s="4" t="s">
        <v>138</v>
      </c>
      <c r="L22" s="4" t="s">
        <v>121</v>
      </c>
      <c r="M22" s="4" t="s">
        <v>122</v>
      </c>
      <c r="N22" s="4" t="s">
        <v>123</v>
      </c>
      <c r="O22" s="4" t="s">
        <v>124</v>
      </c>
      <c r="P22" s="4" t="s">
        <v>125</v>
      </c>
      <c r="Q22" s="4" t="s">
        <v>139</v>
      </c>
      <c r="R22" s="4" t="s">
        <v>140</v>
      </c>
      <c r="S22" s="4" t="s">
        <v>115</v>
      </c>
      <c r="T22" s="4" t="s">
        <v>141</v>
      </c>
      <c r="U22" s="4" t="s">
        <v>128</v>
      </c>
      <c r="V22" s="4" t="s">
        <v>166</v>
      </c>
      <c r="W22" s="4" t="s">
        <v>143</v>
      </c>
      <c r="X22" s="4" t="s">
        <v>128</v>
      </c>
      <c r="Y22" s="4" t="s">
        <v>140</v>
      </c>
      <c r="Z22" s="4" t="s">
        <v>132</v>
      </c>
      <c r="AA22" s="4" t="s">
        <v>132</v>
      </c>
      <c r="AB22" s="4" t="s">
        <v>132</v>
      </c>
      <c r="AC22" s="4" t="s">
        <v>125</v>
      </c>
      <c r="AD22" s="4" t="s">
        <v>125</v>
      </c>
      <c r="AE22" s="5"/>
      <c r="AF22" s="5"/>
      <c r="AG22" s="5"/>
      <c r="AH22" s="5"/>
      <c r="AI22" s="6"/>
      <c r="AJ22" s="7" t="s">
        <v>128</v>
      </c>
      <c r="AK22" s="7" t="s">
        <v>128</v>
      </c>
      <c r="AL22" s="8" t="s">
        <v>181</v>
      </c>
      <c r="AM22" s="51">
        <f>AH22*(1-AI22)</f>
        <v>0</v>
      </c>
      <c r="AN22" s="50" t="str">
        <f>VLOOKUP($E22,'Capgemini PResence and HC'!$B$2:$G$143,4,0)</f>
        <v>N</v>
      </c>
      <c r="AO22" s="50">
        <f>VLOOKUP($E22,'Capgemini PResence and HC'!$B$2:$G$143,2,0)</f>
        <v>0</v>
      </c>
      <c r="AP22" s="50">
        <f>VLOOKUP($E22,'Capgemini PResence and HC'!$B$2:$G$143,3,0)</f>
        <v>0</v>
      </c>
      <c r="AQ22" s="50">
        <f>VLOOKUP($E22,'Capgemini PResence and HC'!$B$2:$G$143,6,0)</f>
        <v>0</v>
      </c>
      <c r="AR22" s="65"/>
      <c r="AS22" s="65"/>
      <c r="BB22" s="75">
        <f>SUM(AE22:AG22)-AH22</f>
        <v>0</v>
      </c>
    </row>
    <row r="23" spans="1:54" s="2" customFormat="1" ht="18.75" hidden="1" customHeight="1">
      <c r="A23" s="15" t="s">
        <v>25</v>
      </c>
      <c r="B23" s="15" t="s">
        <v>115</v>
      </c>
      <c r="C23" s="15"/>
      <c r="D23" s="15"/>
      <c r="E23" s="4">
        <v>9819</v>
      </c>
      <c r="F23" s="4" t="s">
        <v>48</v>
      </c>
      <c r="G23" s="4" t="s">
        <v>182</v>
      </c>
      <c r="H23" s="4" t="s">
        <v>183</v>
      </c>
      <c r="I23" s="4" t="s">
        <v>137</v>
      </c>
      <c r="J23" s="4" t="s">
        <v>119</v>
      </c>
      <c r="K23" s="4" t="s">
        <v>138</v>
      </c>
      <c r="L23" s="4" t="s">
        <v>121</v>
      </c>
      <c r="M23" s="4" t="s">
        <v>122</v>
      </c>
      <c r="N23" s="4" t="s">
        <v>123</v>
      </c>
      <c r="O23" s="4" t="s">
        <v>124</v>
      </c>
      <c r="P23" s="4" t="s">
        <v>125</v>
      </c>
      <c r="Q23" s="4" t="s">
        <v>139</v>
      </c>
      <c r="R23" s="4" t="s">
        <v>140</v>
      </c>
      <c r="S23" s="4" t="s">
        <v>115</v>
      </c>
      <c r="T23" s="4" t="s">
        <v>141</v>
      </c>
      <c r="U23" s="4" t="s">
        <v>128</v>
      </c>
      <c r="V23" s="4" t="s">
        <v>166</v>
      </c>
      <c r="W23" s="4" t="s">
        <v>143</v>
      </c>
      <c r="X23" s="4" t="s">
        <v>128</v>
      </c>
      <c r="Y23" s="4" t="s">
        <v>140</v>
      </c>
      <c r="Z23" s="4" t="s">
        <v>132</v>
      </c>
      <c r="AA23" s="4" t="s">
        <v>132</v>
      </c>
      <c r="AB23" s="4" t="s">
        <v>132</v>
      </c>
      <c r="AC23" s="4" t="s">
        <v>125</v>
      </c>
      <c r="AD23" s="4" t="s">
        <v>125</v>
      </c>
      <c r="AE23" s="5"/>
      <c r="AF23" s="5"/>
      <c r="AG23" s="5"/>
      <c r="AH23" s="5"/>
      <c r="AI23" s="6"/>
      <c r="AJ23" s="7" t="s">
        <v>128</v>
      </c>
      <c r="AK23" s="7" t="s">
        <v>128</v>
      </c>
      <c r="AL23" s="8" t="s">
        <v>181</v>
      </c>
      <c r="AM23" s="51">
        <f>AH23*(1-AI23)</f>
        <v>0</v>
      </c>
      <c r="AN23" s="50" t="str">
        <f>VLOOKUP($E23,'Capgemini PResence and HC'!$B$2:$G$143,4,0)</f>
        <v>N</v>
      </c>
      <c r="AO23" s="50">
        <f>VLOOKUP($E23,'Capgemini PResence and HC'!$B$2:$G$143,2,0)</f>
        <v>0</v>
      </c>
      <c r="AP23" s="50">
        <f>VLOOKUP($E23,'Capgemini PResence and HC'!$B$2:$G$143,3,0)</f>
        <v>0</v>
      </c>
      <c r="AQ23" s="50">
        <f>VLOOKUP($E23,'Capgemini PResence and HC'!$B$2:$G$143,6,0)</f>
        <v>0</v>
      </c>
      <c r="AR23" s="65"/>
      <c r="AS23" s="65"/>
      <c r="BB23" s="75">
        <f>SUM(AE23:AG23)-AH23</f>
        <v>0</v>
      </c>
    </row>
    <row r="24" spans="1:54" s="2" customFormat="1" ht="18.75" hidden="1" customHeight="1">
      <c r="A24" s="15" t="s">
        <v>25</v>
      </c>
      <c r="B24" s="15" t="s">
        <v>115</v>
      </c>
      <c r="C24" s="15"/>
      <c r="D24" s="15"/>
      <c r="E24" s="4">
        <v>9820</v>
      </c>
      <c r="F24" s="4" t="s">
        <v>46</v>
      </c>
      <c r="G24" s="4" t="s">
        <v>184</v>
      </c>
      <c r="H24" s="4" t="s">
        <v>185</v>
      </c>
      <c r="I24" s="4" t="s">
        <v>137</v>
      </c>
      <c r="J24" s="4" t="s">
        <v>119</v>
      </c>
      <c r="K24" s="4" t="s">
        <v>138</v>
      </c>
      <c r="L24" s="4" t="s">
        <v>121</v>
      </c>
      <c r="M24" s="4" t="s">
        <v>122</v>
      </c>
      <c r="N24" s="4" t="s">
        <v>123</v>
      </c>
      <c r="O24" s="4" t="s">
        <v>124</v>
      </c>
      <c r="P24" s="4" t="s">
        <v>132</v>
      </c>
      <c r="Q24" s="4" t="s">
        <v>139</v>
      </c>
      <c r="R24" s="4" t="s">
        <v>140</v>
      </c>
      <c r="S24" s="4" t="s">
        <v>115</v>
      </c>
      <c r="T24" s="4" t="s">
        <v>141</v>
      </c>
      <c r="U24" s="4" t="s">
        <v>128</v>
      </c>
      <c r="V24" s="4" t="s">
        <v>166</v>
      </c>
      <c r="W24" s="4" t="s">
        <v>143</v>
      </c>
      <c r="X24" s="4" t="s">
        <v>128</v>
      </c>
      <c r="Y24" s="4" t="s">
        <v>140</v>
      </c>
      <c r="Z24" s="4" t="s">
        <v>132</v>
      </c>
      <c r="AA24" s="4" t="s">
        <v>132</v>
      </c>
      <c r="AB24" s="4" t="s">
        <v>132</v>
      </c>
      <c r="AC24" s="4" t="s">
        <v>125</v>
      </c>
      <c r="AD24" s="4" t="s">
        <v>125</v>
      </c>
      <c r="AE24" s="5"/>
      <c r="AF24" s="5"/>
      <c r="AG24" s="5"/>
      <c r="AH24" s="5"/>
      <c r="AI24" s="6"/>
      <c r="AJ24" s="7" t="s">
        <v>128</v>
      </c>
      <c r="AK24" s="7" t="s">
        <v>128</v>
      </c>
      <c r="AL24" s="8" t="s">
        <v>181</v>
      </c>
      <c r="AM24" s="51">
        <f>AH24*(1-AI24)</f>
        <v>0</v>
      </c>
      <c r="AN24" s="50" t="str">
        <f>VLOOKUP($E24,'Capgemini PResence and HC'!$B$2:$G$143,4,0)</f>
        <v>N</v>
      </c>
      <c r="AO24" s="50">
        <f>VLOOKUP($E24,'Capgemini PResence and HC'!$B$2:$G$143,2,0)</f>
        <v>0</v>
      </c>
      <c r="AP24" s="50">
        <f>VLOOKUP($E24,'Capgemini PResence and HC'!$B$2:$G$143,3,0)</f>
        <v>0</v>
      </c>
      <c r="AQ24" s="50">
        <f>VLOOKUP($E24,'Capgemini PResence and HC'!$B$2:$G$143,6,0)</f>
        <v>0</v>
      </c>
      <c r="AR24" s="65"/>
      <c r="AS24" s="65"/>
      <c r="BB24" s="75">
        <f>SUM(AE24:AG24)-AH24</f>
        <v>0</v>
      </c>
    </row>
    <row r="25" spans="1:54" s="2" customFormat="1" ht="18.75" hidden="1" customHeight="1">
      <c r="A25" s="15" t="s">
        <v>25</v>
      </c>
      <c r="B25" s="15" t="s">
        <v>115</v>
      </c>
      <c r="C25" s="15"/>
      <c r="D25" s="15"/>
      <c r="E25" s="4">
        <v>9821</v>
      </c>
      <c r="F25" s="4" t="s">
        <v>45</v>
      </c>
      <c r="G25" s="4" t="s">
        <v>186</v>
      </c>
      <c r="H25" s="4" t="s">
        <v>187</v>
      </c>
      <c r="I25" s="4" t="s">
        <v>137</v>
      </c>
      <c r="J25" s="4" t="s">
        <v>119</v>
      </c>
      <c r="K25" s="4" t="s">
        <v>138</v>
      </c>
      <c r="L25" s="4" t="s">
        <v>121</v>
      </c>
      <c r="M25" s="4" t="s">
        <v>122</v>
      </c>
      <c r="N25" s="4" t="s">
        <v>123</v>
      </c>
      <c r="O25" s="4" t="s">
        <v>124</v>
      </c>
      <c r="P25" s="4" t="s">
        <v>132</v>
      </c>
      <c r="Q25" s="4" t="s">
        <v>139</v>
      </c>
      <c r="R25" s="4" t="s">
        <v>140</v>
      </c>
      <c r="S25" s="4" t="s">
        <v>115</v>
      </c>
      <c r="T25" s="4" t="s">
        <v>141</v>
      </c>
      <c r="U25" s="4" t="s">
        <v>128</v>
      </c>
      <c r="V25" s="4" t="s">
        <v>166</v>
      </c>
      <c r="W25" s="4" t="s">
        <v>143</v>
      </c>
      <c r="X25" s="4" t="s">
        <v>128</v>
      </c>
      <c r="Y25" s="4" t="s">
        <v>140</v>
      </c>
      <c r="Z25" s="4" t="s">
        <v>132</v>
      </c>
      <c r="AA25" s="4" t="s">
        <v>132</v>
      </c>
      <c r="AB25" s="4" t="s">
        <v>132</v>
      </c>
      <c r="AC25" s="4" t="s">
        <v>125</v>
      </c>
      <c r="AD25" s="4" t="s">
        <v>125</v>
      </c>
      <c r="AE25" s="5">
        <v>4.378333333333333</v>
      </c>
      <c r="AF25" s="5">
        <v>0.97083333333333321</v>
      </c>
      <c r="AG25" s="5">
        <v>0</v>
      </c>
      <c r="AH25" s="5">
        <v>5.3491666666666662</v>
      </c>
      <c r="AI25" s="6">
        <v>0.62610998597912448</v>
      </c>
      <c r="AJ25" s="7">
        <v>2.6745833333333331</v>
      </c>
      <c r="AK25" s="7">
        <v>2.6745833333333331</v>
      </c>
      <c r="AL25" s="8"/>
      <c r="AM25" s="51">
        <f>AH25*(1-AI25)</f>
        <v>1.9999999999999998</v>
      </c>
      <c r="AN25" s="50" t="str">
        <f>VLOOKUP($E25,'Capgemini PResence and HC'!$B$2:$G$143,4,0)</f>
        <v>N</v>
      </c>
      <c r="AO25" s="50">
        <f>VLOOKUP($E25,'Capgemini PResence and HC'!$B$2:$G$143,2,0)</f>
        <v>0</v>
      </c>
      <c r="AP25" s="50">
        <f>VLOOKUP($E25,'Capgemini PResence and HC'!$B$2:$G$143,3,0)</f>
        <v>0</v>
      </c>
      <c r="AQ25" s="50">
        <f>VLOOKUP($E25,'Capgemini PResence and HC'!$B$2:$G$143,6,0)</f>
        <v>0</v>
      </c>
      <c r="AR25" s="65"/>
      <c r="AS25" s="65"/>
      <c r="BB25" s="75">
        <f>SUM(AE25:AG25)-AH25</f>
        <v>0</v>
      </c>
    </row>
    <row r="26" spans="1:54" s="2" customFormat="1" ht="18.75" hidden="1" customHeight="1">
      <c r="A26" s="15" t="s">
        <v>25</v>
      </c>
      <c r="B26" s="15" t="s">
        <v>115</v>
      </c>
      <c r="C26" s="15"/>
      <c r="D26" s="15"/>
      <c r="E26" s="4">
        <v>9822</v>
      </c>
      <c r="F26" s="4" t="s">
        <v>40</v>
      </c>
      <c r="G26" s="4" t="s">
        <v>188</v>
      </c>
      <c r="H26" s="4" t="s">
        <v>189</v>
      </c>
      <c r="I26" s="4" t="s">
        <v>137</v>
      </c>
      <c r="J26" s="4" t="s">
        <v>119</v>
      </c>
      <c r="K26" s="4" t="s">
        <v>138</v>
      </c>
      <c r="L26" s="4" t="s">
        <v>121</v>
      </c>
      <c r="M26" s="4" t="s">
        <v>122</v>
      </c>
      <c r="N26" s="4" t="s">
        <v>123</v>
      </c>
      <c r="O26" s="4" t="s">
        <v>124</v>
      </c>
      <c r="P26" s="4" t="s">
        <v>125</v>
      </c>
      <c r="Q26" s="4" t="s">
        <v>159</v>
      </c>
      <c r="R26" s="4" t="s">
        <v>140</v>
      </c>
      <c r="S26" s="4" t="s">
        <v>115</v>
      </c>
      <c r="T26" s="4" t="s">
        <v>141</v>
      </c>
      <c r="U26" s="4" t="s">
        <v>128</v>
      </c>
      <c r="V26" s="4" t="s">
        <v>166</v>
      </c>
      <c r="W26" s="4" t="s">
        <v>143</v>
      </c>
      <c r="X26" s="4" t="s">
        <v>128</v>
      </c>
      <c r="Y26" s="4" t="s">
        <v>140</v>
      </c>
      <c r="Z26" s="4" t="s">
        <v>132</v>
      </c>
      <c r="AA26" s="4" t="s">
        <v>132</v>
      </c>
      <c r="AB26" s="4" t="s">
        <v>132</v>
      </c>
      <c r="AC26" s="4" t="s">
        <v>125</v>
      </c>
      <c r="AD26" s="4" t="s">
        <v>125</v>
      </c>
      <c r="AE26" s="5">
        <v>6.0129166666666656</v>
      </c>
      <c r="AF26" s="5">
        <v>0.25416666666666665</v>
      </c>
      <c r="AG26" s="5">
        <v>0</v>
      </c>
      <c r="AH26" s="5">
        <v>6.267083333333332</v>
      </c>
      <c r="AI26" s="6">
        <v>0.78990758593178645</v>
      </c>
      <c r="AJ26" s="7">
        <v>3.133541666666666</v>
      </c>
      <c r="AK26" s="7">
        <v>3.133541666666666</v>
      </c>
      <c r="AL26" s="8"/>
      <c r="AM26" s="51">
        <f>AH26*(1-AI26)</f>
        <v>1.3166666666666664</v>
      </c>
      <c r="AN26" s="50" t="str">
        <f>VLOOKUP($E26,'Capgemini PResence and HC'!$B$2:$G$143,4,0)</f>
        <v>N</v>
      </c>
      <c r="AO26" s="50">
        <f>VLOOKUP($E26,'Capgemini PResence and HC'!$B$2:$G$143,2,0)</f>
        <v>0</v>
      </c>
      <c r="AP26" s="50">
        <f>VLOOKUP($E26,'Capgemini PResence and HC'!$B$2:$G$143,3,0)</f>
        <v>0</v>
      </c>
      <c r="AQ26" s="50">
        <f>VLOOKUP($E26,'Capgemini PResence and HC'!$B$2:$G$143,6,0)</f>
        <v>0</v>
      </c>
      <c r="AR26" s="65"/>
      <c r="AS26" s="65"/>
      <c r="BB26" s="75">
        <f>SUM(AE26:AG26)-AH26</f>
        <v>0</v>
      </c>
    </row>
    <row r="27" spans="1:54" s="2" customFormat="1" ht="18.75" hidden="1" customHeight="1">
      <c r="A27" s="15" t="s">
        <v>25</v>
      </c>
      <c r="B27" s="15" t="s">
        <v>115</v>
      </c>
      <c r="C27" s="15"/>
      <c r="D27" s="15"/>
      <c r="E27" s="4">
        <v>9823</v>
      </c>
      <c r="F27" s="4" t="s">
        <v>26</v>
      </c>
      <c r="G27" s="4" t="s">
        <v>190</v>
      </c>
      <c r="H27" s="4" t="s">
        <v>191</v>
      </c>
      <c r="I27" s="4" t="s">
        <v>137</v>
      </c>
      <c r="J27" s="4" t="s">
        <v>119</v>
      </c>
      <c r="K27" s="4" t="s">
        <v>138</v>
      </c>
      <c r="L27" s="4" t="s">
        <v>121</v>
      </c>
      <c r="M27" s="4" t="s">
        <v>192</v>
      </c>
      <c r="N27" s="4" t="s">
        <v>123</v>
      </c>
      <c r="O27" s="4" t="s">
        <v>124</v>
      </c>
      <c r="P27" s="4" t="s">
        <v>132</v>
      </c>
      <c r="Q27" s="4" t="s">
        <v>139</v>
      </c>
      <c r="R27" s="4" t="s">
        <v>140</v>
      </c>
      <c r="S27" s="4" t="s">
        <v>115</v>
      </c>
      <c r="T27" s="4" t="s">
        <v>141</v>
      </c>
      <c r="U27" s="4" t="s">
        <v>128</v>
      </c>
      <c r="V27" s="4" t="s">
        <v>166</v>
      </c>
      <c r="W27" s="4" t="s">
        <v>143</v>
      </c>
      <c r="X27" s="4" t="s">
        <v>128</v>
      </c>
      <c r="Y27" s="4" t="s">
        <v>140</v>
      </c>
      <c r="Z27" s="4" t="s">
        <v>132</v>
      </c>
      <c r="AA27" s="4" t="s">
        <v>132</v>
      </c>
      <c r="AB27" s="4" t="s">
        <v>132</v>
      </c>
      <c r="AC27" s="4" t="s">
        <v>125</v>
      </c>
      <c r="AD27" s="4" t="s">
        <v>125</v>
      </c>
      <c r="AE27" s="5">
        <v>6.7267083333333355</v>
      </c>
      <c r="AF27" s="5">
        <v>1.4624999999999999</v>
      </c>
      <c r="AG27" s="5">
        <v>0</v>
      </c>
      <c r="AH27" s="5">
        <v>8.189208333333335</v>
      </c>
      <c r="AI27" s="6">
        <v>0.72808726932294032</v>
      </c>
      <c r="AJ27" s="7">
        <v>4.0946041666666675</v>
      </c>
      <c r="AK27" s="7">
        <v>4.0946041666666675</v>
      </c>
      <c r="AL27" s="8"/>
      <c r="AM27" s="51">
        <f>AH27*(1-AI27)</f>
        <v>2.22675</v>
      </c>
      <c r="AN27" s="50" t="str">
        <f>VLOOKUP($E27,'Capgemini PResence and HC'!$B$2:$G$143,4,0)</f>
        <v>N</v>
      </c>
      <c r="AO27" s="50">
        <f>VLOOKUP($E27,'Capgemini PResence and HC'!$B$2:$G$143,2,0)</f>
        <v>0</v>
      </c>
      <c r="AP27" s="50">
        <f>VLOOKUP($E27,'Capgemini PResence and HC'!$B$2:$G$143,3,0)</f>
        <v>0</v>
      </c>
      <c r="AQ27" s="50">
        <f>VLOOKUP($E27,'Capgemini PResence and HC'!$B$2:$G$143,6,0)</f>
        <v>0</v>
      </c>
      <c r="AR27" s="65"/>
      <c r="AS27" s="65"/>
      <c r="BB27" s="75">
        <f>SUM(AE27:AG27)-AH27</f>
        <v>0</v>
      </c>
    </row>
    <row r="28" spans="1:54" s="2" customFormat="1" ht="18.75" hidden="1" customHeight="1">
      <c r="A28" s="15" t="s">
        <v>25</v>
      </c>
      <c r="B28" s="15" t="s">
        <v>115</v>
      </c>
      <c r="C28" s="15"/>
      <c r="D28" s="15"/>
      <c r="E28" s="4">
        <v>9824</v>
      </c>
      <c r="F28" s="4" t="s">
        <v>27</v>
      </c>
      <c r="G28" s="4" t="s">
        <v>193</v>
      </c>
      <c r="H28" s="4" t="s">
        <v>194</v>
      </c>
      <c r="I28" s="4" t="s">
        <v>137</v>
      </c>
      <c r="J28" s="4" t="s">
        <v>178</v>
      </c>
      <c r="K28" s="4" t="s">
        <v>138</v>
      </c>
      <c r="L28" s="4" t="s">
        <v>121</v>
      </c>
      <c r="M28" s="4" t="s">
        <v>122</v>
      </c>
      <c r="N28" s="4" t="s">
        <v>123</v>
      </c>
      <c r="O28" s="4" t="s">
        <v>124</v>
      </c>
      <c r="P28" s="4" t="s">
        <v>132</v>
      </c>
      <c r="Q28" s="4" t="s">
        <v>139</v>
      </c>
      <c r="R28" s="4" t="s">
        <v>140</v>
      </c>
      <c r="S28" s="4" t="s">
        <v>115</v>
      </c>
      <c r="T28" s="4" t="s">
        <v>141</v>
      </c>
      <c r="U28" s="4" t="s">
        <v>128</v>
      </c>
      <c r="V28" s="4" t="s">
        <v>166</v>
      </c>
      <c r="W28" s="4" t="s">
        <v>143</v>
      </c>
      <c r="X28" s="4" t="s">
        <v>128</v>
      </c>
      <c r="Y28" s="4" t="s">
        <v>140</v>
      </c>
      <c r="Z28" s="4" t="s">
        <v>132</v>
      </c>
      <c r="AA28" s="4" t="s">
        <v>132</v>
      </c>
      <c r="AB28" s="4" t="s">
        <v>132</v>
      </c>
      <c r="AC28" s="4" t="s">
        <v>125</v>
      </c>
      <c r="AD28" s="4" t="s">
        <v>125</v>
      </c>
      <c r="AE28" s="5">
        <v>1.6308333333333336</v>
      </c>
      <c r="AF28" s="5">
        <v>0</v>
      </c>
      <c r="AG28" s="5">
        <v>0</v>
      </c>
      <c r="AH28" s="5">
        <v>1.6308333333333336</v>
      </c>
      <c r="AI28" s="6">
        <v>0.38681655595298936</v>
      </c>
      <c r="AJ28" s="7">
        <v>0.81541666666666679</v>
      </c>
      <c r="AK28" s="7">
        <v>0.81541666666666679</v>
      </c>
      <c r="AL28" s="8"/>
      <c r="AM28" s="51">
        <f>AH28*(1-AI28)</f>
        <v>1</v>
      </c>
      <c r="AN28" s="50" t="str">
        <f>VLOOKUP($E28,'Capgemini PResence and HC'!$B$2:$G$143,4,0)</f>
        <v>N</v>
      </c>
      <c r="AO28" s="50">
        <f>VLOOKUP($E28,'Capgemini PResence and HC'!$B$2:$G$143,2,0)</f>
        <v>0</v>
      </c>
      <c r="AP28" s="50">
        <f>VLOOKUP($E28,'Capgemini PResence and HC'!$B$2:$G$143,3,0)</f>
        <v>0</v>
      </c>
      <c r="AQ28" s="50">
        <f>VLOOKUP($E28,'Capgemini PResence and HC'!$B$2:$G$143,6,0)</f>
        <v>0</v>
      </c>
      <c r="AR28" s="65"/>
      <c r="AS28" s="65"/>
      <c r="BB28" s="75">
        <f>SUM(AE28:AG28)-AH28</f>
        <v>0</v>
      </c>
    </row>
    <row r="29" spans="1:54" s="2" customFormat="1" ht="18.75" hidden="1" customHeight="1">
      <c r="A29" s="15" t="s">
        <v>20</v>
      </c>
      <c r="B29" s="15" t="s">
        <v>115</v>
      </c>
      <c r="C29" s="15"/>
      <c r="D29" s="15"/>
      <c r="E29" s="4">
        <v>9833</v>
      </c>
      <c r="F29" s="4" t="s">
        <v>195</v>
      </c>
      <c r="G29" s="4" t="s">
        <v>196</v>
      </c>
      <c r="H29" s="9" t="s">
        <v>197</v>
      </c>
      <c r="I29" s="4" t="s">
        <v>198</v>
      </c>
      <c r="J29" s="4" t="s">
        <v>199</v>
      </c>
      <c r="K29" s="4" t="s">
        <v>200</v>
      </c>
      <c r="L29" s="4" t="s">
        <v>121</v>
      </c>
      <c r="M29" s="4" t="s">
        <v>122</v>
      </c>
      <c r="N29" s="4" t="s">
        <v>123</v>
      </c>
      <c r="O29" s="4" t="s">
        <v>124</v>
      </c>
      <c r="P29" s="4" t="s">
        <v>125</v>
      </c>
      <c r="Q29" s="4" t="s">
        <v>139</v>
      </c>
      <c r="R29" s="4" t="s">
        <v>140</v>
      </c>
      <c r="S29" s="4" t="s">
        <v>115</v>
      </c>
      <c r="T29" s="4" t="s">
        <v>201</v>
      </c>
      <c r="U29" s="4" t="s">
        <v>128</v>
      </c>
      <c r="V29" s="4" t="s">
        <v>202</v>
      </c>
      <c r="W29" s="4" t="s">
        <v>143</v>
      </c>
      <c r="X29" s="4" t="s">
        <v>128</v>
      </c>
      <c r="Y29" s="4" t="s">
        <v>140</v>
      </c>
      <c r="Z29" s="4" t="s">
        <v>132</v>
      </c>
      <c r="AA29" s="4" t="s">
        <v>132</v>
      </c>
      <c r="AB29" s="4" t="s">
        <v>132</v>
      </c>
      <c r="AC29" s="4" t="s">
        <v>125</v>
      </c>
      <c r="AD29" s="4" t="s">
        <v>125</v>
      </c>
      <c r="AE29" s="5">
        <v>8.7316666666666691</v>
      </c>
      <c r="AF29" s="5">
        <v>0.11041666666666666</v>
      </c>
      <c r="AG29" s="5">
        <v>0</v>
      </c>
      <c r="AH29" s="5">
        <v>8.8420833333333366</v>
      </c>
      <c r="AI29" s="6">
        <v>0.91687479383629433</v>
      </c>
      <c r="AJ29" s="7">
        <v>4.4210416666666683</v>
      </c>
      <c r="AK29" s="7">
        <v>4.4210416666666683</v>
      </c>
      <c r="AL29" s="8"/>
      <c r="AM29" s="51">
        <f>AH29*(1-AI29)</f>
        <v>0.73499999999999943</v>
      </c>
      <c r="AN29" s="50" t="str">
        <f>VLOOKUP($E29,'Capgemini PResence and HC'!$B$2:$G$143,4,0)</f>
        <v>Y</v>
      </c>
      <c r="AO29" s="50">
        <f>VLOOKUP($E29,'Capgemini PResence and HC'!$B$2:$G$143,2,0)</f>
        <v>0</v>
      </c>
      <c r="AP29" s="50">
        <f>VLOOKUP($E29,'Capgemini PResence and HC'!$B$2:$G$143,3,0)</f>
        <v>1</v>
      </c>
      <c r="AQ29" s="50">
        <f>VLOOKUP($E29,'Capgemini PResence and HC'!$B$2:$G$143,6,0)</f>
        <v>0</v>
      </c>
      <c r="AR29" s="65"/>
      <c r="AS29" s="65"/>
      <c r="BB29" s="75">
        <f>SUM(AE29:AG29)-AH29</f>
        <v>0</v>
      </c>
    </row>
    <row r="30" spans="1:54" s="2" customFormat="1" ht="18.75" hidden="1" customHeight="1">
      <c r="A30" s="15" t="s">
        <v>20</v>
      </c>
      <c r="B30" s="15" t="s">
        <v>115</v>
      </c>
      <c r="C30" s="15"/>
      <c r="D30" s="15"/>
      <c r="E30" s="4">
        <v>9834</v>
      </c>
      <c r="F30" s="4" t="s">
        <v>203</v>
      </c>
      <c r="G30" s="4" t="s">
        <v>204</v>
      </c>
      <c r="H30" s="10" t="s">
        <v>205</v>
      </c>
      <c r="I30" s="4" t="s">
        <v>206</v>
      </c>
      <c r="J30" s="4" t="s">
        <v>199</v>
      </c>
      <c r="K30" s="4" t="s">
        <v>207</v>
      </c>
      <c r="L30" s="4" t="s">
        <v>121</v>
      </c>
      <c r="M30" s="4" t="s">
        <v>122</v>
      </c>
      <c r="N30" s="4" t="s">
        <v>123</v>
      </c>
      <c r="O30" s="4" t="s">
        <v>124</v>
      </c>
      <c r="P30" s="4" t="s">
        <v>132</v>
      </c>
      <c r="Q30" s="4" t="s">
        <v>139</v>
      </c>
      <c r="R30" s="4" t="s">
        <v>140</v>
      </c>
      <c r="S30" s="4" t="s">
        <v>115</v>
      </c>
      <c r="T30" s="4" t="s">
        <v>208</v>
      </c>
      <c r="U30" s="4" t="s">
        <v>128</v>
      </c>
      <c r="V30" s="4" t="s">
        <v>209</v>
      </c>
      <c r="W30" s="4" t="s">
        <v>143</v>
      </c>
      <c r="X30" s="4" t="s">
        <v>128</v>
      </c>
      <c r="Y30" s="4" t="s">
        <v>140</v>
      </c>
      <c r="Z30" s="4" t="s">
        <v>132</v>
      </c>
      <c r="AA30" s="4" t="s">
        <v>132</v>
      </c>
      <c r="AB30" s="4" t="s">
        <v>132</v>
      </c>
      <c r="AC30" s="4" t="s">
        <v>125</v>
      </c>
      <c r="AD30" s="4" t="s">
        <v>125</v>
      </c>
      <c r="AE30" s="11">
        <v>0.2</v>
      </c>
      <c r="AF30" s="11">
        <v>0.2</v>
      </c>
      <c r="AG30" s="11">
        <v>0</v>
      </c>
      <c r="AH30" s="5">
        <v>0.37083333333333335</v>
      </c>
      <c r="AI30" s="6">
        <v>0.32584269662921345</v>
      </c>
      <c r="AJ30" s="7">
        <v>0.18541666666666667</v>
      </c>
      <c r="AK30" s="7">
        <v>0.18541666666666667</v>
      </c>
      <c r="AL30" s="8"/>
      <c r="AM30" s="51">
        <f>AH30*(1-AI30)</f>
        <v>0.25000000000000006</v>
      </c>
      <c r="AN30" s="50" t="str">
        <f>VLOOKUP($E30,'Capgemini PResence and HC'!$B$2:$G$143,4,0)</f>
        <v>N</v>
      </c>
      <c r="AO30" s="50">
        <f>VLOOKUP($E30,'Capgemini PResence and HC'!$B$2:$G$143,2,0)</f>
        <v>0</v>
      </c>
      <c r="AP30" s="50">
        <f>VLOOKUP($E30,'Capgemini PResence and HC'!$B$2:$G$143,3,0)</f>
        <v>0</v>
      </c>
      <c r="AQ30" s="50">
        <f>VLOOKUP($E30,'Capgemini PResence and HC'!$B$2:$G$143,6,0)</f>
        <v>0</v>
      </c>
      <c r="AR30" s="65"/>
      <c r="AS30" s="65"/>
      <c r="BB30" s="75">
        <f>SUM(AE30:AG30)-AH30</f>
        <v>2.9166666666666674E-2</v>
      </c>
    </row>
    <row r="31" spans="1:54" s="2" customFormat="1" ht="18.75" hidden="1" customHeight="1">
      <c r="A31" s="15" t="s">
        <v>20</v>
      </c>
      <c r="B31" s="15" t="s">
        <v>115</v>
      </c>
      <c r="C31" s="15"/>
      <c r="D31" s="15"/>
      <c r="E31" s="4">
        <v>9835</v>
      </c>
      <c r="F31" s="4" t="s">
        <v>210</v>
      </c>
      <c r="G31" s="4" t="s">
        <v>211</v>
      </c>
      <c r="H31" s="10" t="s">
        <v>212</v>
      </c>
      <c r="I31" s="4" t="s">
        <v>213</v>
      </c>
      <c r="J31" s="4" t="s">
        <v>199</v>
      </c>
      <c r="K31" s="4" t="s">
        <v>214</v>
      </c>
      <c r="L31" s="4" t="s">
        <v>121</v>
      </c>
      <c r="M31" s="4" t="s">
        <v>122</v>
      </c>
      <c r="N31" s="4" t="s">
        <v>123</v>
      </c>
      <c r="O31" s="4" t="s">
        <v>124</v>
      </c>
      <c r="P31" s="4" t="s">
        <v>132</v>
      </c>
      <c r="Q31" s="4" t="s">
        <v>139</v>
      </c>
      <c r="R31" s="4" t="s">
        <v>140</v>
      </c>
      <c r="S31" s="4" t="s">
        <v>115</v>
      </c>
      <c r="T31" s="4" t="s">
        <v>208</v>
      </c>
      <c r="U31" s="4" t="s">
        <v>128</v>
      </c>
      <c r="V31" s="4" t="s">
        <v>215</v>
      </c>
      <c r="W31" s="4" t="s">
        <v>143</v>
      </c>
      <c r="X31" s="4" t="s">
        <v>128</v>
      </c>
      <c r="Y31" s="4" t="s">
        <v>140</v>
      </c>
      <c r="Z31" s="4" t="s">
        <v>132</v>
      </c>
      <c r="AA31" s="4" t="s">
        <v>132</v>
      </c>
      <c r="AB31" s="4" t="s">
        <v>132</v>
      </c>
      <c r="AC31" s="4" t="s">
        <v>125</v>
      </c>
      <c r="AD31" s="4" t="s">
        <v>125</v>
      </c>
      <c r="AE31" s="5">
        <v>29.379874999999988</v>
      </c>
      <c r="AF31" s="5">
        <v>5.6166666666666663</v>
      </c>
      <c r="AG31" s="5">
        <v>0</v>
      </c>
      <c r="AH31" s="5">
        <v>34.996541666666651</v>
      </c>
      <c r="AI31" s="6">
        <v>0.90522873093412803</v>
      </c>
      <c r="AJ31" s="7">
        <v>17.498270833333326</v>
      </c>
      <c r="AK31" s="7">
        <v>17.498270833333326</v>
      </c>
      <c r="AL31" s="8"/>
      <c r="AM31" s="51">
        <f>AH31*(1-AI31)</f>
        <v>3.3166666666666647</v>
      </c>
      <c r="AN31" s="50" t="str">
        <f>VLOOKUP($E31,'Capgemini PResence and HC'!$B$2:$G$143,4,0)</f>
        <v>Y</v>
      </c>
      <c r="AO31" s="50">
        <f>VLOOKUP($E31,'Capgemini PResence and HC'!$B$2:$G$143,2,0)</f>
        <v>0</v>
      </c>
      <c r="AP31" s="50">
        <f>VLOOKUP($E31,'Capgemini PResence and HC'!$B$2:$G$143,3,0)</f>
        <v>1</v>
      </c>
      <c r="AQ31" s="50">
        <f>VLOOKUP($E31,'Capgemini PResence and HC'!$B$2:$G$143,6,0)</f>
        <v>0</v>
      </c>
      <c r="AR31" s="65"/>
      <c r="AS31" s="65"/>
      <c r="BB31" s="75">
        <f>SUM(AE31:AG31)-AH31</f>
        <v>0</v>
      </c>
    </row>
    <row r="32" spans="1:54" s="2" customFormat="1" ht="18.75" hidden="1" customHeight="1">
      <c r="A32" s="15" t="s">
        <v>20</v>
      </c>
      <c r="B32" s="15" t="s">
        <v>115</v>
      </c>
      <c r="C32" s="15"/>
      <c r="D32" s="15"/>
      <c r="E32" s="4">
        <v>9836</v>
      </c>
      <c r="F32" s="4" t="s">
        <v>216</v>
      </c>
      <c r="G32" s="4" t="s">
        <v>217</v>
      </c>
      <c r="H32" s="10" t="s">
        <v>218</v>
      </c>
      <c r="I32" s="4" t="s">
        <v>206</v>
      </c>
      <c r="J32" s="4" t="s">
        <v>199</v>
      </c>
      <c r="K32" s="4" t="s">
        <v>207</v>
      </c>
      <c r="L32" s="4" t="s">
        <v>121</v>
      </c>
      <c r="M32" s="4" t="s">
        <v>122</v>
      </c>
      <c r="N32" s="4" t="s">
        <v>123</v>
      </c>
      <c r="O32" s="4" t="s">
        <v>124</v>
      </c>
      <c r="P32" s="4" t="s">
        <v>132</v>
      </c>
      <c r="Q32" s="4" t="s">
        <v>139</v>
      </c>
      <c r="R32" s="4" t="s">
        <v>140</v>
      </c>
      <c r="S32" s="4" t="s">
        <v>115</v>
      </c>
      <c r="T32" s="4" t="s">
        <v>208</v>
      </c>
      <c r="U32" s="4" t="s">
        <v>128</v>
      </c>
      <c r="V32" s="4" t="s">
        <v>209</v>
      </c>
      <c r="W32" s="4" t="s">
        <v>143</v>
      </c>
      <c r="X32" s="4" t="s">
        <v>128</v>
      </c>
      <c r="Y32" s="4" t="s">
        <v>140</v>
      </c>
      <c r="Z32" s="4" t="s">
        <v>132</v>
      </c>
      <c r="AA32" s="4" t="s">
        <v>132</v>
      </c>
      <c r="AB32" s="4" t="s">
        <v>132</v>
      </c>
      <c r="AC32" s="4" t="s">
        <v>125</v>
      </c>
      <c r="AD32" s="4" t="s">
        <v>125</v>
      </c>
      <c r="AE32" s="11">
        <v>0.30000000000000004</v>
      </c>
      <c r="AF32" s="11">
        <v>0.3</v>
      </c>
      <c r="AG32" s="11">
        <v>0</v>
      </c>
      <c r="AH32" s="5">
        <v>2.5258333333333329</v>
      </c>
      <c r="AI32" s="6">
        <v>0.90102276476410426</v>
      </c>
      <c r="AJ32" s="7">
        <v>1.2629166666666665</v>
      </c>
      <c r="AK32" s="7">
        <v>1.2629166666666665</v>
      </c>
      <c r="AL32" s="8"/>
      <c r="AM32" s="51">
        <f>AH32*(1-AI32)</f>
        <v>0.24999999999999997</v>
      </c>
      <c r="AN32" s="50" t="str">
        <f>VLOOKUP($E32,'Capgemini PResence and HC'!$B$2:$G$143,4,0)</f>
        <v>Y</v>
      </c>
      <c r="AO32" s="50">
        <f>VLOOKUP($E32,'Capgemini PResence and HC'!$B$2:$G$143,2,0)</f>
        <v>0</v>
      </c>
      <c r="AP32" s="50">
        <f>VLOOKUP($E32,'Capgemini PResence and HC'!$B$2:$G$143,3,0)</f>
        <v>1</v>
      </c>
      <c r="AQ32" s="50">
        <f>VLOOKUP($E32,'Capgemini PResence and HC'!$B$2:$G$143,6,0)</f>
        <v>0</v>
      </c>
      <c r="AR32" s="65"/>
      <c r="AS32" s="65"/>
      <c r="BB32" s="75">
        <f>SUM(AE32:AG32)-AH32</f>
        <v>-1.9258333333333328</v>
      </c>
    </row>
    <row r="33" spans="1:54" s="2" customFormat="1" ht="18.75" hidden="1" customHeight="1">
      <c r="A33" s="15" t="s">
        <v>20</v>
      </c>
      <c r="B33" s="15" t="s">
        <v>115</v>
      </c>
      <c r="C33" s="15"/>
      <c r="D33" s="15"/>
      <c r="E33" s="4">
        <v>9842</v>
      </c>
      <c r="F33" s="4" t="s">
        <v>219</v>
      </c>
      <c r="G33" s="4" t="s">
        <v>220</v>
      </c>
      <c r="H33" s="9" t="s">
        <v>221</v>
      </c>
      <c r="I33" s="4" t="s">
        <v>206</v>
      </c>
      <c r="J33" s="4" t="s">
        <v>199</v>
      </c>
      <c r="K33" s="4" t="s">
        <v>207</v>
      </c>
      <c r="L33" s="4" t="s">
        <v>121</v>
      </c>
      <c r="M33" s="4" t="s">
        <v>122</v>
      </c>
      <c r="N33" s="4" t="s">
        <v>123</v>
      </c>
      <c r="O33" s="4" t="s">
        <v>124</v>
      </c>
      <c r="P33" s="4" t="s">
        <v>125</v>
      </c>
      <c r="Q33" s="4" t="s">
        <v>139</v>
      </c>
      <c r="R33" s="4" t="s">
        <v>140</v>
      </c>
      <c r="S33" s="4" t="s">
        <v>115</v>
      </c>
      <c r="T33" s="4" t="s">
        <v>222</v>
      </c>
      <c r="U33" s="4" t="s">
        <v>128</v>
      </c>
      <c r="V33" s="4" t="s">
        <v>223</v>
      </c>
      <c r="W33" s="4" t="s">
        <v>143</v>
      </c>
      <c r="X33" s="4" t="s">
        <v>128</v>
      </c>
      <c r="Y33" s="4" t="s">
        <v>140</v>
      </c>
      <c r="Z33" s="4" t="s">
        <v>132</v>
      </c>
      <c r="AA33" s="4" t="s">
        <v>132</v>
      </c>
      <c r="AB33" s="4" t="s">
        <v>132</v>
      </c>
      <c r="AC33" s="4" t="s">
        <v>125</v>
      </c>
      <c r="AD33" s="4" t="s">
        <v>125</v>
      </c>
      <c r="AE33" s="11">
        <v>0.30000000000000004</v>
      </c>
      <c r="AF33" s="11">
        <v>0.3</v>
      </c>
      <c r="AG33" s="11">
        <v>0</v>
      </c>
      <c r="AH33" s="5">
        <v>2.8862500000000004</v>
      </c>
      <c r="AI33" s="6">
        <v>0.90298830662624519</v>
      </c>
      <c r="AJ33" s="7">
        <v>1.4431250000000002</v>
      </c>
      <c r="AK33" s="7">
        <v>1.4431250000000002</v>
      </c>
      <c r="AL33" s="8"/>
      <c r="AM33" s="51">
        <f>AH33*(1-AI33)</f>
        <v>0.27999999999999986</v>
      </c>
      <c r="AN33" s="50" t="str">
        <f>VLOOKUP($E33,'Capgemini PResence and HC'!$B$2:$G$143,4,0)</f>
        <v>Y</v>
      </c>
      <c r="AO33" s="50">
        <f>VLOOKUP($E33,'Capgemini PResence and HC'!$B$2:$G$143,2,0)</f>
        <v>0</v>
      </c>
      <c r="AP33" s="50">
        <f>VLOOKUP($E33,'Capgemini PResence and HC'!$B$2:$G$143,3,0)</f>
        <v>1</v>
      </c>
      <c r="AQ33" s="50">
        <f>VLOOKUP($E33,'Capgemini PResence and HC'!$B$2:$G$143,6,0)</f>
        <v>0</v>
      </c>
      <c r="AR33" s="65"/>
      <c r="AS33" s="65"/>
      <c r="BB33" s="75">
        <f>SUM(AE33:AG33)-AH33</f>
        <v>-2.2862500000000003</v>
      </c>
    </row>
    <row r="34" spans="1:54" s="2" customFormat="1" ht="18.75" hidden="1" customHeight="1">
      <c r="A34" s="15" t="s">
        <v>20</v>
      </c>
      <c r="B34" s="15" t="s">
        <v>115</v>
      </c>
      <c r="C34" s="15"/>
      <c r="D34" s="15"/>
      <c r="E34" s="4">
        <v>9843</v>
      </c>
      <c r="F34" s="4" t="s">
        <v>224</v>
      </c>
      <c r="G34" s="4" t="s">
        <v>225</v>
      </c>
      <c r="H34" s="9" t="s">
        <v>226</v>
      </c>
      <c r="I34" s="4" t="s">
        <v>227</v>
      </c>
      <c r="J34" s="4" t="s">
        <v>199</v>
      </c>
      <c r="K34" s="4" t="s">
        <v>228</v>
      </c>
      <c r="L34" s="4" t="s">
        <v>121</v>
      </c>
      <c r="M34" s="4" t="s">
        <v>122</v>
      </c>
      <c r="N34" s="4" t="s">
        <v>123</v>
      </c>
      <c r="O34" s="4" t="s">
        <v>124</v>
      </c>
      <c r="P34" s="4" t="s">
        <v>125</v>
      </c>
      <c r="Q34" s="4" t="s">
        <v>139</v>
      </c>
      <c r="R34" s="4" t="s">
        <v>140</v>
      </c>
      <c r="S34" s="4" t="s">
        <v>115</v>
      </c>
      <c r="T34" s="4" t="s">
        <v>229</v>
      </c>
      <c r="U34" s="4" t="s">
        <v>128</v>
      </c>
      <c r="V34" s="4" t="s">
        <v>209</v>
      </c>
      <c r="W34" s="4" t="s">
        <v>143</v>
      </c>
      <c r="X34" s="4" t="s">
        <v>128</v>
      </c>
      <c r="Y34" s="4" t="s">
        <v>140</v>
      </c>
      <c r="Z34" s="4" t="s">
        <v>132</v>
      </c>
      <c r="AA34" s="4" t="s">
        <v>132</v>
      </c>
      <c r="AB34" s="4" t="s">
        <v>132</v>
      </c>
      <c r="AC34" s="4" t="s">
        <v>125</v>
      </c>
      <c r="AD34" s="4" t="s">
        <v>125</v>
      </c>
      <c r="AE34" s="5">
        <v>1.2120833333333334</v>
      </c>
      <c r="AF34" s="5">
        <v>0.20833333333333334</v>
      </c>
      <c r="AG34" s="5">
        <v>0</v>
      </c>
      <c r="AH34" s="5">
        <v>1.4204166666666667</v>
      </c>
      <c r="AI34" s="6">
        <v>0.63596362569668519</v>
      </c>
      <c r="AJ34" s="7">
        <v>0.71020833333333333</v>
      </c>
      <c r="AK34" s="7">
        <v>0.71020833333333333</v>
      </c>
      <c r="AL34" s="8"/>
      <c r="AM34" s="51">
        <f>AH34*(1-AI34)</f>
        <v>0.51708333333333345</v>
      </c>
      <c r="AN34" s="50" t="str">
        <f>VLOOKUP($E34,'Capgemini PResence and HC'!$B$2:$G$143,4,0)</f>
        <v>Y</v>
      </c>
      <c r="AO34" s="50">
        <f>VLOOKUP($E34,'Capgemini PResence and HC'!$B$2:$G$143,2,0)</f>
        <v>0</v>
      </c>
      <c r="AP34" s="50">
        <f>VLOOKUP($E34,'Capgemini PResence and HC'!$B$2:$G$143,3,0)</f>
        <v>1</v>
      </c>
      <c r="AQ34" s="50">
        <f>VLOOKUP($E34,'Capgemini PResence and HC'!$B$2:$G$143,6,0)</f>
        <v>0</v>
      </c>
      <c r="AR34" s="65"/>
      <c r="AS34" s="65"/>
      <c r="BB34" s="75">
        <f>SUM(AE34:AG34)-AH34</f>
        <v>0</v>
      </c>
    </row>
    <row r="35" spans="1:54" s="2" customFormat="1" ht="18.75" hidden="1" customHeight="1">
      <c r="A35" s="15" t="s">
        <v>20</v>
      </c>
      <c r="B35" s="15" t="s">
        <v>115</v>
      </c>
      <c r="C35" s="15"/>
      <c r="D35" s="15"/>
      <c r="E35" s="4">
        <v>11011</v>
      </c>
      <c r="F35" s="4" t="s">
        <v>230</v>
      </c>
      <c r="G35" s="4" t="s">
        <v>231</v>
      </c>
      <c r="H35" s="4" t="s">
        <v>232</v>
      </c>
      <c r="I35" s="4" t="s">
        <v>233</v>
      </c>
      <c r="J35" s="4" t="s">
        <v>119</v>
      </c>
      <c r="K35" s="4" t="s">
        <v>234</v>
      </c>
      <c r="L35" s="4" t="s">
        <v>121</v>
      </c>
      <c r="M35" s="4" t="s">
        <v>122</v>
      </c>
      <c r="N35" s="4" t="s">
        <v>123</v>
      </c>
      <c r="O35" s="4" t="s">
        <v>124</v>
      </c>
      <c r="P35" s="4" t="s">
        <v>125</v>
      </c>
      <c r="Q35" s="4" t="s">
        <v>235</v>
      </c>
      <c r="R35" s="4" t="s">
        <v>140</v>
      </c>
      <c r="S35" s="4" t="s">
        <v>115</v>
      </c>
      <c r="T35" s="4" t="s">
        <v>229</v>
      </c>
      <c r="U35" s="4" t="s">
        <v>128</v>
      </c>
      <c r="V35" s="4" t="s">
        <v>236</v>
      </c>
      <c r="W35" s="4" t="s">
        <v>143</v>
      </c>
      <c r="X35" s="4" t="s">
        <v>128</v>
      </c>
      <c r="Y35" s="4" t="s">
        <v>140</v>
      </c>
      <c r="Z35" s="4" t="s">
        <v>132</v>
      </c>
      <c r="AA35" s="4" t="s">
        <v>132</v>
      </c>
      <c r="AB35" s="4" t="s">
        <v>132</v>
      </c>
      <c r="AC35" s="4" t="s">
        <v>125</v>
      </c>
      <c r="AD35" s="4" t="s">
        <v>125</v>
      </c>
      <c r="AE35" s="5">
        <v>6.0791666666666666</v>
      </c>
      <c r="AF35" s="5">
        <v>1.0708333333333333</v>
      </c>
      <c r="AG35" s="5">
        <v>0</v>
      </c>
      <c r="AH35" s="5">
        <v>7.15</v>
      </c>
      <c r="AI35" s="6">
        <v>0.90384615384615385</v>
      </c>
      <c r="AJ35" s="7">
        <v>3.5750000000000002</v>
      </c>
      <c r="AK35" s="7">
        <v>3.5750000000000002</v>
      </c>
      <c r="AL35" s="8"/>
      <c r="AM35" s="51">
        <f>AH35*(1-AI35)</f>
        <v>0.6875</v>
      </c>
      <c r="AN35" s="50" t="str">
        <f>VLOOKUP($E35,'Capgemini PResence and HC'!$B$2:$G$143,4,0)</f>
        <v>N</v>
      </c>
      <c r="AO35" s="50">
        <f>VLOOKUP($E35,'Capgemini PResence and HC'!$B$2:$G$143,2,0)</f>
        <v>0</v>
      </c>
      <c r="AP35" s="50">
        <f>VLOOKUP($E35,'Capgemini PResence and HC'!$B$2:$G$143,3,0)</f>
        <v>0</v>
      </c>
      <c r="AQ35" s="50">
        <f>VLOOKUP($E35,'Capgemini PResence and HC'!$B$2:$G$143,6,0)</f>
        <v>0</v>
      </c>
      <c r="AR35" s="76">
        <f>AH35-AS35</f>
        <v>6.4625000000000004</v>
      </c>
      <c r="AS35" s="67">
        <f>AM35</f>
        <v>0.6875</v>
      </c>
      <c r="AT35" s="72" t="e">
        <f>#REF!*AT$151</f>
        <v>#REF!</v>
      </c>
      <c r="AU35" s="72" t="e">
        <f>#REF!*AU$151</f>
        <v>#REF!</v>
      </c>
      <c r="AV35" s="72" t="e">
        <f>#REF!*AV$151</f>
        <v>#REF!</v>
      </c>
      <c r="AW35" s="72" t="e">
        <f>#REF!*AW$151</f>
        <v>#REF!</v>
      </c>
      <c r="AX35" s="72" t="e">
        <f>#REF!*AX$151</f>
        <v>#REF!</v>
      </c>
      <c r="AY35" s="72" t="e">
        <f>#REF!*AY$151</f>
        <v>#REF!</v>
      </c>
      <c r="AZ35" s="72" t="e">
        <f>#REF!*AZ$151</f>
        <v>#REF!</v>
      </c>
      <c r="BA35" s="72" t="e">
        <f>#REF!*BA$151</f>
        <v>#REF!</v>
      </c>
      <c r="BB35" s="75">
        <f>SUM(AE35:AG35)-AH35</f>
        <v>0</v>
      </c>
    </row>
    <row r="36" spans="1:54" s="2" customFormat="1" ht="18.75" hidden="1" customHeight="1">
      <c r="A36" s="15" t="s">
        <v>20</v>
      </c>
      <c r="B36" s="15" t="s">
        <v>115</v>
      </c>
      <c r="C36" s="15"/>
      <c r="D36" s="15"/>
      <c r="E36" s="4">
        <v>9845</v>
      </c>
      <c r="F36" s="4" t="s">
        <v>237</v>
      </c>
      <c r="G36" s="4" t="s">
        <v>238</v>
      </c>
      <c r="H36" s="9" t="s">
        <v>239</v>
      </c>
      <c r="I36" s="4" t="s">
        <v>198</v>
      </c>
      <c r="J36" s="4" t="s">
        <v>199</v>
      </c>
      <c r="K36" s="4" t="s">
        <v>200</v>
      </c>
      <c r="L36" s="4" t="s">
        <v>121</v>
      </c>
      <c r="M36" s="4" t="s">
        <v>122</v>
      </c>
      <c r="N36" s="4" t="s">
        <v>123</v>
      </c>
      <c r="O36" s="4" t="s">
        <v>124</v>
      </c>
      <c r="P36" s="4" t="s">
        <v>125</v>
      </c>
      <c r="Q36" s="4" t="s">
        <v>139</v>
      </c>
      <c r="R36" s="4" t="s">
        <v>140</v>
      </c>
      <c r="S36" s="4" t="s">
        <v>115</v>
      </c>
      <c r="T36" s="4" t="s">
        <v>240</v>
      </c>
      <c r="U36" s="4" t="s">
        <v>128</v>
      </c>
      <c r="V36" s="4" t="s">
        <v>209</v>
      </c>
      <c r="W36" s="4" t="s">
        <v>143</v>
      </c>
      <c r="X36" s="4" t="s">
        <v>128</v>
      </c>
      <c r="Y36" s="4" t="s">
        <v>140</v>
      </c>
      <c r="Z36" s="4" t="s">
        <v>132</v>
      </c>
      <c r="AA36" s="4" t="s">
        <v>132</v>
      </c>
      <c r="AB36" s="4" t="s">
        <v>132</v>
      </c>
      <c r="AC36" s="4" t="s">
        <v>125</v>
      </c>
      <c r="AD36" s="4" t="s">
        <v>125</v>
      </c>
      <c r="AE36" s="5">
        <v>3.4049166666666668</v>
      </c>
      <c r="AF36" s="5">
        <v>0</v>
      </c>
      <c r="AG36" s="5">
        <v>0</v>
      </c>
      <c r="AH36" s="5">
        <v>3.4049166666666668</v>
      </c>
      <c r="AI36" s="6">
        <v>0.84091632198536437</v>
      </c>
      <c r="AJ36" s="7">
        <v>1.7024583333333334</v>
      </c>
      <c r="AK36" s="7">
        <v>1.7024583333333334</v>
      </c>
      <c r="AL36" s="8"/>
      <c r="AM36" s="51">
        <f>AH36*(1-AI36)</f>
        <v>0.54166666666666652</v>
      </c>
      <c r="AN36" s="50" t="str">
        <f>VLOOKUP($E36,'Capgemini PResence and HC'!$B$2:$G$143,4,0)</f>
        <v>Y</v>
      </c>
      <c r="AO36" s="50">
        <f>VLOOKUP($E36,'Capgemini PResence and HC'!$B$2:$G$143,2,0)</f>
        <v>0</v>
      </c>
      <c r="AP36" s="50">
        <f>VLOOKUP($E36,'Capgemini PResence and HC'!$B$2:$G$143,3,0)</f>
        <v>1</v>
      </c>
      <c r="AQ36" s="50">
        <f>VLOOKUP($E36,'Capgemini PResence and HC'!$B$2:$G$143,6,0)</f>
        <v>0</v>
      </c>
      <c r="AR36" s="65"/>
      <c r="AS36" s="65"/>
      <c r="BB36" s="75">
        <f>SUM(AE36:AG36)-AH36</f>
        <v>0</v>
      </c>
    </row>
    <row r="37" spans="1:54" s="2" customFormat="1" ht="18.75" hidden="1" customHeight="1">
      <c r="A37" s="15" t="s">
        <v>20</v>
      </c>
      <c r="B37" s="15" t="s">
        <v>115</v>
      </c>
      <c r="C37" s="15"/>
      <c r="D37" s="15"/>
      <c r="E37" s="4">
        <v>9846</v>
      </c>
      <c r="F37" s="4" t="s">
        <v>241</v>
      </c>
      <c r="G37" s="4" t="s">
        <v>242</v>
      </c>
      <c r="H37" s="9" t="s">
        <v>243</v>
      </c>
      <c r="I37" s="4" t="s">
        <v>227</v>
      </c>
      <c r="J37" s="4" t="s">
        <v>199</v>
      </c>
      <c r="K37" s="4" t="s">
        <v>228</v>
      </c>
      <c r="L37" s="4" t="s">
        <v>121</v>
      </c>
      <c r="M37" s="4" t="s">
        <v>122</v>
      </c>
      <c r="N37" s="4" t="s">
        <v>123</v>
      </c>
      <c r="O37" s="4" t="s">
        <v>124</v>
      </c>
      <c r="P37" s="4" t="s">
        <v>125</v>
      </c>
      <c r="Q37" s="4" t="s">
        <v>139</v>
      </c>
      <c r="R37" s="4" t="s">
        <v>140</v>
      </c>
      <c r="S37" s="4" t="s">
        <v>115</v>
      </c>
      <c r="T37" s="4" t="s">
        <v>222</v>
      </c>
      <c r="U37" s="4" t="s">
        <v>128</v>
      </c>
      <c r="V37" s="4" t="s">
        <v>209</v>
      </c>
      <c r="W37" s="4" t="s">
        <v>143</v>
      </c>
      <c r="X37" s="4" t="s">
        <v>128</v>
      </c>
      <c r="Y37" s="4" t="s">
        <v>140</v>
      </c>
      <c r="Z37" s="4" t="s">
        <v>132</v>
      </c>
      <c r="AA37" s="4" t="s">
        <v>132</v>
      </c>
      <c r="AB37" s="4" t="s">
        <v>132</v>
      </c>
      <c r="AC37" s="4" t="s">
        <v>125</v>
      </c>
      <c r="AD37" s="4" t="s">
        <v>125</v>
      </c>
      <c r="AE37" s="5">
        <v>3.125E-2</v>
      </c>
      <c r="AF37" s="5">
        <v>0.39999999999999997</v>
      </c>
      <c r="AG37" s="5">
        <v>0</v>
      </c>
      <c r="AH37" s="5">
        <v>0.43124999999999997</v>
      </c>
      <c r="AI37" s="6">
        <v>0.92753623188405798</v>
      </c>
      <c r="AJ37" s="7">
        <v>0.21562499999999998</v>
      </c>
      <c r="AK37" s="7">
        <v>0.21562499999999998</v>
      </c>
      <c r="AL37" s="8"/>
      <c r="AM37" s="51">
        <f>AH37*(1-AI37)</f>
        <v>3.1249999999999993E-2</v>
      </c>
      <c r="AN37" s="50" t="str">
        <f>VLOOKUP($E37,'Capgemini PResence and HC'!$B$2:$G$143,4,0)</f>
        <v>Y</v>
      </c>
      <c r="AO37" s="50">
        <f>VLOOKUP($E37,'Capgemini PResence and HC'!$B$2:$G$143,2,0)</f>
        <v>0</v>
      </c>
      <c r="AP37" s="50">
        <f>VLOOKUP($E37,'Capgemini PResence and HC'!$B$2:$G$143,3,0)</f>
        <v>1</v>
      </c>
      <c r="AQ37" s="50">
        <f>VLOOKUP($E37,'Capgemini PResence and HC'!$B$2:$G$143,6,0)</f>
        <v>0</v>
      </c>
      <c r="AR37" s="65"/>
      <c r="AS37" s="65"/>
      <c r="BB37" s="75">
        <f>SUM(AE37:AG37)-AH37</f>
        <v>0</v>
      </c>
    </row>
    <row r="38" spans="1:54" s="2" customFormat="1" ht="18.75" hidden="1" customHeight="1">
      <c r="A38" s="15" t="s">
        <v>20</v>
      </c>
      <c r="B38" s="15" t="s">
        <v>115</v>
      </c>
      <c r="C38" s="15"/>
      <c r="D38" s="15"/>
      <c r="E38" s="4">
        <v>9847</v>
      </c>
      <c r="F38" s="4" t="s">
        <v>244</v>
      </c>
      <c r="G38" s="4" t="s">
        <v>245</v>
      </c>
      <c r="H38" s="4" t="s">
        <v>246</v>
      </c>
      <c r="I38" s="4" t="s">
        <v>137</v>
      </c>
      <c r="J38" s="4" t="s">
        <v>119</v>
      </c>
      <c r="K38" s="4" t="s">
        <v>138</v>
      </c>
      <c r="L38" s="4" t="s">
        <v>121</v>
      </c>
      <c r="M38" s="4" t="s">
        <v>122</v>
      </c>
      <c r="N38" s="4" t="s">
        <v>123</v>
      </c>
      <c r="O38" s="4" t="s">
        <v>124</v>
      </c>
      <c r="P38" s="4" t="s">
        <v>125</v>
      </c>
      <c r="Q38" s="4" t="s">
        <v>139</v>
      </c>
      <c r="R38" s="4" t="s">
        <v>140</v>
      </c>
      <c r="S38" s="4" t="s">
        <v>115</v>
      </c>
      <c r="T38" s="4" t="s">
        <v>222</v>
      </c>
      <c r="U38" s="4" t="s">
        <v>128</v>
      </c>
      <c r="V38" s="4" t="s">
        <v>209</v>
      </c>
      <c r="W38" s="4" t="s">
        <v>143</v>
      </c>
      <c r="X38" s="4" t="s">
        <v>128</v>
      </c>
      <c r="Y38" s="4" t="s">
        <v>140</v>
      </c>
      <c r="Z38" s="4" t="s">
        <v>132</v>
      </c>
      <c r="AA38" s="4" t="s">
        <v>132</v>
      </c>
      <c r="AB38" s="4" t="s">
        <v>132</v>
      </c>
      <c r="AC38" s="4" t="s">
        <v>125</v>
      </c>
      <c r="AD38" s="4" t="s">
        <v>125</v>
      </c>
      <c r="AE38" s="5">
        <v>0.15262499999999998</v>
      </c>
      <c r="AF38" s="5">
        <v>0.3</v>
      </c>
      <c r="AG38" s="5">
        <v>0</v>
      </c>
      <c r="AH38" s="5">
        <v>0.45262499999999994</v>
      </c>
      <c r="AI38" s="6">
        <v>1</v>
      </c>
      <c r="AJ38" s="7">
        <v>0.22631249999999997</v>
      </c>
      <c r="AK38" s="7">
        <v>0.22631249999999997</v>
      </c>
      <c r="AL38" s="8"/>
      <c r="AM38" s="51">
        <f>AH38*(1-AI38)</f>
        <v>0</v>
      </c>
      <c r="AN38" s="50" t="str">
        <f>VLOOKUP($E38,'Capgemini PResence and HC'!$B$2:$G$143,4,0)</f>
        <v>N</v>
      </c>
      <c r="AO38" s="50">
        <f>VLOOKUP($E38,'Capgemini PResence and HC'!$B$2:$G$143,2,0)</f>
        <v>0</v>
      </c>
      <c r="AP38" s="50">
        <f>VLOOKUP($E38,'Capgemini PResence and HC'!$B$2:$G$143,3,0)</f>
        <v>0</v>
      </c>
      <c r="AQ38" s="50">
        <f>VLOOKUP($E38,'Capgemini PResence and HC'!$B$2:$G$143,6,0)</f>
        <v>0</v>
      </c>
      <c r="AR38" s="65"/>
      <c r="AS38" s="65"/>
      <c r="BB38" s="75">
        <f>SUM(AE38:AG38)-AH38</f>
        <v>0</v>
      </c>
    </row>
    <row r="39" spans="1:54" s="2" customFormat="1" ht="18.75" hidden="1" customHeight="1">
      <c r="A39" s="15" t="s">
        <v>20</v>
      </c>
      <c r="B39" s="15" t="s">
        <v>115</v>
      </c>
      <c r="C39" s="15"/>
      <c r="D39" s="15"/>
      <c r="E39" s="4">
        <v>9848</v>
      </c>
      <c r="F39" s="4" t="s">
        <v>247</v>
      </c>
      <c r="G39" s="4" t="s">
        <v>248</v>
      </c>
      <c r="H39" s="9" t="s">
        <v>249</v>
      </c>
      <c r="I39" s="4" t="s">
        <v>198</v>
      </c>
      <c r="J39" s="4" t="s">
        <v>199</v>
      </c>
      <c r="K39" s="4" t="s">
        <v>200</v>
      </c>
      <c r="L39" s="4" t="s">
        <v>121</v>
      </c>
      <c r="M39" s="4" t="s">
        <v>122</v>
      </c>
      <c r="N39" s="4" t="s">
        <v>123</v>
      </c>
      <c r="O39" s="4" t="s">
        <v>124</v>
      </c>
      <c r="P39" s="4" t="s">
        <v>125</v>
      </c>
      <c r="Q39" s="4" t="s">
        <v>139</v>
      </c>
      <c r="R39" s="4" t="s">
        <v>140</v>
      </c>
      <c r="S39" s="4" t="s">
        <v>115</v>
      </c>
      <c r="T39" s="4" t="s">
        <v>229</v>
      </c>
      <c r="U39" s="4" t="s">
        <v>128</v>
      </c>
      <c r="V39" s="4" t="s">
        <v>209</v>
      </c>
      <c r="W39" s="4" t="s">
        <v>143</v>
      </c>
      <c r="X39" s="4" t="s">
        <v>128</v>
      </c>
      <c r="Y39" s="4" t="s">
        <v>140</v>
      </c>
      <c r="Z39" s="4" t="s">
        <v>132</v>
      </c>
      <c r="AA39" s="4" t="s">
        <v>132</v>
      </c>
      <c r="AB39" s="4" t="s">
        <v>132</v>
      </c>
      <c r="AC39" s="4" t="s">
        <v>125</v>
      </c>
      <c r="AD39" s="4" t="s">
        <v>125</v>
      </c>
      <c r="AE39" s="5">
        <v>0.88541666666666663</v>
      </c>
      <c r="AF39" s="5">
        <v>0</v>
      </c>
      <c r="AG39" s="5">
        <v>0</v>
      </c>
      <c r="AH39" s="5">
        <v>0.88541666666666663</v>
      </c>
      <c r="AI39" s="6">
        <v>0.83058823529411763</v>
      </c>
      <c r="AJ39" s="7">
        <v>0.44270833333333331</v>
      </c>
      <c r="AK39" s="7">
        <v>0.44270833333333331</v>
      </c>
      <c r="AL39" s="8"/>
      <c r="AM39" s="51">
        <f>AH39*(1-AI39)</f>
        <v>0.15000000000000002</v>
      </c>
      <c r="AN39" s="50" t="str">
        <f>VLOOKUP($E39,'Capgemini PResence and HC'!$B$2:$G$143,4,0)</f>
        <v>Y</v>
      </c>
      <c r="AO39" s="50">
        <f>VLOOKUP($E39,'Capgemini PResence and HC'!$B$2:$G$143,2,0)</f>
        <v>0</v>
      </c>
      <c r="AP39" s="50">
        <f>VLOOKUP($E39,'Capgemini PResence and HC'!$B$2:$G$143,3,0)</f>
        <v>1</v>
      </c>
      <c r="AQ39" s="50">
        <f>VLOOKUP($E39,'Capgemini PResence and HC'!$B$2:$G$143,6,0)</f>
        <v>0</v>
      </c>
      <c r="AR39" s="65"/>
      <c r="AS39" s="65"/>
      <c r="BB39" s="75">
        <f>SUM(AE39:AG39)-AH39</f>
        <v>0</v>
      </c>
    </row>
    <row r="40" spans="1:54" s="2" customFormat="1" ht="18.75" hidden="1" customHeight="1">
      <c r="A40" s="15" t="s">
        <v>20</v>
      </c>
      <c r="B40" s="15" t="s">
        <v>115</v>
      </c>
      <c r="C40" s="15"/>
      <c r="D40" s="15"/>
      <c r="E40" s="4">
        <v>9849</v>
      </c>
      <c r="F40" s="4" t="s">
        <v>250</v>
      </c>
      <c r="G40" s="4" t="s">
        <v>251</v>
      </c>
      <c r="H40" s="9" t="s">
        <v>252</v>
      </c>
      <c r="I40" s="4" t="s">
        <v>198</v>
      </c>
      <c r="J40" s="4" t="s">
        <v>199</v>
      </c>
      <c r="K40" s="4" t="s">
        <v>200</v>
      </c>
      <c r="L40" s="4" t="s">
        <v>121</v>
      </c>
      <c r="M40" s="4" t="s">
        <v>192</v>
      </c>
      <c r="N40" s="4" t="s">
        <v>123</v>
      </c>
      <c r="O40" s="4" t="s">
        <v>124</v>
      </c>
      <c r="P40" s="4" t="s">
        <v>125</v>
      </c>
      <c r="Q40" s="4" t="s">
        <v>139</v>
      </c>
      <c r="R40" s="4" t="s">
        <v>140</v>
      </c>
      <c r="S40" s="4" t="s">
        <v>115</v>
      </c>
      <c r="T40" s="4" t="s">
        <v>229</v>
      </c>
      <c r="U40" s="4" t="s">
        <v>128</v>
      </c>
      <c r="V40" s="4" t="s">
        <v>236</v>
      </c>
      <c r="W40" s="4" t="s">
        <v>143</v>
      </c>
      <c r="X40" s="4" t="s">
        <v>128</v>
      </c>
      <c r="Y40" s="4" t="s">
        <v>140</v>
      </c>
      <c r="Z40" s="4" t="s">
        <v>132</v>
      </c>
      <c r="AA40" s="4" t="s">
        <v>132</v>
      </c>
      <c r="AB40" s="4" t="s">
        <v>132</v>
      </c>
      <c r="AC40" s="4" t="s">
        <v>125</v>
      </c>
      <c r="AD40" s="4" t="s">
        <v>125</v>
      </c>
      <c r="AE40" s="5">
        <v>5.1862499999999994</v>
      </c>
      <c r="AF40" s="5">
        <v>0.3833333333333333</v>
      </c>
      <c r="AG40" s="5">
        <v>0</v>
      </c>
      <c r="AH40" s="5">
        <v>5.5695833333333322</v>
      </c>
      <c r="AI40" s="6">
        <v>0.83152539836911799</v>
      </c>
      <c r="AJ40" s="7">
        <v>2.7847916666666661</v>
      </c>
      <c r="AK40" s="7">
        <v>2.7847916666666661</v>
      </c>
      <c r="AL40" s="8"/>
      <c r="AM40" s="51">
        <f>AH40*(1-AI40)</f>
        <v>0.93833333333333313</v>
      </c>
      <c r="AN40" s="50" t="str">
        <f>VLOOKUP($E40,'Capgemini PResence and HC'!$B$2:$G$143,4,0)</f>
        <v>Y</v>
      </c>
      <c r="AO40" s="50">
        <f>VLOOKUP($E40,'Capgemini PResence and HC'!$B$2:$G$143,2,0)</f>
        <v>0</v>
      </c>
      <c r="AP40" s="50">
        <f>VLOOKUP($E40,'Capgemini PResence and HC'!$B$2:$G$143,3,0)</f>
        <v>1</v>
      </c>
      <c r="AQ40" s="50">
        <f>VLOOKUP($E40,'Capgemini PResence and HC'!$B$2:$G$143,6,0)</f>
        <v>0</v>
      </c>
      <c r="AR40" s="65"/>
      <c r="AS40" s="65"/>
      <c r="BB40" s="75">
        <f>SUM(AE40:AG40)-AH40</f>
        <v>0</v>
      </c>
    </row>
    <row r="41" spans="1:54" s="2" customFormat="1" ht="18.75" hidden="1" customHeight="1">
      <c r="A41" s="15" t="s">
        <v>20</v>
      </c>
      <c r="B41" s="15" t="s">
        <v>115</v>
      </c>
      <c r="C41" s="15"/>
      <c r="D41" s="15"/>
      <c r="E41" s="4">
        <v>13812</v>
      </c>
      <c r="F41" s="4" t="s">
        <v>253</v>
      </c>
      <c r="G41" s="4" t="s">
        <v>254</v>
      </c>
      <c r="H41" s="12" t="s">
        <v>255</v>
      </c>
      <c r="I41" s="4" t="s">
        <v>233</v>
      </c>
      <c r="J41" s="4" t="s">
        <v>119</v>
      </c>
      <c r="K41" s="4" t="s">
        <v>234</v>
      </c>
      <c r="L41" s="4" t="s">
        <v>121</v>
      </c>
      <c r="M41" s="4" t="s">
        <v>122</v>
      </c>
      <c r="N41" s="4" t="s">
        <v>123</v>
      </c>
      <c r="O41" s="4" t="s">
        <v>124</v>
      </c>
      <c r="P41" s="4" t="s">
        <v>125</v>
      </c>
      <c r="Q41" s="4" t="s">
        <v>139</v>
      </c>
      <c r="R41" s="4" t="s">
        <v>140</v>
      </c>
      <c r="S41" s="4" t="s">
        <v>115</v>
      </c>
      <c r="T41" s="4" t="s">
        <v>256</v>
      </c>
      <c r="U41" s="4" t="s">
        <v>128</v>
      </c>
      <c r="V41" s="4" t="s">
        <v>209</v>
      </c>
      <c r="W41" s="4" t="s">
        <v>143</v>
      </c>
      <c r="X41" s="4" t="s">
        <v>128</v>
      </c>
      <c r="Y41" s="4" t="s">
        <v>140</v>
      </c>
      <c r="Z41" s="4" t="s">
        <v>132</v>
      </c>
      <c r="AA41" s="4" t="s">
        <v>132</v>
      </c>
      <c r="AB41" s="4" t="s">
        <v>132</v>
      </c>
      <c r="AC41" s="4" t="s">
        <v>125</v>
      </c>
      <c r="AD41" s="4" t="s">
        <v>125</v>
      </c>
      <c r="AE41" s="5">
        <v>2.0400000000000009</v>
      </c>
      <c r="AF41" s="5">
        <v>1.7</v>
      </c>
      <c r="AG41" s="5">
        <v>0</v>
      </c>
      <c r="AH41" s="5">
        <v>3.7400000000000011</v>
      </c>
      <c r="AI41" s="6">
        <v>0.30837789661319076</v>
      </c>
      <c r="AJ41" s="7">
        <v>1.8700000000000006</v>
      </c>
      <c r="AK41" s="7">
        <v>1.8700000000000006</v>
      </c>
      <c r="AL41" s="8"/>
      <c r="AM41" s="51">
        <f>AH41*(1-AI41)</f>
        <v>2.5866666666666673</v>
      </c>
      <c r="AN41" s="50" t="str">
        <f>VLOOKUP($E41,'Capgemini PResence and HC'!$B$2:$G$143,4,0)</f>
        <v>N</v>
      </c>
      <c r="AO41" s="50">
        <f>VLOOKUP($E41,'Capgemini PResence and HC'!$B$2:$G$143,2,0)</f>
        <v>0</v>
      </c>
      <c r="AP41" s="50">
        <f>VLOOKUP($E41,'Capgemini PResence and HC'!$B$2:$G$143,3,0)</f>
        <v>0</v>
      </c>
      <c r="AQ41" s="50">
        <f>VLOOKUP($E41,'Capgemini PResence and HC'!$B$2:$G$143,6,0)</f>
        <v>0</v>
      </c>
      <c r="AR41" s="76">
        <f>AH41-AS41</f>
        <v>1.1533333333333338</v>
      </c>
      <c r="AS41" s="67">
        <f>AM41</f>
        <v>2.5866666666666673</v>
      </c>
      <c r="AT41" s="72" t="e">
        <f>#REF!*AT$151</f>
        <v>#REF!</v>
      </c>
      <c r="AU41" s="72" t="e">
        <f>#REF!*AU$151</f>
        <v>#REF!</v>
      </c>
      <c r="AV41" s="72" t="e">
        <f>#REF!*AV$151</f>
        <v>#REF!</v>
      </c>
      <c r="AW41" s="72" t="e">
        <f>#REF!*AW$151</f>
        <v>#REF!</v>
      </c>
      <c r="AX41" s="72" t="e">
        <f>#REF!*AX$151</f>
        <v>#REF!</v>
      </c>
      <c r="AY41" s="72" t="e">
        <f>#REF!*AY$151</f>
        <v>#REF!</v>
      </c>
      <c r="AZ41" s="72" t="e">
        <f>#REF!*AZ$151</f>
        <v>#REF!</v>
      </c>
      <c r="BA41" s="72" t="e">
        <f>#REF!*BA$151</f>
        <v>#REF!</v>
      </c>
      <c r="BB41" s="75">
        <f>SUM(AE41:AG41)-AH41</f>
        <v>0</v>
      </c>
    </row>
    <row r="42" spans="1:54" s="2" customFormat="1" ht="18.75" hidden="1" customHeight="1">
      <c r="A42" s="15" t="s">
        <v>20</v>
      </c>
      <c r="B42" s="15" t="s">
        <v>115</v>
      </c>
      <c r="C42" s="15"/>
      <c r="D42" s="15"/>
      <c r="E42" s="4">
        <v>9964</v>
      </c>
      <c r="F42" s="4" t="s">
        <v>257</v>
      </c>
      <c r="G42" s="4" t="s">
        <v>258</v>
      </c>
      <c r="H42" s="4" t="s">
        <v>259</v>
      </c>
      <c r="I42" s="4" t="s">
        <v>233</v>
      </c>
      <c r="J42" s="4" t="s">
        <v>119</v>
      </c>
      <c r="K42" s="4" t="s">
        <v>234</v>
      </c>
      <c r="L42" s="4" t="s">
        <v>121</v>
      </c>
      <c r="M42" s="4" t="s">
        <v>122</v>
      </c>
      <c r="N42" s="4" t="s">
        <v>123</v>
      </c>
      <c r="O42" s="4" t="s">
        <v>124</v>
      </c>
      <c r="P42" s="4" t="s">
        <v>125</v>
      </c>
      <c r="Q42" s="4" t="s">
        <v>126</v>
      </c>
      <c r="R42" s="4" t="s">
        <v>140</v>
      </c>
      <c r="S42" s="4" t="s">
        <v>115</v>
      </c>
      <c r="T42" s="4" t="s">
        <v>260</v>
      </c>
      <c r="U42" s="4" t="s">
        <v>128</v>
      </c>
      <c r="V42" s="4" t="s">
        <v>236</v>
      </c>
      <c r="W42" s="4" t="s">
        <v>143</v>
      </c>
      <c r="X42" s="4" t="s">
        <v>128</v>
      </c>
      <c r="Y42" s="4" t="s">
        <v>140</v>
      </c>
      <c r="Z42" s="4" t="s">
        <v>132</v>
      </c>
      <c r="AA42" s="4" t="s">
        <v>132</v>
      </c>
      <c r="AB42" s="4" t="s">
        <v>132</v>
      </c>
      <c r="AC42" s="4" t="s">
        <v>125</v>
      </c>
      <c r="AD42" s="4" t="s">
        <v>125</v>
      </c>
      <c r="AE42" s="5">
        <v>1.9533333333333334</v>
      </c>
      <c r="AF42" s="5">
        <v>0.36249999999999993</v>
      </c>
      <c r="AG42" s="5">
        <v>0</v>
      </c>
      <c r="AH42" s="5">
        <v>2.3158333333333334</v>
      </c>
      <c r="AI42" s="6">
        <v>0.90824037423533643</v>
      </c>
      <c r="AJ42" s="7">
        <v>1.1579166666666667</v>
      </c>
      <c r="AK42" s="7">
        <v>1.1579166666666667</v>
      </c>
      <c r="AL42" s="8"/>
      <c r="AM42" s="51">
        <f>AH42*(1-AI42)</f>
        <v>0.21250000000000005</v>
      </c>
      <c r="AN42" s="50" t="str">
        <f>VLOOKUP($E42,'Capgemini PResence and HC'!$B$2:$G$143,4,0)</f>
        <v>N</v>
      </c>
      <c r="AO42" s="50">
        <f>VLOOKUP($E42,'Capgemini PResence and HC'!$B$2:$G$143,2,0)</f>
        <v>0</v>
      </c>
      <c r="AP42" s="50">
        <f>VLOOKUP($E42,'Capgemini PResence and HC'!$B$2:$G$143,3,0)</f>
        <v>0</v>
      </c>
      <c r="AQ42" s="50">
        <f>VLOOKUP($E42,'Capgemini PResence and HC'!$B$2:$G$143,6,0)</f>
        <v>0</v>
      </c>
      <c r="AR42" s="76">
        <f>AH42-AS42</f>
        <v>2.1033333333333335</v>
      </c>
      <c r="AS42" s="67">
        <f>AM42</f>
        <v>0.21250000000000005</v>
      </c>
      <c r="AT42" s="72" t="e">
        <f>#REF!*AT$151</f>
        <v>#REF!</v>
      </c>
      <c r="AU42" s="72" t="e">
        <f>#REF!*AU$151</f>
        <v>#REF!</v>
      </c>
      <c r="AV42" s="72" t="e">
        <f>#REF!*AV$151</f>
        <v>#REF!</v>
      </c>
      <c r="AW42" s="72" t="e">
        <f>#REF!*AW$151</f>
        <v>#REF!</v>
      </c>
      <c r="AX42" s="72" t="e">
        <f>#REF!*AX$151</f>
        <v>#REF!</v>
      </c>
      <c r="AY42" s="72" t="e">
        <f>#REF!*AY$151</f>
        <v>#REF!</v>
      </c>
      <c r="AZ42" s="72" t="e">
        <f>#REF!*AZ$151</f>
        <v>#REF!</v>
      </c>
      <c r="BA42" s="72" t="e">
        <f>#REF!*BA$151</f>
        <v>#REF!</v>
      </c>
      <c r="BB42" s="75">
        <f>SUM(AE42:AG42)-AH42</f>
        <v>0</v>
      </c>
    </row>
    <row r="43" spans="1:54" s="2" customFormat="1" ht="18.75" hidden="1" customHeight="1">
      <c r="A43" s="15" t="s">
        <v>20</v>
      </c>
      <c r="B43" s="15" t="s">
        <v>115</v>
      </c>
      <c r="C43" s="15"/>
      <c r="D43" s="15"/>
      <c r="E43" s="4">
        <v>9854</v>
      </c>
      <c r="F43" s="4" t="s">
        <v>261</v>
      </c>
      <c r="G43" s="4" t="s">
        <v>262</v>
      </c>
      <c r="H43" s="9" t="s">
        <v>263</v>
      </c>
      <c r="I43" s="4" t="s">
        <v>198</v>
      </c>
      <c r="J43" s="4" t="s">
        <v>199</v>
      </c>
      <c r="K43" s="4" t="s">
        <v>200</v>
      </c>
      <c r="L43" s="4" t="s">
        <v>121</v>
      </c>
      <c r="M43" s="4" t="s">
        <v>122</v>
      </c>
      <c r="N43" s="4" t="s">
        <v>123</v>
      </c>
      <c r="O43" s="4" t="s">
        <v>124</v>
      </c>
      <c r="P43" s="4" t="s">
        <v>125</v>
      </c>
      <c r="Q43" s="4" t="s">
        <v>139</v>
      </c>
      <c r="R43" s="4" t="s">
        <v>140</v>
      </c>
      <c r="S43" s="4" t="s">
        <v>115</v>
      </c>
      <c r="T43" s="4" t="s">
        <v>229</v>
      </c>
      <c r="U43" s="4" t="s">
        <v>128</v>
      </c>
      <c r="V43" s="13" t="s">
        <v>264</v>
      </c>
      <c r="W43" s="4" t="s">
        <v>143</v>
      </c>
      <c r="X43" s="4" t="s">
        <v>128</v>
      </c>
      <c r="Y43" s="4" t="s">
        <v>140</v>
      </c>
      <c r="Z43" s="4" t="s">
        <v>132</v>
      </c>
      <c r="AA43" s="4" t="s">
        <v>132</v>
      </c>
      <c r="AB43" s="4" t="s">
        <v>132</v>
      </c>
      <c r="AC43" s="4" t="s">
        <v>125</v>
      </c>
      <c r="AD43" s="4" t="s">
        <v>125</v>
      </c>
      <c r="AE43" s="5">
        <v>1.4004166666666666</v>
      </c>
      <c r="AF43" s="5">
        <v>0</v>
      </c>
      <c r="AG43" s="5">
        <v>0</v>
      </c>
      <c r="AH43" s="5">
        <v>1.4004166666666666</v>
      </c>
      <c r="AI43" s="6">
        <v>0.92859268074977674</v>
      </c>
      <c r="AJ43" s="7">
        <v>0.70020833333333332</v>
      </c>
      <c r="AK43" s="7">
        <v>0.70020833333333332</v>
      </c>
      <c r="AL43" s="8"/>
      <c r="AM43" s="51">
        <f>AH43*(1-AI43)</f>
        <v>0.10000000000000014</v>
      </c>
      <c r="AN43" s="50" t="str">
        <f>VLOOKUP($E43,'Capgemini PResence and HC'!$B$2:$G$143,4,0)</f>
        <v>Y</v>
      </c>
      <c r="AO43" s="50">
        <f>VLOOKUP($E43,'Capgemini PResence and HC'!$B$2:$G$143,2,0)</f>
        <v>0</v>
      </c>
      <c r="AP43" s="50">
        <f>VLOOKUP($E43,'Capgemini PResence and HC'!$B$2:$G$143,3,0)</f>
        <v>1</v>
      </c>
      <c r="AQ43" s="50">
        <f>VLOOKUP($E43,'Capgemini PResence and HC'!$B$2:$G$143,6,0)</f>
        <v>0</v>
      </c>
      <c r="AR43" s="65"/>
      <c r="AS43" s="65"/>
      <c r="BB43" s="75">
        <f>SUM(AE43:AG43)-AH43</f>
        <v>0</v>
      </c>
    </row>
    <row r="44" spans="1:54" s="2" customFormat="1" ht="18.75" hidden="1" customHeight="1">
      <c r="A44" s="15" t="s">
        <v>20</v>
      </c>
      <c r="B44" s="15" t="s">
        <v>115</v>
      </c>
      <c r="C44" s="15"/>
      <c r="D44" s="15"/>
      <c r="E44" s="4">
        <v>9857</v>
      </c>
      <c r="F44" s="4" t="s">
        <v>265</v>
      </c>
      <c r="G44" s="4" t="s">
        <v>266</v>
      </c>
      <c r="H44" s="9" t="s">
        <v>267</v>
      </c>
      <c r="I44" s="4" t="s">
        <v>213</v>
      </c>
      <c r="J44" s="4" t="s">
        <v>199</v>
      </c>
      <c r="K44" s="4" t="s">
        <v>268</v>
      </c>
      <c r="L44" s="4" t="s">
        <v>121</v>
      </c>
      <c r="M44" s="4" t="s">
        <v>122</v>
      </c>
      <c r="N44" s="4" t="s">
        <v>123</v>
      </c>
      <c r="O44" s="4" t="s">
        <v>124</v>
      </c>
      <c r="P44" s="4" t="s">
        <v>132</v>
      </c>
      <c r="Q44" s="4" t="s">
        <v>139</v>
      </c>
      <c r="R44" s="4" t="s">
        <v>140</v>
      </c>
      <c r="S44" s="4" t="s">
        <v>115</v>
      </c>
      <c r="T44" s="4" t="s">
        <v>260</v>
      </c>
      <c r="U44" s="4" t="s">
        <v>128</v>
      </c>
      <c r="V44" s="4" t="s">
        <v>236</v>
      </c>
      <c r="W44" s="4" t="s">
        <v>143</v>
      </c>
      <c r="X44" s="4" t="s">
        <v>128</v>
      </c>
      <c r="Y44" s="4" t="s">
        <v>140</v>
      </c>
      <c r="Z44" s="4" t="s">
        <v>132</v>
      </c>
      <c r="AA44" s="4" t="s">
        <v>132</v>
      </c>
      <c r="AB44" s="4" t="s">
        <v>132</v>
      </c>
      <c r="AC44" s="4" t="s">
        <v>125</v>
      </c>
      <c r="AD44" s="4" t="s">
        <v>125</v>
      </c>
      <c r="AE44" s="5">
        <v>20.211666666666652</v>
      </c>
      <c r="AF44" s="5">
        <v>1.8166666666666667</v>
      </c>
      <c r="AG44" s="5">
        <v>0</v>
      </c>
      <c r="AH44" s="5">
        <v>22.028333333333318</v>
      </c>
      <c r="AI44" s="6">
        <v>0.92547476734508582</v>
      </c>
      <c r="AJ44" s="7">
        <v>11.014166666666659</v>
      </c>
      <c r="AK44" s="7">
        <v>11.014166666666659</v>
      </c>
      <c r="AL44" s="8"/>
      <c r="AM44" s="51">
        <f>AH44*(1-AI44)</f>
        <v>1.6416666666666666</v>
      </c>
      <c r="AN44" s="50" t="str">
        <f>VLOOKUP($E44,'Capgemini PResence and HC'!$B$2:$G$143,4,0)</f>
        <v>Y</v>
      </c>
      <c r="AO44" s="50">
        <f>VLOOKUP($E44,'Capgemini PResence and HC'!$B$2:$G$143,2,0)</f>
        <v>0</v>
      </c>
      <c r="AP44" s="50">
        <f>VLOOKUP($E44,'Capgemini PResence and HC'!$B$2:$G$143,3,0)</f>
        <v>1</v>
      </c>
      <c r="AQ44" s="50">
        <f>VLOOKUP($E44,'Capgemini PResence and HC'!$B$2:$G$143,6,0)</f>
        <v>0</v>
      </c>
      <c r="AR44" s="65"/>
      <c r="AS44" s="65"/>
      <c r="BB44" s="75">
        <f>SUM(AE44:AG44)-AH44</f>
        <v>0</v>
      </c>
    </row>
    <row r="45" spans="1:54" s="2" customFormat="1" ht="18.75" hidden="1" customHeight="1">
      <c r="A45" s="15" t="s">
        <v>20</v>
      </c>
      <c r="B45" s="15" t="s">
        <v>115</v>
      </c>
      <c r="C45" s="15"/>
      <c r="D45" s="15"/>
      <c r="E45" s="4">
        <v>9858</v>
      </c>
      <c r="F45" s="4" t="s">
        <v>269</v>
      </c>
      <c r="G45" s="4" t="s">
        <v>270</v>
      </c>
      <c r="H45" s="4" t="s">
        <v>271</v>
      </c>
      <c r="I45" s="4" t="s">
        <v>272</v>
      </c>
      <c r="J45" s="4" t="s">
        <v>273</v>
      </c>
      <c r="K45" s="4"/>
      <c r="L45" s="4" t="s">
        <v>121</v>
      </c>
      <c r="M45" s="4" t="s">
        <v>122</v>
      </c>
      <c r="N45" s="4" t="s">
        <v>123</v>
      </c>
      <c r="O45" s="4" t="s">
        <v>124</v>
      </c>
      <c r="P45" s="4" t="s">
        <v>125</v>
      </c>
      <c r="Q45" s="4" t="s">
        <v>126</v>
      </c>
      <c r="R45" s="4" t="s">
        <v>140</v>
      </c>
      <c r="S45" s="4" t="s">
        <v>115</v>
      </c>
      <c r="T45" s="4" t="s">
        <v>274</v>
      </c>
      <c r="U45" s="4" t="s">
        <v>128</v>
      </c>
      <c r="V45" s="4" t="s">
        <v>236</v>
      </c>
      <c r="W45" s="4" t="s">
        <v>143</v>
      </c>
      <c r="X45" s="4" t="s">
        <v>128</v>
      </c>
      <c r="Y45" s="4" t="s">
        <v>140</v>
      </c>
      <c r="Z45" s="4" t="s">
        <v>132</v>
      </c>
      <c r="AA45" s="4" t="s">
        <v>132</v>
      </c>
      <c r="AB45" s="4" t="s">
        <v>132</v>
      </c>
      <c r="AC45" s="4" t="s">
        <v>125</v>
      </c>
      <c r="AD45" s="4" t="s">
        <v>125</v>
      </c>
      <c r="AE45" s="5">
        <v>4.8333333333333339</v>
      </c>
      <c r="AF45" s="5">
        <v>1</v>
      </c>
      <c r="AG45" s="5">
        <v>1.0833333333333333</v>
      </c>
      <c r="AH45" s="5">
        <v>6.916666666666667</v>
      </c>
      <c r="AI45" s="6">
        <v>0.71084337349397586</v>
      </c>
      <c r="AJ45" s="7">
        <v>3.4583333333333335</v>
      </c>
      <c r="AK45" s="7">
        <v>3.4583333333333335</v>
      </c>
      <c r="AL45" s="8"/>
      <c r="AM45" s="51">
        <f>AH45*(1-AI45)</f>
        <v>2.0000000000000004</v>
      </c>
      <c r="AN45" s="50" t="str">
        <f>VLOOKUP($E45,'Capgemini PResence and HC'!$B$2:$G$143,4,0)</f>
        <v>Y</v>
      </c>
      <c r="AO45" s="50">
        <f>VLOOKUP($E45,'Capgemini PResence and HC'!$B$2:$G$143,2,0)</f>
        <v>3</v>
      </c>
      <c r="AP45" s="50">
        <f>VLOOKUP($E45,'Capgemini PResence and HC'!$B$2:$G$143,3,0)</f>
        <v>0</v>
      </c>
      <c r="AQ45" s="50">
        <f>VLOOKUP($E45,'Capgemini PResence and HC'!$B$2:$G$143,6,0)</f>
        <v>2.3624999999999998</v>
      </c>
      <c r="AR45" s="65"/>
      <c r="AS45" s="65"/>
      <c r="BB45" s="75">
        <f>SUM(AE45:AG45)-AH45</f>
        <v>0</v>
      </c>
    </row>
    <row r="46" spans="1:54" s="2" customFormat="1" ht="18.75" hidden="1" customHeight="1">
      <c r="A46" s="15" t="s">
        <v>20</v>
      </c>
      <c r="B46" s="15" t="s">
        <v>115</v>
      </c>
      <c r="C46" s="15"/>
      <c r="D46" s="15"/>
      <c r="E46" s="4">
        <v>9861</v>
      </c>
      <c r="F46" s="4" t="s">
        <v>275</v>
      </c>
      <c r="G46" s="4" t="s">
        <v>276</v>
      </c>
      <c r="H46" s="9" t="s">
        <v>277</v>
      </c>
      <c r="I46" s="4" t="s">
        <v>198</v>
      </c>
      <c r="J46" s="4" t="s">
        <v>199</v>
      </c>
      <c r="K46" s="4" t="s">
        <v>200</v>
      </c>
      <c r="L46" s="4" t="s">
        <v>121</v>
      </c>
      <c r="M46" s="4" t="s">
        <v>122</v>
      </c>
      <c r="N46" s="4" t="s">
        <v>123</v>
      </c>
      <c r="O46" s="4" t="s">
        <v>124</v>
      </c>
      <c r="P46" s="4" t="s">
        <v>132</v>
      </c>
      <c r="Q46" s="4" t="s">
        <v>139</v>
      </c>
      <c r="R46" s="4" t="s">
        <v>140</v>
      </c>
      <c r="S46" s="4" t="s">
        <v>115</v>
      </c>
      <c r="T46" s="4" t="s">
        <v>278</v>
      </c>
      <c r="U46" s="4" t="s">
        <v>128</v>
      </c>
      <c r="V46" s="4" t="s">
        <v>236</v>
      </c>
      <c r="W46" s="4" t="s">
        <v>143</v>
      </c>
      <c r="X46" s="4" t="s">
        <v>128</v>
      </c>
      <c r="Y46" s="4" t="s">
        <v>140</v>
      </c>
      <c r="Z46" s="4" t="s">
        <v>132</v>
      </c>
      <c r="AA46" s="4" t="s">
        <v>132</v>
      </c>
      <c r="AB46" s="4" t="s">
        <v>132</v>
      </c>
      <c r="AC46" s="4" t="s">
        <v>125</v>
      </c>
      <c r="AD46" s="4" t="s">
        <v>125</v>
      </c>
      <c r="AE46" s="5">
        <v>6.3152916666666679</v>
      </c>
      <c r="AF46" s="5">
        <v>0</v>
      </c>
      <c r="AG46" s="5">
        <v>0</v>
      </c>
      <c r="AH46" s="5">
        <v>6.3152916666666679</v>
      </c>
      <c r="AI46" s="6">
        <v>0.87325737132753167</v>
      </c>
      <c r="AJ46" s="7">
        <v>3.1576458333333339</v>
      </c>
      <c r="AK46" s="7">
        <v>3.1576458333333339</v>
      </c>
      <c r="AL46" s="8"/>
      <c r="AM46" s="51">
        <f>AH46*(1-AI46)</f>
        <v>0.80041666666666711</v>
      </c>
      <c r="AN46" s="50" t="str">
        <f>VLOOKUP($E46,'Capgemini PResence and HC'!$B$2:$G$143,4,0)</f>
        <v>Y</v>
      </c>
      <c r="AO46" s="50">
        <f>VLOOKUP($E46,'Capgemini PResence and HC'!$B$2:$G$143,2,0)</f>
        <v>0</v>
      </c>
      <c r="AP46" s="50">
        <f>VLOOKUP($E46,'Capgemini PResence and HC'!$B$2:$G$143,3,0)</f>
        <v>1</v>
      </c>
      <c r="AQ46" s="50">
        <f>VLOOKUP($E46,'Capgemini PResence and HC'!$B$2:$G$143,6,0)</f>
        <v>0</v>
      </c>
      <c r="AR46" s="65"/>
      <c r="AS46" s="65"/>
      <c r="BB46" s="75">
        <f>SUM(AE46:AG46)-AH46</f>
        <v>0</v>
      </c>
    </row>
    <row r="47" spans="1:54" s="2" customFormat="1" ht="18.75" hidden="1" customHeight="1">
      <c r="A47" s="15" t="s">
        <v>20</v>
      </c>
      <c r="B47" s="15" t="s">
        <v>115</v>
      </c>
      <c r="C47" s="15"/>
      <c r="D47" s="15"/>
      <c r="E47" s="4">
        <v>9879</v>
      </c>
      <c r="F47" s="4" t="s">
        <v>279</v>
      </c>
      <c r="G47" s="4" t="s">
        <v>280</v>
      </c>
      <c r="H47" s="4" t="s">
        <v>280</v>
      </c>
      <c r="I47" s="4" t="s">
        <v>206</v>
      </c>
      <c r="J47" s="4" t="s">
        <v>199</v>
      </c>
      <c r="K47" s="4" t="s">
        <v>207</v>
      </c>
      <c r="L47" s="4" t="s">
        <v>121</v>
      </c>
      <c r="M47" s="4" t="s">
        <v>122</v>
      </c>
      <c r="N47" s="4" t="s">
        <v>123</v>
      </c>
      <c r="O47" s="4" t="s">
        <v>124</v>
      </c>
      <c r="P47" s="4" t="s">
        <v>125</v>
      </c>
      <c r="Q47" s="4" t="s">
        <v>139</v>
      </c>
      <c r="R47" s="4" t="s">
        <v>140</v>
      </c>
      <c r="S47" s="4" t="s">
        <v>115</v>
      </c>
      <c r="T47" s="4" t="s">
        <v>260</v>
      </c>
      <c r="U47" s="4" t="s">
        <v>128</v>
      </c>
      <c r="V47" s="4" t="s">
        <v>236</v>
      </c>
      <c r="W47" s="4" t="s">
        <v>143</v>
      </c>
      <c r="X47" s="4" t="s">
        <v>128</v>
      </c>
      <c r="Y47" s="4" t="s">
        <v>140</v>
      </c>
      <c r="Z47" s="4" t="s">
        <v>132</v>
      </c>
      <c r="AA47" s="4" t="s">
        <v>132</v>
      </c>
      <c r="AB47" s="4" t="s">
        <v>132</v>
      </c>
      <c r="AC47" s="4" t="s">
        <v>125</v>
      </c>
      <c r="AD47" s="4" t="s">
        <v>125</v>
      </c>
      <c r="AE47" s="11">
        <v>0.2</v>
      </c>
      <c r="AF47" s="11">
        <v>0.1</v>
      </c>
      <c r="AG47" s="11">
        <v>0</v>
      </c>
      <c r="AH47" s="5">
        <v>0.30833333333333329</v>
      </c>
      <c r="AI47" s="6">
        <v>0.67567567567567566</v>
      </c>
      <c r="AJ47" s="7">
        <v>0.15416666666666665</v>
      </c>
      <c r="AK47" s="7">
        <v>0.15416666666666665</v>
      </c>
      <c r="AL47" s="8"/>
      <c r="AM47" s="51">
        <f>AH47*(1-AI47)</f>
        <v>9.9999999999999992E-2</v>
      </c>
      <c r="AN47" s="50" t="str">
        <f>VLOOKUP($E47,'Capgemini PResence and HC'!$B$2:$G$143,4,0)</f>
        <v>Y</v>
      </c>
      <c r="AO47" s="50">
        <f>VLOOKUP($E47,'Capgemini PResence and HC'!$B$2:$G$143,2,0)</f>
        <v>0</v>
      </c>
      <c r="AP47" s="50">
        <f>VLOOKUP($E47,'Capgemini PResence and HC'!$B$2:$G$143,3,0)</f>
        <v>1</v>
      </c>
      <c r="AQ47" s="50">
        <f>VLOOKUP($E47,'Capgemini PResence and HC'!$B$2:$G$143,6,0)</f>
        <v>0</v>
      </c>
      <c r="AR47" s="65"/>
      <c r="AS47" s="65"/>
      <c r="BB47" s="75">
        <f>SUM(AE47:AG47)-AH47</f>
        <v>-8.3333333333332482E-3</v>
      </c>
    </row>
    <row r="48" spans="1:54" s="2" customFormat="1" ht="18.75" customHeight="1">
      <c r="A48" s="15" t="s">
        <v>20</v>
      </c>
      <c r="B48" s="15" t="s">
        <v>115</v>
      </c>
      <c r="C48" s="15"/>
      <c r="D48" s="15"/>
      <c r="E48" s="4">
        <v>10032</v>
      </c>
      <c r="F48" s="4" t="s">
        <v>281</v>
      </c>
      <c r="G48" s="4" t="s">
        <v>282</v>
      </c>
      <c r="H48" s="4" t="s">
        <v>283</v>
      </c>
      <c r="I48" s="4" t="s">
        <v>233</v>
      </c>
      <c r="J48" s="4" t="s">
        <v>119</v>
      </c>
      <c r="K48" s="4" t="s">
        <v>234</v>
      </c>
      <c r="L48" s="4" t="s">
        <v>121</v>
      </c>
      <c r="M48" s="4" t="s">
        <v>122</v>
      </c>
      <c r="N48" s="4" t="s">
        <v>123</v>
      </c>
      <c r="O48" s="4" t="s">
        <v>124</v>
      </c>
      <c r="P48" s="4" t="s">
        <v>132</v>
      </c>
      <c r="Q48" s="4" t="s">
        <v>139</v>
      </c>
      <c r="R48" s="4" t="s">
        <v>140</v>
      </c>
      <c r="S48" s="4" t="s">
        <v>115</v>
      </c>
      <c r="T48" s="4" t="s">
        <v>260</v>
      </c>
      <c r="U48" s="4" t="s">
        <v>128</v>
      </c>
      <c r="V48" s="4" t="s">
        <v>284</v>
      </c>
      <c r="W48" s="4" t="s">
        <v>143</v>
      </c>
      <c r="X48" s="4" t="s">
        <v>128</v>
      </c>
      <c r="Y48" s="4" t="s">
        <v>140</v>
      </c>
      <c r="Z48" s="4" t="s">
        <v>132</v>
      </c>
      <c r="AA48" s="4" t="s">
        <v>132</v>
      </c>
      <c r="AB48" s="4" t="s">
        <v>132</v>
      </c>
      <c r="AC48" s="4" t="s">
        <v>125</v>
      </c>
      <c r="AD48" s="4" t="s">
        <v>125</v>
      </c>
      <c r="AE48" s="5">
        <v>1.8583333333333334</v>
      </c>
      <c r="AF48" s="5">
        <v>0.94166666666666676</v>
      </c>
      <c r="AG48" s="5">
        <v>0</v>
      </c>
      <c r="AH48" s="5">
        <v>2.8000000000000003</v>
      </c>
      <c r="AI48" s="6">
        <v>0.26934523809523808</v>
      </c>
      <c r="AJ48" s="7">
        <v>1.4000000000000001</v>
      </c>
      <c r="AK48" s="7">
        <v>1.4000000000000001</v>
      </c>
      <c r="AL48" s="8"/>
      <c r="AM48" s="51">
        <f>AH48*(1-AI48)</f>
        <v>2.0458333333333334</v>
      </c>
      <c r="AN48" s="50" t="str">
        <f>VLOOKUP($E48,'Capgemini PResence and HC'!$B$2:$G$143,4,0)</f>
        <v>N</v>
      </c>
      <c r="AO48" s="50">
        <f>VLOOKUP($E48,'Capgemini PResence and HC'!$B$2:$G$143,2,0)</f>
        <v>0</v>
      </c>
      <c r="AP48" s="50">
        <f>VLOOKUP($E48,'Capgemini PResence and HC'!$B$2:$G$143,3,0)</f>
        <v>0</v>
      </c>
      <c r="AQ48" s="50">
        <f>VLOOKUP($E48,'Capgemini PResence and HC'!$B$2:$G$143,6,0)</f>
        <v>0</v>
      </c>
      <c r="AR48" s="76">
        <f>AH48-AS48</f>
        <v>0.75416666666666687</v>
      </c>
      <c r="AS48" s="67">
        <f>AM48</f>
        <v>2.0458333333333334</v>
      </c>
      <c r="AT48" s="72" t="e">
        <f>#REF!*AT$151</f>
        <v>#REF!</v>
      </c>
      <c r="AU48" s="72" t="e">
        <f>#REF!*AU$151</f>
        <v>#REF!</v>
      </c>
      <c r="AV48" s="72" t="e">
        <f>#REF!*AV$151</f>
        <v>#REF!</v>
      </c>
      <c r="AW48" s="72" t="e">
        <f>#REF!*AW$151</f>
        <v>#REF!</v>
      </c>
      <c r="AX48" s="72" t="e">
        <f>#REF!*AX$151</f>
        <v>#REF!</v>
      </c>
      <c r="AY48" s="72" t="e">
        <f>#REF!*AY$151</f>
        <v>#REF!</v>
      </c>
      <c r="AZ48" s="72" t="e">
        <f>#REF!*AZ$151</f>
        <v>#REF!</v>
      </c>
      <c r="BA48" s="72" t="e">
        <f>#REF!*BA$151</f>
        <v>#REF!</v>
      </c>
      <c r="BB48" s="75">
        <f>SUM(AE48:AG48)-AH48</f>
        <v>0</v>
      </c>
    </row>
    <row r="49" spans="1:54" s="2" customFormat="1" ht="18.75" hidden="1" customHeight="1">
      <c r="A49" s="15" t="s">
        <v>20</v>
      </c>
      <c r="B49" s="15" t="s">
        <v>115</v>
      </c>
      <c r="C49" s="15"/>
      <c r="D49" s="15"/>
      <c r="E49" s="4">
        <v>9894</v>
      </c>
      <c r="F49" s="4" t="s">
        <v>285</v>
      </c>
      <c r="G49" s="4" t="s">
        <v>286</v>
      </c>
      <c r="H49" s="4" t="s">
        <v>286</v>
      </c>
      <c r="I49" s="4" t="s">
        <v>287</v>
      </c>
      <c r="J49" s="4" t="s">
        <v>273</v>
      </c>
      <c r="K49" s="4" t="s">
        <v>288</v>
      </c>
      <c r="L49" s="4" t="s">
        <v>121</v>
      </c>
      <c r="M49" s="4" t="s">
        <v>122</v>
      </c>
      <c r="N49" s="4" t="s">
        <v>123</v>
      </c>
      <c r="O49" s="4" t="s">
        <v>124</v>
      </c>
      <c r="P49" s="4" t="s">
        <v>125</v>
      </c>
      <c r="Q49" s="4" t="s">
        <v>126</v>
      </c>
      <c r="R49" s="4" t="s">
        <v>140</v>
      </c>
      <c r="S49" s="4" t="s">
        <v>115</v>
      </c>
      <c r="T49" s="4" t="s">
        <v>208</v>
      </c>
      <c r="U49" s="4" t="s">
        <v>128</v>
      </c>
      <c r="V49" s="4" t="s">
        <v>223</v>
      </c>
      <c r="W49" s="4" t="s">
        <v>143</v>
      </c>
      <c r="X49" s="4" t="s">
        <v>128</v>
      </c>
      <c r="Y49" s="4" t="s">
        <v>140</v>
      </c>
      <c r="Z49" s="4" t="s">
        <v>132</v>
      </c>
      <c r="AA49" s="4" t="s">
        <v>132</v>
      </c>
      <c r="AB49" s="4" t="s">
        <v>132</v>
      </c>
      <c r="AC49" s="4" t="s">
        <v>125</v>
      </c>
      <c r="AD49" s="4" t="s">
        <v>125</v>
      </c>
      <c r="AE49" s="5">
        <v>2.8418749999999995</v>
      </c>
      <c r="AF49" s="5">
        <v>0.3520833333333333</v>
      </c>
      <c r="AG49" s="5">
        <v>0</v>
      </c>
      <c r="AH49" s="5">
        <v>3.1939583333333328</v>
      </c>
      <c r="AI49" s="6">
        <v>0.79192485813058511</v>
      </c>
      <c r="AJ49" s="7">
        <v>1.5969791666666664</v>
      </c>
      <c r="AK49" s="7">
        <v>1.5969791666666664</v>
      </c>
      <c r="AL49" s="8"/>
      <c r="AM49" s="51">
        <f>AH49*(1-AI49)</f>
        <v>0.66458333333333319</v>
      </c>
      <c r="AN49" s="50" t="str">
        <f>VLOOKUP($E49,'Capgemini PResence and HC'!$B$2:$G$143,4,0)</f>
        <v>N</v>
      </c>
      <c r="AO49" s="50">
        <f>VLOOKUP($E49,'Capgemini PResence and HC'!$B$2:$G$143,2,0)</f>
        <v>0</v>
      </c>
      <c r="AP49" s="50">
        <f>VLOOKUP($E49,'Capgemini PResence and HC'!$B$2:$G$143,3,0)</f>
        <v>0</v>
      </c>
      <c r="AQ49" s="50">
        <f>VLOOKUP($E49,'Capgemini PResence and HC'!$B$2:$G$143,6,0)</f>
        <v>0</v>
      </c>
      <c r="AR49" s="68">
        <f>AE49-AS49</f>
        <v>2.1772916666666662</v>
      </c>
      <c r="AS49" s="67">
        <f>AM49</f>
        <v>0.66458333333333319</v>
      </c>
      <c r="AT49" s="70">
        <f>$AR49*AT$151</f>
        <v>0.16043201754385961</v>
      </c>
      <c r="AU49" s="70">
        <f>$AR49*AU$151</f>
        <v>0.16043201754385961</v>
      </c>
      <c r="AV49" s="70">
        <f>$AR49*AV$151</f>
        <v>0.84799780701754357</v>
      </c>
      <c r="AW49" s="70">
        <f>$AR49*AW$151</f>
        <v>0.5729714912280699</v>
      </c>
      <c r="AX49" s="70">
        <f>$AR49*AX$151</f>
        <v>0.11459429824561398</v>
      </c>
      <c r="AY49" s="70">
        <f>$AR49*AY$151</f>
        <v>0.16043201754385961</v>
      </c>
      <c r="AZ49" s="70">
        <f>$AR49*AZ$151</f>
        <v>0.16043201754385961</v>
      </c>
      <c r="BA49" s="70">
        <f>$AS49*BA$151</f>
        <v>0.66458333333333319</v>
      </c>
      <c r="BB49" s="75">
        <f>SUM(AE49:AG49)-AH49</f>
        <v>0</v>
      </c>
    </row>
    <row r="50" spans="1:54" s="2" customFormat="1" ht="18.75" hidden="1" customHeight="1">
      <c r="A50" s="15" t="s">
        <v>20</v>
      </c>
      <c r="B50" s="15" t="s">
        <v>115</v>
      </c>
      <c r="C50" s="15"/>
      <c r="D50" s="15"/>
      <c r="E50" s="4">
        <v>13262</v>
      </c>
      <c r="F50" s="4" t="s">
        <v>289</v>
      </c>
      <c r="G50" s="4" t="s">
        <v>289</v>
      </c>
      <c r="H50" s="4" t="s">
        <v>290</v>
      </c>
      <c r="I50" s="4" t="s">
        <v>233</v>
      </c>
      <c r="J50" s="4" t="s">
        <v>119</v>
      </c>
      <c r="K50" s="4" t="s">
        <v>234</v>
      </c>
      <c r="L50" s="4" t="s">
        <v>291</v>
      </c>
      <c r="M50" s="4" t="s">
        <v>192</v>
      </c>
      <c r="N50" s="4" t="s">
        <v>123</v>
      </c>
      <c r="O50" s="4" t="s">
        <v>124</v>
      </c>
      <c r="P50" s="4" t="s">
        <v>125</v>
      </c>
      <c r="Q50" s="4" t="s">
        <v>139</v>
      </c>
      <c r="R50" s="4" t="s">
        <v>140</v>
      </c>
      <c r="S50" s="4" t="s">
        <v>140</v>
      </c>
      <c r="T50" s="4" t="s">
        <v>229</v>
      </c>
      <c r="U50" s="4" t="s">
        <v>128</v>
      </c>
      <c r="V50" s="4" t="s">
        <v>292</v>
      </c>
      <c r="W50" s="4" t="s">
        <v>130</v>
      </c>
      <c r="X50" s="4" t="s">
        <v>293</v>
      </c>
      <c r="Y50" s="4" t="s">
        <v>115</v>
      </c>
      <c r="Z50" s="4" t="s">
        <v>132</v>
      </c>
      <c r="AA50" s="4" t="s">
        <v>132</v>
      </c>
      <c r="AB50" s="4" t="s">
        <v>132</v>
      </c>
      <c r="AC50" s="14" t="s">
        <v>132</v>
      </c>
      <c r="AD50" s="4" t="s">
        <v>125</v>
      </c>
      <c r="AE50" s="5">
        <v>1.5133333333333332</v>
      </c>
      <c r="AF50" s="5">
        <v>1.75</v>
      </c>
      <c r="AG50" s="5">
        <v>0.5</v>
      </c>
      <c r="AH50" s="5">
        <v>3.7633333333333332</v>
      </c>
      <c r="AI50" s="6">
        <v>0.21147032772364921</v>
      </c>
      <c r="AJ50" s="7">
        <v>1.8816666666666666</v>
      </c>
      <c r="AK50" s="7">
        <v>1.8816666666666666</v>
      </c>
      <c r="AL50" s="8"/>
      <c r="AM50" s="51">
        <f>AH50*(1-AI50)</f>
        <v>2.9675000000000002</v>
      </c>
      <c r="AN50" s="50" t="str">
        <f>VLOOKUP($E50,'Capgemini PResence and HC'!$B$2:$G$143,4,0)</f>
        <v>Y</v>
      </c>
      <c r="AO50" s="50">
        <f>VLOOKUP($E50,'Capgemini PResence and HC'!$B$2:$G$143,2,0)</f>
        <v>2</v>
      </c>
      <c r="AP50" s="50">
        <f>VLOOKUP($E50,'Capgemini PResence and HC'!$B$2:$G$143,3,0)</f>
        <v>0</v>
      </c>
      <c r="AQ50" s="50">
        <f>VLOOKUP($E50,'Capgemini PResence and HC'!$B$2:$G$143,6,0)</f>
        <v>0.64687499999999998</v>
      </c>
      <c r="AR50" s="76">
        <f>AH50-AS50</f>
        <v>0.79583333333333295</v>
      </c>
      <c r="AS50" s="67">
        <f>AM50</f>
        <v>2.9675000000000002</v>
      </c>
      <c r="AT50" s="72" t="e">
        <f>#REF!*AT$151</f>
        <v>#REF!</v>
      </c>
      <c r="AU50" s="72" t="e">
        <f>#REF!*AU$151</f>
        <v>#REF!</v>
      </c>
      <c r="AV50" s="72" t="e">
        <f>#REF!*AV$151</f>
        <v>#REF!</v>
      </c>
      <c r="AW50" s="72" t="e">
        <f>#REF!*AW$151</f>
        <v>#REF!</v>
      </c>
      <c r="AX50" s="72" t="e">
        <f>#REF!*AX$151</f>
        <v>#REF!</v>
      </c>
      <c r="AY50" s="72" t="e">
        <f>#REF!*AY$151</f>
        <v>#REF!</v>
      </c>
      <c r="AZ50" s="72" t="e">
        <f>#REF!*AZ$151</f>
        <v>#REF!</v>
      </c>
      <c r="BA50" s="72" t="e">
        <f>#REF!*BA$151</f>
        <v>#REF!</v>
      </c>
      <c r="BB50" s="75">
        <f>SUM(AE50:AG50)-AH50</f>
        <v>0</v>
      </c>
    </row>
    <row r="51" spans="1:54" s="2" customFormat="1" ht="18.75" hidden="1" customHeight="1">
      <c r="A51" s="15" t="s">
        <v>20</v>
      </c>
      <c r="B51" s="15" t="s">
        <v>115</v>
      </c>
      <c r="C51" s="15"/>
      <c r="D51" s="15"/>
      <c r="E51" s="4">
        <v>9890</v>
      </c>
      <c r="F51" s="4" t="s">
        <v>294</v>
      </c>
      <c r="G51" s="4" t="s">
        <v>295</v>
      </c>
      <c r="H51" s="4" t="s">
        <v>296</v>
      </c>
      <c r="I51" s="4" t="s">
        <v>233</v>
      </c>
      <c r="J51" s="4" t="s">
        <v>119</v>
      </c>
      <c r="K51" s="4" t="s">
        <v>234</v>
      </c>
      <c r="L51" s="4" t="s">
        <v>121</v>
      </c>
      <c r="M51" s="4" t="s">
        <v>122</v>
      </c>
      <c r="N51" s="4" t="s">
        <v>123</v>
      </c>
      <c r="O51" s="4" t="s">
        <v>124</v>
      </c>
      <c r="P51" s="4" t="s">
        <v>125</v>
      </c>
      <c r="Q51" s="4" t="s">
        <v>126</v>
      </c>
      <c r="R51" s="4" t="s">
        <v>140</v>
      </c>
      <c r="S51" s="4" t="s">
        <v>115</v>
      </c>
      <c r="T51" s="4" t="s">
        <v>260</v>
      </c>
      <c r="U51" s="4" t="s">
        <v>128</v>
      </c>
      <c r="V51" s="4" t="s">
        <v>236</v>
      </c>
      <c r="W51" s="4" t="s">
        <v>143</v>
      </c>
      <c r="X51" s="4" t="s">
        <v>128</v>
      </c>
      <c r="Y51" s="4" t="s">
        <v>140</v>
      </c>
      <c r="Z51" s="4" t="s">
        <v>132</v>
      </c>
      <c r="AA51" s="4" t="s">
        <v>132</v>
      </c>
      <c r="AB51" s="4" t="s">
        <v>132</v>
      </c>
      <c r="AC51" s="4" t="s">
        <v>125</v>
      </c>
      <c r="AD51" s="4" t="s">
        <v>125</v>
      </c>
      <c r="AE51" s="5">
        <v>1.5054583333333331</v>
      </c>
      <c r="AF51" s="5">
        <v>4.5833333333333337E-2</v>
      </c>
      <c r="AG51" s="5">
        <v>0</v>
      </c>
      <c r="AH51" s="5">
        <v>1.5512916666666665</v>
      </c>
      <c r="AI51" s="6">
        <v>7.2009884236254748E-2</v>
      </c>
      <c r="AJ51" s="7">
        <v>0.77564583333333326</v>
      </c>
      <c r="AK51" s="7">
        <v>0.77564583333333326</v>
      </c>
      <c r="AL51" s="8"/>
      <c r="AM51" s="51">
        <f>AH51*(1-AI51)</f>
        <v>1.4395833333333332</v>
      </c>
      <c r="AN51" s="50" t="str">
        <f>VLOOKUP($E51,'Capgemini PResence and HC'!$B$2:$G$143,4,0)</f>
        <v>N</v>
      </c>
      <c r="AO51" s="50">
        <f>VLOOKUP($E51,'Capgemini PResence and HC'!$B$2:$G$143,2,0)</f>
        <v>0</v>
      </c>
      <c r="AP51" s="50">
        <f>VLOOKUP($E51,'Capgemini PResence and HC'!$B$2:$G$143,3,0)</f>
        <v>0</v>
      </c>
      <c r="AQ51" s="50">
        <f>VLOOKUP($E51,'Capgemini PResence and HC'!$B$2:$G$143,6,0)</f>
        <v>0</v>
      </c>
      <c r="AR51" s="76">
        <f>AH51-AS51</f>
        <v>0.1117083333333333</v>
      </c>
      <c r="AS51" s="67">
        <f>AM51</f>
        <v>1.4395833333333332</v>
      </c>
      <c r="BB51" s="75">
        <f>SUM(AE51:AG51)-AH51</f>
        <v>0</v>
      </c>
    </row>
    <row r="52" spans="1:54" s="2" customFormat="1" ht="18.75" hidden="1" customHeight="1">
      <c r="A52" s="15" t="s">
        <v>20</v>
      </c>
      <c r="B52" s="15" t="s">
        <v>115</v>
      </c>
      <c r="C52" s="15"/>
      <c r="D52" s="15"/>
      <c r="E52" s="4">
        <v>14930</v>
      </c>
      <c r="F52" s="4" t="s">
        <v>297</v>
      </c>
      <c r="G52" s="4" t="s">
        <v>298</v>
      </c>
      <c r="H52" s="4" t="s">
        <v>299</v>
      </c>
      <c r="I52" s="4" t="s">
        <v>233</v>
      </c>
      <c r="J52" s="4" t="s">
        <v>119</v>
      </c>
      <c r="K52" s="4" t="s">
        <v>234</v>
      </c>
      <c r="L52" s="4" t="s">
        <v>121</v>
      </c>
      <c r="M52" s="4" t="s">
        <v>122</v>
      </c>
      <c r="N52" s="4" t="s">
        <v>300</v>
      </c>
      <c r="O52" s="4" t="s">
        <v>124</v>
      </c>
      <c r="P52" s="4" t="s">
        <v>125</v>
      </c>
      <c r="Q52" s="4" t="s">
        <v>159</v>
      </c>
      <c r="R52" s="4" t="s">
        <v>140</v>
      </c>
      <c r="S52" s="4" t="s">
        <v>115</v>
      </c>
      <c r="T52" s="4" t="s">
        <v>301</v>
      </c>
      <c r="U52" s="4" t="s">
        <v>128</v>
      </c>
      <c r="V52" s="4" t="s">
        <v>236</v>
      </c>
      <c r="W52" s="4" t="s">
        <v>143</v>
      </c>
      <c r="X52" s="4" t="s">
        <v>302</v>
      </c>
      <c r="Y52" s="4" t="s">
        <v>115</v>
      </c>
      <c r="Z52" s="4" t="s">
        <v>132</v>
      </c>
      <c r="AA52" s="4" t="s">
        <v>132</v>
      </c>
      <c r="AB52" s="4" t="s">
        <v>132</v>
      </c>
      <c r="AC52" s="4" t="s">
        <v>125</v>
      </c>
      <c r="AD52" s="4" t="s">
        <v>125</v>
      </c>
      <c r="AE52" s="5">
        <v>1.5</v>
      </c>
      <c r="AF52" s="5">
        <v>0.5</v>
      </c>
      <c r="AG52" s="5">
        <v>0</v>
      </c>
      <c r="AH52" s="5">
        <v>2</v>
      </c>
      <c r="AI52" s="6">
        <v>1</v>
      </c>
      <c r="AJ52" s="7">
        <v>1</v>
      </c>
      <c r="AK52" s="7">
        <v>1</v>
      </c>
      <c r="AL52" s="8"/>
      <c r="AM52" s="51">
        <f>AH52*(1-AI52)</f>
        <v>0</v>
      </c>
      <c r="AN52" s="50" t="str">
        <f>VLOOKUP($E52,'Capgemini PResence and HC'!$B$2:$G$143,4,0)</f>
        <v>N</v>
      </c>
      <c r="AO52" s="50">
        <f>VLOOKUP($E52,'Capgemini PResence and HC'!$B$2:$G$143,2,0)</f>
        <v>0</v>
      </c>
      <c r="AP52" s="50">
        <f>VLOOKUP($E52,'Capgemini PResence and HC'!$B$2:$G$143,3,0)</f>
        <v>0</v>
      </c>
      <c r="AQ52" s="50">
        <f>VLOOKUP($E52,'Capgemini PResence and HC'!$B$2:$G$143,6,0)</f>
        <v>0</v>
      </c>
      <c r="AR52" s="76">
        <f>AH52-AS52</f>
        <v>2</v>
      </c>
      <c r="AS52" s="67">
        <f>AM52</f>
        <v>0</v>
      </c>
      <c r="BB52" s="75">
        <f>SUM(AE52:AG52)-AH52</f>
        <v>0</v>
      </c>
    </row>
    <row r="53" spans="1:54" s="2" customFormat="1" ht="18.75" hidden="1" customHeight="1">
      <c r="A53" s="15" t="s">
        <v>20</v>
      </c>
      <c r="B53" s="15" t="s">
        <v>115</v>
      </c>
      <c r="C53" s="15"/>
      <c r="D53" s="15"/>
      <c r="E53" s="4">
        <v>9906</v>
      </c>
      <c r="F53" s="4" t="s">
        <v>303</v>
      </c>
      <c r="G53" s="4" t="s">
        <v>304</v>
      </c>
      <c r="H53" s="4" t="s">
        <v>305</v>
      </c>
      <c r="I53" s="4" t="s">
        <v>233</v>
      </c>
      <c r="J53" s="4" t="s">
        <v>119</v>
      </c>
      <c r="K53" s="4" t="s">
        <v>234</v>
      </c>
      <c r="L53" s="4" t="s">
        <v>121</v>
      </c>
      <c r="M53" s="4" t="s">
        <v>122</v>
      </c>
      <c r="N53" s="4" t="s">
        <v>123</v>
      </c>
      <c r="O53" s="4" t="s">
        <v>124</v>
      </c>
      <c r="P53" s="4" t="s">
        <v>125</v>
      </c>
      <c r="Q53" s="4" t="s">
        <v>126</v>
      </c>
      <c r="R53" s="4" t="s">
        <v>140</v>
      </c>
      <c r="S53" s="4" t="s">
        <v>115</v>
      </c>
      <c r="T53" s="4" t="s">
        <v>229</v>
      </c>
      <c r="U53" s="4" t="s">
        <v>128</v>
      </c>
      <c r="V53" s="4" t="s">
        <v>236</v>
      </c>
      <c r="W53" s="4" t="s">
        <v>143</v>
      </c>
      <c r="X53" s="4" t="s">
        <v>128</v>
      </c>
      <c r="Y53" s="4" t="s">
        <v>140</v>
      </c>
      <c r="Z53" s="4" t="s">
        <v>132</v>
      </c>
      <c r="AA53" s="4" t="s">
        <v>132</v>
      </c>
      <c r="AB53" s="4" t="s">
        <v>132</v>
      </c>
      <c r="AC53" s="4" t="s">
        <v>125</v>
      </c>
      <c r="AD53" s="4" t="s">
        <v>125</v>
      </c>
      <c r="AE53" s="5">
        <v>1.2860416666666665</v>
      </c>
      <c r="AF53" s="5">
        <v>0.14541666666666664</v>
      </c>
      <c r="AG53" s="5">
        <v>0</v>
      </c>
      <c r="AH53" s="5">
        <v>1.4314583333333331</v>
      </c>
      <c r="AI53" s="6">
        <v>0.950516664241013</v>
      </c>
      <c r="AJ53" s="7">
        <v>0.71572916666666653</v>
      </c>
      <c r="AK53" s="7">
        <v>0.71572916666666653</v>
      </c>
      <c r="AL53" s="8"/>
      <c r="AM53" s="51">
        <f>AH53*(1-AI53)</f>
        <v>7.0833333333333248E-2</v>
      </c>
      <c r="AN53" s="50" t="str">
        <f>VLOOKUP($E53,'Capgemini PResence and HC'!$B$2:$G$143,4,0)</f>
        <v>N</v>
      </c>
      <c r="AO53" s="50">
        <f>VLOOKUP($E53,'Capgemini PResence and HC'!$B$2:$G$143,2,0)</f>
        <v>0</v>
      </c>
      <c r="AP53" s="50">
        <f>VLOOKUP($E53,'Capgemini PResence and HC'!$B$2:$G$143,3,0)</f>
        <v>0</v>
      </c>
      <c r="AQ53" s="50">
        <f>VLOOKUP($E53,'Capgemini PResence and HC'!$B$2:$G$143,6,0)</f>
        <v>0</v>
      </c>
      <c r="AR53" s="76">
        <f>AH53-AS53</f>
        <v>1.3606249999999998</v>
      </c>
      <c r="AS53" s="67">
        <f>AM53</f>
        <v>7.0833333333333248E-2</v>
      </c>
      <c r="AT53" s="72" t="e">
        <f>#REF!*AT$151</f>
        <v>#REF!</v>
      </c>
      <c r="AU53" s="72" t="e">
        <f>#REF!*AU$151</f>
        <v>#REF!</v>
      </c>
      <c r="AV53" s="72" t="e">
        <f>#REF!*AV$151</f>
        <v>#REF!</v>
      </c>
      <c r="AW53" s="72" t="e">
        <f>#REF!*AW$151</f>
        <v>#REF!</v>
      </c>
      <c r="AX53" s="72" t="e">
        <f>#REF!*AX$151</f>
        <v>#REF!</v>
      </c>
      <c r="AY53" s="72" t="e">
        <f>#REF!*AY$151</f>
        <v>#REF!</v>
      </c>
      <c r="AZ53" s="72" t="e">
        <f>#REF!*AZ$151</f>
        <v>#REF!</v>
      </c>
      <c r="BA53" s="72" t="e">
        <f>#REF!*BA$151</f>
        <v>#REF!</v>
      </c>
      <c r="BB53" s="75">
        <f>SUM(AE53:AG53)-AH53</f>
        <v>0</v>
      </c>
    </row>
    <row r="54" spans="1:54" s="2" customFormat="1" ht="18.75" hidden="1" customHeight="1">
      <c r="A54" s="15" t="s">
        <v>20</v>
      </c>
      <c r="B54" s="15" t="s">
        <v>115</v>
      </c>
      <c r="C54" s="15"/>
      <c r="D54" s="15"/>
      <c r="E54" s="4">
        <v>9910</v>
      </c>
      <c r="F54" s="4" t="s">
        <v>306</v>
      </c>
      <c r="G54" s="4" t="s">
        <v>307</v>
      </c>
      <c r="H54" s="9" t="s">
        <v>308</v>
      </c>
      <c r="I54" s="4" t="s">
        <v>198</v>
      </c>
      <c r="J54" s="4" t="s">
        <v>199</v>
      </c>
      <c r="K54" s="4" t="s">
        <v>200</v>
      </c>
      <c r="L54" s="4" t="s">
        <v>121</v>
      </c>
      <c r="M54" s="4" t="s">
        <v>122</v>
      </c>
      <c r="N54" s="4" t="s">
        <v>123</v>
      </c>
      <c r="O54" s="4" t="s">
        <v>124</v>
      </c>
      <c r="P54" s="4" t="s">
        <v>125</v>
      </c>
      <c r="Q54" s="4" t="s">
        <v>139</v>
      </c>
      <c r="R54" s="4" t="s">
        <v>140</v>
      </c>
      <c r="S54" s="4" t="s">
        <v>115</v>
      </c>
      <c r="T54" s="4" t="s">
        <v>208</v>
      </c>
      <c r="U54" s="4" t="s">
        <v>128</v>
      </c>
      <c r="V54" s="4" t="s">
        <v>209</v>
      </c>
      <c r="W54" s="4" t="s">
        <v>143</v>
      </c>
      <c r="X54" s="4" t="s">
        <v>128</v>
      </c>
      <c r="Y54" s="4" t="s">
        <v>140</v>
      </c>
      <c r="Z54" s="4" t="s">
        <v>132</v>
      </c>
      <c r="AA54" s="4" t="s">
        <v>132</v>
      </c>
      <c r="AB54" s="4" t="s">
        <v>132</v>
      </c>
      <c r="AC54" s="4" t="s">
        <v>125</v>
      </c>
      <c r="AD54" s="4" t="s">
        <v>125</v>
      </c>
      <c r="AE54" s="5">
        <v>6.25E-2</v>
      </c>
      <c r="AF54" s="5">
        <v>0</v>
      </c>
      <c r="AG54" s="5">
        <v>0</v>
      </c>
      <c r="AH54" s="5">
        <v>6.25E-2</v>
      </c>
      <c r="AI54" s="6">
        <v>1</v>
      </c>
      <c r="AJ54" s="7">
        <v>3.125E-2</v>
      </c>
      <c r="AK54" s="7">
        <v>3.125E-2</v>
      </c>
      <c r="AL54" s="8"/>
      <c r="AM54" s="51">
        <f>AH54*(1-AI54)</f>
        <v>0</v>
      </c>
      <c r="AN54" s="50" t="str">
        <f>VLOOKUP($E54,'Capgemini PResence and HC'!$B$2:$G$143,4,0)</f>
        <v>Y</v>
      </c>
      <c r="AO54" s="50">
        <f>VLOOKUP($E54,'Capgemini PResence and HC'!$B$2:$G$143,2,0)</f>
        <v>0</v>
      </c>
      <c r="AP54" s="50">
        <f>VLOOKUP($E54,'Capgemini PResence and HC'!$B$2:$G$143,3,0)</f>
        <v>1</v>
      </c>
      <c r="AQ54" s="50">
        <f>VLOOKUP($E54,'Capgemini PResence and HC'!$B$2:$G$143,6,0)</f>
        <v>0</v>
      </c>
      <c r="AR54" s="65"/>
      <c r="AS54" s="65"/>
      <c r="AT54" s="72" t="e">
        <f>#REF!*AT$151</f>
        <v>#REF!</v>
      </c>
      <c r="AU54" s="72" t="e">
        <f>#REF!*AU$151</f>
        <v>#REF!</v>
      </c>
      <c r="AV54" s="72" t="e">
        <f>#REF!*AV$151</f>
        <v>#REF!</v>
      </c>
      <c r="AW54" s="72" t="e">
        <f>#REF!*AW$151</f>
        <v>#REF!</v>
      </c>
      <c r="AX54" s="72" t="e">
        <f>#REF!*AX$151</f>
        <v>#REF!</v>
      </c>
      <c r="AY54" s="72" t="e">
        <f>#REF!*AY$151</f>
        <v>#REF!</v>
      </c>
      <c r="AZ54" s="72" t="e">
        <f>#REF!*AZ$151</f>
        <v>#REF!</v>
      </c>
      <c r="BA54" s="72" t="e">
        <f>#REF!*BA$151</f>
        <v>#REF!</v>
      </c>
      <c r="BB54" s="75">
        <f>SUM(AE54:AG54)-AH54</f>
        <v>0</v>
      </c>
    </row>
    <row r="55" spans="1:54" s="2" customFormat="1" ht="18.75" hidden="1" customHeight="1">
      <c r="A55" s="15" t="s">
        <v>20</v>
      </c>
      <c r="B55" s="15" t="s">
        <v>115</v>
      </c>
      <c r="C55" s="15"/>
      <c r="D55" s="15"/>
      <c r="E55" s="4">
        <v>9920</v>
      </c>
      <c r="F55" s="4" t="s">
        <v>309</v>
      </c>
      <c r="G55" s="4" t="s">
        <v>310</v>
      </c>
      <c r="H55" s="4" t="s">
        <v>311</v>
      </c>
      <c r="I55" s="4" t="s">
        <v>272</v>
      </c>
      <c r="J55" s="4" t="s">
        <v>273</v>
      </c>
      <c r="K55" s="4" t="s">
        <v>312</v>
      </c>
      <c r="L55" s="4" t="s">
        <v>121</v>
      </c>
      <c r="M55" s="4" t="s">
        <v>122</v>
      </c>
      <c r="N55" s="4" t="s">
        <v>123</v>
      </c>
      <c r="O55" s="4" t="s">
        <v>124</v>
      </c>
      <c r="P55" s="4" t="s">
        <v>125</v>
      </c>
      <c r="Q55" s="4" t="s">
        <v>313</v>
      </c>
      <c r="R55" s="4" t="s">
        <v>115</v>
      </c>
      <c r="S55" s="4" t="s">
        <v>115</v>
      </c>
      <c r="T55" s="4" t="s">
        <v>260</v>
      </c>
      <c r="U55" s="4" t="s">
        <v>128</v>
      </c>
      <c r="V55" s="4" t="s">
        <v>236</v>
      </c>
      <c r="W55" s="4" t="s">
        <v>143</v>
      </c>
      <c r="X55" s="4" t="s">
        <v>128</v>
      </c>
      <c r="Y55" s="4" t="s">
        <v>140</v>
      </c>
      <c r="Z55" s="4" t="s">
        <v>132</v>
      </c>
      <c r="AA55" s="4" t="s">
        <v>132</v>
      </c>
      <c r="AB55" s="4" t="s">
        <v>132</v>
      </c>
      <c r="AC55" s="4" t="s">
        <v>125</v>
      </c>
      <c r="AD55" s="4" t="s">
        <v>125</v>
      </c>
      <c r="AE55" s="5">
        <v>10.337500000000002</v>
      </c>
      <c r="AF55" s="5">
        <v>3.5583333333333336</v>
      </c>
      <c r="AG55" s="5">
        <v>5.1816666666666675</v>
      </c>
      <c r="AH55" s="5">
        <v>19.077500000000004</v>
      </c>
      <c r="AI55" s="6">
        <v>0.93360415847639022</v>
      </c>
      <c r="AJ55" s="7">
        <v>9.5387500000000021</v>
      </c>
      <c r="AK55" s="7">
        <v>9.5387500000000021</v>
      </c>
      <c r="AL55" s="8"/>
      <c r="AM55" s="51">
        <f>AH55*(1-AI55)</f>
        <v>1.2666666666666657</v>
      </c>
      <c r="AN55" s="50" t="str">
        <f>VLOOKUP($E55,'Capgemini PResence and HC'!$B$2:$G$143,4,0)</f>
        <v>N</v>
      </c>
      <c r="AO55" s="50">
        <f>VLOOKUP($E55,'Capgemini PResence and HC'!$B$2:$G$143,2,0)</f>
        <v>0</v>
      </c>
      <c r="AP55" s="50">
        <f>VLOOKUP($E55,'Capgemini PResence and HC'!$B$2:$G$143,3,0)</f>
        <v>0</v>
      </c>
      <c r="AQ55" s="50">
        <f>VLOOKUP($E55,'Capgemini PResence and HC'!$B$2:$G$143,6,0)</f>
        <v>0</v>
      </c>
      <c r="AR55" s="65"/>
      <c r="AS55" s="65"/>
      <c r="AT55" s="72" t="e">
        <f>#REF!*AT$151</f>
        <v>#REF!</v>
      </c>
      <c r="AU55" s="72" t="e">
        <f>#REF!*AU$151</f>
        <v>#REF!</v>
      </c>
      <c r="AV55" s="72" t="e">
        <f>#REF!*AV$151</f>
        <v>#REF!</v>
      </c>
      <c r="AW55" s="72" t="e">
        <f>#REF!*AW$151</f>
        <v>#REF!</v>
      </c>
      <c r="AX55" s="72" t="e">
        <f>#REF!*AX$151</f>
        <v>#REF!</v>
      </c>
      <c r="AY55" s="72" t="e">
        <f>#REF!*AY$151</f>
        <v>#REF!</v>
      </c>
      <c r="AZ55" s="72" t="e">
        <f>#REF!*AZ$151</f>
        <v>#REF!</v>
      </c>
      <c r="BA55" s="72" t="e">
        <f>#REF!*BA$151</f>
        <v>#REF!</v>
      </c>
      <c r="BB55" s="75">
        <f>SUM(AE55:AG55)-AH55</f>
        <v>0</v>
      </c>
    </row>
    <row r="56" spans="1:54" s="2" customFormat="1" ht="18.75" hidden="1" customHeight="1">
      <c r="A56" s="15" t="s">
        <v>20</v>
      </c>
      <c r="B56" s="15" t="s">
        <v>115</v>
      </c>
      <c r="C56" s="15"/>
      <c r="D56" s="15"/>
      <c r="E56" s="4">
        <v>9921</v>
      </c>
      <c r="F56" s="4" t="s">
        <v>314</v>
      </c>
      <c r="G56" s="4" t="s">
        <v>315</v>
      </c>
      <c r="H56" s="4" t="s">
        <v>315</v>
      </c>
      <c r="I56" s="4" t="s">
        <v>272</v>
      </c>
      <c r="J56" s="4" t="s">
        <v>273</v>
      </c>
      <c r="K56" s="4" t="s">
        <v>312</v>
      </c>
      <c r="L56" s="4" t="s">
        <v>121</v>
      </c>
      <c r="M56" s="4" t="s">
        <v>122</v>
      </c>
      <c r="N56" s="4" t="s">
        <v>123</v>
      </c>
      <c r="O56" s="4" t="s">
        <v>124</v>
      </c>
      <c r="P56" s="4" t="s">
        <v>125</v>
      </c>
      <c r="Q56" s="4" t="s">
        <v>126</v>
      </c>
      <c r="R56" s="4" t="s">
        <v>140</v>
      </c>
      <c r="S56" s="4" t="s">
        <v>115</v>
      </c>
      <c r="T56" s="4" t="s">
        <v>260</v>
      </c>
      <c r="U56" s="4" t="s">
        <v>128</v>
      </c>
      <c r="V56" s="4" t="s">
        <v>236</v>
      </c>
      <c r="W56" s="4" t="s">
        <v>143</v>
      </c>
      <c r="X56" s="4" t="s">
        <v>302</v>
      </c>
      <c r="Y56" s="4" t="s">
        <v>115</v>
      </c>
      <c r="Z56" s="4" t="s">
        <v>132</v>
      </c>
      <c r="AA56" s="4" t="s">
        <v>132</v>
      </c>
      <c r="AB56" s="4" t="s">
        <v>132</v>
      </c>
      <c r="AC56" s="4" t="s">
        <v>125</v>
      </c>
      <c r="AD56" s="4" t="s">
        <v>125</v>
      </c>
      <c r="AE56" s="5">
        <v>0.3041666666666667</v>
      </c>
      <c r="AF56" s="5">
        <v>4.1666666666666664E-2</v>
      </c>
      <c r="AG56" s="5">
        <v>0</v>
      </c>
      <c r="AH56" s="5">
        <v>0.34583333333333338</v>
      </c>
      <c r="AI56" s="6">
        <v>1</v>
      </c>
      <c r="AJ56" s="7">
        <v>0.17291666666666669</v>
      </c>
      <c r="AK56" s="7">
        <v>0.17291666666666669</v>
      </c>
      <c r="AL56" s="8"/>
      <c r="AM56" s="51">
        <f>AH56*(1-AI56)</f>
        <v>0</v>
      </c>
      <c r="AN56" s="50" t="str">
        <f>VLOOKUP($E56,'Capgemini PResence and HC'!$B$2:$G$143,4,0)</f>
        <v>N</v>
      </c>
      <c r="AO56" s="50">
        <f>VLOOKUP($E56,'Capgemini PResence and HC'!$B$2:$G$143,2,0)</f>
        <v>0</v>
      </c>
      <c r="AP56" s="50">
        <f>VLOOKUP($E56,'Capgemini PResence and HC'!$B$2:$G$143,3,0)</f>
        <v>0</v>
      </c>
      <c r="AQ56" s="50">
        <f>VLOOKUP($E56,'Capgemini PResence and HC'!$B$2:$G$143,6,0)</f>
        <v>0</v>
      </c>
      <c r="AR56" s="65"/>
      <c r="AS56" s="65"/>
      <c r="AT56" s="72" t="e">
        <f>#REF!*AT$151</f>
        <v>#REF!</v>
      </c>
      <c r="AU56" s="72" t="e">
        <f>#REF!*AU$151</f>
        <v>#REF!</v>
      </c>
      <c r="AV56" s="72" t="e">
        <f>#REF!*AV$151</f>
        <v>#REF!</v>
      </c>
      <c r="AW56" s="72" t="e">
        <f>#REF!*AW$151</f>
        <v>#REF!</v>
      </c>
      <c r="AX56" s="72" t="e">
        <f>#REF!*AX$151</f>
        <v>#REF!</v>
      </c>
      <c r="AY56" s="72" t="e">
        <f>#REF!*AY$151</f>
        <v>#REF!</v>
      </c>
      <c r="AZ56" s="72" t="e">
        <f>#REF!*AZ$151</f>
        <v>#REF!</v>
      </c>
      <c r="BA56" s="72" t="e">
        <f>#REF!*BA$151</f>
        <v>#REF!</v>
      </c>
      <c r="BB56" s="75">
        <f>SUM(AE56:AG56)-AH56</f>
        <v>0</v>
      </c>
    </row>
    <row r="57" spans="1:54" s="2" customFormat="1" ht="18.75" hidden="1" customHeight="1">
      <c r="A57" s="15" t="s">
        <v>20</v>
      </c>
      <c r="B57" s="15" t="s">
        <v>115</v>
      </c>
      <c r="C57" s="15"/>
      <c r="D57" s="15"/>
      <c r="E57" s="4">
        <v>9926</v>
      </c>
      <c r="F57" s="4" t="s">
        <v>316</v>
      </c>
      <c r="G57" s="4" t="s">
        <v>317</v>
      </c>
      <c r="H57" s="4" t="s">
        <v>318</v>
      </c>
      <c r="I57" s="4" t="s">
        <v>319</v>
      </c>
      <c r="J57" s="4" t="s">
        <v>320</v>
      </c>
      <c r="K57" s="4" t="s">
        <v>320</v>
      </c>
      <c r="L57" s="4" t="s">
        <v>121</v>
      </c>
      <c r="M57" s="4" t="s">
        <v>192</v>
      </c>
      <c r="N57" s="4" t="s">
        <v>123</v>
      </c>
      <c r="O57" s="4" t="s">
        <v>124</v>
      </c>
      <c r="P57" s="4" t="s">
        <v>125</v>
      </c>
      <c r="Q57" s="4" t="s">
        <v>139</v>
      </c>
      <c r="R57" s="4" t="s">
        <v>140</v>
      </c>
      <c r="S57" s="4" t="s">
        <v>115</v>
      </c>
      <c r="T57" s="4" t="s">
        <v>229</v>
      </c>
      <c r="U57" s="4" t="s">
        <v>128</v>
      </c>
      <c r="V57" s="4" t="s">
        <v>236</v>
      </c>
      <c r="W57" s="4" t="s">
        <v>143</v>
      </c>
      <c r="X57" s="4" t="s">
        <v>128</v>
      </c>
      <c r="Y57" s="4" t="s">
        <v>140</v>
      </c>
      <c r="Z57" s="4" t="s">
        <v>132</v>
      </c>
      <c r="AA57" s="4" t="s">
        <v>132</v>
      </c>
      <c r="AB57" s="4" t="s">
        <v>132</v>
      </c>
      <c r="AC57" s="4" t="s">
        <v>125</v>
      </c>
      <c r="AD57" s="4" t="s">
        <v>125</v>
      </c>
      <c r="AE57" s="5">
        <v>7.4999999999999997E-2</v>
      </c>
      <c r="AF57" s="5">
        <v>0</v>
      </c>
      <c r="AG57" s="5">
        <v>0</v>
      </c>
      <c r="AH57" s="5">
        <v>7.4999999999999997E-2</v>
      </c>
      <c r="AI57" s="6">
        <v>0</v>
      </c>
      <c r="AJ57" s="7">
        <v>3.7499999999999999E-2</v>
      </c>
      <c r="AK57" s="7">
        <v>3.7499999999999999E-2</v>
      </c>
      <c r="AL57" s="8"/>
      <c r="AM57" s="51">
        <f>AH57*(1-AI57)</f>
        <v>7.4999999999999997E-2</v>
      </c>
      <c r="AN57" s="50" t="str">
        <f>VLOOKUP($E57,'Capgemini PResence and HC'!$B$2:$G$143,4,0)</f>
        <v>N</v>
      </c>
      <c r="AO57" s="50">
        <f>VLOOKUP($E57,'Capgemini PResence and HC'!$B$2:$G$143,2,0)</f>
        <v>0</v>
      </c>
      <c r="AP57" s="50">
        <f>VLOOKUP($E57,'Capgemini PResence and HC'!$B$2:$G$143,3,0)</f>
        <v>0</v>
      </c>
      <c r="AQ57" s="50">
        <f>VLOOKUP($E57,'Capgemini PResence and HC'!$B$2:$G$143,6,0)</f>
        <v>0</v>
      </c>
      <c r="AR57" s="65"/>
      <c r="AS57" s="65"/>
      <c r="AT57" s="72" t="e">
        <f>#REF!*AT$151</f>
        <v>#REF!</v>
      </c>
      <c r="AU57" s="72" t="e">
        <f>#REF!*AU$151</f>
        <v>#REF!</v>
      </c>
      <c r="AV57" s="72" t="e">
        <f>#REF!*AV$151</f>
        <v>#REF!</v>
      </c>
      <c r="AW57" s="72" t="e">
        <f>#REF!*AW$151</f>
        <v>#REF!</v>
      </c>
      <c r="AX57" s="72" t="e">
        <f>#REF!*AX$151</f>
        <v>#REF!</v>
      </c>
      <c r="AY57" s="72" t="e">
        <f>#REF!*AY$151</f>
        <v>#REF!</v>
      </c>
      <c r="AZ57" s="72" t="e">
        <f>#REF!*AZ$151</f>
        <v>#REF!</v>
      </c>
      <c r="BA57" s="72" t="e">
        <f>#REF!*BA$151</f>
        <v>#REF!</v>
      </c>
      <c r="BB57" s="75">
        <f>SUM(AE57:AG57)-AH57</f>
        <v>0</v>
      </c>
    </row>
    <row r="58" spans="1:54" s="2" customFormat="1" ht="18.75" hidden="1" customHeight="1">
      <c r="A58" s="15" t="s">
        <v>20</v>
      </c>
      <c r="B58" s="15" t="s">
        <v>115</v>
      </c>
      <c r="C58" s="15"/>
      <c r="D58" s="15"/>
      <c r="E58" s="4">
        <v>9928</v>
      </c>
      <c r="F58" s="4" t="s">
        <v>321</v>
      </c>
      <c r="G58" s="4" t="s">
        <v>322</v>
      </c>
      <c r="H58" s="4" t="s">
        <v>322</v>
      </c>
      <c r="I58" s="4" t="s">
        <v>319</v>
      </c>
      <c r="J58" s="4" t="s">
        <v>320</v>
      </c>
      <c r="K58" s="4" t="s">
        <v>320</v>
      </c>
      <c r="L58" s="4" t="s">
        <v>121</v>
      </c>
      <c r="M58" s="4" t="s">
        <v>192</v>
      </c>
      <c r="N58" s="4" t="s">
        <v>123</v>
      </c>
      <c r="O58" s="4" t="s">
        <v>124</v>
      </c>
      <c r="P58" s="4" t="s">
        <v>125</v>
      </c>
      <c r="Q58" s="4" t="s">
        <v>139</v>
      </c>
      <c r="R58" s="4" t="s">
        <v>140</v>
      </c>
      <c r="S58" s="4" t="s">
        <v>115</v>
      </c>
      <c r="T58" s="4" t="s">
        <v>229</v>
      </c>
      <c r="U58" s="4" t="s">
        <v>128</v>
      </c>
      <c r="V58" s="4" t="s">
        <v>236</v>
      </c>
      <c r="W58" s="4" t="s">
        <v>143</v>
      </c>
      <c r="X58" s="4" t="s">
        <v>302</v>
      </c>
      <c r="Y58" s="4" t="s">
        <v>115</v>
      </c>
      <c r="Z58" s="4" t="s">
        <v>132</v>
      </c>
      <c r="AA58" s="4" t="s">
        <v>132</v>
      </c>
      <c r="AB58" s="4" t="s">
        <v>132</v>
      </c>
      <c r="AC58" s="4" t="s">
        <v>125</v>
      </c>
      <c r="AD58" s="4" t="s">
        <v>125</v>
      </c>
      <c r="AE58" s="5">
        <v>1.3970833333333335</v>
      </c>
      <c r="AF58" s="5">
        <v>1</v>
      </c>
      <c r="AG58" s="5">
        <v>0</v>
      </c>
      <c r="AH58" s="5">
        <v>2.3970833333333337</v>
      </c>
      <c r="AI58" s="6">
        <v>0.86441856422735963</v>
      </c>
      <c r="AJ58" s="7">
        <v>1.1985416666666668</v>
      </c>
      <c r="AK58" s="7">
        <v>1.1985416666666668</v>
      </c>
      <c r="AL58" s="8"/>
      <c r="AM58" s="51">
        <f>AH58*(1-AI58)</f>
        <v>0.32500000000000007</v>
      </c>
      <c r="AN58" s="50" t="str">
        <f>VLOOKUP($E58,'Capgemini PResence and HC'!$B$2:$G$143,4,0)</f>
        <v>N</v>
      </c>
      <c r="AO58" s="50">
        <f>VLOOKUP($E58,'Capgemini PResence and HC'!$B$2:$G$143,2,0)</f>
        <v>0</v>
      </c>
      <c r="AP58" s="50">
        <f>VLOOKUP($E58,'Capgemini PResence and HC'!$B$2:$G$143,3,0)</f>
        <v>0</v>
      </c>
      <c r="AQ58" s="50">
        <f>VLOOKUP($E58,'Capgemini PResence and HC'!$B$2:$G$143,6,0)</f>
        <v>0</v>
      </c>
      <c r="AR58" s="65"/>
      <c r="AS58" s="65"/>
      <c r="AT58" s="72" t="e">
        <f>#REF!*AT$151</f>
        <v>#REF!</v>
      </c>
      <c r="AU58" s="72" t="e">
        <f>#REF!*AU$151</f>
        <v>#REF!</v>
      </c>
      <c r="AV58" s="72" t="e">
        <f>#REF!*AV$151</f>
        <v>#REF!</v>
      </c>
      <c r="AW58" s="72" t="e">
        <f>#REF!*AW$151</f>
        <v>#REF!</v>
      </c>
      <c r="AX58" s="72" t="e">
        <f>#REF!*AX$151</f>
        <v>#REF!</v>
      </c>
      <c r="AY58" s="72" t="e">
        <f>#REF!*AY$151</f>
        <v>#REF!</v>
      </c>
      <c r="AZ58" s="72" t="e">
        <f>#REF!*AZ$151</f>
        <v>#REF!</v>
      </c>
      <c r="BA58" s="72" t="e">
        <f>#REF!*BA$151</f>
        <v>#REF!</v>
      </c>
      <c r="BB58" s="75">
        <f>SUM(AE58:AG58)-AH58</f>
        <v>0</v>
      </c>
    </row>
    <row r="59" spans="1:54" s="2" customFormat="1" ht="18.75" hidden="1" customHeight="1">
      <c r="A59" s="15" t="s">
        <v>25</v>
      </c>
      <c r="B59" s="15" t="s">
        <v>115</v>
      </c>
      <c r="C59" s="15"/>
      <c r="D59" s="15"/>
      <c r="E59" s="4">
        <v>9930</v>
      </c>
      <c r="F59" s="4" t="s">
        <v>323</v>
      </c>
      <c r="G59" s="4" t="s">
        <v>324</v>
      </c>
      <c r="H59" s="4" t="s">
        <v>325</v>
      </c>
      <c r="I59" s="4" t="s">
        <v>233</v>
      </c>
      <c r="J59" s="4" t="s">
        <v>119</v>
      </c>
      <c r="K59" s="4" t="s">
        <v>234</v>
      </c>
      <c r="L59" s="4" t="s">
        <v>121</v>
      </c>
      <c r="M59" s="4" t="s">
        <v>122</v>
      </c>
      <c r="N59" s="4" t="s">
        <v>123</v>
      </c>
      <c r="O59" s="4" t="s">
        <v>124</v>
      </c>
      <c r="P59" s="4" t="s">
        <v>132</v>
      </c>
      <c r="Q59" s="4" t="s">
        <v>139</v>
      </c>
      <c r="R59" s="4" t="s">
        <v>140</v>
      </c>
      <c r="S59" s="4" t="s">
        <v>115</v>
      </c>
      <c r="T59" s="4" t="s">
        <v>326</v>
      </c>
      <c r="U59" s="4" t="s">
        <v>128</v>
      </c>
      <c r="V59" s="4" t="s">
        <v>327</v>
      </c>
      <c r="W59" s="4" t="s">
        <v>143</v>
      </c>
      <c r="X59" s="4" t="s">
        <v>128</v>
      </c>
      <c r="Y59" s="4" t="s">
        <v>140</v>
      </c>
      <c r="Z59" s="4" t="s">
        <v>132</v>
      </c>
      <c r="AA59" s="4" t="s">
        <v>132</v>
      </c>
      <c r="AB59" s="4" t="s">
        <v>132</v>
      </c>
      <c r="AC59" s="4" t="s">
        <v>125</v>
      </c>
      <c r="AD59" s="4" t="s">
        <v>125</v>
      </c>
      <c r="AE59" s="5">
        <v>2.4083333333333332</v>
      </c>
      <c r="AF59" s="5">
        <v>7.4999999999999997E-2</v>
      </c>
      <c r="AG59" s="5">
        <v>0</v>
      </c>
      <c r="AH59" s="5">
        <v>2.4833333333333334</v>
      </c>
      <c r="AI59" s="6">
        <v>0.89932885906040272</v>
      </c>
      <c r="AJ59" s="7">
        <v>1.2416666666666667</v>
      </c>
      <c r="AK59" s="7">
        <v>1.2416666666666667</v>
      </c>
      <c r="AL59" s="8"/>
      <c r="AM59" s="51">
        <f>AH59*(1-AI59)</f>
        <v>0.24999999999999992</v>
      </c>
      <c r="AN59" s="50" t="str">
        <f>VLOOKUP($E59,'Capgemini PResence and HC'!$B$2:$G$143,4,0)</f>
        <v>N</v>
      </c>
      <c r="AO59" s="50">
        <f>VLOOKUP($E59,'Capgemini PResence and HC'!$B$2:$G$143,2,0)</f>
        <v>0</v>
      </c>
      <c r="AP59" s="50">
        <f>VLOOKUP($E59,'Capgemini PResence and HC'!$B$2:$G$143,3,0)</f>
        <v>0</v>
      </c>
      <c r="AQ59" s="50">
        <f>VLOOKUP($E59,'Capgemini PResence and HC'!$B$2:$G$143,6,0)</f>
        <v>0</v>
      </c>
      <c r="AR59" s="65"/>
      <c r="AS59" s="65"/>
      <c r="AT59" s="72" t="e">
        <f>#REF!*AT$151</f>
        <v>#REF!</v>
      </c>
      <c r="AU59" s="72" t="e">
        <f>#REF!*AU$151</f>
        <v>#REF!</v>
      </c>
      <c r="AV59" s="72" t="e">
        <f>#REF!*AV$151</f>
        <v>#REF!</v>
      </c>
      <c r="AW59" s="72" t="e">
        <f>#REF!*AW$151</f>
        <v>#REF!</v>
      </c>
      <c r="AX59" s="72" t="e">
        <f>#REF!*AX$151</f>
        <v>#REF!</v>
      </c>
      <c r="AY59" s="72" t="e">
        <f>#REF!*AY$151</f>
        <v>#REF!</v>
      </c>
      <c r="AZ59" s="72" t="e">
        <f>#REF!*AZ$151</f>
        <v>#REF!</v>
      </c>
      <c r="BA59" s="72" t="e">
        <f>#REF!*BA$151</f>
        <v>#REF!</v>
      </c>
      <c r="BB59" s="75">
        <f>SUM(AE59:AG59)-AH59</f>
        <v>0</v>
      </c>
    </row>
    <row r="60" spans="1:54" s="2" customFormat="1" ht="18.75" hidden="1" customHeight="1">
      <c r="A60" s="15" t="s">
        <v>20</v>
      </c>
      <c r="B60" s="15" t="s">
        <v>115</v>
      </c>
      <c r="C60" s="15"/>
      <c r="D60" s="15"/>
      <c r="E60" s="4">
        <v>9931</v>
      </c>
      <c r="F60" s="4" t="s">
        <v>328</v>
      </c>
      <c r="G60" s="4" t="s">
        <v>329</v>
      </c>
      <c r="H60" s="4" t="s">
        <v>330</v>
      </c>
      <c r="I60" s="4" t="s">
        <v>287</v>
      </c>
      <c r="J60" s="4" t="s">
        <v>273</v>
      </c>
      <c r="K60" s="4" t="s">
        <v>331</v>
      </c>
      <c r="L60" s="4" t="s">
        <v>121</v>
      </c>
      <c r="M60" s="4" t="s">
        <v>122</v>
      </c>
      <c r="N60" s="4" t="s">
        <v>123</v>
      </c>
      <c r="O60" s="4" t="s">
        <v>124</v>
      </c>
      <c r="P60" s="4" t="s">
        <v>125</v>
      </c>
      <c r="Q60" s="4" t="s">
        <v>126</v>
      </c>
      <c r="R60" s="4" t="s">
        <v>140</v>
      </c>
      <c r="S60" s="4" t="s">
        <v>115</v>
      </c>
      <c r="T60" s="4" t="s">
        <v>208</v>
      </c>
      <c r="U60" s="4" t="s">
        <v>128</v>
      </c>
      <c r="V60" s="4" t="s">
        <v>332</v>
      </c>
      <c r="W60" s="4" t="s">
        <v>143</v>
      </c>
      <c r="X60" s="4" t="s">
        <v>128</v>
      </c>
      <c r="Y60" s="4" t="s">
        <v>140</v>
      </c>
      <c r="Z60" s="4" t="s">
        <v>132</v>
      </c>
      <c r="AA60" s="4" t="s">
        <v>132</v>
      </c>
      <c r="AB60" s="4" t="s">
        <v>132</v>
      </c>
      <c r="AC60" s="4" t="s">
        <v>125</v>
      </c>
      <c r="AD60" s="4" t="s">
        <v>125</v>
      </c>
      <c r="AE60" s="5">
        <v>13</v>
      </c>
      <c r="AF60" s="5">
        <v>2.2749999999999999</v>
      </c>
      <c r="AG60" s="5">
        <v>0</v>
      </c>
      <c r="AH60" s="5">
        <v>15.275</v>
      </c>
      <c r="AI60" s="6">
        <v>0.91728849185496575</v>
      </c>
      <c r="AJ60" s="7">
        <v>7.6375000000000002</v>
      </c>
      <c r="AK60" s="7">
        <v>7.6375000000000002</v>
      </c>
      <c r="AL60" s="8"/>
      <c r="AM60" s="51">
        <f>AH60*(1-AI60)</f>
        <v>1.2634182869153983</v>
      </c>
      <c r="AN60" s="50" t="str">
        <f>VLOOKUP($E60,'Capgemini PResence and HC'!$B$2:$G$143,4,0)</f>
        <v>N</v>
      </c>
      <c r="AO60" s="50">
        <f>VLOOKUP($E60,'Capgemini PResence and HC'!$B$2:$G$143,2,0)</f>
        <v>0</v>
      </c>
      <c r="AP60" s="50">
        <f>VLOOKUP($E60,'Capgemini PResence and HC'!$B$2:$G$143,3,0)</f>
        <v>0</v>
      </c>
      <c r="AQ60" s="50">
        <f>VLOOKUP($E60,'Capgemini PResence and HC'!$B$2:$G$143,6,0)</f>
        <v>0</v>
      </c>
      <c r="AR60" s="68">
        <f>AE60-AS60</f>
        <v>11.736581713084602</v>
      </c>
      <c r="AS60" s="67">
        <f>AM60</f>
        <v>1.2634182869153983</v>
      </c>
      <c r="AT60" s="70">
        <f>$AR60*AT$151</f>
        <v>0.86480075780623378</v>
      </c>
      <c r="AU60" s="70">
        <f>$AR60*AU$151</f>
        <v>0.86480075780623378</v>
      </c>
      <c r="AV60" s="70">
        <f>$AR60*AV$151</f>
        <v>4.5710897198329494</v>
      </c>
      <c r="AW60" s="70">
        <f>$AR60*AW$151</f>
        <v>3.0885741350222631</v>
      </c>
      <c r="AX60" s="70">
        <f>$AR60*AX$151</f>
        <v>0.61771482700445268</v>
      </c>
      <c r="AY60" s="70">
        <f>$AR60*AY$151</f>
        <v>0.86480075780623378</v>
      </c>
      <c r="AZ60" s="70">
        <f>$AR60*AZ$151</f>
        <v>0.86480075780623378</v>
      </c>
      <c r="BA60" s="70">
        <f>$AS60*BA$151</f>
        <v>1.2634182869153983</v>
      </c>
      <c r="BB60" s="75">
        <f>SUM(AE60:AG60)-AH60</f>
        <v>0</v>
      </c>
    </row>
    <row r="61" spans="1:54" s="2" customFormat="1" ht="18.75" hidden="1" customHeight="1">
      <c r="A61" s="15" t="s">
        <v>20</v>
      </c>
      <c r="B61" s="15" t="s">
        <v>115</v>
      </c>
      <c r="C61" s="15"/>
      <c r="D61" s="15"/>
      <c r="E61" s="4">
        <v>11010</v>
      </c>
      <c r="F61" s="4" t="s">
        <v>333</v>
      </c>
      <c r="G61" s="4" t="s">
        <v>334</v>
      </c>
      <c r="H61" s="4" t="s">
        <v>335</v>
      </c>
      <c r="I61" s="4" t="s">
        <v>233</v>
      </c>
      <c r="J61" s="4" t="s">
        <v>119</v>
      </c>
      <c r="K61" s="4" t="s">
        <v>234</v>
      </c>
      <c r="L61" s="4" t="s">
        <v>121</v>
      </c>
      <c r="M61" s="4" t="s">
        <v>122</v>
      </c>
      <c r="N61" s="4" t="s">
        <v>123</v>
      </c>
      <c r="O61" s="4" t="s">
        <v>124</v>
      </c>
      <c r="P61" s="4" t="s">
        <v>125</v>
      </c>
      <c r="Q61" s="4" t="s">
        <v>159</v>
      </c>
      <c r="R61" s="4" t="s">
        <v>140</v>
      </c>
      <c r="S61" s="4" t="s">
        <v>115</v>
      </c>
      <c r="T61" s="4" t="s">
        <v>229</v>
      </c>
      <c r="U61" s="4" t="s">
        <v>128</v>
      </c>
      <c r="V61" s="4" t="s">
        <v>336</v>
      </c>
      <c r="W61" s="4" t="s">
        <v>143</v>
      </c>
      <c r="X61" s="4" t="s">
        <v>302</v>
      </c>
      <c r="Y61" s="4" t="s">
        <v>115</v>
      </c>
      <c r="Z61" s="4" t="s">
        <v>132</v>
      </c>
      <c r="AA61" s="4" t="s">
        <v>132</v>
      </c>
      <c r="AB61" s="4" t="s">
        <v>132</v>
      </c>
      <c r="AC61" s="14" t="s">
        <v>132</v>
      </c>
      <c r="AD61" s="4" t="s">
        <v>125</v>
      </c>
      <c r="AE61" s="5">
        <v>1.2583333333333331</v>
      </c>
      <c r="AF61" s="5">
        <v>2.9166666666666667E-2</v>
      </c>
      <c r="AG61" s="5">
        <v>0.5</v>
      </c>
      <c r="AH61" s="5">
        <v>1.7874999999999996</v>
      </c>
      <c r="AI61" s="6">
        <v>0.55710955710955723</v>
      </c>
      <c r="AJ61" s="7">
        <v>0.89374999999999982</v>
      </c>
      <c r="AK61" s="7">
        <v>0.89374999999999982</v>
      </c>
      <c r="AL61" s="8"/>
      <c r="AM61" s="51">
        <f>AH61*(1-AI61)</f>
        <v>0.7916666666666663</v>
      </c>
      <c r="AN61" s="50" t="str">
        <f>VLOOKUP($E61,'Capgemini PResence and HC'!$B$2:$G$143,4,0)</f>
        <v>N</v>
      </c>
      <c r="AO61" s="50">
        <f>VLOOKUP($E61,'Capgemini PResence and HC'!$B$2:$G$143,2,0)</f>
        <v>0</v>
      </c>
      <c r="AP61" s="50">
        <f>VLOOKUP($E61,'Capgemini PResence and HC'!$B$2:$G$143,3,0)</f>
        <v>0</v>
      </c>
      <c r="AQ61" s="50">
        <f>VLOOKUP($E61,'Capgemini PResence and HC'!$B$2:$G$143,6,0)</f>
        <v>0</v>
      </c>
      <c r="AR61" s="76">
        <f>AH61-AS61</f>
        <v>0.99583333333333335</v>
      </c>
      <c r="AS61" s="67">
        <f>AM61</f>
        <v>0.7916666666666663</v>
      </c>
      <c r="AT61" s="72" t="e">
        <f>#REF!*AT$151</f>
        <v>#REF!</v>
      </c>
      <c r="AU61" s="72" t="e">
        <f>#REF!*AU$151</f>
        <v>#REF!</v>
      </c>
      <c r="AV61" s="72" t="e">
        <f>#REF!*AV$151</f>
        <v>#REF!</v>
      </c>
      <c r="AW61" s="72" t="e">
        <f>#REF!*AW$151</f>
        <v>#REF!</v>
      </c>
      <c r="AX61" s="72" t="e">
        <f>#REF!*AX$151</f>
        <v>#REF!</v>
      </c>
      <c r="AY61" s="72" t="e">
        <f>#REF!*AY$151</f>
        <v>#REF!</v>
      </c>
      <c r="AZ61" s="72" t="e">
        <f>#REF!*AZ$151</f>
        <v>#REF!</v>
      </c>
      <c r="BA61" s="72" t="e">
        <f>#REF!*BA$151</f>
        <v>#REF!</v>
      </c>
      <c r="BB61" s="75">
        <f>SUM(AE61:AG61)-AH61</f>
        <v>0</v>
      </c>
    </row>
    <row r="62" spans="1:54" s="2" customFormat="1" ht="18.75" customHeight="1">
      <c r="A62" s="15" t="s">
        <v>20</v>
      </c>
      <c r="B62" s="15" t="s">
        <v>115</v>
      </c>
      <c r="C62" s="15"/>
      <c r="D62" s="15"/>
      <c r="E62" s="4">
        <v>12890</v>
      </c>
      <c r="F62" s="4" t="s">
        <v>337</v>
      </c>
      <c r="G62" s="4" t="s">
        <v>338</v>
      </c>
      <c r="H62" s="4" t="s">
        <v>339</v>
      </c>
      <c r="I62" s="4" t="s">
        <v>233</v>
      </c>
      <c r="J62" s="4" t="s">
        <v>119</v>
      </c>
      <c r="K62" s="4" t="s">
        <v>234</v>
      </c>
      <c r="L62" s="4" t="s">
        <v>121</v>
      </c>
      <c r="M62" s="4" t="s">
        <v>192</v>
      </c>
      <c r="N62" s="4" t="s">
        <v>123</v>
      </c>
      <c r="O62" s="4" t="s">
        <v>124</v>
      </c>
      <c r="P62" s="4" t="s">
        <v>132</v>
      </c>
      <c r="Q62" s="4" t="s">
        <v>139</v>
      </c>
      <c r="R62" s="4" t="s">
        <v>140</v>
      </c>
      <c r="S62" s="4" t="s">
        <v>115</v>
      </c>
      <c r="T62" s="4" t="s">
        <v>260</v>
      </c>
      <c r="U62" s="4" t="s">
        <v>128</v>
      </c>
      <c r="V62" s="4" t="s">
        <v>340</v>
      </c>
      <c r="W62" s="4" t="s">
        <v>143</v>
      </c>
      <c r="X62" s="4" t="s">
        <v>128</v>
      </c>
      <c r="Y62" s="4" t="s">
        <v>140</v>
      </c>
      <c r="Z62" s="4" t="s">
        <v>132</v>
      </c>
      <c r="AA62" s="4" t="s">
        <v>132</v>
      </c>
      <c r="AB62" s="4" t="s">
        <v>132</v>
      </c>
      <c r="AC62" s="4" t="s">
        <v>125</v>
      </c>
      <c r="AD62" s="4" t="s">
        <v>125</v>
      </c>
      <c r="AE62" s="5">
        <v>1.2346249999999999</v>
      </c>
      <c r="AF62" s="5">
        <v>6.25E-2</v>
      </c>
      <c r="AG62" s="5">
        <v>0</v>
      </c>
      <c r="AH62" s="5">
        <v>1.2971249999999999</v>
      </c>
      <c r="AI62" s="6">
        <v>0.85063120362339784</v>
      </c>
      <c r="AJ62" s="7">
        <v>0.64856249999999993</v>
      </c>
      <c r="AK62" s="7">
        <v>0.64856249999999993</v>
      </c>
      <c r="AL62" s="8"/>
      <c r="AM62" s="51">
        <f>AH62*(1-AI62)</f>
        <v>0.19375000000000006</v>
      </c>
      <c r="AN62" s="50" t="str">
        <f>VLOOKUP($E62,'Capgemini PResence and HC'!$B$2:$G$143,4,0)</f>
        <v>N</v>
      </c>
      <c r="AO62" s="50">
        <f>VLOOKUP($E62,'Capgemini PResence and HC'!$B$2:$G$143,2,0)</f>
        <v>0</v>
      </c>
      <c r="AP62" s="50">
        <f>VLOOKUP($E62,'Capgemini PResence and HC'!$B$2:$G$143,3,0)</f>
        <v>0</v>
      </c>
      <c r="AQ62" s="50">
        <f>VLOOKUP($E62,'Capgemini PResence and HC'!$B$2:$G$143,6,0)</f>
        <v>0</v>
      </c>
      <c r="AR62" s="76">
        <f>AH62-AS62</f>
        <v>1.1033749999999998</v>
      </c>
      <c r="AS62" s="67">
        <f>AM62</f>
        <v>0.19375000000000006</v>
      </c>
      <c r="AT62" s="72" t="e">
        <f>#REF!*AT$151</f>
        <v>#REF!</v>
      </c>
      <c r="AU62" s="72" t="e">
        <f>#REF!*AU$151</f>
        <v>#REF!</v>
      </c>
      <c r="AV62" s="72" t="e">
        <f>#REF!*AV$151</f>
        <v>#REF!</v>
      </c>
      <c r="AW62" s="72" t="e">
        <f>#REF!*AW$151</f>
        <v>#REF!</v>
      </c>
      <c r="AX62" s="72" t="e">
        <f>#REF!*AX$151</f>
        <v>#REF!</v>
      </c>
      <c r="AY62" s="72" t="e">
        <f>#REF!*AY$151</f>
        <v>#REF!</v>
      </c>
      <c r="AZ62" s="72" t="e">
        <f>#REF!*AZ$151</f>
        <v>#REF!</v>
      </c>
      <c r="BA62" s="72" t="e">
        <f>#REF!*BA$151</f>
        <v>#REF!</v>
      </c>
      <c r="BB62" s="75">
        <f>SUM(AE62:AG62)-AH62</f>
        <v>0</v>
      </c>
    </row>
    <row r="63" spans="1:54" s="2" customFormat="1" ht="18.75" hidden="1" customHeight="1">
      <c r="A63" s="15" t="s">
        <v>20</v>
      </c>
      <c r="B63" s="15" t="s">
        <v>115</v>
      </c>
      <c r="C63" s="15"/>
      <c r="D63" s="15"/>
      <c r="E63" s="4">
        <v>9947</v>
      </c>
      <c r="F63" s="4" t="s">
        <v>341</v>
      </c>
      <c r="G63" s="4" t="s">
        <v>342</v>
      </c>
      <c r="H63" s="4" t="s">
        <v>342</v>
      </c>
      <c r="I63" s="4" t="s">
        <v>206</v>
      </c>
      <c r="J63" s="4" t="s">
        <v>199</v>
      </c>
      <c r="K63" s="4" t="s">
        <v>207</v>
      </c>
      <c r="L63" s="4" t="s">
        <v>121</v>
      </c>
      <c r="M63" s="4" t="s">
        <v>122</v>
      </c>
      <c r="N63" s="4" t="s">
        <v>123</v>
      </c>
      <c r="O63" s="4" t="s">
        <v>124</v>
      </c>
      <c r="P63" s="4" t="s">
        <v>132</v>
      </c>
      <c r="Q63" s="4" t="s">
        <v>139</v>
      </c>
      <c r="R63" s="4" t="s">
        <v>140</v>
      </c>
      <c r="S63" s="4" t="s">
        <v>115</v>
      </c>
      <c r="T63" s="4" t="s">
        <v>260</v>
      </c>
      <c r="U63" s="4" t="s">
        <v>128</v>
      </c>
      <c r="V63" s="4" t="s">
        <v>236</v>
      </c>
      <c r="W63" s="4" t="s">
        <v>143</v>
      </c>
      <c r="X63" s="4" t="s">
        <v>128</v>
      </c>
      <c r="Y63" s="4" t="s">
        <v>140</v>
      </c>
      <c r="Z63" s="4" t="s">
        <v>132</v>
      </c>
      <c r="AA63" s="4" t="s">
        <v>132</v>
      </c>
      <c r="AB63" s="4" t="s">
        <v>132</v>
      </c>
      <c r="AC63" s="4" t="s">
        <v>125</v>
      </c>
      <c r="AD63" s="4" t="s">
        <v>125</v>
      </c>
      <c r="AE63" s="11">
        <v>9</v>
      </c>
      <c r="AF63" s="5">
        <v>1.1541666666666666</v>
      </c>
      <c r="AG63" s="5">
        <v>0</v>
      </c>
      <c r="AH63" s="5">
        <v>10</v>
      </c>
      <c r="AI63" s="6">
        <v>0.75904634544925254</v>
      </c>
      <c r="AJ63" s="7">
        <v>5</v>
      </c>
      <c r="AK63" s="7">
        <v>5</v>
      </c>
      <c r="AL63" s="8"/>
      <c r="AM63" s="51">
        <f>AH63*(1-AI63)</f>
        <v>2.4095365455074749</v>
      </c>
      <c r="AN63" s="50" t="str">
        <f>VLOOKUP($E63,'Capgemini PResence and HC'!$B$2:$G$143,4,0)</f>
        <v>Y</v>
      </c>
      <c r="AO63" s="50">
        <f>VLOOKUP($E63,'Capgemini PResence and HC'!$B$2:$G$143,2,0)</f>
        <v>0</v>
      </c>
      <c r="AP63" s="50">
        <f>VLOOKUP($E63,'Capgemini PResence and HC'!$B$2:$G$143,3,0)</f>
        <v>1</v>
      </c>
      <c r="AQ63" s="50">
        <f>VLOOKUP($E63,'Capgemini PResence and HC'!$B$2:$G$143,6,0)</f>
        <v>0</v>
      </c>
      <c r="AR63" s="65"/>
      <c r="AS63" s="65"/>
      <c r="AT63" s="72" t="e">
        <f>#REF!*AT$151</f>
        <v>#REF!</v>
      </c>
      <c r="AU63" s="72" t="e">
        <f>#REF!*AU$151</f>
        <v>#REF!</v>
      </c>
      <c r="AV63" s="72" t="e">
        <f>#REF!*AV$151</f>
        <v>#REF!</v>
      </c>
      <c r="AW63" s="72" t="e">
        <f>#REF!*AW$151</f>
        <v>#REF!</v>
      </c>
      <c r="AX63" s="72" t="e">
        <f>#REF!*AX$151</f>
        <v>#REF!</v>
      </c>
      <c r="AY63" s="72" t="e">
        <f>#REF!*AY$151</f>
        <v>#REF!</v>
      </c>
      <c r="AZ63" s="72" t="e">
        <f>#REF!*AZ$151</f>
        <v>#REF!</v>
      </c>
      <c r="BA63" s="72" t="e">
        <f>#REF!*BA$151</f>
        <v>#REF!</v>
      </c>
      <c r="BB63" s="75">
        <f>SUM(AE63:AG63)-AH63</f>
        <v>0.15416666666666679</v>
      </c>
    </row>
    <row r="64" spans="1:54" s="2" customFormat="1" ht="18.75" hidden="1" customHeight="1">
      <c r="A64" s="15" t="s">
        <v>25</v>
      </c>
      <c r="B64" s="15" t="s">
        <v>115</v>
      </c>
      <c r="C64" s="15"/>
      <c r="D64" s="15"/>
      <c r="E64" s="4">
        <v>9948</v>
      </c>
      <c r="F64" s="4" t="s">
        <v>29</v>
      </c>
      <c r="G64" s="4" t="s">
        <v>343</v>
      </c>
      <c r="H64" s="4" t="s">
        <v>344</v>
      </c>
      <c r="I64" s="4" t="s">
        <v>137</v>
      </c>
      <c r="J64" s="4" t="s">
        <v>119</v>
      </c>
      <c r="K64" s="4" t="s">
        <v>138</v>
      </c>
      <c r="L64" s="4" t="s">
        <v>121</v>
      </c>
      <c r="M64" s="4" t="s">
        <v>122</v>
      </c>
      <c r="N64" s="4" t="s">
        <v>123</v>
      </c>
      <c r="O64" s="4" t="s">
        <v>124</v>
      </c>
      <c r="P64" s="4" t="s">
        <v>132</v>
      </c>
      <c r="Q64" s="4" t="s">
        <v>126</v>
      </c>
      <c r="R64" s="4" t="s">
        <v>140</v>
      </c>
      <c r="S64" s="4" t="s">
        <v>115</v>
      </c>
      <c r="T64" s="4" t="s">
        <v>345</v>
      </c>
      <c r="U64" s="4" t="s">
        <v>128</v>
      </c>
      <c r="V64" s="4" t="s">
        <v>166</v>
      </c>
      <c r="W64" s="4" t="s">
        <v>143</v>
      </c>
      <c r="X64" s="4" t="s">
        <v>128</v>
      </c>
      <c r="Y64" s="4" t="s">
        <v>140</v>
      </c>
      <c r="Z64" s="4" t="s">
        <v>132</v>
      </c>
      <c r="AA64" s="4" t="s">
        <v>132</v>
      </c>
      <c r="AB64" s="4" t="s">
        <v>132</v>
      </c>
      <c r="AC64" s="4" t="s">
        <v>125</v>
      </c>
      <c r="AD64" s="4" t="s">
        <v>125</v>
      </c>
      <c r="AE64" s="5">
        <v>9.2697083333333321</v>
      </c>
      <c r="AF64" s="5">
        <v>2.8458333333333332</v>
      </c>
      <c r="AG64" s="5">
        <v>0</v>
      </c>
      <c r="AH64" s="5">
        <v>12.115541666666665</v>
      </c>
      <c r="AI64" s="6">
        <v>0.77129926093550627</v>
      </c>
      <c r="AJ64" s="7">
        <v>6.0577708333333327</v>
      </c>
      <c r="AK64" s="7">
        <v>6.0577708333333327</v>
      </c>
      <c r="AL64" s="8"/>
      <c r="AM64" s="51">
        <f>AH64*(1-AI64)</f>
        <v>2.7708333333333344</v>
      </c>
      <c r="AN64" s="50" t="str">
        <f>VLOOKUP($E64,'Capgemini PResence and HC'!$B$2:$G$143,4,0)</f>
        <v>N</v>
      </c>
      <c r="AO64" s="50">
        <f>VLOOKUP($E64,'Capgemini PResence and HC'!$B$2:$G$143,2,0)</f>
        <v>0</v>
      </c>
      <c r="AP64" s="50">
        <f>VLOOKUP($E64,'Capgemini PResence and HC'!$B$2:$G$143,3,0)</f>
        <v>0</v>
      </c>
      <c r="AQ64" s="50">
        <f>VLOOKUP($E64,'Capgemini PResence and HC'!$B$2:$G$143,6,0)</f>
        <v>0</v>
      </c>
      <c r="AR64" s="65"/>
      <c r="AS64" s="65"/>
      <c r="AT64" s="72" t="e">
        <f>#REF!*AT$151</f>
        <v>#REF!</v>
      </c>
      <c r="AU64" s="72" t="e">
        <f>#REF!*AU$151</f>
        <v>#REF!</v>
      </c>
      <c r="AV64" s="72" t="e">
        <f>#REF!*AV$151</f>
        <v>#REF!</v>
      </c>
      <c r="AW64" s="72" t="e">
        <f>#REF!*AW$151</f>
        <v>#REF!</v>
      </c>
      <c r="AX64" s="72" t="e">
        <f>#REF!*AX$151</f>
        <v>#REF!</v>
      </c>
      <c r="AY64" s="72" t="e">
        <f>#REF!*AY$151</f>
        <v>#REF!</v>
      </c>
      <c r="AZ64" s="72" t="e">
        <f>#REF!*AZ$151</f>
        <v>#REF!</v>
      </c>
      <c r="BA64" s="72" t="e">
        <f>#REF!*BA$151</f>
        <v>#REF!</v>
      </c>
      <c r="BB64" s="75">
        <f>SUM(AE64:AG64)-AH64</f>
        <v>0</v>
      </c>
    </row>
    <row r="65" spans="1:54" s="2" customFormat="1" ht="18.75" hidden="1" customHeight="1">
      <c r="A65" s="15" t="s">
        <v>20</v>
      </c>
      <c r="B65" s="15" t="s">
        <v>115</v>
      </c>
      <c r="C65" s="15"/>
      <c r="D65" s="15"/>
      <c r="E65" s="4">
        <v>9899</v>
      </c>
      <c r="F65" s="4" t="s">
        <v>346</v>
      </c>
      <c r="G65" s="4" t="s">
        <v>347</v>
      </c>
      <c r="H65" s="12" t="s">
        <v>348</v>
      </c>
      <c r="I65" s="4" t="s">
        <v>233</v>
      </c>
      <c r="J65" s="4" t="s">
        <v>119</v>
      </c>
      <c r="K65" s="4" t="s">
        <v>234</v>
      </c>
      <c r="L65" s="4" t="s">
        <v>121</v>
      </c>
      <c r="M65" s="4" t="s">
        <v>122</v>
      </c>
      <c r="N65" s="4" t="s">
        <v>123</v>
      </c>
      <c r="O65" s="4" t="s">
        <v>124</v>
      </c>
      <c r="P65" s="4" t="s">
        <v>125</v>
      </c>
      <c r="Q65" s="4" t="s">
        <v>126</v>
      </c>
      <c r="R65" s="4" t="s">
        <v>140</v>
      </c>
      <c r="S65" s="4" t="s">
        <v>115</v>
      </c>
      <c r="T65" s="4" t="s">
        <v>260</v>
      </c>
      <c r="U65" s="4" t="s">
        <v>128</v>
      </c>
      <c r="V65" s="4" t="s">
        <v>236</v>
      </c>
      <c r="W65" s="4" t="s">
        <v>143</v>
      </c>
      <c r="X65" s="4" t="s">
        <v>128</v>
      </c>
      <c r="Y65" s="4" t="s">
        <v>140</v>
      </c>
      <c r="Z65" s="4" t="s">
        <v>132</v>
      </c>
      <c r="AA65" s="4" t="s">
        <v>132</v>
      </c>
      <c r="AB65" s="4" t="s">
        <v>132</v>
      </c>
      <c r="AC65" s="4" t="s">
        <v>125</v>
      </c>
      <c r="AD65" s="4" t="s">
        <v>125</v>
      </c>
      <c r="AE65" s="5">
        <v>1.2041249999999999</v>
      </c>
      <c r="AF65" s="5">
        <v>0.52916666666666679</v>
      </c>
      <c r="AG65" s="5">
        <v>0</v>
      </c>
      <c r="AH65" s="5">
        <v>1.7332916666666667</v>
      </c>
      <c r="AI65" s="6">
        <v>0.82691891632010373</v>
      </c>
      <c r="AJ65" s="7">
        <v>0.86664583333333334</v>
      </c>
      <c r="AK65" s="7">
        <v>0.86664583333333334</v>
      </c>
      <c r="AL65" s="8"/>
      <c r="AM65" s="51">
        <f>AH65*(1-AI65)</f>
        <v>0.30000000000000021</v>
      </c>
      <c r="AN65" s="50" t="str">
        <f>VLOOKUP($E65,'Capgemini PResence and HC'!$B$2:$G$143,4,0)</f>
        <v>N</v>
      </c>
      <c r="AO65" s="50">
        <f>VLOOKUP($E65,'Capgemini PResence and HC'!$B$2:$G$143,2,0)</f>
        <v>0</v>
      </c>
      <c r="AP65" s="50">
        <f>VLOOKUP($E65,'Capgemini PResence and HC'!$B$2:$G$143,3,0)</f>
        <v>0</v>
      </c>
      <c r="AQ65" s="50">
        <f>VLOOKUP($E65,'Capgemini PResence and HC'!$B$2:$G$143,6,0)</f>
        <v>0</v>
      </c>
      <c r="AR65" s="76">
        <f>AH65-AS65</f>
        <v>1.4332916666666664</v>
      </c>
      <c r="AS65" s="67">
        <f>AM65</f>
        <v>0.30000000000000021</v>
      </c>
      <c r="AT65" s="72" t="e">
        <f>#REF!*AT$151</f>
        <v>#REF!</v>
      </c>
      <c r="AU65" s="72" t="e">
        <f>#REF!*AU$151</f>
        <v>#REF!</v>
      </c>
      <c r="AV65" s="72" t="e">
        <f>#REF!*AV$151</f>
        <v>#REF!</v>
      </c>
      <c r="AW65" s="72" t="e">
        <f>#REF!*AW$151</f>
        <v>#REF!</v>
      </c>
      <c r="AX65" s="72" t="e">
        <f>#REF!*AX$151</f>
        <v>#REF!</v>
      </c>
      <c r="AY65" s="72" t="e">
        <f>#REF!*AY$151</f>
        <v>#REF!</v>
      </c>
      <c r="AZ65" s="72" t="e">
        <f>#REF!*AZ$151</f>
        <v>#REF!</v>
      </c>
      <c r="BA65" s="72" t="e">
        <f>#REF!*BA$151</f>
        <v>#REF!</v>
      </c>
      <c r="BB65" s="75">
        <f>SUM(AE65:AG65)-AH65</f>
        <v>0</v>
      </c>
    </row>
    <row r="66" spans="1:54" ht="75.75" hidden="1" customHeight="1">
      <c r="A66" s="18" t="s">
        <v>21</v>
      </c>
      <c r="B66" s="18" t="s">
        <v>115</v>
      </c>
      <c r="C66" s="18" t="s">
        <v>115</v>
      </c>
      <c r="D66" s="20" t="s">
        <v>349</v>
      </c>
      <c r="E66" s="28">
        <v>9951</v>
      </c>
      <c r="F66" s="28" t="s">
        <v>350</v>
      </c>
      <c r="G66" s="28" t="s">
        <v>351</v>
      </c>
      <c r="H66" s="28" t="s">
        <v>352</v>
      </c>
      <c r="I66" s="28" t="s">
        <v>353</v>
      </c>
      <c r="J66" s="28" t="s">
        <v>354</v>
      </c>
      <c r="K66" s="28" t="s">
        <v>354</v>
      </c>
      <c r="L66" s="28" t="s">
        <v>121</v>
      </c>
      <c r="M66" s="28" t="s">
        <v>192</v>
      </c>
      <c r="N66" s="28" t="s">
        <v>123</v>
      </c>
      <c r="O66" s="28" t="s">
        <v>124</v>
      </c>
      <c r="P66" s="28" t="s">
        <v>125</v>
      </c>
      <c r="Q66" s="28" t="s">
        <v>139</v>
      </c>
      <c r="R66" s="28" t="s">
        <v>140</v>
      </c>
      <c r="S66" s="28" t="s">
        <v>115</v>
      </c>
      <c r="T66" s="28" t="s">
        <v>355</v>
      </c>
      <c r="U66" s="28" t="s">
        <v>128</v>
      </c>
      <c r="V66" s="28" t="s">
        <v>356</v>
      </c>
      <c r="W66" s="28" t="s">
        <v>143</v>
      </c>
      <c r="X66" s="28" t="s">
        <v>357</v>
      </c>
      <c r="Y66" s="28" t="s">
        <v>358</v>
      </c>
      <c r="Z66" s="28" t="s">
        <v>132</v>
      </c>
      <c r="AA66" s="28" t="s">
        <v>132</v>
      </c>
      <c r="AB66" s="28" t="s">
        <v>132</v>
      </c>
      <c r="AC66" s="28" t="s">
        <v>125</v>
      </c>
      <c r="AD66" s="28" t="s">
        <v>132</v>
      </c>
      <c r="AE66" s="29">
        <v>7</v>
      </c>
      <c r="AF66" s="29">
        <v>1</v>
      </c>
      <c r="AG66" s="29">
        <v>0</v>
      </c>
      <c r="AH66" s="29">
        <v>7.9270416666666641</v>
      </c>
      <c r="AI66" s="30">
        <v>0.77923668455550354</v>
      </c>
      <c r="AJ66" s="31">
        <v>3.963520833333332</v>
      </c>
      <c r="AK66" s="31">
        <v>3.963520833333332</v>
      </c>
      <c r="AL66" s="33" t="s">
        <v>359</v>
      </c>
      <c r="AM66" s="52">
        <f>AH66*(1-AI66)</f>
        <v>1.7499999999999998</v>
      </c>
      <c r="AN66" s="50" t="str">
        <f>VLOOKUP($E66,'Capgemini PResence and HC'!$B$2:$G$143,4,0)</f>
        <v>N</v>
      </c>
      <c r="AO66" s="50">
        <f>VLOOKUP($E66,'Capgemini PResence and HC'!$B$2:$G$143,2,0)</f>
        <v>0</v>
      </c>
      <c r="AP66" s="50">
        <f>VLOOKUP($E66,'Capgemini PResence and HC'!$B$2:$G$143,3,0)</f>
        <v>0</v>
      </c>
      <c r="AQ66" s="50">
        <f>VLOOKUP($E66,'Capgemini PResence and HC'!$B$2:$G$143,6,0)</f>
        <v>0</v>
      </c>
      <c r="AR66" s="65"/>
      <c r="AS66" s="65"/>
      <c r="AT66" s="72" t="e">
        <f>#REF!*AT$151</f>
        <v>#REF!</v>
      </c>
      <c r="AU66" s="72" t="e">
        <f>#REF!*AU$151</f>
        <v>#REF!</v>
      </c>
      <c r="AV66" s="72" t="e">
        <f>#REF!*AV$151</f>
        <v>#REF!</v>
      </c>
      <c r="AW66" s="72" t="e">
        <f>#REF!*AW$151</f>
        <v>#REF!</v>
      </c>
      <c r="AX66" s="72" t="e">
        <f>#REF!*AX$151</f>
        <v>#REF!</v>
      </c>
      <c r="AY66" s="72" t="e">
        <f>#REF!*AY$151</f>
        <v>#REF!</v>
      </c>
      <c r="AZ66" s="72" t="e">
        <f>#REF!*AZ$151</f>
        <v>#REF!</v>
      </c>
      <c r="BA66" s="72" t="e">
        <f>#REF!*BA$151</f>
        <v>#REF!</v>
      </c>
      <c r="BB66" s="75">
        <f>SUM(AE66:AG66)-AH66</f>
        <v>7.2958333333335901E-2</v>
      </c>
    </row>
    <row r="67" spans="1:54" s="2" customFormat="1" ht="18.75" hidden="1" customHeight="1">
      <c r="A67" s="15" t="s">
        <v>22</v>
      </c>
      <c r="B67" s="15" t="s">
        <v>115</v>
      </c>
      <c r="C67" s="15"/>
      <c r="D67" s="15"/>
      <c r="E67" s="4">
        <v>9962</v>
      </c>
      <c r="F67" s="4" t="s">
        <v>360</v>
      </c>
      <c r="G67" s="4" t="s">
        <v>361</v>
      </c>
      <c r="H67" s="4" t="s">
        <v>361</v>
      </c>
      <c r="I67" s="4" t="s">
        <v>272</v>
      </c>
      <c r="J67" s="4" t="s">
        <v>273</v>
      </c>
      <c r="K67" s="4" t="s">
        <v>362</v>
      </c>
      <c r="L67" s="4" t="s">
        <v>121</v>
      </c>
      <c r="M67" s="4" t="s">
        <v>122</v>
      </c>
      <c r="N67" s="4" t="s">
        <v>123</v>
      </c>
      <c r="O67" s="4" t="s">
        <v>124</v>
      </c>
      <c r="P67" s="4" t="s">
        <v>125</v>
      </c>
      <c r="Q67" s="4" t="s">
        <v>126</v>
      </c>
      <c r="R67" s="4" t="s">
        <v>140</v>
      </c>
      <c r="S67" s="4" t="s">
        <v>115</v>
      </c>
      <c r="T67" s="4" t="s">
        <v>260</v>
      </c>
      <c r="U67" s="4" t="s">
        <v>128</v>
      </c>
      <c r="V67" s="4" t="s">
        <v>363</v>
      </c>
      <c r="W67" s="4" t="s">
        <v>143</v>
      </c>
      <c r="X67" s="4" t="s">
        <v>302</v>
      </c>
      <c r="Y67" s="4" t="s">
        <v>115</v>
      </c>
      <c r="Z67" s="4" t="s">
        <v>132</v>
      </c>
      <c r="AA67" s="4" t="s">
        <v>132</v>
      </c>
      <c r="AB67" s="4" t="s">
        <v>132</v>
      </c>
      <c r="AC67" s="4" t="s">
        <v>125</v>
      </c>
      <c r="AD67" s="4" t="s">
        <v>125</v>
      </c>
      <c r="AE67" s="5">
        <v>8.9216666666666686</v>
      </c>
      <c r="AF67" s="5">
        <v>2.4104166666666669</v>
      </c>
      <c r="AG67" s="5">
        <v>1.5199999999999998</v>
      </c>
      <c r="AH67" s="5">
        <v>12.852083333333335</v>
      </c>
      <c r="AI67" s="6">
        <v>0.82739503971470241</v>
      </c>
      <c r="AJ67" s="7">
        <v>6.4260416666666673</v>
      </c>
      <c r="AK67" s="7">
        <v>6.4260416666666673</v>
      </c>
      <c r="AL67" s="8"/>
      <c r="AM67" s="51">
        <f>AH67*(1-AI67)</f>
        <v>2.2183333333333355</v>
      </c>
      <c r="AN67" s="50" t="str">
        <f>VLOOKUP($E67,'Capgemini PResence and HC'!$B$2:$G$143,4,0)</f>
        <v>N</v>
      </c>
      <c r="AO67" s="50">
        <f>VLOOKUP($E67,'Capgemini PResence and HC'!$B$2:$G$143,2,0)</f>
        <v>0</v>
      </c>
      <c r="AP67" s="50">
        <f>VLOOKUP($E67,'Capgemini PResence and HC'!$B$2:$G$143,3,0)</f>
        <v>0</v>
      </c>
      <c r="AQ67" s="50">
        <f>VLOOKUP($E67,'Capgemini PResence and HC'!$B$2:$G$143,6,0)</f>
        <v>0</v>
      </c>
      <c r="AR67" s="65"/>
      <c r="AS67" s="65"/>
      <c r="AT67" s="72" t="e">
        <f>#REF!*AT$151</f>
        <v>#REF!</v>
      </c>
      <c r="AU67" s="72" t="e">
        <f>#REF!*AU$151</f>
        <v>#REF!</v>
      </c>
      <c r="AV67" s="72" t="e">
        <f>#REF!*AV$151</f>
        <v>#REF!</v>
      </c>
      <c r="AW67" s="72" t="e">
        <f>#REF!*AW$151</f>
        <v>#REF!</v>
      </c>
      <c r="AX67" s="72" t="e">
        <f>#REF!*AX$151</f>
        <v>#REF!</v>
      </c>
      <c r="AY67" s="72" t="e">
        <f>#REF!*AY$151</f>
        <v>#REF!</v>
      </c>
      <c r="AZ67" s="72" t="e">
        <f>#REF!*AZ$151</f>
        <v>#REF!</v>
      </c>
      <c r="BA67" s="72" t="e">
        <f>#REF!*BA$151</f>
        <v>#REF!</v>
      </c>
      <c r="BB67" s="75">
        <f>SUM(AE67:AG67)-AH67</f>
        <v>0</v>
      </c>
    </row>
    <row r="68" spans="1:54" s="2" customFormat="1" ht="18.75" hidden="1" customHeight="1">
      <c r="A68" s="15" t="s">
        <v>20</v>
      </c>
      <c r="B68" s="15" t="s">
        <v>115</v>
      </c>
      <c r="C68" s="15"/>
      <c r="D68" s="15"/>
      <c r="E68" s="4">
        <v>9896</v>
      </c>
      <c r="F68" s="4" t="s">
        <v>364</v>
      </c>
      <c r="G68" s="4" t="s">
        <v>365</v>
      </c>
      <c r="H68" s="4" t="s">
        <v>366</v>
      </c>
      <c r="I68" s="4" t="s">
        <v>233</v>
      </c>
      <c r="J68" s="4" t="s">
        <v>119</v>
      </c>
      <c r="K68" s="4" t="s">
        <v>234</v>
      </c>
      <c r="L68" s="4" t="s">
        <v>121</v>
      </c>
      <c r="M68" s="4" t="s">
        <v>122</v>
      </c>
      <c r="N68" s="4" t="s">
        <v>123</v>
      </c>
      <c r="O68" s="4" t="s">
        <v>124</v>
      </c>
      <c r="P68" s="4" t="s">
        <v>125</v>
      </c>
      <c r="Q68" s="4" t="s">
        <v>126</v>
      </c>
      <c r="R68" s="4" t="s">
        <v>140</v>
      </c>
      <c r="S68" s="4" t="s">
        <v>115</v>
      </c>
      <c r="T68" s="4" t="s">
        <v>229</v>
      </c>
      <c r="U68" s="4" t="s">
        <v>128</v>
      </c>
      <c r="V68" s="4" t="s">
        <v>236</v>
      </c>
      <c r="W68" s="4" t="s">
        <v>143</v>
      </c>
      <c r="X68" s="4" t="s">
        <v>128</v>
      </c>
      <c r="Y68" s="4" t="s">
        <v>140</v>
      </c>
      <c r="Z68" s="4" t="s">
        <v>132</v>
      </c>
      <c r="AA68" s="4" t="s">
        <v>132</v>
      </c>
      <c r="AB68" s="4" t="s">
        <v>132</v>
      </c>
      <c r="AC68" s="4" t="s">
        <v>125</v>
      </c>
      <c r="AD68" s="4" t="s">
        <v>125</v>
      </c>
      <c r="AE68" s="5">
        <v>1.091375</v>
      </c>
      <c r="AF68" s="5">
        <v>0.105</v>
      </c>
      <c r="AG68" s="5">
        <v>0</v>
      </c>
      <c r="AH68" s="5">
        <v>1.196375</v>
      </c>
      <c r="AI68" s="6">
        <v>0.98955177097481983</v>
      </c>
      <c r="AJ68" s="7">
        <v>0.59818749999999998</v>
      </c>
      <c r="AK68" s="7">
        <v>0.59818749999999998</v>
      </c>
      <c r="AL68" s="8"/>
      <c r="AM68" s="51">
        <f>AH68*(1-AI68)</f>
        <v>1.2499999999999921E-2</v>
      </c>
      <c r="AN68" s="50" t="str">
        <f>VLOOKUP($E68,'Capgemini PResence and HC'!$B$2:$G$143,4,0)</f>
        <v>N</v>
      </c>
      <c r="AO68" s="50">
        <f>VLOOKUP($E68,'Capgemini PResence and HC'!$B$2:$G$143,2,0)</f>
        <v>0</v>
      </c>
      <c r="AP68" s="50">
        <f>VLOOKUP($E68,'Capgemini PResence and HC'!$B$2:$G$143,3,0)</f>
        <v>0</v>
      </c>
      <c r="AQ68" s="50">
        <f>VLOOKUP($E68,'Capgemini PResence and HC'!$B$2:$G$143,6,0)</f>
        <v>0</v>
      </c>
      <c r="AR68" s="76">
        <f>AH68-AS68</f>
        <v>1.183875</v>
      </c>
      <c r="AS68" s="67">
        <f>AM68</f>
        <v>1.2499999999999921E-2</v>
      </c>
      <c r="AT68" s="72" t="e">
        <f>#REF!*AT$151</f>
        <v>#REF!</v>
      </c>
      <c r="AU68" s="72" t="e">
        <f>#REF!*AU$151</f>
        <v>#REF!</v>
      </c>
      <c r="AV68" s="72" t="e">
        <f>#REF!*AV$151</f>
        <v>#REF!</v>
      </c>
      <c r="AW68" s="72" t="e">
        <f>#REF!*AW$151</f>
        <v>#REF!</v>
      </c>
      <c r="AX68" s="72" t="e">
        <f>#REF!*AX$151</f>
        <v>#REF!</v>
      </c>
      <c r="AY68" s="72" t="e">
        <f>#REF!*AY$151</f>
        <v>#REF!</v>
      </c>
      <c r="AZ68" s="72" t="e">
        <f>#REF!*AZ$151</f>
        <v>#REF!</v>
      </c>
      <c r="BA68" s="72" t="e">
        <f>#REF!*BA$151</f>
        <v>#REF!</v>
      </c>
      <c r="BB68" s="75">
        <f>SUM(AE68:AG68)-AH68</f>
        <v>0</v>
      </c>
    </row>
    <row r="69" spans="1:54" s="2" customFormat="1" ht="18.75" hidden="1" customHeight="1">
      <c r="A69" s="15" t="s">
        <v>20</v>
      </c>
      <c r="B69" s="15" t="s">
        <v>115</v>
      </c>
      <c r="C69" s="15"/>
      <c r="D69" s="15"/>
      <c r="E69" s="4">
        <v>9941</v>
      </c>
      <c r="F69" s="4" t="s">
        <v>367</v>
      </c>
      <c r="G69" s="4" t="s">
        <v>368</v>
      </c>
      <c r="H69" s="4" t="s">
        <v>369</v>
      </c>
      <c r="I69" s="4" t="s">
        <v>233</v>
      </c>
      <c r="J69" s="4" t="s">
        <v>119</v>
      </c>
      <c r="K69" s="4" t="s">
        <v>234</v>
      </c>
      <c r="L69" s="4" t="s">
        <v>370</v>
      </c>
      <c r="M69" s="4" t="s">
        <v>122</v>
      </c>
      <c r="N69" s="4" t="s">
        <v>123</v>
      </c>
      <c r="O69" s="4" t="s">
        <v>124</v>
      </c>
      <c r="P69" s="4" t="s">
        <v>125</v>
      </c>
      <c r="Q69" s="4" t="s">
        <v>126</v>
      </c>
      <c r="R69" s="4" t="s">
        <v>140</v>
      </c>
      <c r="S69" s="4" t="s">
        <v>115</v>
      </c>
      <c r="T69" s="4" t="s">
        <v>260</v>
      </c>
      <c r="U69" s="4" t="s">
        <v>128</v>
      </c>
      <c r="V69" s="4" t="s">
        <v>236</v>
      </c>
      <c r="W69" s="4" t="s">
        <v>143</v>
      </c>
      <c r="X69" s="4" t="s">
        <v>131</v>
      </c>
      <c r="Y69" s="4" t="s">
        <v>115</v>
      </c>
      <c r="Z69" s="4" t="s">
        <v>132</v>
      </c>
      <c r="AA69" s="4" t="s">
        <v>132</v>
      </c>
      <c r="AB69" s="4" t="s">
        <v>132</v>
      </c>
      <c r="AC69" s="4" t="s">
        <v>125</v>
      </c>
      <c r="AD69" s="4" t="s">
        <v>125</v>
      </c>
      <c r="AE69" s="5">
        <v>0.92916458333333329</v>
      </c>
      <c r="AF69" s="5">
        <v>8.7499999999999994E-2</v>
      </c>
      <c r="AG69" s="5">
        <v>0</v>
      </c>
      <c r="AH69" s="5">
        <v>1.0166645833333332</v>
      </c>
      <c r="AI69" s="6">
        <v>0.41311355146219564</v>
      </c>
      <c r="AJ69" s="7">
        <v>0.5083322916666666</v>
      </c>
      <c r="AK69" s="7">
        <v>0.5083322916666666</v>
      </c>
      <c r="AL69" s="8"/>
      <c r="AM69" s="51">
        <f>AH69*(1-AI69)</f>
        <v>0.59666666666666657</v>
      </c>
      <c r="AN69" s="50" t="str">
        <f>VLOOKUP($E69,'Capgemini PResence and HC'!$B$2:$G$143,4,0)</f>
        <v>N</v>
      </c>
      <c r="AO69" s="50">
        <f>VLOOKUP($E69,'Capgemini PResence and HC'!$B$2:$G$143,2,0)</f>
        <v>0</v>
      </c>
      <c r="AP69" s="50">
        <f>VLOOKUP($E69,'Capgemini PResence and HC'!$B$2:$G$143,3,0)</f>
        <v>0</v>
      </c>
      <c r="AQ69" s="50">
        <f>VLOOKUP($E69,'Capgemini PResence and HC'!$B$2:$G$143,6,0)</f>
        <v>0</v>
      </c>
      <c r="AR69" s="76">
        <f>AH69-AS69</f>
        <v>0.41999791666666664</v>
      </c>
      <c r="AS69" s="67">
        <f>AM69</f>
        <v>0.59666666666666657</v>
      </c>
      <c r="AT69" s="72" t="e">
        <f>#REF!*AT$151</f>
        <v>#REF!</v>
      </c>
      <c r="AU69" s="72" t="e">
        <f>#REF!*AU$151</f>
        <v>#REF!</v>
      </c>
      <c r="AV69" s="72" t="e">
        <f>#REF!*AV$151</f>
        <v>#REF!</v>
      </c>
      <c r="AW69" s="72" t="e">
        <f>#REF!*AW$151</f>
        <v>#REF!</v>
      </c>
      <c r="AX69" s="72" t="e">
        <f>#REF!*AX$151</f>
        <v>#REF!</v>
      </c>
      <c r="AY69" s="72" t="e">
        <f>#REF!*AY$151</f>
        <v>#REF!</v>
      </c>
      <c r="AZ69" s="72" t="e">
        <f>#REF!*AZ$151</f>
        <v>#REF!</v>
      </c>
      <c r="BA69" s="72" t="e">
        <f>#REF!*BA$151</f>
        <v>#REF!</v>
      </c>
      <c r="BB69" s="75">
        <f>SUM(AE69:AG69)-AH69</f>
        <v>0</v>
      </c>
    </row>
    <row r="70" spans="1:54" s="2" customFormat="1" ht="18.75" customHeight="1">
      <c r="A70" s="15" t="s">
        <v>20</v>
      </c>
      <c r="B70" s="15" t="s">
        <v>115</v>
      </c>
      <c r="C70" s="15"/>
      <c r="D70" s="15"/>
      <c r="E70" s="4">
        <v>9844</v>
      </c>
      <c r="F70" s="4" t="s">
        <v>371</v>
      </c>
      <c r="G70" s="4" t="s">
        <v>372</v>
      </c>
      <c r="H70" s="4" t="s">
        <v>373</v>
      </c>
      <c r="I70" s="4" t="s">
        <v>9</v>
      </c>
      <c r="J70" s="4" t="s">
        <v>119</v>
      </c>
      <c r="K70" s="4" t="s">
        <v>234</v>
      </c>
      <c r="L70" s="4" t="s">
        <v>121</v>
      </c>
      <c r="M70" s="4" t="s">
        <v>122</v>
      </c>
      <c r="N70" s="4" t="s">
        <v>123</v>
      </c>
      <c r="O70" s="4" t="s">
        <v>124</v>
      </c>
      <c r="P70" s="4" t="s">
        <v>132</v>
      </c>
      <c r="Q70" s="4" t="s">
        <v>139</v>
      </c>
      <c r="R70" s="4" t="s">
        <v>140</v>
      </c>
      <c r="S70" s="4" t="s">
        <v>115</v>
      </c>
      <c r="T70" s="4" t="s">
        <v>208</v>
      </c>
      <c r="U70" s="4" t="s">
        <v>128</v>
      </c>
      <c r="V70" s="4" t="s">
        <v>209</v>
      </c>
      <c r="W70" s="4" t="s">
        <v>143</v>
      </c>
      <c r="X70" s="4" t="s">
        <v>128</v>
      </c>
      <c r="Y70" s="4" t="s">
        <v>140</v>
      </c>
      <c r="Z70" s="4" t="s">
        <v>132</v>
      </c>
      <c r="AA70" s="4" t="s">
        <v>132</v>
      </c>
      <c r="AB70" s="4" t="s">
        <v>132</v>
      </c>
      <c r="AC70" s="4" t="s">
        <v>125</v>
      </c>
      <c r="AD70" s="4" t="s">
        <v>125</v>
      </c>
      <c r="AE70" s="5">
        <v>0.67083333333333339</v>
      </c>
      <c r="AF70" s="5">
        <v>0.68333333333333324</v>
      </c>
      <c r="AG70" s="5">
        <v>0</v>
      </c>
      <c r="AH70" s="5">
        <v>1.3541666666666665</v>
      </c>
      <c r="AI70" s="6">
        <v>0.36923076923076931</v>
      </c>
      <c r="AJ70" s="7">
        <v>0.67708333333333326</v>
      </c>
      <c r="AK70" s="7">
        <v>0.67708333333333326</v>
      </c>
      <c r="AL70" s="8"/>
      <c r="AM70" s="51">
        <f>AH70*(1-AI70)</f>
        <v>0.85416666666666652</v>
      </c>
      <c r="AN70" s="50" t="str">
        <f>VLOOKUP($E70,'Capgemini PResence and HC'!$B$2:$G$143,4,0)</f>
        <v>N</v>
      </c>
      <c r="AO70" s="50">
        <f>VLOOKUP($E70,'Capgemini PResence and HC'!$B$2:$G$143,2,0)</f>
        <v>0</v>
      </c>
      <c r="AP70" s="50">
        <f>VLOOKUP($E70,'Capgemini PResence and HC'!$B$2:$G$143,3,0)</f>
        <v>0</v>
      </c>
      <c r="AQ70" s="50">
        <f>VLOOKUP($E70,'Capgemini PResence and HC'!$B$2:$G$143,6,0)</f>
        <v>0</v>
      </c>
      <c r="AR70" s="76">
        <f>AH70-AS70</f>
        <v>0.5</v>
      </c>
      <c r="AS70" s="67">
        <f>AM70</f>
        <v>0.85416666666666652</v>
      </c>
      <c r="BB70" s="75">
        <f>SUM(AE70:AG70)-AH70</f>
        <v>0</v>
      </c>
    </row>
    <row r="71" spans="1:54" s="2" customFormat="1" ht="18.75" hidden="1" customHeight="1">
      <c r="A71" s="15" t="s">
        <v>20</v>
      </c>
      <c r="B71" s="15" t="s">
        <v>115</v>
      </c>
      <c r="C71" s="15"/>
      <c r="D71" s="15"/>
      <c r="E71" s="4">
        <v>9975</v>
      </c>
      <c r="F71" s="4" t="s">
        <v>374</v>
      </c>
      <c r="G71" s="4" t="s">
        <v>375</v>
      </c>
      <c r="H71" s="10" t="s">
        <v>376</v>
      </c>
      <c r="I71" s="4" t="s">
        <v>227</v>
      </c>
      <c r="J71" s="4" t="s">
        <v>199</v>
      </c>
      <c r="K71" s="4" t="s">
        <v>228</v>
      </c>
      <c r="L71" s="4" t="s">
        <v>121</v>
      </c>
      <c r="M71" s="4" t="s">
        <v>122</v>
      </c>
      <c r="N71" s="4" t="s">
        <v>123</v>
      </c>
      <c r="O71" s="4" t="s">
        <v>124</v>
      </c>
      <c r="P71" s="4" t="s">
        <v>125</v>
      </c>
      <c r="Q71" s="4" t="s">
        <v>139</v>
      </c>
      <c r="R71" s="4" t="s">
        <v>140</v>
      </c>
      <c r="S71" s="4" t="s">
        <v>115</v>
      </c>
      <c r="T71" s="4" t="s">
        <v>229</v>
      </c>
      <c r="U71" s="4" t="s">
        <v>128</v>
      </c>
      <c r="V71" s="4" t="s">
        <v>236</v>
      </c>
      <c r="W71" s="4" t="s">
        <v>143</v>
      </c>
      <c r="X71" s="4" t="s">
        <v>128</v>
      </c>
      <c r="Y71" s="4" t="s">
        <v>140</v>
      </c>
      <c r="Z71" s="4" t="s">
        <v>132</v>
      </c>
      <c r="AA71" s="4" t="s">
        <v>132</v>
      </c>
      <c r="AB71" s="4" t="s">
        <v>132</v>
      </c>
      <c r="AC71" s="4" t="s">
        <v>125</v>
      </c>
      <c r="AD71" s="4" t="s">
        <v>125</v>
      </c>
      <c r="AE71" s="5">
        <v>1.1116666666666668</v>
      </c>
      <c r="AF71" s="5">
        <v>0</v>
      </c>
      <c r="AG71" s="5">
        <v>0</v>
      </c>
      <c r="AH71" s="5">
        <v>1.1116666666666668</v>
      </c>
      <c r="AI71" s="6">
        <v>0.5850824587706146</v>
      </c>
      <c r="AJ71" s="7">
        <v>0.5558333333333334</v>
      </c>
      <c r="AK71" s="7">
        <v>0.5558333333333334</v>
      </c>
      <c r="AL71" s="8"/>
      <c r="AM71" s="51">
        <f>AH71*(1-AI71)</f>
        <v>0.46125000000000016</v>
      </c>
      <c r="AN71" s="50" t="str">
        <f>VLOOKUP($E71,'Capgemini PResence and HC'!$B$2:$G$143,4,0)</f>
        <v>N</v>
      </c>
      <c r="AO71" s="50">
        <f>VLOOKUP($E71,'Capgemini PResence and HC'!$B$2:$G$143,2,0)</f>
        <v>0</v>
      </c>
      <c r="AP71" s="50">
        <f>VLOOKUP($E71,'Capgemini PResence and HC'!$B$2:$G$143,3,0)</f>
        <v>0</v>
      </c>
      <c r="AQ71" s="50">
        <f>VLOOKUP($E71,'Capgemini PResence and HC'!$B$2:$G$143,6,0)</f>
        <v>0</v>
      </c>
      <c r="AR71" s="65"/>
      <c r="AS71" s="65"/>
      <c r="AT71" s="72" t="e">
        <f>#REF!*AT$151</f>
        <v>#REF!</v>
      </c>
      <c r="AU71" s="72" t="e">
        <f>#REF!*AU$151</f>
        <v>#REF!</v>
      </c>
      <c r="AV71" s="72" t="e">
        <f>#REF!*AV$151</f>
        <v>#REF!</v>
      </c>
      <c r="AW71" s="72" t="e">
        <f>#REF!*AW$151</f>
        <v>#REF!</v>
      </c>
      <c r="AX71" s="72" t="e">
        <f>#REF!*AX$151</f>
        <v>#REF!</v>
      </c>
      <c r="AY71" s="72" t="e">
        <f>#REF!*AY$151</f>
        <v>#REF!</v>
      </c>
      <c r="AZ71" s="72" t="e">
        <f>#REF!*AZ$151</f>
        <v>#REF!</v>
      </c>
      <c r="BA71" s="72" t="e">
        <f>#REF!*BA$151</f>
        <v>#REF!</v>
      </c>
      <c r="BB71" s="75">
        <f>SUM(AE71:AG71)-AH71</f>
        <v>0</v>
      </c>
    </row>
    <row r="72" spans="1:54" s="2" customFormat="1" ht="18.75" hidden="1" customHeight="1">
      <c r="A72" s="15" t="s">
        <v>20</v>
      </c>
      <c r="B72" s="15" t="s">
        <v>115</v>
      </c>
      <c r="C72" s="15"/>
      <c r="D72" s="15"/>
      <c r="E72" s="4">
        <v>9977</v>
      </c>
      <c r="F72" s="4" t="s">
        <v>377</v>
      </c>
      <c r="G72" s="4" t="s">
        <v>378</v>
      </c>
      <c r="H72" s="4" t="s">
        <v>378</v>
      </c>
      <c r="I72" s="4" t="s">
        <v>287</v>
      </c>
      <c r="J72" s="4" t="s">
        <v>273</v>
      </c>
      <c r="K72" s="4" t="s">
        <v>288</v>
      </c>
      <c r="L72" s="4" t="s">
        <v>121</v>
      </c>
      <c r="M72" s="4" t="s">
        <v>122</v>
      </c>
      <c r="N72" s="4" t="s">
        <v>123</v>
      </c>
      <c r="O72" s="4" t="s">
        <v>124</v>
      </c>
      <c r="P72" s="4" t="s">
        <v>125</v>
      </c>
      <c r="Q72" s="4" t="s">
        <v>126</v>
      </c>
      <c r="R72" s="4" t="s">
        <v>140</v>
      </c>
      <c r="S72" s="4" t="s">
        <v>115</v>
      </c>
      <c r="T72" s="4" t="s">
        <v>260</v>
      </c>
      <c r="U72" s="4" t="s">
        <v>128</v>
      </c>
      <c r="V72" s="4" t="s">
        <v>236</v>
      </c>
      <c r="W72" s="4" t="s">
        <v>143</v>
      </c>
      <c r="X72" s="4" t="s">
        <v>128</v>
      </c>
      <c r="Y72" s="4" t="s">
        <v>140</v>
      </c>
      <c r="Z72" s="4" t="s">
        <v>132</v>
      </c>
      <c r="AA72" s="4" t="s">
        <v>132</v>
      </c>
      <c r="AB72" s="4" t="s">
        <v>132</v>
      </c>
      <c r="AC72" s="4" t="s">
        <v>125</v>
      </c>
      <c r="AD72" s="4" t="s">
        <v>125</v>
      </c>
      <c r="AE72" s="5">
        <v>1</v>
      </c>
      <c r="AF72" s="5">
        <v>1</v>
      </c>
      <c r="AG72" s="5">
        <v>0</v>
      </c>
      <c r="AH72" s="5">
        <v>0.45791666666666669</v>
      </c>
      <c r="AI72" s="6">
        <v>0</v>
      </c>
      <c r="AJ72" s="7">
        <v>0.22895833333333335</v>
      </c>
      <c r="AK72" s="7">
        <v>0.22895833333333335</v>
      </c>
      <c r="AL72" s="8"/>
      <c r="AM72" s="51">
        <f>AH72*(1-AI72)</f>
        <v>0.45791666666666669</v>
      </c>
      <c r="AN72" s="50" t="str">
        <f>VLOOKUP($E72,'Capgemini PResence and HC'!$B$2:$G$143,4,0)</f>
        <v>N</v>
      </c>
      <c r="AO72" s="50">
        <f>VLOOKUP($E72,'Capgemini PResence and HC'!$B$2:$G$143,2,0)</f>
        <v>0</v>
      </c>
      <c r="AP72" s="50">
        <f>VLOOKUP($E72,'Capgemini PResence and HC'!$B$2:$G$143,3,0)</f>
        <v>0</v>
      </c>
      <c r="AQ72" s="50">
        <f>VLOOKUP($E72,'Capgemini PResence and HC'!$B$2:$G$143,6,0)</f>
        <v>0</v>
      </c>
      <c r="AR72" s="68">
        <f>AE72-AS72</f>
        <v>0.54208333333333325</v>
      </c>
      <c r="AS72" s="67">
        <f>AM72</f>
        <v>0.45791666666666669</v>
      </c>
      <c r="AT72" s="70">
        <f>$AR72*AT$151</f>
        <v>3.9942982456140343E-2</v>
      </c>
      <c r="AU72" s="70">
        <f>$AR72*AU$151</f>
        <v>3.9942982456140343E-2</v>
      </c>
      <c r="AV72" s="70">
        <f>$AR72*AV$151</f>
        <v>0.21112719298245608</v>
      </c>
      <c r="AW72" s="70">
        <f>$AR72*AW$151</f>
        <v>0.14265350877192975</v>
      </c>
      <c r="AX72" s="70">
        <f>$AR72*AX$151</f>
        <v>2.8530701754385955E-2</v>
      </c>
      <c r="AY72" s="70">
        <f>$AR72*AY$151</f>
        <v>3.9942982456140343E-2</v>
      </c>
      <c r="AZ72" s="70">
        <f>$AR72*AZ$151</f>
        <v>3.9942982456140343E-2</v>
      </c>
      <c r="BA72" s="70">
        <f>$AS72*BA$151</f>
        <v>0.45791666666666669</v>
      </c>
      <c r="BB72" s="75">
        <f>SUM(AE72:AG72)-AH72</f>
        <v>1.5420833333333333</v>
      </c>
    </row>
    <row r="73" spans="1:54" s="2" customFormat="1" ht="18.75" hidden="1" customHeight="1">
      <c r="A73" s="15" t="s">
        <v>25</v>
      </c>
      <c r="B73" s="15" t="s">
        <v>115</v>
      </c>
      <c r="C73" s="15"/>
      <c r="D73" s="15"/>
      <c r="E73" s="4">
        <v>9980</v>
      </c>
      <c r="F73" s="4" t="s">
        <v>47</v>
      </c>
      <c r="G73" s="4" t="s">
        <v>379</v>
      </c>
      <c r="H73" s="4" t="s">
        <v>380</v>
      </c>
      <c r="I73" s="4" t="s">
        <v>137</v>
      </c>
      <c r="J73" s="4" t="s">
        <v>178</v>
      </c>
      <c r="K73" s="4" t="s">
        <v>138</v>
      </c>
      <c r="L73" s="4" t="s">
        <v>121</v>
      </c>
      <c r="M73" s="4" t="s">
        <v>122</v>
      </c>
      <c r="N73" s="4" t="s">
        <v>123</v>
      </c>
      <c r="O73" s="4" t="s">
        <v>124</v>
      </c>
      <c r="P73" s="4" t="s">
        <v>132</v>
      </c>
      <c r="Q73" s="4" t="s">
        <v>139</v>
      </c>
      <c r="R73" s="4" t="s">
        <v>140</v>
      </c>
      <c r="S73" s="4" t="s">
        <v>115</v>
      </c>
      <c r="T73" s="4" t="s">
        <v>141</v>
      </c>
      <c r="U73" s="4" t="s">
        <v>128</v>
      </c>
      <c r="V73" s="4" t="s">
        <v>381</v>
      </c>
      <c r="W73" s="4" t="s">
        <v>143</v>
      </c>
      <c r="X73" s="4" t="s">
        <v>128</v>
      </c>
      <c r="Y73" s="4" t="s">
        <v>140</v>
      </c>
      <c r="Z73" s="4" t="s">
        <v>132</v>
      </c>
      <c r="AA73" s="4" t="s">
        <v>132</v>
      </c>
      <c r="AB73" s="4" t="s">
        <v>132</v>
      </c>
      <c r="AC73" s="4" t="s">
        <v>125</v>
      </c>
      <c r="AD73" s="4" t="s">
        <v>125</v>
      </c>
      <c r="AE73" s="5">
        <v>12.606875000000006</v>
      </c>
      <c r="AF73" s="5">
        <v>1.1416666666666668</v>
      </c>
      <c r="AG73" s="5">
        <v>0</v>
      </c>
      <c r="AH73" s="5">
        <v>13.748541666666673</v>
      </c>
      <c r="AI73" s="6">
        <v>0.81496522358431966</v>
      </c>
      <c r="AJ73" s="7">
        <v>6.8742708333333367</v>
      </c>
      <c r="AK73" s="7">
        <v>6.8742708333333367</v>
      </c>
      <c r="AL73" s="8"/>
      <c r="AM73" s="51">
        <f>AH73*(1-AI73)</f>
        <v>2.5439583333333329</v>
      </c>
      <c r="AN73" s="50" t="str">
        <f>VLOOKUP($E73,'Capgemini PResence and HC'!$B$2:$G$143,4,0)</f>
        <v>N</v>
      </c>
      <c r="AO73" s="50">
        <f>VLOOKUP($E73,'Capgemini PResence and HC'!$B$2:$G$143,2,0)</f>
        <v>0</v>
      </c>
      <c r="AP73" s="50">
        <f>VLOOKUP($E73,'Capgemini PResence and HC'!$B$2:$G$143,3,0)</f>
        <v>0</v>
      </c>
      <c r="AQ73" s="50">
        <f>VLOOKUP($E73,'Capgemini PResence and HC'!$B$2:$G$143,6,0)</f>
        <v>0</v>
      </c>
      <c r="AR73" s="65"/>
      <c r="AS73" s="65"/>
      <c r="AT73" s="72" t="e">
        <f>#REF!*AT$151</f>
        <v>#REF!</v>
      </c>
      <c r="AU73" s="72" t="e">
        <f>#REF!*AU$151</f>
        <v>#REF!</v>
      </c>
      <c r="AV73" s="72" t="e">
        <f>#REF!*AV$151</f>
        <v>#REF!</v>
      </c>
      <c r="AW73" s="72" t="e">
        <f>#REF!*AW$151</f>
        <v>#REF!</v>
      </c>
      <c r="AX73" s="72" t="e">
        <f>#REF!*AX$151</f>
        <v>#REF!</v>
      </c>
      <c r="AY73" s="72" t="e">
        <f>#REF!*AY$151</f>
        <v>#REF!</v>
      </c>
      <c r="AZ73" s="72" t="e">
        <f>#REF!*AZ$151</f>
        <v>#REF!</v>
      </c>
      <c r="BA73" s="72" t="e">
        <f>#REF!*BA$151</f>
        <v>#REF!</v>
      </c>
      <c r="BB73" s="75">
        <f>SUM(AE73:AG73)-AH73</f>
        <v>0</v>
      </c>
    </row>
    <row r="74" spans="1:54" s="2" customFormat="1" ht="18.75" hidden="1" customHeight="1">
      <c r="A74" s="15" t="s">
        <v>20</v>
      </c>
      <c r="B74" s="15" t="s">
        <v>115</v>
      </c>
      <c r="C74" s="15"/>
      <c r="D74" s="15"/>
      <c r="E74" s="4">
        <v>9983</v>
      </c>
      <c r="F74" s="4" t="s">
        <v>382</v>
      </c>
      <c r="G74" s="4" t="s">
        <v>383</v>
      </c>
      <c r="H74" s="4" t="s">
        <v>383</v>
      </c>
      <c r="I74" s="4" t="s">
        <v>287</v>
      </c>
      <c r="J74" s="4" t="s">
        <v>273</v>
      </c>
      <c r="K74" s="4" t="s">
        <v>288</v>
      </c>
      <c r="L74" s="4" t="s">
        <v>121</v>
      </c>
      <c r="M74" s="4" t="s">
        <v>122</v>
      </c>
      <c r="N74" s="4" t="s">
        <v>123</v>
      </c>
      <c r="O74" s="4" t="s">
        <v>124</v>
      </c>
      <c r="P74" s="4" t="s">
        <v>125</v>
      </c>
      <c r="Q74" s="4" t="s">
        <v>126</v>
      </c>
      <c r="R74" s="4" t="s">
        <v>140</v>
      </c>
      <c r="S74" s="4" t="s">
        <v>115</v>
      </c>
      <c r="T74" s="4" t="s">
        <v>384</v>
      </c>
      <c r="U74" s="4" t="s">
        <v>128</v>
      </c>
      <c r="V74" s="4" t="s">
        <v>236</v>
      </c>
      <c r="W74" s="4" t="s">
        <v>143</v>
      </c>
      <c r="X74" s="4" t="s">
        <v>302</v>
      </c>
      <c r="Y74" s="4" t="s">
        <v>115</v>
      </c>
      <c r="Z74" s="4" t="s">
        <v>132</v>
      </c>
      <c r="AA74" s="4" t="s">
        <v>132</v>
      </c>
      <c r="AB74" s="4" t="s">
        <v>132</v>
      </c>
      <c r="AC74" s="4" t="s">
        <v>125</v>
      </c>
      <c r="AD74" s="4" t="s">
        <v>125</v>
      </c>
      <c r="AE74" s="5">
        <v>6.6141666666666667</v>
      </c>
      <c r="AF74" s="5">
        <v>0.6479166666666667</v>
      </c>
      <c r="AG74" s="5">
        <v>0</v>
      </c>
      <c r="AH74" s="5">
        <v>7.262083333333333</v>
      </c>
      <c r="AI74" s="6">
        <v>0.93912444775948134</v>
      </c>
      <c r="AJ74" s="7">
        <v>3.6310416666666665</v>
      </c>
      <c r="AK74" s="7">
        <v>3.6310416666666665</v>
      </c>
      <c r="AL74" s="8"/>
      <c r="AM74" s="51">
        <f>AH74*(1-AI74)</f>
        <v>0.44208333333333322</v>
      </c>
      <c r="AN74" s="50" t="str">
        <f>VLOOKUP($E74,'Capgemini PResence and HC'!$B$2:$G$143,4,0)</f>
        <v>N</v>
      </c>
      <c r="AO74" s="50">
        <f>VLOOKUP($E74,'Capgemini PResence and HC'!$B$2:$G$143,2,0)</f>
        <v>0</v>
      </c>
      <c r="AP74" s="50">
        <f>VLOOKUP($E74,'Capgemini PResence and HC'!$B$2:$G$143,3,0)</f>
        <v>0</v>
      </c>
      <c r="AQ74" s="50">
        <f>VLOOKUP($E74,'Capgemini PResence and HC'!$B$2:$G$143,6,0)</f>
        <v>0</v>
      </c>
      <c r="AR74" s="68">
        <f>AE74-AS74</f>
        <v>6.1720833333333331</v>
      </c>
      <c r="AS74" s="67">
        <f>AM74</f>
        <v>0.44208333333333322</v>
      </c>
      <c r="AT74" s="70">
        <f>$AR74*AT$151</f>
        <v>0.45478508771929821</v>
      </c>
      <c r="AU74" s="70">
        <f>$AR74*AU$151</f>
        <v>0.45478508771929821</v>
      </c>
      <c r="AV74" s="70">
        <f>$AR74*AV$151</f>
        <v>2.403864035087719</v>
      </c>
      <c r="AW74" s="70">
        <f>$AR74*AW$151</f>
        <v>1.6242324561403505</v>
      </c>
      <c r="AX74" s="70">
        <f>$AR74*AX$151</f>
        <v>0.32484649122807008</v>
      </c>
      <c r="AY74" s="70">
        <f>$AR74*AY$151</f>
        <v>0.45478508771929821</v>
      </c>
      <c r="AZ74" s="70">
        <f>$AR74*AZ$151</f>
        <v>0.45478508771929821</v>
      </c>
      <c r="BA74" s="70">
        <f>$AS74*BA$151</f>
        <v>0.44208333333333322</v>
      </c>
      <c r="BB74" s="75">
        <f>SUM(AE74:AG74)-AH74</f>
        <v>0</v>
      </c>
    </row>
    <row r="75" spans="1:54" s="2" customFormat="1" ht="18.75" hidden="1" customHeight="1">
      <c r="A75" s="15" t="s">
        <v>22</v>
      </c>
      <c r="B75" s="15" t="s">
        <v>115</v>
      </c>
      <c r="C75" s="15"/>
      <c r="D75" s="15"/>
      <c r="E75" s="4">
        <v>9986</v>
      </c>
      <c r="F75" s="4" t="s">
        <v>385</v>
      </c>
      <c r="G75" s="4" t="s">
        <v>386</v>
      </c>
      <c r="H75" s="12" t="s">
        <v>387</v>
      </c>
      <c r="I75" s="4" t="s">
        <v>233</v>
      </c>
      <c r="J75" s="4" t="s">
        <v>119</v>
      </c>
      <c r="K75" s="4" t="s">
        <v>234</v>
      </c>
      <c r="L75" s="4" t="s">
        <v>121</v>
      </c>
      <c r="M75" s="4" t="s">
        <v>122</v>
      </c>
      <c r="N75" s="4" t="s">
        <v>123</v>
      </c>
      <c r="O75" s="4" t="s">
        <v>124</v>
      </c>
      <c r="P75" s="4" t="s">
        <v>125</v>
      </c>
      <c r="Q75" s="4" t="s">
        <v>159</v>
      </c>
      <c r="R75" s="4" t="s">
        <v>140</v>
      </c>
      <c r="S75" s="4" t="s">
        <v>115</v>
      </c>
      <c r="T75" s="4" t="s">
        <v>229</v>
      </c>
      <c r="U75" s="4" t="s">
        <v>128</v>
      </c>
      <c r="V75" s="4" t="s">
        <v>388</v>
      </c>
      <c r="W75" s="4" t="s">
        <v>143</v>
      </c>
      <c r="X75" s="4" t="s">
        <v>128</v>
      </c>
      <c r="Y75" s="4" t="s">
        <v>140</v>
      </c>
      <c r="Z75" s="4" t="s">
        <v>132</v>
      </c>
      <c r="AA75" s="4" t="s">
        <v>132</v>
      </c>
      <c r="AB75" s="4" t="s">
        <v>132</v>
      </c>
      <c r="AC75" s="4" t="s">
        <v>125</v>
      </c>
      <c r="AD75" s="4" t="s">
        <v>125</v>
      </c>
      <c r="AE75" s="5">
        <v>2.4426666666666668</v>
      </c>
      <c r="AF75" s="5">
        <v>0.5708333333333333</v>
      </c>
      <c r="AG75" s="5">
        <v>0</v>
      </c>
      <c r="AH75" s="5">
        <v>3.0135000000000001</v>
      </c>
      <c r="AI75" s="6">
        <v>0.2751507106907804</v>
      </c>
      <c r="AJ75" s="7">
        <v>1.50675</v>
      </c>
      <c r="AK75" s="7">
        <v>1.50675</v>
      </c>
      <c r="AL75" s="8"/>
      <c r="AM75" s="51">
        <f>AH75*(1-AI75)</f>
        <v>2.184333333333333</v>
      </c>
      <c r="AN75" s="50" t="str">
        <f>VLOOKUP($E75,'Capgemini PResence and HC'!$B$2:$G$143,4,0)</f>
        <v>N</v>
      </c>
      <c r="AO75" s="50">
        <f>VLOOKUP($E75,'Capgemini PResence and HC'!$B$2:$G$143,2,0)</f>
        <v>0</v>
      </c>
      <c r="AP75" s="50">
        <f>VLOOKUP($E75,'Capgemini PResence and HC'!$B$2:$G$143,3,0)</f>
        <v>0</v>
      </c>
      <c r="AQ75" s="50">
        <f>VLOOKUP($E75,'Capgemini PResence and HC'!$B$2:$G$143,6,0)</f>
        <v>0</v>
      </c>
      <c r="AR75" s="65"/>
      <c r="AS75" s="65"/>
      <c r="AT75" s="72" t="e">
        <f>#REF!*AT$151</f>
        <v>#REF!</v>
      </c>
      <c r="AU75" s="72" t="e">
        <f>#REF!*AU$151</f>
        <v>#REF!</v>
      </c>
      <c r="AV75" s="72" t="e">
        <f>#REF!*AV$151</f>
        <v>#REF!</v>
      </c>
      <c r="AW75" s="72" t="e">
        <f>#REF!*AW$151</f>
        <v>#REF!</v>
      </c>
      <c r="AX75" s="72" t="e">
        <f>#REF!*AX$151</f>
        <v>#REF!</v>
      </c>
      <c r="AY75" s="72" t="e">
        <f>#REF!*AY$151</f>
        <v>#REF!</v>
      </c>
      <c r="AZ75" s="72" t="e">
        <f>#REF!*AZ$151</f>
        <v>#REF!</v>
      </c>
      <c r="BA75" s="72" t="e">
        <f>#REF!*BA$151</f>
        <v>#REF!</v>
      </c>
      <c r="BB75" s="75">
        <f>SUM(AE75:AG75)-AH75</f>
        <v>0</v>
      </c>
    </row>
    <row r="76" spans="1:54" s="2" customFormat="1" ht="18.75" hidden="1" customHeight="1">
      <c r="A76" s="15" t="s">
        <v>20</v>
      </c>
      <c r="B76" s="15" t="s">
        <v>115</v>
      </c>
      <c r="C76" s="15"/>
      <c r="D76" s="15"/>
      <c r="E76" s="4">
        <v>9992</v>
      </c>
      <c r="F76" s="4" t="s">
        <v>389</v>
      </c>
      <c r="G76" s="4" t="s">
        <v>390</v>
      </c>
      <c r="H76" s="4" t="s">
        <v>390</v>
      </c>
      <c r="I76" s="4" t="s">
        <v>319</v>
      </c>
      <c r="J76" s="4" t="s">
        <v>320</v>
      </c>
      <c r="K76" s="4" t="s">
        <v>320</v>
      </c>
      <c r="L76" s="4" t="s">
        <v>121</v>
      </c>
      <c r="M76" s="4" t="s">
        <v>192</v>
      </c>
      <c r="N76" s="4" t="s">
        <v>123</v>
      </c>
      <c r="O76" s="4" t="s">
        <v>124</v>
      </c>
      <c r="P76" s="4" t="s">
        <v>125</v>
      </c>
      <c r="Q76" s="4" t="s">
        <v>139</v>
      </c>
      <c r="R76" s="4" t="s">
        <v>140</v>
      </c>
      <c r="S76" s="4" t="s">
        <v>115</v>
      </c>
      <c r="T76" s="4" t="s">
        <v>260</v>
      </c>
      <c r="U76" s="4" t="s">
        <v>128</v>
      </c>
      <c r="V76" s="4" t="s">
        <v>391</v>
      </c>
      <c r="W76" s="4" t="s">
        <v>143</v>
      </c>
      <c r="X76" s="4" t="s">
        <v>128</v>
      </c>
      <c r="Y76" s="4" t="s">
        <v>140</v>
      </c>
      <c r="Z76" s="4" t="s">
        <v>132</v>
      </c>
      <c r="AA76" s="4" t="s">
        <v>132</v>
      </c>
      <c r="AB76" s="4" t="s">
        <v>132</v>
      </c>
      <c r="AC76" s="4" t="s">
        <v>125</v>
      </c>
      <c r="AD76" s="4" t="s">
        <v>125</v>
      </c>
      <c r="AE76" s="5">
        <v>7.2083333333333339</v>
      </c>
      <c r="AF76" s="5">
        <v>2.9958333333333336</v>
      </c>
      <c r="AG76" s="5">
        <v>2.5208333333333335</v>
      </c>
      <c r="AH76" s="5">
        <v>12.725000000000001</v>
      </c>
      <c r="AI76" s="6">
        <v>0.93778650949574338</v>
      </c>
      <c r="AJ76" s="7">
        <v>6.3625000000000007</v>
      </c>
      <c r="AK76" s="7">
        <v>6.3625000000000007</v>
      </c>
      <c r="AL76" s="8"/>
      <c r="AM76" s="51">
        <f>AH76*(1-AI76)</f>
        <v>0.79166666666666552</v>
      </c>
      <c r="AN76" s="50" t="str">
        <f>VLOOKUP($E76,'Capgemini PResence and HC'!$B$2:$G$143,4,0)</f>
        <v>Y</v>
      </c>
      <c r="AO76" s="50">
        <f>VLOOKUP($E76,'Capgemini PResence and HC'!$B$2:$G$143,2,0)</f>
        <v>12</v>
      </c>
      <c r="AP76" s="50">
        <f>VLOOKUP($E76,'Capgemini PResence and HC'!$B$2:$G$143,3,0)</f>
        <v>0</v>
      </c>
      <c r="AQ76" s="50">
        <f>VLOOKUP($E76,'Capgemini PResence and HC'!$B$2:$G$143,6,0)</f>
        <v>9.28125</v>
      </c>
      <c r="AR76" s="65"/>
      <c r="AS76" s="65"/>
      <c r="AT76" s="72" t="e">
        <f>#REF!*AT$151</f>
        <v>#REF!</v>
      </c>
      <c r="AU76" s="72" t="e">
        <f>#REF!*AU$151</f>
        <v>#REF!</v>
      </c>
      <c r="AV76" s="72" t="e">
        <f>#REF!*AV$151</f>
        <v>#REF!</v>
      </c>
      <c r="AW76" s="72" t="e">
        <f>#REF!*AW$151</f>
        <v>#REF!</v>
      </c>
      <c r="AX76" s="72" t="e">
        <f>#REF!*AX$151</f>
        <v>#REF!</v>
      </c>
      <c r="AY76" s="72" t="e">
        <f>#REF!*AY$151</f>
        <v>#REF!</v>
      </c>
      <c r="AZ76" s="72" t="e">
        <f>#REF!*AZ$151</f>
        <v>#REF!</v>
      </c>
      <c r="BA76" s="72" t="e">
        <f>#REF!*BA$151</f>
        <v>#REF!</v>
      </c>
      <c r="BB76" s="75">
        <f>SUM(AE76:AG76)-AH76</f>
        <v>0</v>
      </c>
    </row>
    <row r="77" spans="1:54" s="2" customFormat="1" ht="18.75" hidden="1" customHeight="1">
      <c r="A77" s="15" t="s">
        <v>20</v>
      </c>
      <c r="B77" s="15" t="s">
        <v>115</v>
      </c>
      <c r="C77" s="15"/>
      <c r="D77" s="15"/>
      <c r="E77" s="4">
        <v>9994</v>
      </c>
      <c r="F77" s="4" t="s">
        <v>392</v>
      </c>
      <c r="G77" s="4" t="s">
        <v>393</v>
      </c>
      <c r="H77" s="9" t="s">
        <v>394</v>
      </c>
      <c r="I77" s="4" t="s">
        <v>206</v>
      </c>
      <c r="J77" s="4" t="s">
        <v>199</v>
      </c>
      <c r="K77" s="4" t="s">
        <v>207</v>
      </c>
      <c r="L77" s="4" t="s">
        <v>291</v>
      </c>
      <c r="M77" s="4" t="s">
        <v>122</v>
      </c>
      <c r="N77" s="4" t="s">
        <v>123</v>
      </c>
      <c r="O77" s="4" t="s">
        <v>124</v>
      </c>
      <c r="P77" s="4" t="s">
        <v>125</v>
      </c>
      <c r="Q77" s="4" t="s">
        <v>139</v>
      </c>
      <c r="R77" s="4" t="s">
        <v>140</v>
      </c>
      <c r="S77" s="4" t="s">
        <v>140</v>
      </c>
      <c r="T77" s="4" t="s">
        <v>229</v>
      </c>
      <c r="U77" s="4" t="s">
        <v>128</v>
      </c>
      <c r="V77" s="4" t="s">
        <v>236</v>
      </c>
      <c r="W77" s="4" t="s">
        <v>130</v>
      </c>
      <c r="X77" s="4" t="s">
        <v>302</v>
      </c>
      <c r="Y77" s="4" t="s">
        <v>115</v>
      </c>
      <c r="Z77" s="4" t="s">
        <v>132</v>
      </c>
      <c r="AA77" s="4" t="s">
        <v>132</v>
      </c>
      <c r="AB77" s="4" t="s">
        <v>132</v>
      </c>
      <c r="AC77" s="4" t="s">
        <v>125</v>
      </c>
      <c r="AD77" s="4" t="s">
        <v>125</v>
      </c>
      <c r="AE77" s="11">
        <v>0.79999999999999993</v>
      </c>
      <c r="AF77" s="11">
        <v>0.2</v>
      </c>
      <c r="AG77" s="11">
        <v>0</v>
      </c>
      <c r="AH77" s="5">
        <v>1.1729166666666664</v>
      </c>
      <c r="AI77" s="6">
        <v>0.42806394316163421</v>
      </c>
      <c r="AJ77" s="7">
        <v>0.58645833333333319</v>
      </c>
      <c r="AK77" s="7">
        <v>0.58645833333333319</v>
      </c>
      <c r="AL77" s="8"/>
      <c r="AM77" s="51">
        <f>AH77*(1-AI77)</f>
        <v>0.67083333333333306</v>
      </c>
      <c r="AN77" s="50" t="str">
        <f>VLOOKUP($E77,'Capgemini PResence and HC'!$B$2:$G$143,4,0)</f>
        <v>Y</v>
      </c>
      <c r="AO77" s="50">
        <f>VLOOKUP($E77,'Capgemini PResence and HC'!$B$2:$G$143,2,0)</f>
        <v>0</v>
      </c>
      <c r="AP77" s="50">
        <f>VLOOKUP($E77,'Capgemini PResence and HC'!$B$2:$G$143,3,0)</f>
        <v>1</v>
      </c>
      <c r="AQ77" s="50">
        <f>VLOOKUP($E77,'Capgemini PResence and HC'!$B$2:$G$143,6,0)</f>
        <v>0</v>
      </c>
      <c r="AR77" s="65"/>
      <c r="AS77" s="65"/>
      <c r="AT77" s="72" t="e">
        <f>#REF!*AT$151</f>
        <v>#REF!</v>
      </c>
      <c r="AU77" s="72" t="e">
        <f>#REF!*AU$151</f>
        <v>#REF!</v>
      </c>
      <c r="AV77" s="72" t="e">
        <f>#REF!*AV$151</f>
        <v>#REF!</v>
      </c>
      <c r="AW77" s="72" t="e">
        <f>#REF!*AW$151</f>
        <v>#REF!</v>
      </c>
      <c r="AX77" s="72" t="e">
        <f>#REF!*AX$151</f>
        <v>#REF!</v>
      </c>
      <c r="AY77" s="72" t="e">
        <f>#REF!*AY$151</f>
        <v>#REF!</v>
      </c>
      <c r="AZ77" s="72" t="e">
        <f>#REF!*AZ$151</f>
        <v>#REF!</v>
      </c>
      <c r="BA77" s="72" t="e">
        <f>#REF!*BA$151</f>
        <v>#REF!</v>
      </c>
      <c r="BB77" s="75">
        <f>SUM(AE77:AG77)-AH77</f>
        <v>-0.17291666666666639</v>
      </c>
    </row>
    <row r="78" spans="1:54" s="2" customFormat="1" ht="18.75" hidden="1" customHeight="1">
      <c r="A78" s="15"/>
      <c r="B78" s="15" t="s">
        <v>115</v>
      </c>
      <c r="C78" s="15"/>
      <c r="D78" s="15"/>
      <c r="E78" s="4">
        <v>9995</v>
      </c>
      <c r="F78" s="4" t="s">
        <v>395</v>
      </c>
      <c r="G78" s="4" t="s">
        <v>396</v>
      </c>
      <c r="H78" s="12" t="s">
        <v>397</v>
      </c>
      <c r="I78" s="4" t="s">
        <v>233</v>
      </c>
      <c r="J78" s="4" t="s">
        <v>119</v>
      </c>
      <c r="K78" s="4" t="s">
        <v>234</v>
      </c>
      <c r="L78" s="4" t="s">
        <v>121</v>
      </c>
      <c r="M78" s="4" t="s">
        <v>398</v>
      </c>
      <c r="N78" s="4" t="s">
        <v>123</v>
      </c>
      <c r="O78" s="4" t="s">
        <v>124</v>
      </c>
      <c r="P78" s="4" t="s">
        <v>125</v>
      </c>
      <c r="Q78" s="4" t="s">
        <v>126</v>
      </c>
      <c r="R78" s="4" t="s">
        <v>140</v>
      </c>
      <c r="S78" s="4" t="s">
        <v>115</v>
      </c>
      <c r="T78" s="4" t="s">
        <v>260</v>
      </c>
      <c r="U78" s="4" t="s">
        <v>128</v>
      </c>
      <c r="V78" s="4" t="s">
        <v>399</v>
      </c>
      <c r="W78" s="4" t="s">
        <v>143</v>
      </c>
      <c r="X78" s="4" t="s">
        <v>128</v>
      </c>
      <c r="Y78" s="4" t="s">
        <v>140</v>
      </c>
      <c r="Z78" s="4" t="s">
        <v>132</v>
      </c>
      <c r="AA78" s="4" t="s">
        <v>132</v>
      </c>
      <c r="AB78" s="4" t="s">
        <v>132</v>
      </c>
      <c r="AC78" s="4" t="s">
        <v>125</v>
      </c>
      <c r="AD78" s="4" t="s">
        <v>125</v>
      </c>
      <c r="AE78" s="5">
        <v>0.77916666666666667</v>
      </c>
      <c r="AF78" s="5">
        <v>0</v>
      </c>
      <c r="AG78" s="5">
        <v>0</v>
      </c>
      <c r="AH78" s="5">
        <v>0.77916666666666667</v>
      </c>
      <c r="AI78" s="6">
        <v>0.67914438502673802</v>
      </c>
      <c r="AJ78" s="7">
        <v>0.38958333333333334</v>
      </c>
      <c r="AK78" s="7">
        <v>0.38958333333333334</v>
      </c>
      <c r="AL78" s="8"/>
      <c r="AM78" s="51">
        <f>AH78*(1-AI78)</f>
        <v>0.24999999999999997</v>
      </c>
      <c r="AN78" s="50" t="str">
        <f>VLOOKUP($E78,'Capgemini PResence and HC'!$B$2:$G$143,4,0)</f>
        <v>N</v>
      </c>
      <c r="AO78" s="50">
        <f>VLOOKUP($E78,'Capgemini PResence and HC'!$B$2:$G$143,2,0)</f>
        <v>0</v>
      </c>
      <c r="AP78" s="50">
        <f>VLOOKUP($E78,'Capgemini PResence and HC'!$B$2:$G$143,3,0)</f>
        <v>0</v>
      </c>
      <c r="AQ78" s="50">
        <f>VLOOKUP($E78,'Capgemini PResence and HC'!$B$2:$G$143,6,0)</f>
        <v>0</v>
      </c>
      <c r="AR78" s="65"/>
      <c r="AS78" s="65"/>
      <c r="AT78" s="72" t="e">
        <f>#REF!*AT$151</f>
        <v>#REF!</v>
      </c>
      <c r="AU78" s="72" t="e">
        <f>#REF!*AU$151</f>
        <v>#REF!</v>
      </c>
      <c r="AV78" s="72" t="e">
        <f>#REF!*AV$151</f>
        <v>#REF!</v>
      </c>
      <c r="AW78" s="72" t="e">
        <f>#REF!*AW$151</f>
        <v>#REF!</v>
      </c>
      <c r="AX78" s="72" t="e">
        <f>#REF!*AX$151</f>
        <v>#REF!</v>
      </c>
      <c r="AY78" s="72" t="e">
        <f>#REF!*AY$151</f>
        <v>#REF!</v>
      </c>
      <c r="AZ78" s="72" t="e">
        <f>#REF!*AZ$151</f>
        <v>#REF!</v>
      </c>
      <c r="BA78" s="72" t="e">
        <f>#REF!*BA$151</f>
        <v>#REF!</v>
      </c>
      <c r="BB78" s="75">
        <f>SUM(AE78:AG78)-AH78</f>
        <v>0</v>
      </c>
    </row>
    <row r="79" spans="1:54" s="2" customFormat="1" ht="18.75" hidden="1" customHeight="1">
      <c r="A79" s="15" t="s">
        <v>20</v>
      </c>
      <c r="B79" s="15" t="s">
        <v>115</v>
      </c>
      <c r="C79" s="15"/>
      <c r="D79" s="15"/>
      <c r="E79" s="4">
        <v>9996</v>
      </c>
      <c r="F79" s="4" t="s">
        <v>400</v>
      </c>
      <c r="G79" s="4" t="s">
        <v>401</v>
      </c>
      <c r="H79" s="4" t="s">
        <v>402</v>
      </c>
      <c r="I79" s="4" t="s">
        <v>198</v>
      </c>
      <c r="J79" s="4" t="s">
        <v>199</v>
      </c>
      <c r="K79" s="4" t="s">
        <v>200</v>
      </c>
      <c r="L79" s="4" t="s">
        <v>121</v>
      </c>
      <c r="M79" s="4" t="s">
        <v>122</v>
      </c>
      <c r="N79" s="4" t="s">
        <v>123</v>
      </c>
      <c r="O79" s="4" t="s">
        <v>124</v>
      </c>
      <c r="P79" s="4" t="s">
        <v>125</v>
      </c>
      <c r="Q79" s="4" t="s">
        <v>139</v>
      </c>
      <c r="R79" s="4" t="s">
        <v>140</v>
      </c>
      <c r="S79" s="4" t="s">
        <v>115</v>
      </c>
      <c r="T79" s="4" t="s">
        <v>229</v>
      </c>
      <c r="U79" s="4" t="s">
        <v>128</v>
      </c>
      <c r="V79" s="4" t="s">
        <v>236</v>
      </c>
      <c r="W79" s="4" t="s">
        <v>143</v>
      </c>
      <c r="X79" s="4" t="s">
        <v>128</v>
      </c>
      <c r="Y79" s="4" t="s">
        <v>140</v>
      </c>
      <c r="Z79" s="4" t="s">
        <v>132</v>
      </c>
      <c r="AA79" s="4" t="s">
        <v>132</v>
      </c>
      <c r="AB79" s="4" t="s">
        <v>132</v>
      </c>
      <c r="AC79" s="4" t="s">
        <v>125</v>
      </c>
      <c r="AD79" s="4" t="s">
        <v>125</v>
      </c>
      <c r="AE79" s="5">
        <v>0.22625000000000001</v>
      </c>
      <c r="AF79" s="5">
        <v>0</v>
      </c>
      <c r="AG79" s="5">
        <v>0</v>
      </c>
      <c r="AH79" s="5">
        <v>0.22625000000000001</v>
      </c>
      <c r="AI79" s="6">
        <v>0.33701657458563533</v>
      </c>
      <c r="AJ79" s="7">
        <v>0.113125</v>
      </c>
      <c r="AK79" s="7">
        <v>0.113125</v>
      </c>
      <c r="AL79" s="8"/>
      <c r="AM79" s="51">
        <f>AH79*(1-AI79)</f>
        <v>0.15000000000000002</v>
      </c>
      <c r="AN79" s="50" t="str">
        <f>VLOOKUP($E79,'Capgemini PResence and HC'!$B$2:$G$143,4,0)</f>
        <v>Y</v>
      </c>
      <c r="AO79" s="50">
        <f>VLOOKUP($E79,'Capgemini PResence and HC'!$B$2:$G$143,2,0)</f>
        <v>0</v>
      </c>
      <c r="AP79" s="50">
        <f>VLOOKUP($E79,'Capgemini PResence and HC'!$B$2:$G$143,3,0)</f>
        <v>1</v>
      </c>
      <c r="AQ79" s="50">
        <f>VLOOKUP($E79,'Capgemini PResence and HC'!$B$2:$G$143,6,0)</f>
        <v>0</v>
      </c>
      <c r="AR79" s="65"/>
      <c r="AS79" s="65"/>
      <c r="AT79" s="72" t="e">
        <f>#REF!*AT$151</f>
        <v>#REF!</v>
      </c>
      <c r="AU79" s="72" t="e">
        <f>#REF!*AU$151</f>
        <v>#REF!</v>
      </c>
      <c r="AV79" s="72" t="e">
        <f>#REF!*AV$151</f>
        <v>#REF!</v>
      </c>
      <c r="AW79" s="72" t="e">
        <f>#REF!*AW$151</f>
        <v>#REF!</v>
      </c>
      <c r="AX79" s="72" t="e">
        <f>#REF!*AX$151</f>
        <v>#REF!</v>
      </c>
      <c r="AY79" s="72" t="e">
        <f>#REF!*AY$151</f>
        <v>#REF!</v>
      </c>
      <c r="AZ79" s="72" t="e">
        <f>#REF!*AZ$151</f>
        <v>#REF!</v>
      </c>
      <c r="BA79" s="72" t="e">
        <f>#REF!*BA$151</f>
        <v>#REF!</v>
      </c>
      <c r="BB79" s="75">
        <f>SUM(AE79:AG79)-AH79</f>
        <v>0</v>
      </c>
    </row>
    <row r="80" spans="1:54" s="2" customFormat="1" ht="18.75" hidden="1" customHeight="1">
      <c r="A80" s="15" t="s">
        <v>25</v>
      </c>
      <c r="B80" s="15" t="s">
        <v>115</v>
      </c>
      <c r="C80" s="15"/>
      <c r="D80" s="15"/>
      <c r="E80" s="4">
        <v>9999</v>
      </c>
      <c r="F80" s="4" t="s">
        <v>44</v>
      </c>
      <c r="G80" s="4" t="s">
        <v>403</v>
      </c>
      <c r="H80" s="4" t="s">
        <v>404</v>
      </c>
      <c r="I80" s="4" t="s">
        <v>137</v>
      </c>
      <c r="J80" s="4" t="s">
        <v>178</v>
      </c>
      <c r="K80" s="4" t="s">
        <v>138</v>
      </c>
      <c r="L80" s="4" t="s">
        <v>121</v>
      </c>
      <c r="M80" s="4" t="s">
        <v>122</v>
      </c>
      <c r="N80" s="4" t="s">
        <v>123</v>
      </c>
      <c r="O80" s="4" t="s">
        <v>124</v>
      </c>
      <c r="P80" s="4" t="s">
        <v>132</v>
      </c>
      <c r="Q80" s="4" t="s">
        <v>139</v>
      </c>
      <c r="R80" s="4" t="s">
        <v>140</v>
      </c>
      <c r="S80" s="4" t="s">
        <v>115</v>
      </c>
      <c r="T80" s="4" t="s">
        <v>141</v>
      </c>
      <c r="U80" s="4" t="s">
        <v>128</v>
      </c>
      <c r="V80" s="4" t="s">
        <v>166</v>
      </c>
      <c r="W80" s="4" t="s">
        <v>143</v>
      </c>
      <c r="X80" s="4" t="s">
        <v>128</v>
      </c>
      <c r="Y80" s="4" t="s">
        <v>140</v>
      </c>
      <c r="Z80" s="4" t="s">
        <v>132</v>
      </c>
      <c r="AA80" s="4" t="s">
        <v>132</v>
      </c>
      <c r="AB80" s="4" t="s">
        <v>132</v>
      </c>
      <c r="AC80" s="4" t="s">
        <v>125</v>
      </c>
      <c r="AD80" s="4" t="s">
        <v>125</v>
      </c>
      <c r="AE80" s="5">
        <v>1.0287500000000001</v>
      </c>
      <c r="AF80" s="5">
        <v>0</v>
      </c>
      <c r="AG80" s="5">
        <v>0</v>
      </c>
      <c r="AH80" s="5">
        <v>1.0287500000000001</v>
      </c>
      <c r="AI80" s="6">
        <v>0.12920210611583638</v>
      </c>
      <c r="AJ80" s="7">
        <v>0.51437500000000003</v>
      </c>
      <c r="AK80" s="7">
        <v>0.51437500000000003</v>
      </c>
      <c r="AL80" s="8"/>
      <c r="AM80" s="51">
        <f>AH80*(1-AI80)</f>
        <v>0.89583333333333337</v>
      </c>
      <c r="AN80" s="50" t="str">
        <f>VLOOKUP($E80,'Capgemini PResence and HC'!$B$2:$G$143,4,0)</f>
        <v>N</v>
      </c>
      <c r="AO80" s="50">
        <f>VLOOKUP($E80,'Capgemini PResence and HC'!$B$2:$G$143,2,0)</f>
        <v>0</v>
      </c>
      <c r="AP80" s="50">
        <f>VLOOKUP($E80,'Capgemini PResence and HC'!$B$2:$G$143,3,0)</f>
        <v>0</v>
      </c>
      <c r="AQ80" s="50">
        <f>VLOOKUP($E80,'Capgemini PResence and HC'!$B$2:$G$143,6,0)</f>
        <v>0</v>
      </c>
      <c r="AR80" s="65"/>
      <c r="AS80" s="65"/>
      <c r="AT80" s="72" t="e">
        <f>#REF!*AT$151</f>
        <v>#REF!</v>
      </c>
      <c r="AU80" s="72" t="e">
        <f>#REF!*AU$151</f>
        <v>#REF!</v>
      </c>
      <c r="AV80" s="72" t="e">
        <f>#REF!*AV$151</f>
        <v>#REF!</v>
      </c>
      <c r="AW80" s="72" t="e">
        <f>#REF!*AW$151</f>
        <v>#REF!</v>
      </c>
      <c r="AX80" s="72" t="e">
        <f>#REF!*AX$151</f>
        <v>#REF!</v>
      </c>
      <c r="AY80" s="72" t="e">
        <f>#REF!*AY$151</f>
        <v>#REF!</v>
      </c>
      <c r="AZ80" s="72" t="e">
        <f>#REF!*AZ$151</f>
        <v>#REF!</v>
      </c>
      <c r="BA80" s="72" t="e">
        <f>#REF!*BA$151</f>
        <v>#REF!</v>
      </c>
      <c r="BB80" s="75">
        <f>SUM(AE80:AG80)-AH80</f>
        <v>0</v>
      </c>
    </row>
    <row r="81" spans="1:54" s="2" customFormat="1" ht="18.75" hidden="1" customHeight="1">
      <c r="A81" s="15" t="s">
        <v>25</v>
      </c>
      <c r="B81" s="15" t="s">
        <v>115</v>
      </c>
      <c r="C81" s="15"/>
      <c r="D81" s="15"/>
      <c r="E81" s="4">
        <v>10001</v>
      </c>
      <c r="F81" s="4" t="s">
        <v>405</v>
      </c>
      <c r="G81" s="4" t="s">
        <v>406</v>
      </c>
      <c r="H81" s="4" t="s">
        <v>407</v>
      </c>
      <c r="I81" s="4" t="s">
        <v>233</v>
      </c>
      <c r="J81" s="4" t="s">
        <v>119</v>
      </c>
      <c r="K81" s="4" t="s">
        <v>234</v>
      </c>
      <c r="L81" s="4" t="s">
        <v>121</v>
      </c>
      <c r="M81" s="4" t="s">
        <v>122</v>
      </c>
      <c r="N81" s="4" t="s">
        <v>123</v>
      </c>
      <c r="O81" s="4" t="s">
        <v>124</v>
      </c>
      <c r="P81" s="4" t="s">
        <v>132</v>
      </c>
      <c r="Q81" s="4" t="s">
        <v>139</v>
      </c>
      <c r="R81" s="4" t="s">
        <v>140</v>
      </c>
      <c r="S81" s="4" t="s">
        <v>115</v>
      </c>
      <c r="T81" s="4" t="s">
        <v>208</v>
      </c>
      <c r="U81" s="4" t="s">
        <v>128</v>
      </c>
      <c r="V81" s="4" t="s">
        <v>408</v>
      </c>
      <c r="W81" s="4" t="s">
        <v>143</v>
      </c>
      <c r="X81" s="4" t="s">
        <v>128</v>
      </c>
      <c r="Y81" s="4" t="s">
        <v>140</v>
      </c>
      <c r="Z81" s="4" t="s">
        <v>132</v>
      </c>
      <c r="AA81" s="4" t="s">
        <v>132</v>
      </c>
      <c r="AB81" s="4" t="s">
        <v>132</v>
      </c>
      <c r="AC81" s="4" t="s">
        <v>125</v>
      </c>
      <c r="AD81" s="4" t="s">
        <v>125</v>
      </c>
      <c r="AE81" s="5">
        <v>2.7291666666666665</v>
      </c>
      <c r="AF81" s="5">
        <v>3.0249999999999999</v>
      </c>
      <c r="AG81" s="5">
        <v>0</v>
      </c>
      <c r="AH81" s="5">
        <v>5.7541666666666664</v>
      </c>
      <c r="AI81" s="6">
        <v>0.34540188269370026</v>
      </c>
      <c r="AJ81" s="7">
        <v>2.8770833333333332</v>
      </c>
      <c r="AK81" s="7">
        <v>2.8770833333333332</v>
      </c>
      <c r="AL81" s="8"/>
      <c r="AM81" s="51">
        <f>AH81*(1-AI81)</f>
        <v>3.7666666666666666</v>
      </c>
      <c r="AN81" s="50" t="str">
        <f>VLOOKUP($E81,'Capgemini PResence and HC'!$B$2:$G$143,4,0)</f>
        <v>N</v>
      </c>
      <c r="AO81" s="50">
        <f>VLOOKUP($E81,'Capgemini PResence and HC'!$B$2:$G$143,2,0)</f>
        <v>0</v>
      </c>
      <c r="AP81" s="50">
        <f>VLOOKUP($E81,'Capgemini PResence and HC'!$B$2:$G$143,3,0)</f>
        <v>0</v>
      </c>
      <c r="AQ81" s="50">
        <f>VLOOKUP($E81,'Capgemini PResence and HC'!$B$2:$G$143,6,0)</f>
        <v>0</v>
      </c>
      <c r="AR81" s="65"/>
      <c r="AS81" s="65"/>
      <c r="AT81" s="72" t="e">
        <f>#REF!*AT$151</f>
        <v>#REF!</v>
      </c>
      <c r="AU81" s="72" t="e">
        <f>#REF!*AU$151</f>
        <v>#REF!</v>
      </c>
      <c r="AV81" s="72" t="e">
        <f>#REF!*AV$151</f>
        <v>#REF!</v>
      </c>
      <c r="AW81" s="72" t="e">
        <f>#REF!*AW$151</f>
        <v>#REF!</v>
      </c>
      <c r="AX81" s="72" t="e">
        <f>#REF!*AX$151</f>
        <v>#REF!</v>
      </c>
      <c r="AY81" s="72" t="e">
        <f>#REF!*AY$151</f>
        <v>#REF!</v>
      </c>
      <c r="AZ81" s="72" t="e">
        <f>#REF!*AZ$151</f>
        <v>#REF!</v>
      </c>
      <c r="BA81" s="72" t="e">
        <f>#REF!*BA$151</f>
        <v>#REF!</v>
      </c>
      <c r="BB81" s="75">
        <f>SUM(AE81:AG81)-AH81</f>
        <v>0</v>
      </c>
    </row>
    <row r="82" spans="1:54" s="2" customFormat="1" ht="18.75" hidden="1" customHeight="1">
      <c r="A82" s="15" t="s">
        <v>20</v>
      </c>
      <c r="B82" s="15" t="s">
        <v>115</v>
      </c>
      <c r="C82" s="15"/>
      <c r="D82" s="15"/>
      <c r="E82" s="4">
        <v>14377</v>
      </c>
      <c r="F82" s="4" t="s">
        <v>409</v>
      </c>
      <c r="G82" s="4" t="s">
        <v>410</v>
      </c>
      <c r="H82" s="12" t="s">
        <v>411</v>
      </c>
      <c r="I82" s="4" t="s">
        <v>233</v>
      </c>
      <c r="J82" s="4" t="s">
        <v>119</v>
      </c>
      <c r="K82" s="4" t="s">
        <v>234</v>
      </c>
      <c r="L82" s="4" t="s">
        <v>121</v>
      </c>
      <c r="M82" s="4" t="s">
        <v>122</v>
      </c>
      <c r="N82" s="4" t="s">
        <v>123</v>
      </c>
      <c r="O82" s="4" t="s">
        <v>124</v>
      </c>
      <c r="P82" s="4" t="s">
        <v>125</v>
      </c>
      <c r="Q82" s="4" t="s">
        <v>126</v>
      </c>
      <c r="R82" s="4" t="s">
        <v>140</v>
      </c>
      <c r="S82" s="4" t="s">
        <v>115</v>
      </c>
      <c r="T82" s="4" t="s">
        <v>412</v>
      </c>
      <c r="U82" s="4" t="s">
        <v>128</v>
      </c>
      <c r="V82" s="4" t="s">
        <v>209</v>
      </c>
      <c r="W82" s="4" t="s">
        <v>143</v>
      </c>
      <c r="X82" s="4" t="s">
        <v>128</v>
      </c>
      <c r="Y82" s="4" t="s">
        <v>140</v>
      </c>
      <c r="Z82" s="4" t="s">
        <v>132</v>
      </c>
      <c r="AA82" s="4" t="s">
        <v>132</v>
      </c>
      <c r="AB82" s="4" t="s">
        <v>132</v>
      </c>
      <c r="AC82" s="4" t="s">
        <v>125</v>
      </c>
      <c r="AD82" s="4" t="s">
        <v>125</v>
      </c>
      <c r="AE82" s="5">
        <v>0.59708333333333341</v>
      </c>
      <c r="AF82" s="5">
        <v>0.12916666666666665</v>
      </c>
      <c r="AG82" s="5">
        <v>0</v>
      </c>
      <c r="AH82" s="5">
        <v>0.72625000000000006</v>
      </c>
      <c r="AI82" s="6">
        <v>0.97991967871485952</v>
      </c>
      <c r="AJ82" s="7">
        <v>0.36312500000000003</v>
      </c>
      <c r="AK82" s="7">
        <v>0.36312500000000003</v>
      </c>
      <c r="AL82" s="8"/>
      <c r="AM82" s="51">
        <f>AH82*(1-AI82)</f>
        <v>1.4583333333333275E-2</v>
      </c>
      <c r="AN82" s="50" t="str">
        <f>VLOOKUP($E82,'Capgemini PResence and HC'!$B$2:$G$143,4,0)</f>
        <v>N</v>
      </c>
      <c r="AO82" s="50">
        <f>VLOOKUP($E82,'Capgemini PResence and HC'!$B$2:$G$143,2,0)</f>
        <v>0</v>
      </c>
      <c r="AP82" s="50">
        <f>VLOOKUP($E82,'Capgemini PResence and HC'!$B$2:$G$143,3,0)</f>
        <v>0</v>
      </c>
      <c r="AQ82" s="50">
        <f>VLOOKUP($E82,'Capgemini PResence and HC'!$B$2:$G$143,6,0)</f>
        <v>0</v>
      </c>
      <c r="AR82" s="76">
        <f>AH82-AS82</f>
        <v>0.71166666666666678</v>
      </c>
      <c r="AS82" s="67">
        <f>AM82</f>
        <v>1.4583333333333275E-2</v>
      </c>
      <c r="AT82" s="72" t="e">
        <f>#REF!*AT$151</f>
        <v>#REF!</v>
      </c>
      <c r="AU82" s="72" t="e">
        <f>#REF!*AU$151</f>
        <v>#REF!</v>
      </c>
      <c r="AV82" s="72" t="e">
        <f>#REF!*AV$151</f>
        <v>#REF!</v>
      </c>
      <c r="AW82" s="72" t="e">
        <f>#REF!*AW$151</f>
        <v>#REF!</v>
      </c>
      <c r="AX82" s="72" t="e">
        <f>#REF!*AX$151</f>
        <v>#REF!</v>
      </c>
      <c r="AY82" s="72" t="e">
        <f>#REF!*AY$151</f>
        <v>#REF!</v>
      </c>
      <c r="AZ82" s="72" t="e">
        <f>#REF!*AZ$151</f>
        <v>#REF!</v>
      </c>
      <c r="BA82" s="72" t="e">
        <f>#REF!*BA$151</f>
        <v>#REF!</v>
      </c>
      <c r="BB82" s="75">
        <f>SUM(AE82:AG82)-AH82</f>
        <v>0</v>
      </c>
    </row>
    <row r="83" spans="1:54" s="2" customFormat="1" ht="18.75" hidden="1" customHeight="1">
      <c r="A83" s="15" t="s">
        <v>20</v>
      </c>
      <c r="B83" s="15" t="s">
        <v>115</v>
      </c>
      <c r="C83" s="15"/>
      <c r="D83" s="15"/>
      <c r="E83" s="4">
        <v>11004</v>
      </c>
      <c r="F83" s="4" t="s">
        <v>413</v>
      </c>
      <c r="G83" s="4" t="s">
        <v>414</v>
      </c>
      <c r="H83" s="4" t="s">
        <v>415</v>
      </c>
      <c r="I83" s="4" t="s">
        <v>118</v>
      </c>
      <c r="J83" s="4" t="s">
        <v>178</v>
      </c>
      <c r="K83" s="4" t="s">
        <v>120</v>
      </c>
      <c r="L83" s="4" t="s">
        <v>121</v>
      </c>
      <c r="M83" s="4" t="s">
        <v>122</v>
      </c>
      <c r="N83" s="4" t="s">
        <v>123</v>
      </c>
      <c r="O83" s="4" t="s">
        <v>124</v>
      </c>
      <c r="P83" s="4" t="s">
        <v>125</v>
      </c>
      <c r="Q83" s="4" t="s">
        <v>126</v>
      </c>
      <c r="R83" s="4" t="s">
        <v>140</v>
      </c>
      <c r="S83" s="4" t="s">
        <v>115</v>
      </c>
      <c r="T83" s="4" t="s">
        <v>260</v>
      </c>
      <c r="U83" s="4" t="s">
        <v>128</v>
      </c>
      <c r="V83" s="4" t="s">
        <v>416</v>
      </c>
      <c r="W83" s="4" t="s">
        <v>143</v>
      </c>
      <c r="X83" s="4" t="s">
        <v>131</v>
      </c>
      <c r="Y83" s="4" t="s">
        <v>115</v>
      </c>
      <c r="Z83" s="4" t="s">
        <v>132</v>
      </c>
      <c r="AA83" s="4" t="s">
        <v>132</v>
      </c>
      <c r="AB83" s="4" t="s">
        <v>132</v>
      </c>
      <c r="AC83" s="4" t="s">
        <v>125</v>
      </c>
      <c r="AD83" s="4" t="s">
        <v>125</v>
      </c>
      <c r="AE83" s="5">
        <v>21.50612499999999</v>
      </c>
      <c r="AF83" s="5">
        <v>7.7291666666666643</v>
      </c>
      <c r="AG83" s="5">
        <v>0</v>
      </c>
      <c r="AH83" s="5">
        <v>29.235291666666654</v>
      </c>
      <c r="AI83" s="6">
        <v>0.83096913405173833</v>
      </c>
      <c r="AJ83" s="7">
        <v>14.617645833333327</v>
      </c>
      <c r="AK83" s="7">
        <v>14.617645833333327</v>
      </c>
      <c r="AL83" s="8"/>
      <c r="AM83" s="51">
        <f>AH83*(1-AI83)</f>
        <v>4.9416666666666629</v>
      </c>
      <c r="AN83" s="50" t="str">
        <f>VLOOKUP($E83,'Capgemini PResence and HC'!$B$2:$G$143,4,0)</f>
        <v>N</v>
      </c>
      <c r="AO83" s="50">
        <f>VLOOKUP($E83,'Capgemini PResence and HC'!$B$2:$G$143,2,0)</f>
        <v>0</v>
      </c>
      <c r="AP83" s="50">
        <f>VLOOKUP($E83,'Capgemini PResence and HC'!$B$2:$G$143,3,0)</f>
        <v>0</v>
      </c>
      <c r="AQ83" s="50">
        <f>VLOOKUP($E83,'Capgemini PResence and HC'!$B$2:$G$143,6,0)</f>
        <v>0</v>
      </c>
      <c r="AR83" s="65"/>
      <c r="AS83" s="65"/>
      <c r="AT83" s="72" t="e">
        <f>#REF!*AT$151</f>
        <v>#REF!</v>
      </c>
      <c r="AU83" s="72" t="e">
        <f>#REF!*AU$151</f>
        <v>#REF!</v>
      </c>
      <c r="AV83" s="72" t="e">
        <f>#REF!*AV$151</f>
        <v>#REF!</v>
      </c>
      <c r="AW83" s="72" t="e">
        <f>#REF!*AW$151</f>
        <v>#REF!</v>
      </c>
      <c r="AX83" s="72" t="e">
        <f>#REF!*AX$151</f>
        <v>#REF!</v>
      </c>
      <c r="AY83" s="72" t="e">
        <f>#REF!*AY$151</f>
        <v>#REF!</v>
      </c>
      <c r="AZ83" s="72" t="e">
        <f>#REF!*AZ$151</f>
        <v>#REF!</v>
      </c>
      <c r="BA83" s="72" t="e">
        <f>#REF!*BA$151</f>
        <v>#REF!</v>
      </c>
      <c r="BB83" s="75">
        <f>SUM(AE83:AG83)-AH83</f>
        <v>0</v>
      </c>
    </row>
    <row r="84" spans="1:54" s="2" customFormat="1" ht="18.75" hidden="1" customHeight="1">
      <c r="A84" s="15" t="s">
        <v>20</v>
      </c>
      <c r="B84" s="15" t="s">
        <v>115</v>
      </c>
      <c r="C84" s="15"/>
      <c r="D84" s="15"/>
      <c r="E84" s="4">
        <v>9852</v>
      </c>
      <c r="F84" s="4" t="s">
        <v>417</v>
      </c>
      <c r="G84" s="4" t="s">
        <v>418</v>
      </c>
      <c r="H84" s="12" t="s">
        <v>419</v>
      </c>
      <c r="I84" s="4" t="s">
        <v>233</v>
      </c>
      <c r="J84" s="4" t="s">
        <v>119</v>
      </c>
      <c r="K84" s="4" t="s">
        <v>234</v>
      </c>
      <c r="L84" s="4" t="s">
        <v>121</v>
      </c>
      <c r="M84" s="4" t="s">
        <v>122</v>
      </c>
      <c r="N84" s="4" t="s">
        <v>123</v>
      </c>
      <c r="O84" s="4" t="s">
        <v>124</v>
      </c>
      <c r="P84" s="4" t="s">
        <v>125</v>
      </c>
      <c r="Q84" s="4" t="s">
        <v>139</v>
      </c>
      <c r="R84" s="4" t="s">
        <v>140</v>
      </c>
      <c r="S84" s="4" t="s">
        <v>115</v>
      </c>
      <c r="T84" s="4" t="s">
        <v>222</v>
      </c>
      <c r="U84" s="4" t="s">
        <v>128</v>
      </c>
      <c r="V84" s="4" t="s">
        <v>420</v>
      </c>
      <c r="W84" s="4" t="s">
        <v>130</v>
      </c>
      <c r="X84" s="4" t="s">
        <v>128</v>
      </c>
      <c r="Y84" s="4" t="s">
        <v>140</v>
      </c>
      <c r="Z84" s="4" t="s">
        <v>132</v>
      </c>
      <c r="AA84" s="4" t="s">
        <v>125</v>
      </c>
      <c r="AB84" s="4" t="s">
        <v>132</v>
      </c>
      <c r="AC84" s="4" t="s">
        <v>125</v>
      </c>
      <c r="AD84" s="4" t="s">
        <v>125</v>
      </c>
      <c r="AE84" s="5">
        <v>0.5083333333333333</v>
      </c>
      <c r="AF84" s="5">
        <v>0</v>
      </c>
      <c r="AG84" s="5">
        <v>0</v>
      </c>
      <c r="AH84" s="5">
        <v>0.5083333333333333</v>
      </c>
      <c r="AI84" s="6">
        <v>0.36885245901639346</v>
      </c>
      <c r="AJ84" s="7">
        <v>0.25416666666666665</v>
      </c>
      <c r="AK84" s="7">
        <v>0.25416666666666665</v>
      </c>
      <c r="AL84" s="8"/>
      <c r="AM84" s="51">
        <f>AH84*(1-AI84)</f>
        <v>0.32083333333333325</v>
      </c>
      <c r="AN84" s="50" t="str">
        <f>VLOOKUP($E84,'Capgemini PResence and HC'!$B$2:$G$143,4,0)</f>
        <v>N</v>
      </c>
      <c r="AO84" s="50">
        <f>VLOOKUP($E84,'Capgemini PResence and HC'!$B$2:$G$143,2,0)</f>
        <v>0</v>
      </c>
      <c r="AP84" s="50">
        <f>VLOOKUP($E84,'Capgemini PResence and HC'!$B$2:$G$143,3,0)</f>
        <v>0</v>
      </c>
      <c r="AQ84" s="50">
        <f>VLOOKUP($E84,'Capgemini PResence and HC'!$B$2:$G$143,6,0)</f>
        <v>0</v>
      </c>
      <c r="AR84" s="76">
        <f>AH84-AS84</f>
        <v>0.18750000000000006</v>
      </c>
      <c r="AS84" s="67">
        <f>AM84</f>
        <v>0.32083333333333325</v>
      </c>
      <c r="BB84" s="75">
        <f>SUM(AE84:AG84)-AH84</f>
        <v>0</v>
      </c>
    </row>
    <row r="85" spans="1:54" s="2" customFormat="1" ht="18.75" hidden="1" customHeight="1">
      <c r="A85" s="15" t="s">
        <v>20</v>
      </c>
      <c r="B85" s="15" t="s">
        <v>115</v>
      </c>
      <c r="C85" s="15"/>
      <c r="D85" s="15"/>
      <c r="E85" s="4">
        <v>11308</v>
      </c>
      <c r="F85" s="4" t="s">
        <v>421</v>
      </c>
      <c r="G85" s="4" t="s">
        <v>422</v>
      </c>
      <c r="H85" s="4" t="s">
        <v>423</v>
      </c>
      <c r="I85" s="4" t="s">
        <v>233</v>
      </c>
      <c r="J85" s="4" t="s">
        <v>119</v>
      </c>
      <c r="K85" s="4" t="s">
        <v>234</v>
      </c>
      <c r="L85" s="4" t="s">
        <v>121</v>
      </c>
      <c r="M85" s="4" t="s">
        <v>122</v>
      </c>
      <c r="N85" s="4" t="s">
        <v>123</v>
      </c>
      <c r="O85" s="4" t="s">
        <v>124</v>
      </c>
      <c r="P85" s="4" t="s">
        <v>125</v>
      </c>
      <c r="Q85" s="4" t="s">
        <v>159</v>
      </c>
      <c r="R85" s="4" t="s">
        <v>140</v>
      </c>
      <c r="S85" s="4" t="s">
        <v>115</v>
      </c>
      <c r="T85" s="4" t="s">
        <v>229</v>
      </c>
      <c r="U85" s="4" t="s">
        <v>128</v>
      </c>
      <c r="V85" s="4" t="s">
        <v>236</v>
      </c>
      <c r="W85" s="4" t="s">
        <v>143</v>
      </c>
      <c r="X85" s="4" t="s">
        <v>128</v>
      </c>
      <c r="Y85" s="4" t="s">
        <v>140</v>
      </c>
      <c r="Z85" s="4" t="s">
        <v>132</v>
      </c>
      <c r="AA85" s="4" t="s">
        <v>132</v>
      </c>
      <c r="AB85" s="4" t="s">
        <v>132</v>
      </c>
      <c r="AC85" s="4" t="s">
        <v>125</v>
      </c>
      <c r="AD85" s="4" t="s">
        <v>125</v>
      </c>
      <c r="AE85" s="5">
        <v>0.48124999999999996</v>
      </c>
      <c r="AF85" s="5">
        <v>6.25E-2</v>
      </c>
      <c r="AG85" s="5">
        <v>0</v>
      </c>
      <c r="AH85" s="5">
        <v>0.54374999999999996</v>
      </c>
      <c r="AI85" s="6">
        <v>0.37931034482758624</v>
      </c>
      <c r="AJ85" s="7">
        <v>0.27187499999999998</v>
      </c>
      <c r="AK85" s="7">
        <v>0.27187499999999998</v>
      </c>
      <c r="AL85" s="8"/>
      <c r="AM85" s="51">
        <f>AH85*(1-AI85)</f>
        <v>0.33749999999999991</v>
      </c>
      <c r="AN85" s="50" t="str">
        <f>VLOOKUP($E85,'Capgemini PResence and HC'!$B$2:$G$143,4,0)</f>
        <v>N</v>
      </c>
      <c r="AO85" s="50">
        <f>VLOOKUP($E85,'Capgemini PResence and HC'!$B$2:$G$143,2,0)</f>
        <v>0</v>
      </c>
      <c r="AP85" s="50">
        <f>VLOOKUP($E85,'Capgemini PResence and HC'!$B$2:$G$143,3,0)</f>
        <v>0</v>
      </c>
      <c r="AQ85" s="50">
        <f>VLOOKUP($E85,'Capgemini PResence and HC'!$B$2:$G$143,6,0)</f>
        <v>0</v>
      </c>
      <c r="AR85" s="76">
        <f>AH85-AS85</f>
        <v>0.20625000000000004</v>
      </c>
      <c r="AS85" s="67">
        <f>AM85</f>
        <v>0.33749999999999991</v>
      </c>
      <c r="AT85" s="72" t="e">
        <f>#REF!*AT$151</f>
        <v>#REF!</v>
      </c>
      <c r="AU85" s="72" t="e">
        <f>#REF!*AU$151</f>
        <v>#REF!</v>
      </c>
      <c r="AV85" s="72" t="e">
        <f>#REF!*AV$151</f>
        <v>#REF!</v>
      </c>
      <c r="AW85" s="72" t="e">
        <f>#REF!*AW$151</f>
        <v>#REF!</v>
      </c>
      <c r="AX85" s="72" t="e">
        <f>#REF!*AX$151</f>
        <v>#REF!</v>
      </c>
      <c r="AY85" s="72" t="e">
        <f>#REF!*AY$151</f>
        <v>#REF!</v>
      </c>
      <c r="AZ85" s="72" t="e">
        <f>#REF!*AZ$151</f>
        <v>#REF!</v>
      </c>
      <c r="BA85" s="72" t="e">
        <f>#REF!*BA$151</f>
        <v>#REF!</v>
      </c>
      <c r="BB85" s="75">
        <f>SUM(AE85:AG85)-AH85</f>
        <v>0</v>
      </c>
    </row>
    <row r="86" spans="1:54" s="2" customFormat="1" ht="18.75" hidden="1" customHeight="1">
      <c r="A86" s="15" t="s">
        <v>20</v>
      </c>
      <c r="B86" s="15" t="s">
        <v>115</v>
      </c>
      <c r="C86" s="15"/>
      <c r="D86" s="15"/>
      <c r="E86" s="4">
        <v>11008</v>
      </c>
      <c r="F86" s="4" t="s">
        <v>424</v>
      </c>
      <c r="G86" s="4" t="s">
        <v>425</v>
      </c>
      <c r="H86" s="4" t="s">
        <v>425</v>
      </c>
      <c r="I86" s="4" t="s">
        <v>272</v>
      </c>
      <c r="J86" s="4" t="s">
        <v>273</v>
      </c>
      <c r="K86" s="4" t="s">
        <v>312</v>
      </c>
      <c r="L86" s="4" t="s">
        <v>121</v>
      </c>
      <c r="M86" s="4" t="s">
        <v>122</v>
      </c>
      <c r="N86" s="4" t="s">
        <v>123</v>
      </c>
      <c r="O86" s="4" t="s">
        <v>124</v>
      </c>
      <c r="P86" s="4" t="s">
        <v>125</v>
      </c>
      <c r="Q86" s="4" t="s">
        <v>126</v>
      </c>
      <c r="R86" s="4" t="s">
        <v>140</v>
      </c>
      <c r="S86" s="4" t="s">
        <v>115</v>
      </c>
      <c r="T86" s="4" t="s">
        <v>260</v>
      </c>
      <c r="U86" s="4" t="s">
        <v>128</v>
      </c>
      <c r="V86" s="4" t="s">
        <v>236</v>
      </c>
      <c r="W86" s="4" t="s">
        <v>143</v>
      </c>
      <c r="X86" s="4" t="s">
        <v>128</v>
      </c>
      <c r="Y86" s="4" t="s">
        <v>140</v>
      </c>
      <c r="Z86" s="4" t="s">
        <v>132</v>
      </c>
      <c r="AA86" s="4" t="s">
        <v>132</v>
      </c>
      <c r="AB86" s="4" t="s">
        <v>132</v>
      </c>
      <c r="AC86" s="4" t="s">
        <v>125</v>
      </c>
      <c r="AD86" s="4" t="s">
        <v>125</v>
      </c>
      <c r="AE86" s="5">
        <v>0.13541666666666669</v>
      </c>
      <c r="AF86" s="5">
        <v>1.6666666666666666E-2</v>
      </c>
      <c r="AG86" s="5">
        <v>0</v>
      </c>
      <c r="AH86" s="5">
        <v>0.15208333333333335</v>
      </c>
      <c r="AI86" s="6">
        <v>0.52054794520547942</v>
      </c>
      <c r="AJ86" s="7">
        <v>7.6041666666666674E-2</v>
      </c>
      <c r="AK86" s="7">
        <v>7.6041666666666674E-2</v>
      </c>
      <c r="AL86" s="8"/>
      <c r="AM86" s="51">
        <f>AH86*(1-AI86)</f>
        <v>7.2916666666666671E-2</v>
      </c>
      <c r="AN86" s="50" t="str">
        <f>VLOOKUP($E86,'Capgemini PResence and HC'!$B$2:$G$143,4,0)</f>
        <v>N</v>
      </c>
      <c r="AO86" s="50">
        <f>VLOOKUP($E86,'Capgemini PResence and HC'!$B$2:$G$143,2,0)</f>
        <v>0</v>
      </c>
      <c r="AP86" s="50">
        <f>VLOOKUP($E86,'Capgemini PResence and HC'!$B$2:$G$143,3,0)</f>
        <v>0</v>
      </c>
      <c r="AQ86" s="50">
        <f>VLOOKUP($E86,'Capgemini PResence and HC'!$B$2:$G$143,6,0)</f>
        <v>0</v>
      </c>
      <c r="AR86" s="65"/>
      <c r="AS86" s="65"/>
      <c r="AT86" s="72" t="e">
        <f>#REF!*AT$151</f>
        <v>#REF!</v>
      </c>
      <c r="AU86" s="72" t="e">
        <f>#REF!*AU$151</f>
        <v>#REF!</v>
      </c>
      <c r="AV86" s="72" t="e">
        <f>#REF!*AV$151</f>
        <v>#REF!</v>
      </c>
      <c r="AW86" s="72" t="e">
        <f>#REF!*AW$151</f>
        <v>#REF!</v>
      </c>
      <c r="AX86" s="72" t="e">
        <f>#REF!*AX$151</f>
        <v>#REF!</v>
      </c>
      <c r="AY86" s="72" t="e">
        <f>#REF!*AY$151</f>
        <v>#REF!</v>
      </c>
      <c r="AZ86" s="72" t="e">
        <f>#REF!*AZ$151</f>
        <v>#REF!</v>
      </c>
      <c r="BA86" s="72" t="e">
        <f>#REF!*BA$151</f>
        <v>#REF!</v>
      </c>
      <c r="BB86" s="75">
        <f>SUM(AE86:AG86)-AH86</f>
        <v>0</v>
      </c>
    </row>
    <row r="87" spans="1:54" s="2" customFormat="1" ht="18.75" hidden="1" customHeight="1">
      <c r="A87" s="15" t="s">
        <v>20</v>
      </c>
      <c r="B87" s="15" t="s">
        <v>115</v>
      </c>
      <c r="C87" s="15"/>
      <c r="D87" s="15"/>
      <c r="E87" s="4">
        <v>9940</v>
      </c>
      <c r="F87" s="4" t="s">
        <v>426</v>
      </c>
      <c r="G87" s="4" t="s">
        <v>427</v>
      </c>
      <c r="H87" s="12" t="s">
        <v>428</v>
      </c>
      <c r="I87" s="4" t="s">
        <v>233</v>
      </c>
      <c r="J87" s="4" t="s">
        <v>119</v>
      </c>
      <c r="K87" s="4" t="s">
        <v>234</v>
      </c>
      <c r="L87" s="4" t="s">
        <v>121</v>
      </c>
      <c r="M87" s="4" t="s">
        <v>122</v>
      </c>
      <c r="N87" s="4" t="s">
        <v>123</v>
      </c>
      <c r="O87" s="4" t="s">
        <v>124</v>
      </c>
      <c r="P87" s="4" t="s">
        <v>125</v>
      </c>
      <c r="Q87" s="4" t="s">
        <v>126</v>
      </c>
      <c r="R87" s="4" t="s">
        <v>140</v>
      </c>
      <c r="S87" s="4" t="s">
        <v>115</v>
      </c>
      <c r="T87" s="4" t="s">
        <v>260</v>
      </c>
      <c r="U87" s="4" t="s">
        <v>128</v>
      </c>
      <c r="V87" s="4" t="s">
        <v>236</v>
      </c>
      <c r="W87" s="4" t="s">
        <v>143</v>
      </c>
      <c r="X87" s="4" t="s">
        <v>128</v>
      </c>
      <c r="Y87" s="4" t="s">
        <v>140</v>
      </c>
      <c r="Z87" s="4" t="s">
        <v>132</v>
      </c>
      <c r="AA87" s="4" t="s">
        <v>132</v>
      </c>
      <c r="AB87" s="4" t="s">
        <v>132</v>
      </c>
      <c r="AC87" s="4" t="s">
        <v>125</v>
      </c>
      <c r="AD87" s="4" t="s">
        <v>125</v>
      </c>
      <c r="AE87" s="5">
        <v>0.38750000000000007</v>
      </c>
      <c r="AF87" s="5">
        <v>2.4999999999999998E-2</v>
      </c>
      <c r="AG87" s="5">
        <v>0</v>
      </c>
      <c r="AH87" s="5">
        <v>0.41250000000000009</v>
      </c>
      <c r="AI87" s="6">
        <v>0.81818181818181812</v>
      </c>
      <c r="AJ87" s="7">
        <v>0.20625000000000004</v>
      </c>
      <c r="AK87" s="7">
        <v>0.20625000000000004</v>
      </c>
      <c r="AL87" s="8"/>
      <c r="AM87" s="51">
        <f>AH87*(1-AI87)</f>
        <v>7.5000000000000039E-2</v>
      </c>
      <c r="AN87" s="50" t="str">
        <f>VLOOKUP($E87,'Capgemini PResence and HC'!$B$2:$G$143,4,0)</f>
        <v>N</v>
      </c>
      <c r="AO87" s="50">
        <f>VLOOKUP($E87,'Capgemini PResence and HC'!$B$2:$G$143,2,0)</f>
        <v>0</v>
      </c>
      <c r="AP87" s="50">
        <f>VLOOKUP($E87,'Capgemini PResence and HC'!$B$2:$G$143,3,0)</f>
        <v>0</v>
      </c>
      <c r="AQ87" s="50">
        <f>VLOOKUP($E87,'Capgemini PResence and HC'!$B$2:$G$143,6,0)</f>
        <v>0</v>
      </c>
      <c r="AR87" s="76">
        <f>AH87-AS87</f>
        <v>0.33750000000000002</v>
      </c>
      <c r="AS87" s="67">
        <f>AM87</f>
        <v>7.5000000000000039E-2</v>
      </c>
      <c r="AT87" s="72" t="e">
        <f>#REF!*AT$151</f>
        <v>#REF!</v>
      </c>
      <c r="AU87" s="72" t="e">
        <f>#REF!*AU$151</f>
        <v>#REF!</v>
      </c>
      <c r="AV87" s="72" t="e">
        <f>#REF!*AV$151</f>
        <v>#REF!</v>
      </c>
      <c r="AW87" s="72" t="e">
        <f>#REF!*AW$151</f>
        <v>#REF!</v>
      </c>
      <c r="AX87" s="72" t="e">
        <f>#REF!*AX$151</f>
        <v>#REF!</v>
      </c>
      <c r="AY87" s="72" t="e">
        <f>#REF!*AY$151</f>
        <v>#REF!</v>
      </c>
      <c r="AZ87" s="72" t="e">
        <f>#REF!*AZ$151</f>
        <v>#REF!</v>
      </c>
      <c r="BA87" s="72" t="e">
        <f>#REF!*BA$151</f>
        <v>#REF!</v>
      </c>
      <c r="BB87" s="75">
        <f>SUM(AE87:AG87)-AH87</f>
        <v>0</v>
      </c>
    </row>
    <row r="88" spans="1:54" s="2" customFormat="1" ht="21" hidden="1" customHeight="1">
      <c r="A88" s="15" t="s">
        <v>20</v>
      </c>
      <c r="B88" s="15" t="s">
        <v>115</v>
      </c>
      <c r="C88" s="15"/>
      <c r="D88" s="15"/>
      <c r="E88" s="4">
        <v>9907</v>
      </c>
      <c r="F88" s="4" t="s">
        <v>429</v>
      </c>
      <c r="G88" s="4" t="s">
        <v>430</v>
      </c>
      <c r="H88" s="4" t="s">
        <v>431</v>
      </c>
      <c r="I88" s="4" t="s">
        <v>233</v>
      </c>
      <c r="J88" s="4" t="s">
        <v>119</v>
      </c>
      <c r="K88" s="4" t="s">
        <v>234</v>
      </c>
      <c r="L88" s="4" t="s">
        <v>121</v>
      </c>
      <c r="M88" s="4" t="s">
        <v>122</v>
      </c>
      <c r="N88" s="4" t="s">
        <v>123</v>
      </c>
      <c r="O88" s="4" t="s">
        <v>124</v>
      </c>
      <c r="P88" s="4" t="s">
        <v>125</v>
      </c>
      <c r="Q88" s="4" t="s">
        <v>139</v>
      </c>
      <c r="R88" s="4" t="s">
        <v>140</v>
      </c>
      <c r="S88" s="4" t="s">
        <v>115</v>
      </c>
      <c r="T88" s="4" t="s">
        <v>260</v>
      </c>
      <c r="U88" s="4" t="s">
        <v>128</v>
      </c>
      <c r="V88" s="4" t="s">
        <v>236</v>
      </c>
      <c r="W88" s="4" t="s">
        <v>143</v>
      </c>
      <c r="X88" s="4" t="s">
        <v>128</v>
      </c>
      <c r="Y88" s="4" t="s">
        <v>140</v>
      </c>
      <c r="Z88" s="4" t="s">
        <v>132</v>
      </c>
      <c r="AA88" s="4" t="s">
        <v>132</v>
      </c>
      <c r="AB88" s="4" t="s">
        <v>132</v>
      </c>
      <c r="AC88" s="4" t="s">
        <v>125</v>
      </c>
      <c r="AD88" s="4" t="s">
        <v>125</v>
      </c>
      <c r="AE88" s="5">
        <v>0.38583333333333336</v>
      </c>
      <c r="AF88" s="5">
        <v>0</v>
      </c>
      <c r="AG88" s="5">
        <v>0</v>
      </c>
      <c r="AH88" s="5">
        <v>0.38583333333333336</v>
      </c>
      <c r="AI88" s="6">
        <v>0.35205183585313171</v>
      </c>
      <c r="AJ88" s="7">
        <v>0.19291666666666668</v>
      </c>
      <c r="AK88" s="7">
        <v>0.19291666666666668</v>
      </c>
      <c r="AL88" s="8"/>
      <c r="AM88" s="51">
        <f>AH88*(1-AI88)</f>
        <v>0.25000000000000006</v>
      </c>
      <c r="AN88" s="50" t="str">
        <f>VLOOKUP($E88,'Capgemini PResence and HC'!$B$2:$G$143,4,0)</f>
        <v>N</v>
      </c>
      <c r="AO88" s="50">
        <f>VLOOKUP($E88,'Capgemini PResence and HC'!$B$2:$G$143,2,0)</f>
        <v>0</v>
      </c>
      <c r="AP88" s="50">
        <f>VLOOKUP($E88,'Capgemini PResence and HC'!$B$2:$G$143,3,0)</f>
        <v>0</v>
      </c>
      <c r="AQ88" s="50">
        <f>VLOOKUP($E88,'Capgemini PResence and HC'!$B$2:$G$143,6,0)</f>
        <v>0</v>
      </c>
      <c r="AR88" s="76">
        <f>AH88-AS88</f>
        <v>0.13583333333333331</v>
      </c>
      <c r="AS88" s="67">
        <f>AM88</f>
        <v>0.25000000000000006</v>
      </c>
      <c r="AT88" s="72" t="e">
        <f>#REF!*AT$151</f>
        <v>#REF!</v>
      </c>
      <c r="AU88" s="72" t="e">
        <f>#REF!*AU$151</f>
        <v>#REF!</v>
      </c>
      <c r="AV88" s="72" t="e">
        <f>#REF!*AV$151</f>
        <v>#REF!</v>
      </c>
      <c r="AW88" s="72" t="e">
        <f>#REF!*AW$151</f>
        <v>#REF!</v>
      </c>
      <c r="AX88" s="72" t="e">
        <f>#REF!*AX$151</f>
        <v>#REF!</v>
      </c>
      <c r="AY88" s="72" t="e">
        <f>#REF!*AY$151</f>
        <v>#REF!</v>
      </c>
      <c r="AZ88" s="72" t="e">
        <f>#REF!*AZ$151</f>
        <v>#REF!</v>
      </c>
      <c r="BA88" s="72" t="e">
        <f>#REF!*BA$151</f>
        <v>#REF!</v>
      </c>
      <c r="BB88" s="75">
        <f>SUM(AE88:AG88)-AH88</f>
        <v>0</v>
      </c>
    </row>
    <row r="89" spans="1:54" s="2" customFormat="1" ht="10.5" hidden="1" customHeight="1">
      <c r="A89" s="15" t="s">
        <v>20</v>
      </c>
      <c r="B89" s="15" t="s">
        <v>115</v>
      </c>
      <c r="C89" s="15"/>
      <c r="D89" s="15"/>
      <c r="E89" s="4">
        <v>11012</v>
      </c>
      <c r="F89" s="4" t="s">
        <v>432</v>
      </c>
      <c r="G89" s="4" t="s">
        <v>433</v>
      </c>
      <c r="H89" s="9" t="s">
        <v>434</v>
      </c>
      <c r="I89" s="4" t="s">
        <v>213</v>
      </c>
      <c r="J89" s="4" t="s">
        <v>199</v>
      </c>
      <c r="K89" s="4" t="s">
        <v>268</v>
      </c>
      <c r="L89" s="4" t="s">
        <v>121</v>
      </c>
      <c r="M89" s="4" t="s">
        <v>122</v>
      </c>
      <c r="N89" s="4" t="s">
        <v>123</v>
      </c>
      <c r="O89" s="4" t="s">
        <v>124</v>
      </c>
      <c r="P89" s="4" t="s">
        <v>125</v>
      </c>
      <c r="Q89" s="4" t="s">
        <v>139</v>
      </c>
      <c r="R89" s="4" t="s">
        <v>140</v>
      </c>
      <c r="S89" s="4" t="s">
        <v>115</v>
      </c>
      <c r="T89" s="4" t="s">
        <v>229</v>
      </c>
      <c r="U89" s="4" t="s">
        <v>128</v>
      </c>
      <c r="V89" s="4" t="s">
        <v>236</v>
      </c>
      <c r="W89" s="4" t="s">
        <v>143</v>
      </c>
      <c r="X89" s="4" t="s">
        <v>128</v>
      </c>
      <c r="Y89" s="4" t="s">
        <v>140</v>
      </c>
      <c r="Z89" s="4" t="s">
        <v>132</v>
      </c>
      <c r="AA89" s="4" t="s">
        <v>132</v>
      </c>
      <c r="AB89" s="4" t="s">
        <v>132</v>
      </c>
      <c r="AC89" s="4" t="s">
        <v>125</v>
      </c>
      <c r="AD89" s="4" t="s">
        <v>125</v>
      </c>
      <c r="AE89" s="5">
        <v>1.6523333333333334</v>
      </c>
      <c r="AF89" s="5">
        <v>0.29166666666666669</v>
      </c>
      <c r="AG89" s="5">
        <v>0</v>
      </c>
      <c r="AH89" s="5">
        <v>1.9440000000000002</v>
      </c>
      <c r="AI89" s="6">
        <v>0.83217592592592593</v>
      </c>
      <c r="AJ89" s="7">
        <v>0.97200000000000009</v>
      </c>
      <c r="AK89" s="7">
        <v>0.97200000000000009</v>
      </c>
      <c r="AL89" s="8"/>
      <c r="AM89" s="51">
        <f>AH89*(1-AI89)</f>
        <v>0.32625000000000004</v>
      </c>
      <c r="AN89" s="50" t="str">
        <f>VLOOKUP($E89,'Capgemini PResence and HC'!$B$2:$G$143,4,0)</f>
        <v>Y</v>
      </c>
      <c r="AO89" s="50">
        <f>VLOOKUP($E89,'Capgemini PResence and HC'!$B$2:$G$143,2,0)</f>
        <v>0</v>
      </c>
      <c r="AP89" s="50">
        <f>VLOOKUP($E89,'Capgemini PResence and HC'!$B$2:$G$143,3,0)</f>
        <v>1</v>
      </c>
      <c r="AQ89" s="50">
        <f>VLOOKUP($E89,'Capgemini PResence and HC'!$B$2:$G$143,6,0)</f>
        <v>0</v>
      </c>
      <c r="AR89" s="65"/>
      <c r="AS89" s="65"/>
      <c r="AT89" s="72" t="e">
        <f>#REF!*AT$151</f>
        <v>#REF!</v>
      </c>
      <c r="AU89" s="72" t="e">
        <f>#REF!*AU$151</f>
        <v>#REF!</v>
      </c>
      <c r="AV89" s="72" t="e">
        <f>#REF!*AV$151</f>
        <v>#REF!</v>
      </c>
      <c r="AW89" s="72" t="e">
        <f>#REF!*AW$151</f>
        <v>#REF!</v>
      </c>
      <c r="AX89" s="72" t="e">
        <f>#REF!*AX$151</f>
        <v>#REF!</v>
      </c>
      <c r="AY89" s="72" t="e">
        <f>#REF!*AY$151</f>
        <v>#REF!</v>
      </c>
      <c r="AZ89" s="72" t="e">
        <f>#REF!*AZ$151</f>
        <v>#REF!</v>
      </c>
      <c r="BA89" s="72" t="e">
        <f>#REF!*BA$151</f>
        <v>#REF!</v>
      </c>
      <c r="BB89" s="75">
        <f>SUM(AE89:AG89)-AH89</f>
        <v>0</v>
      </c>
    </row>
    <row r="90" spans="1:54" ht="303.75" hidden="1">
      <c r="A90" s="18" t="s">
        <v>21</v>
      </c>
      <c r="B90" s="18" t="s">
        <v>115</v>
      </c>
      <c r="C90" s="18" t="s">
        <v>115</v>
      </c>
      <c r="D90" s="20" t="s">
        <v>435</v>
      </c>
      <c r="E90" s="28">
        <v>11014</v>
      </c>
      <c r="F90" s="28" t="s">
        <v>436</v>
      </c>
      <c r="G90" s="28" t="s">
        <v>437</v>
      </c>
      <c r="H90" s="28" t="s">
        <v>438</v>
      </c>
      <c r="I90" s="28" t="s">
        <v>353</v>
      </c>
      <c r="J90" s="28" t="s">
        <v>354</v>
      </c>
      <c r="K90" s="28" t="s">
        <v>354</v>
      </c>
      <c r="L90" s="28" t="s">
        <v>121</v>
      </c>
      <c r="M90" s="28" t="s">
        <v>192</v>
      </c>
      <c r="N90" s="28" t="s">
        <v>123</v>
      </c>
      <c r="O90" s="28" t="s">
        <v>124</v>
      </c>
      <c r="P90" s="28" t="s">
        <v>125</v>
      </c>
      <c r="Q90" s="28" t="s">
        <v>139</v>
      </c>
      <c r="R90" s="28" t="s">
        <v>140</v>
      </c>
      <c r="S90" s="28" t="s">
        <v>115</v>
      </c>
      <c r="T90" s="28" t="s">
        <v>439</v>
      </c>
      <c r="U90" s="28" t="s">
        <v>128</v>
      </c>
      <c r="V90" s="28" t="s">
        <v>440</v>
      </c>
      <c r="W90" s="28" t="s">
        <v>143</v>
      </c>
      <c r="X90" s="28" t="s">
        <v>128</v>
      </c>
      <c r="Y90" s="28" t="s">
        <v>441</v>
      </c>
      <c r="Z90" s="28" t="s">
        <v>132</v>
      </c>
      <c r="AA90" s="28" t="s">
        <v>132</v>
      </c>
      <c r="AB90" s="28" t="s">
        <v>132</v>
      </c>
      <c r="AC90" s="32" t="s">
        <v>132</v>
      </c>
      <c r="AD90" s="28" t="s">
        <v>132</v>
      </c>
      <c r="AE90" s="29">
        <v>29.097916666666663</v>
      </c>
      <c r="AF90" s="29">
        <v>6.8250000000000011</v>
      </c>
      <c r="AG90" s="29">
        <v>6.8500000000000005</v>
      </c>
      <c r="AH90" s="29">
        <v>42.772916666666667</v>
      </c>
      <c r="AI90" s="30">
        <v>0.88284058253372955</v>
      </c>
      <c r="AJ90" s="31">
        <v>21.386458333333334</v>
      </c>
      <c r="AK90" s="31">
        <v>21.386458333333334</v>
      </c>
      <c r="AL90" s="33" t="s">
        <v>442</v>
      </c>
      <c r="AM90" s="52">
        <f>AH90*(1-AI90)</f>
        <v>5.0112499999999978</v>
      </c>
      <c r="AN90" s="50" t="str">
        <f>VLOOKUP($E90,'Capgemini PResence and HC'!$B$2:$G$143,4,0)</f>
        <v>Y</v>
      </c>
      <c r="AO90" s="50">
        <f>VLOOKUP($E90,'Capgemini PResence and HC'!$B$2:$G$143,2,0)</f>
        <v>9</v>
      </c>
      <c r="AP90" s="50">
        <f>VLOOKUP($E90,'Capgemini PResence and HC'!$B$2:$G$143,3,0)</f>
        <v>0</v>
      </c>
      <c r="AQ90" s="50">
        <f>VLOOKUP($E90,'Capgemini PResence and HC'!$B$2:$G$143,6,0)</f>
        <v>9.4499999999999993</v>
      </c>
      <c r="AR90" s="65"/>
      <c r="AS90" s="65"/>
      <c r="AT90" s="72" t="e">
        <f>#REF!*AT$151</f>
        <v>#REF!</v>
      </c>
      <c r="AU90" s="72" t="e">
        <f>#REF!*AU$151</f>
        <v>#REF!</v>
      </c>
      <c r="AV90" s="72" t="e">
        <f>#REF!*AV$151</f>
        <v>#REF!</v>
      </c>
      <c r="AW90" s="72" t="e">
        <f>#REF!*AW$151</f>
        <v>#REF!</v>
      </c>
      <c r="AX90" s="72" t="e">
        <f>#REF!*AX$151</f>
        <v>#REF!</v>
      </c>
      <c r="AY90" s="72" t="e">
        <f>#REF!*AY$151</f>
        <v>#REF!</v>
      </c>
      <c r="AZ90" s="72" t="e">
        <f>#REF!*AZ$151</f>
        <v>#REF!</v>
      </c>
      <c r="BA90" s="72" t="e">
        <f>#REF!*BA$151</f>
        <v>#REF!</v>
      </c>
      <c r="BB90" s="75">
        <f>SUM(AE90:AG90)-AH90</f>
        <v>0</v>
      </c>
    </row>
    <row r="91" spans="1:54" s="2" customFormat="1" ht="18.75" hidden="1" customHeight="1">
      <c r="A91" s="15" t="s">
        <v>22</v>
      </c>
      <c r="B91" s="15" t="s">
        <v>115</v>
      </c>
      <c r="C91" s="15"/>
      <c r="D91" s="15"/>
      <c r="E91" s="4">
        <v>11203</v>
      </c>
      <c r="F91" s="4" t="s">
        <v>24</v>
      </c>
      <c r="G91" s="4" t="s">
        <v>443</v>
      </c>
      <c r="H91" s="4" t="s">
        <v>444</v>
      </c>
      <c r="I91" s="4" t="s">
        <v>287</v>
      </c>
      <c r="J91" s="4" t="s">
        <v>273</v>
      </c>
      <c r="K91" s="4" t="s">
        <v>288</v>
      </c>
      <c r="L91" s="4" t="s">
        <v>121</v>
      </c>
      <c r="M91" s="4" t="s">
        <v>122</v>
      </c>
      <c r="N91" s="4" t="s">
        <v>123</v>
      </c>
      <c r="O91" s="4" t="s">
        <v>124</v>
      </c>
      <c r="P91" s="4" t="s">
        <v>125</v>
      </c>
      <c r="Q91" s="4" t="s">
        <v>126</v>
      </c>
      <c r="R91" s="4" t="s">
        <v>140</v>
      </c>
      <c r="S91" s="4" t="s">
        <v>140</v>
      </c>
      <c r="T91" s="4" t="s">
        <v>260</v>
      </c>
      <c r="U91" s="4" t="s">
        <v>128</v>
      </c>
      <c r="V91" s="4" t="s">
        <v>445</v>
      </c>
      <c r="W91" s="4" t="s">
        <v>130</v>
      </c>
      <c r="X91" s="4" t="s">
        <v>131</v>
      </c>
      <c r="Y91" s="4" t="s">
        <v>115</v>
      </c>
      <c r="Z91" s="4" t="s">
        <v>132</v>
      </c>
      <c r="AA91" s="4" t="s">
        <v>132</v>
      </c>
      <c r="AB91" s="4" t="s">
        <v>132</v>
      </c>
      <c r="AC91" s="4" t="s">
        <v>125</v>
      </c>
      <c r="AD91" s="4" t="s">
        <v>132</v>
      </c>
      <c r="AE91" s="5">
        <v>20.833333333333332</v>
      </c>
      <c r="AF91" s="5">
        <v>10.004166666666666</v>
      </c>
      <c r="AG91" s="5">
        <v>12.724999999999998</v>
      </c>
      <c r="AH91" s="5">
        <v>43.5625</v>
      </c>
      <c r="AI91" s="6">
        <v>0.86915351506456251</v>
      </c>
      <c r="AJ91" s="7">
        <v>21.78125</v>
      </c>
      <c r="AK91" s="7">
        <v>21.78125</v>
      </c>
      <c r="AL91" s="4" t="s">
        <v>446</v>
      </c>
      <c r="AM91" s="52">
        <f>AH91*(1-AI91)</f>
        <v>5.6999999999999957</v>
      </c>
      <c r="AN91" s="50" t="str">
        <f>VLOOKUP($E91,'Capgemini PResence and HC'!$B$2:$G$143,4,0)</f>
        <v>Y</v>
      </c>
      <c r="AO91" s="50">
        <f>VLOOKUP($E91,'Capgemini PResence and HC'!$B$2:$G$143,2,0)</f>
        <v>14</v>
      </c>
      <c r="AP91" s="50">
        <f>VLOOKUP($E91,'Capgemini PResence and HC'!$B$2:$G$143,3,0)</f>
        <v>0</v>
      </c>
      <c r="AQ91" s="50">
        <f>VLOOKUP($E91,'Capgemini PResence and HC'!$B$2:$G$143,6,0)</f>
        <v>16.537500000000001</v>
      </c>
      <c r="AR91" s="68">
        <f>AE91-AS91</f>
        <v>15.133333333333336</v>
      </c>
      <c r="AS91" s="67">
        <f>AM91</f>
        <v>5.6999999999999957</v>
      </c>
      <c r="AT91" s="72" t="e">
        <f>#REF!*AT$151</f>
        <v>#REF!</v>
      </c>
      <c r="AU91" s="72" t="e">
        <f>#REF!*AU$151</f>
        <v>#REF!</v>
      </c>
      <c r="AV91" s="72" t="e">
        <f>#REF!*AV$151</f>
        <v>#REF!</v>
      </c>
      <c r="AW91" s="70" t="e">
        <f>#REF!*AW$151</f>
        <v>#REF!</v>
      </c>
      <c r="AX91" s="70" t="e">
        <f>#REF!*AX$151</f>
        <v>#REF!</v>
      </c>
      <c r="AY91" s="70" t="e">
        <f>#REF!*AY$151</f>
        <v>#REF!</v>
      </c>
      <c r="AZ91" s="70" t="e">
        <f>#REF!*AZ$151</f>
        <v>#REF!</v>
      </c>
      <c r="BA91" s="72" t="e">
        <f>#REF!*BA$151</f>
        <v>#REF!</v>
      </c>
      <c r="BB91" s="75">
        <f>SUM(AE91:AG91)-AH91</f>
        <v>0</v>
      </c>
    </row>
    <row r="92" spans="1:54" s="2" customFormat="1" ht="18.75" hidden="1" customHeight="1">
      <c r="A92" s="15" t="s">
        <v>20</v>
      </c>
      <c r="B92" s="15" t="s">
        <v>115</v>
      </c>
      <c r="C92" s="15"/>
      <c r="D92" s="15"/>
      <c r="E92" s="4">
        <v>11005</v>
      </c>
      <c r="F92" s="4" t="s">
        <v>447</v>
      </c>
      <c r="G92" s="4" t="s">
        <v>448</v>
      </c>
      <c r="H92" s="4" t="s">
        <v>449</v>
      </c>
      <c r="I92" s="4" t="s">
        <v>233</v>
      </c>
      <c r="J92" s="4" t="s">
        <v>119</v>
      </c>
      <c r="K92" s="4" t="s">
        <v>234</v>
      </c>
      <c r="L92" s="4" t="s">
        <v>121</v>
      </c>
      <c r="M92" s="4" t="s">
        <v>122</v>
      </c>
      <c r="N92" s="4" t="s">
        <v>123</v>
      </c>
      <c r="O92" s="4" t="s">
        <v>124</v>
      </c>
      <c r="P92" s="4" t="s">
        <v>125</v>
      </c>
      <c r="Q92" s="4" t="s">
        <v>126</v>
      </c>
      <c r="R92" s="4" t="s">
        <v>140</v>
      </c>
      <c r="S92" s="4" t="s">
        <v>115</v>
      </c>
      <c r="T92" s="4" t="s">
        <v>260</v>
      </c>
      <c r="U92" s="4" t="s">
        <v>128</v>
      </c>
      <c r="V92" s="4" t="s">
        <v>236</v>
      </c>
      <c r="W92" s="4" t="s">
        <v>143</v>
      </c>
      <c r="X92" s="4" t="s">
        <v>302</v>
      </c>
      <c r="Y92" s="4" t="s">
        <v>115</v>
      </c>
      <c r="Z92" s="4" t="s">
        <v>132</v>
      </c>
      <c r="AA92" s="4" t="s">
        <v>132</v>
      </c>
      <c r="AB92" s="4" t="s">
        <v>132</v>
      </c>
      <c r="AC92" s="4" t="s">
        <v>125</v>
      </c>
      <c r="AD92" s="4" t="s">
        <v>125</v>
      </c>
      <c r="AE92" s="5">
        <v>0.36249999999999999</v>
      </c>
      <c r="AF92" s="5">
        <v>4.1666666666666664E-2</v>
      </c>
      <c r="AG92" s="5">
        <v>0.5</v>
      </c>
      <c r="AH92" s="5">
        <v>0.90416666666666667</v>
      </c>
      <c r="AI92" s="6">
        <v>0.44700460829493088</v>
      </c>
      <c r="AJ92" s="7">
        <v>0.45208333333333334</v>
      </c>
      <c r="AK92" s="7">
        <v>0.45208333333333334</v>
      </c>
      <c r="AL92" s="8"/>
      <c r="AM92" s="51">
        <f>AH92*(1-AI92)</f>
        <v>0.5</v>
      </c>
      <c r="AN92" s="50" t="str">
        <f>VLOOKUP($E92,'Capgemini PResence and HC'!$B$2:$G$143,4,0)</f>
        <v>N</v>
      </c>
      <c r="AO92" s="50">
        <f>VLOOKUP($E92,'Capgemini PResence and HC'!$B$2:$G$143,2,0)</f>
        <v>0</v>
      </c>
      <c r="AP92" s="50">
        <f>VLOOKUP($E92,'Capgemini PResence and HC'!$B$2:$G$143,3,0)</f>
        <v>0</v>
      </c>
      <c r="AQ92" s="50">
        <f>VLOOKUP($E92,'Capgemini PResence and HC'!$B$2:$G$143,6,0)</f>
        <v>0</v>
      </c>
      <c r="AR92" s="76">
        <f>AH92-AS92</f>
        <v>0.40416666666666667</v>
      </c>
      <c r="AS92" s="67">
        <f>AM92</f>
        <v>0.5</v>
      </c>
      <c r="AT92" s="72" t="e">
        <f>#REF!*AT$151</f>
        <v>#REF!</v>
      </c>
      <c r="AU92" s="72" t="e">
        <f>#REF!*AU$151</f>
        <v>#REF!</v>
      </c>
      <c r="AV92" s="72" t="e">
        <f>#REF!*AV$151</f>
        <v>#REF!</v>
      </c>
      <c r="AW92" s="72" t="e">
        <f>#REF!*AW$151</f>
        <v>#REF!</v>
      </c>
      <c r="AX92" s="72" t="e">
        <f>#REF!*AX$151</f>
        <v>#REF!</v>
      </c>
      <c r="AY92" s="72" t="e">
        <f>#REF!*AY$151</f>
        <v>#REF!</v>
      </c>
      <c r="AZ92" s="72" t="e">
        <f>#REF!*AZ$151</f>
        <v>#REF!</v>
      </c>
      <c r="BA92" s="72" t="e">
        <f>#REF!*BA$151</f>
        <v>#REF!</v>
      </c>
      <c r="BB92" s="75">
        <f>SUM(AE92:AG92)-AH92</f>
        <v>0</v>
      </c>
    </row>
    <row r="93" spans="1:54" s="2" customFormat="1" ht="18.75" hidden="1" customHeight="1">
      <c r="A93" s="15" t="s">
        <v>20</v>
      </c>
      <c r="B93" s="15" t="s">
        <v>115</v>
      </c>
      <c r="C93" s="15"/>
      <c r="D93" s="15"/>
      <c r="E93" s="4">
        <v>9969</v>
      </c>
      <c r="F93" s="4" t="s">
        <v>450</v>
      </c>
      <c r="G93" s="4" t="s">
        <v>451</v>
      </c>
      <c r="H93" s="4" t="s">
        <v>452</v>
      </c>
      <c r="I93" s="4" t="s">
        <v>233</v>
      </c>
      <c r="J93" s="4" t="s">
        <v>119</v>
      </c>
      <c r="K93" s="4" t="s">
        <v>234</v>
      </c>
      <c r="L93" s="4" t="s">
        <v>121</v>
      </c>
      <c r="M93" s="4" t="s">
        <v>122</v>
      </c>
      <c r="N93" s="4" t="s">
        <v>123</v>
      </c>
      <c r="O93" s="4" t="s">
        <v>124</v>
      </c>
      <c r="P93" s="4" t="s">
        <v>125</v>
      </c>
      <c r="Q93" s="4" t="s">
        <v>126</v>
      </c>
      <c r="R93" s="4" t="s">
        <v>140</v>
      </c>
      <c r="S93" s="4" t="s">
        <v>115</v>
      </c>
      <c r="T93" s="4" t="s">
        <v>260</v>
      </c>
      <c r="U93" s="4" t="s">
        <v>128</v>
      </c>
      <c r="V93" s="4" t="s">
        <v>236</v>
      </c>
      <c r="W93" s="4" t="s">
        <v>130</v>
      </c>
      <c r="X93" s="4" t="s">
        <v>128</v>
      </c>
      <c r="Y93" s="4" t="s">
        <v>140</v>
      </c>
      <c r="Z93" s="4" t="s">
        <v>132</v>
      </c>
      <c r="AA93" s="4" t="s">
        <v>132</v>
      </c>
      <c r="AB93" s="4" t="s">
        <v>132</v>
      </c>
      <c r="AC93" s="4" t="s">
        <v>125</v>
      </c>
      <c r="AD93" s="4" t="s">
        <v>125</v>
      </c>
      <c r="AE93" s="5">
        <v>0.31237500000000001</v>
      </c>
      <c r="AF93" s="5">
        <v>2.4999999999999998E-2</v>
      </c>
      <c r="AG93" s="5">
        <v>0</v>
      </c>
      <c r="AH93" s="5">
        <v>0.33737500000000004</v>
      </c>
      <c r="AI93" s="6">
        <v>0.67580585402000737</v>
      </c>
      <c r="AJ93" s="7">
        <v>0.16868750000000002</v>
      </c>
      <c r="AK93" s="7">
        <v>0.16868750000000002</v>
      </c>
      <c r="AL93" s="8"/>
      <c r="AM93" s="51">
        <f>AH93*(1-AI93)</f>
        <v>0.10937500000000003</v>
      </c>
      <c r="AN93" s="50" t="str">
        <f>VLOOKUP($E93,'Capgemini PResence and HC'!$B$2:$G$143,4,0)</f>
        <v>N</v>
      </c>
      <c r="AO93" s="50">
        <f>VLOOKUP($E93,'Capgemini PResence and HC'!$B$2:$G$143,2,0)</f>
        <v>0</v>
      </c>
      <c r="AP93" s="50">
        <f>VLOOKUP($E93,'Capgemini PResence and HC'!$B$2:$G$143,3,0)</f>
        <v>0</v>
      </c>
      <c r="AQ93" s="50">
        <f>VLOOKUP($E93,'Capgemini PResence and HC'!$B$2:$G$143,6,0)</f>
        <v>0</v>
      </c>
      <c r="AR93" s="76">
        <f>AH93-AS93</f>
        <v>0.22800000000000001</v>
      </c>
      <c r="AS93" s="67">
        <f>AM93</f>
        <v>0.10937500000000003</v>
      </c>
      <c r="AT93" s="72" t="e">
        <f>#REF!*AT$151</f>
        <v>#REF!</v>
      </c>
      <c r="AU93" s="72" t="e">
        <f>#REF!*AU$151</f>
        <v>#REF!</v>
      </c>
      <c r="AV93" s="72" t="e">
        <f>#REF!*AV$151</f>
        <v>#REF!</v>
      </c>
      <c r="AW93" s="72" t="e">
        <f>#REF!*AW$151</f>
        <v>#REF!</v>
      </c>
      <c r="AX93" s="72" t="e">
        <f>#REF!*AX$151</f>
        <v>#REF!</v>
      </c>
      <c r="AY93" s="72" t="e">
        <f>#REF!*AY$151</f>
        <v>#REF!</v>
      </c>
      <c r="AZ93" s="72" t="e">
        <f>#REF!*AZ$151</f>
        <v>#REF!</v>
      </c>
      <c r="BA93" s="72" t="e">
        <f>#REF!*BA$151</f>
        <v>#REF!</v>
      </c>
      <c r="BB93" s="75">
        <f>SUM(AE93:AG93)-AH93</f>
        <v>0</v>
      </c>
    </row>
    <row r="94" spans="1:54" s="2" customFormat="1" ht="18.75" hidden="1" customHeight="1">
      <c r="A94" s="15"/>
      <c r="B94" s="15" t="s">
        <v>115</v>
      </c>
      <c r="C94" s="15"/>
      <c r="D94" s="15"/>
      <c r="E94" s="4">
        <v>11604</v>
      </c>
      <c r="F94" s="4" t="s">
        <v>453</v>
      </c>
      <c r="G94" s="4" t="s">
        <v>454</v>
      </c>
      <c r="H94" s="4" t="s">
        <v>455</v>
      </c>
      <c r="I94" s="4" t="s">
        <v>206</v>
      </c>
      <c r="J94" s="4" t="s">
        <v>199</v>
      </c>
      <c r="K94" s="4" t="s">
        <v>207</v>
      </c>
      <c r="L94" s="4" t="s">
        <v>121</v>
      </c>
      <c r="M94" s="4" t="s">
        <v>192</v>
      </c>
      <c r="N94" s="4" t="s">
        <v>123</v>
      </c>
      <c r="O94" s="4" t="s">
        <v>124</v>
      </c>
      <c r="P94" s="4" t="s">
        <v>125</v>
      </c>
      <c r="Q94" s="4" t="s">
        <v>139</v>
      </c>
      <c r="R94" s="4" t="s">
        <v>140</v>
      </c>
      <c r="S94" s="4" t="s">
        <v>115</v>
      </c>
      <c r="T94" s="4" t="s">
        <v>208</v>
      </c>
      <c r="U94" s="4" t="s">
        <v>128</v>
      </c>
      <c r="V94" s="4" t="s">
        <v>456</v>
      </c>
      <c r="W94" s="4" t="s">
        <v>130</v>
      </c>
      <c r="X94" s="4" t="s">
        <v>128</v>
      </c>
      <c r="Y94" s="4" t="s">
        <v>140</v>
      </c>
      <c r="Z94" s="4" t="s">
        <v>132</v>
      </c>
      <c r="AA94" s="4" t="s">
        <v>132</v>
      </c>
      <c r="AB94" s="4" t="s">
        <v>132</v>
      </c>
      <c r="AC94" s="4" t="s">
        <v>125</v>
      </c>
      <c r="AD94" s="4" t="s">
        <v>125</v>
      </c>
      <c r="AE94" s="5">
        <v>5.6624583333333343</v>
      </c>
      <c r="AF94" s="5">
        <v>4.0750000000000002</v>
      </c>
      <c r="AG94" s="5">
        <v>0</v>
      </c>
      <c r="AH94" s="5">
        <v>9.7374583333333344</v>
      </c>
      <c r="AI94" s="6">
        <v>0.89730379676421379</v>
      </c>
      <c r="AJ94" s="7">
        <v>4.8687291666666672</v>
      </c>
      <c r="AK94" s="7">
        <v>4.8687291666666672</v>
      </c>
      <c r="AL94" s="8"/>
      <c r="AM94" s="51">
        <f>AH94*(1-AI94)</f>
        <v>1.0000000000000002</v>
      </c>
      <c r="AN94" s="50" t="str">
        <f>VLOOKUP($E94,'Capgemini PResence and HC'!$B$2:$G$143,4,0)</f>
        <v>N</v>
      </c>
      <c r="AO94" s="50">
        <f>VLOOKUP($E94,'Capgemini PResence and HC'!$B$2:$G$143,2,0)</f>
        <v>0</v>
      </c>
      <c r="AP94" s="50">
        <f>VLOOKUP($E94,'Capgemini PResence and HC'!$B$2:$G$143,3,0)</f>
        <v>0</v>
      </c>
      <c r="AQ94" s="50">
        <f>VLOOKUP($E94,'Capgemini PResence and HC'!$B$2:$G$143,6,0)</f>
        <v>0</v>
      </c>
      <c r="AR94" s="65"/>
      <c r="AS94" s="65"/>
      <c r="AT94" s="72" t="e">
        <f>#REF!*AT$151</f>
        <v>#REF!</v>
      </c>
      <c r="AU94" s="72" t="e">
        <f>#REF!*AU$151</f>
        <v>#REF!</v>
      </c>
      <c r="AV94" s="72" t="e">
        <f>#REF!*AV$151</f>
        <v>#REF!</v>
      </c>
      <c r="AW94" s="72" t="e">
        <f>#REF!*AW$151</f>
        <v>#REF!</v>
      </c>
      <c r="AX94" s="72" t="e">
        <f>#REF!*AX$151</f>
        <v>#REF!</v>
      </c>
      <c r="AY94" s="72" t="e">
        <f>#REF!*AY$151</f>
        <v>#REF!</v>
      </c>
      <c r="AZ94" s="72" t="e">
        <f>#REF!*AZ$151</f>
        <v>#REF!</v>
      </c>
      <c r="BA94" s="72" t="e">
        <f>#REF!*BA$151</f>
        <v>#REF!</v>
      </c>
      <c r="BB94" s="75">
        <f>SUM(AE94:AG94)-AH94</f>
        <v>0</v>
      </c>
    </row>
    <row r="95" spans="1:54" s="2" customFormat="1" ht="18.75" hidden="1" customHeight="1">
      <c r="A95" s="15" t="s">
        <v>20</v>
      </c>
      <c r="B95" s="15" t="s">
        <v>115</v>
      </c>
      <c r="C95" s="15"/>
      <c r="D95" s="15"/>
      <c r="E95" s="4">
        <v>11893</v>
      </c>
      <c r="F95" s="4" t="s">
        <v>457</v>
      </c>
      <c r="G95" s="4" t="s">
        <v>458</v>
      </c>
      <c r="H95" s="4" t="s">
        <v>459</v>
      </c>
      <c r="I95" s="4" t="s">
        <v>206</v>
      </c>
      <c r="J95" s="4" t="s">
        <v>199</v>
      </c>
      <c r="K95" s="4" t="s">
        <v>207</v>
      </c>
      <c r="L95" s="4" t="s">
        <v>121</v>
      </c>
      <c r="M95" s="4" t="s">
        <v>122</v>
      </c>
      <c r="N95" s="4" t="s">
        <v>123</v>
      </c>
      <c r="O95" s="4" t="s">
        <v>124</v>
      </c>
      <c r="P95" s="4" t="s">
        <v>125</v>
      </c>
      <c r="Q95" s="4" t="s">
        <v>139</v>
      </c>
      <c r="R95" s="4" t="s">
        <v>140</v>
      </c>
      <c r="S95" s="4" t="s">
        <v>115</v>
      </c>
      <c r="T95" s="4" t="s">
        <v>229</v>
      </c>
      <c r="U95" s="4" t="s">
        <v>128</v>
      </c>
      <c r="V95" s="4" t="s">
        <v>236</v>
      </c>
      <c r="W95" s="4" t="s">
        <v>143</v>
      </c>
      <c r="X95" s="4" t="s">
        <v>302</v>
      </c>
      <c r="Y95" s="4" t="s">
        <v>115</v>
      </c>
      <c r="Z95" s="4" t="s">
        <v>132</v>
      </c>
      <c r="AA95" s="4" t="s">
        <v>132</v>
      </c>
      <c r="AB95" s="4" t="s">
        <v>132</v>
      </c>
      <c r="AC95" s="4" t="s">
        <v>125</v>
      </c>
      <c r="AD95" s="4" t="s">
        <v>125</v>
      </c>
      <c r="AE95" s="11">
        <v>0.2</v>
      </c>
      <c r="AF95" s="11">
        <v>0.2</v>
      </c>
      <c r="AG95" s="11">
        <v>0</v>
      </c>
      <c r="AH95" s="5">
        <v>0.35416666666666669</v>
      </c>
      <c r="AI95" s="6">
        <v>0.56470588235294117</v>
      </c>
      <c r="AJ95" s="7">
        <v>0.17708333333333334</v>
      </c>
      <c r="AK95" s="7">
        <v>0.17708333333333334</v>
      </c>
      <c r="AL95" s="8"/>
      <c r="AM95" s="51">
        <f>AH95*(1-AI95)</f>
        <v>0.15416666666666667</v>
      </c>
      <c r="AN95" s="50" t="str">
        <f>VLOOKUP($E95,'Capgemini PResence and HC'!$B$2:$G$143,4,0)</f>
        <v>Y</v>
      </c>
      <c r="AO95" s="50">
        <f>VLOOKUP($E95,'Capgemini PResence and HC'!$B$2:$G$143,2,0)</f>
        <v>0</v>
      </c>
      <c r="AP95" s="50">
        <f>VLOOKUP($E95,'Capgemini PResence and HC'!$B$2:$G$143,3,0)</f>
        <v>1</v>
      </c>
      <c r="AQ95" s="50">
        <f>VLOOKUP($E95,'Capgemini PResence and HC'!$B$2:$G$143,6,0)</f>
        <v>0</v>
      </c>
      <c r="AR95" s="65"/>
      <c r="AS95" s="65"/>
      <c r="AT95" s="72" t="e">
        <f>#REF!*AT$151</f>
        <v>#REF!</v>
      </c>
      <c r="AU95" s="72" t="e">
        <f>#REF!*AU$151</f>
        <v>#REF!</v>
      </c>
      <c r="AV95" s="72" t="e">
        <f>#REF!*AV$151</f>
        <v>#REF!</v>
      </c>
      <c r="AW95" s="72" t="e">
        <f>#REF!*AW$151</f>
        <v>#REF!</v>
      </c>
      <c r="AX95" s="72" t="e">
        <f>#REF!*AX$151</f>
        <v>#REF!</v>
      </c>
      <c r="AY95" s="72" t="e">
        <f>#REF!*AY$151</f>
        <v>#REF!</v>
      </c>
      <c r="AZ95" s="72" t="e">
        <f>#REF!*AZ$151</f>
        <v>#REF!</v>
      </c>
      <c r="BA95" s="72" t="e">
        <f>#REF!*BA$151</f>
        <v>#REF!</v>
      </c>
      <c r="BB95" s="75">
        <f>SUM(AE95:AG95)-AH95</f>
        <v>4.5833333333333337E-2</v>
      </c>
    </row>
    <row r="96" spans="1:54" s="2" customFormat="1" ht="18.75" hidden="1" customHeight="1">
      <c r="A96" s="15" t="s">
        <v>20</v>
      </c>
      <c r="B96" s="15" t="s">
        <v>115</v>
      </c>
      <c r="C96" s="15"/>
      <c r="D96" s="15"/>
      <c r="E96" s="4">
        <v>11986</v>
      </c>
      <c r="F96" s="4" t="s">
        <v>460</v>
      </c>
      <c r="G96" s="4" t="s">
        <v>461</v>
      </c>
      <c r="H96" s="4" t="s">
        <v>462</v>
      </c>
      <c r="I96" s="4" t="s">
        <v>287</v>
      </c>
      <c r="J96" s="4" t="s">
        <v>273</v>
      </c>
      <c r="K96" s="4" t="s">
        <v>331</v>
      </c>
      <c r="L96" s="4" t="s">
        <v>121</v>
      </c>
      <c r="M96" s="4" t="s">
        <v>192</v>
      </c>
      <c r="N96" s="4" t="s">
        <v>123</v>
      </c>
      <c r="O96" s="4" t="s">
        <v>124</v>
      </c>
      <c r="P96" s="4" t="s">
        <v>125</v>
      </c>
      <c r="Q96" s="4" t="s">
        <v>126</v>
      </c>
      <c r="R96" s="4" t="s">
        <v>140</v>
      </c>
      <c r="S96" s="4" t="s">
        <v>115</v>
      </c>
      <c r="T96" s="4" t="s">
        <v>260</v>
      </c>
      <c r="U96" s="4" t="s">
        <v>128</v>
      </c>
      <c r="V96" s="4" t="s">
        <v>236</v>
      </c>
      <c r="W96" s="4" t="s">
        <v>143</v>
      </c>
      <c r="X96" s="4" t="s">
        <v>463</v>
      </c>
      <c r="Y96" s="4" t="s">
        <v>115</v>
      </c>
      <c r="Z96" s="4" t="s">
        <v>132</v>
      </c>
      <c r="AA96" s="4" t="s">
        <v>132</v>
      </c>
      <c r="AB96" s="4" t="s">
        <v>132</v>
      </c>
      <c r="AC96" s="4" t="s">
        <v>125</v>
      </c>
      <c r="AD96" s="4" t="s">
        <v>125</v>
      </c>
      <c r="AE96" s="5">
        <v>6</v>
      </c>
      <c r="AF96" s="5">
        <v>6</v>
      </c>
      <c r="AG96" s="5">
        <v>3</v>
      </c>
      <c r="AH96" s="5">
        <v>15</v>
      </c>
      <c r="AI96" s="6">
        <v>1</v>
      </c>
      <c r="AJ96" s="7">
        <v>7.5</v>
      </c>
      <c r="AK96" s="7">
        <v>7.5</v>
      </c>
      <c r="AL96" s="8"/>
      <c r="AM96" s="51">
        <f>AH96*(1-AI96)</f>
        <v>0</v>
      </c>
      <c r="AN96" s="50" t="str">
        <f>VLOOKUP($E96,'Capgemini PResence and HC'!$B$2:$G$143,4,0)</f>
        <v>Y</v>
      </c>
      <c r="AO96" s="50">
        <f>VLOOKUP($E96,'Capgemini PResence and HC'!$B$2:$G$143,2,0)</f>
        <v>7</v>
      </c>
      <c r="AP96" s="50">
        <f>VLOOKUP($E96,'Capgemini PResence and HC'!$B$2:$G$143,3,0)</f>
        <v>0</v>
      </c>
      <c r="AQ96" s="50">
        <f>VLOOKUP($E96,'Capgemini PResence and HC'!$B$2:$G$143,6,0)</f>
        <v>8.0875000000000004</v>
      </c>
      <c r="AR96" s="68">
        <f>AE96-AS96</f>
        <v>6</v>
      </c>
      <c r="AS96" s="67">
        <f>AM96</f>
        <v>0</v>
      </c>
      <c r="AT96" s="70">
        <f>$AR96*AT$151</f>
        <v>0.44210526315789467</v>
      </c>
      <c r="AU96" s="70">
        <f>$AR96*AU$151</f>
        <v>0.44210526315789467</v>
      </c>
      <c r="AV96" s="70">
        <f>$AR96*AV$151</f>
        <v>2.3368421052631576</v>
      </c>
      <c r="AW96" s="70">
        <f>$AR96*AW$151</f>
        <v>1.5789473684210522</v>
      </c>
      <c r="AX96" s="70">
        <f>$AR96*AX$151</f>
        <v>0.31578947368421045</v>
      </c>
      <c r="AY96" s="70">
        <f>$AR96*AY$151</f>
        <v>0.44210526315789467</v>
      </c>
      <c r="AZ96" s="70">
        <f>$AR96*AZ$151</f>
        <v>0.44210526315789467</v>
      </c>
      <c r="BA96" s="70">
        <f>$AS96*BA$151</f>
        <v>0</v>
      </c>
      <c r="BB96" s="75">
        <f>SUM(AE96:AG96)-AH96</f>
        <v>0</v>
      </c>
    </row>
    <row r="97" spans="1:54" s="2" customFormat="1" ht="18.75" hidden="1" customHeight="1">
      <c r="A97" s="15" t="s">
        <v>20</v>
      </c>
      <c r="B97" s="15" t="s">
        <v>115</v>
      </c>
      <c r="C97" s="15"/>
      <c r="D97" s="15"/>
      <c r="E97" s="4">
        <v>12021</v>
      </c>
      <c r="F97" s="4" t="s">
        <v>464</v>
      </c>
      <c r="G97" s="4" t="s">
        <v>465</v>
      </c>
      <c r="H97" s="4" t="s">
        <v>466</v>
      </c>
      <c r="I97" s="4" t="s">
        <v>272</v>
      </c>
      <c r="J97" s="4" t="s">
        <v>273</v>
      </c>
      <c r="K97" s="4" t="s">
        <v>312</v>
      </c>
      <c r="L97" s="4" t="s">
        <v>467</v>
      </c>
      <c r="M97" s="4" t="s">
        <v>122</v>
      </c>
      <c r="N97" s="4" t="s">
        <v>123</v>
      </c>
      <c r="O97" s="4" t="s">
        <v>468</v>
      </c>
      <c r="P97" s="4" t="s">
        <v>125</v>
      </c>
      <c r="Q97" s="4" t="s">
        <v>126</v>
      </c>
      <c r="R97" s="4" t="s">
        <v>140</v>
      </c>
      <c r="S97" s="4" t="s">
        <v>115</v>
      </c>
      <c r="T97" s="4" t="s">
        <v>260</v>
      </c>
      <c r="U97" s="4" t="s">
        <v>128</v>
      </c>
      <c r="V97" s="4" t="s">
        <v>469</v>
      </c>
      <c r="W97" s="4" t="s">
        <v>130</v>
      </c>
      <c r="X97" s="4" t="s">
        <v>128</v>
      </c>
      <c r="Y97" s="4" t="s">
        <v>140</v>
      </c>
      <c r="Z97" s="4" t="s">
        <v>132</v>
      </c>
      <c r="AA97" s="4" t="s">
        <v>132</v>
      </c>
      <c r="AB97" s="4" t="s">
        <v>132</v>
      </c>
      <c r="AC97" s="4" t="s">
        <v>125</v>
      </c>
      <c r="AD97" s="4" t="s">
        <v>125</v>
      </c>
      <c r="AE97" s="5"/>
      <c r="AF97" s="5"/>
      <c r="AG97" s="5"/>
      <c r="AH97" s="5"/>
      <c r="AI97" s="6"/>
      <c r="AJ97" s="7" t="s">
        <v>128</v>
      </c>
      <c r="AK97" s="7" t="s">
        <v>128</v>
      </c>
      <c r="AL97" s="8"/>
      <c r="AM97" s="51">
        <f>AH97*(1-AI97)</f>
        <v>0</v>
      </c>
      <c r="AN97" s="50" t="str">
        <f>VLOOKUP($E97,'Capgemini PResence and HC'!$B$2:$G$143,4,0)</f>
        <v>N</v>
      </c>
      <c r="AO97" s="50">
        <f>VLOOKUP($E97,'Capgemini PResence and HC'!$B$2:$G$143,2,0)</f>
        <v>0</v>
      </c>
      <c r="AP97" s="50">
        <f>VLOOKUP($E97,'Capgemini PResence and HC'!$B$2:$G$143,3,0)</f>
        <v>0</v>
      </c>
      <c r="AQ97" s="50">
        <f>VLOOKUP($E97,'Capgemini PResence and HC'!$B$2:$G$143,6,0)</f>
        <v>0</v>
      </c>
      <c r="AR97" s="65"/>
      <c r="AS97" s="65"/>
      <c r="AT97" s="72" t="e">
        <f>#REF!*AT$151</f>
        <v>#REF!</v>
      </c>
      <c r="AU97" s="72" t="e">
        <f>#REF!*AU$151</f>
        <v>#REF!</v>
      </c>
      <c r="AV97" s="72" t="e">
        <f>#REF!*AV$151</f>
        <v>#REF!</v>
      </c>
      <c r="AW97" s="72" t="e">
        <f>#REF!*AW$151</f>
        <v>#REF!</v>
      </c>
      <c r="AX97" s="72" t="e">
        <f>#REF!*AX$151</f>
        <v>#REF!</v>
      </c>
      <c r="AY97" s="72" t="e">
        <f>#REF!*AY$151</f>
        <v>#REF!</v>
      </c>
      <c r="AZ97" s="72" t="e">
        <f>#REF!*AZ$151</f>
        <v>#REF!</v>
      </c>
      <c r="BA97" s="72" t="e">
        <f>#REF!*BA$151</f>
        <v>#REF!</v>
      </c>
      <c r="BB97" s="75">
        <f>SUM(AE97:AG97)-AH97</f>
        <v>0</v>
      </c>
    </row>
    <row r="98" spans="1:54" s="2" customFormat="1" ht="18.75" hidden="1" customHeight="1">
      <c r="A98" s="15" t="s">
        <v>20</v>
      </c>
      <c r="B98" s="15" t="s">
        <v>115</v>
      </c>
      <c r="C98" s="15"/>
      <c r="D98" s="15"/>
      <c r="E98" s="4">
        <v>12030</v>
      </c>
      <c r="F98" s="4" t="s">
        <v>470</v>
      </c>
      <c r="G98" s="4" t="s">
        <v>471</v>
      </c>
      <c r="H98" s="4" t="s">
        <v>472</v>
      </c>
      <c r="I98" s="4" t="s">
        <v>272</v>
      </c>
      <c r="J98" s="4" t="s">
        <v>273</v>
      </c>
      <c r="K98" s="4" t="s">
        <v>312</v>
      </c>
      <c r="L98" s="4" t="s">
        <v>467</v>
      </c>
      <c r="M98" s="4" t="s">
        <v>122</v>
      </c>
      <c r="N98" s="4" t="s">
        <v>123</v>
      </c>
      <c r="O98" s="4" t="s">
        <v>468</v>
      </c>
      <c r="P98" s="4" t="s">
        <v>125</v>
      </c>
      <c r="Q98" s="4" t="s">
        <v>126</v>
      </c>
      <c r="R98" s="4" t="s">
        <v>140</v>
      </c>
      <c r="S98" s="4" t="s">
        <v>115</v>
      </c>
      <c r="T98" s="4" t="s">
        <v>260</v>
      </c>
      <c r="U98" s="4" t="s">
        <v>128</v>
      </c>
      <c r="V98" s="4" t="s">
        <v>236</v>
      </c>
      <c r="W98" s="4" t="s">
        <v>130</v>
      </c>
      <c r="X98" s="4" t="s">
        <v>128</v>
      </c>
      <c r="Y98" s="4" t="s">
        <v>140</v>
      </c>
      <c r="Z98" s="4" t="s">
        <v>132</v>
      </c>
      <c r="AA98" s="4" t="s">
        <v>132</v>
      </c>
      <c r="AB98" s="4" t="s">
        <v>132</v>
      </c>
      <c r="AC98" s="4" t="s">
        <v>125</v>
      </c>
      <c r="AD98" s="4" t="s">
        <v>125</v>
      </c>
      <c r="AE98" s="5"/>
      <c r="AF98" s="5"/>
      <c r="AG98" s="5"/>
      <c r="AH98" s="5"/>
      <c r="AI98" s="6"/>
      <c r="AJ98" s="7" t="s">
        <v>128</v>
      </c>
      <c r="AK98" s="7" t="s">
        <v>128</v>
      </c>
      <c r="AL98" s="8"/>
      <c r="AM98" s="51">
        <f>AH98*(1-AI98)</f>
        <v>0</v>
      </c>
      <c r="AN98" s="50" t="str">
        <f>VLOOKUP($E98,'Capgemini PResence and HC'!$B$2:$G$143,4,0)</f>
        <v>N</v>
      </c>
      <c r="AO98" s="50">
        <f>VLOOKUP($E98,'Capgemini PResence and HC'!$B$2:$G$143,2,0)</f>
        <v>0</v>
      </c>
      <c r="AP98" s="50">
        <f>VLOOKUP($E98,'Capgemini PResence and HC'!$B$2:$G$143,3,0)</f>
        <v>0</v>
      </c>
      <c r="AQ98" s="50">
        <f>VLOOKUP($E98,'Capgemini PResence and HC'!$B$2:$G$143,6,0)</f>
        <v>0</v>
      </c>
      <c r="AR98" s="65"/>
      <c r="AS98" s="65"/>
      <c r="AT98" s="72" t="e">
        <f>#REF!*AT$151</f>
        <v>#REF!</v>
      </c>
      <c r="AU98" s="72" t="e">
        <f>#REF!*AU$151</f>
        <v>#REF!</v>
      </c>
      <c r="AV98" s="72" t="e">
        <f>#REF!*AV$151</f>
        <v>#REF!</v>
      </c>
      <c r="AW98" s="72" t="e">
        <f>#REF!*AW$151</f>
        <v>#REF!</v>
      </c>
      <c r="AX98" s="72" t="e">
        <f>#REF!*AX$151</f>
        <v>#REF!</v>
      </c>
      <c r="AY98" s="72" t="e">
        <f>#REF!*AY$151</f>
        <v>#REF!</v>
      </c>
      <c r="AZ98" s="72" t="e">
        <f>#REF!*AZ$151</f>
        <v>#REF!</v>
      </c>
      <c r="BA98" s="72" t="e">
        <f>#REF!*BA$151</f>
        <v>#REF!</v>
      </c>
      <c r="BB98" s="75">
        <f>SUM(AE98:AG98)-AH98</f>
        <v>0</v>
      </c>
    </row>
    <row r="99" spans="1:54" s="2" customFormat="1" ht="18.75" hidden="1" customHeight="1">
      <c r="A99" s="15" t="s">
        <v>20</v>
      </c>
      <c r="B99" s="15" t="s">
        <v>115</v>
      </c>
      <c r="C99" s="15"/>
      <c r="D99" s="15"/>
      <c r="E99" s="4">
        <v>12117</v>
      </c>
      <c r="F99" s="4" t="s">
        <v>473</v>
      </c>
      <c r="G99" s="4" t="s">
        <v>474</v>
      </c>
      <c r="H99" s="4" t="s">
        <v>475</v>
      </c>
      <c r="I99" s="4" t="s">
        <v>206</v>
      </c>
      <c r="J99" s="4" t="s">
        <v>199</v>
      </c>
      <c r="K99" s="4" t="s">
        <v>207</v>
      </c>
      <c r="L99" s="4" t="s">
        <v>121</v>
      </c>
      <c r="M99" s="4" t="s">
        <v>122</v>
      </c>
      <c r="N99" s="4" t="s">
        <v>123</v>
      </c>
      <c r="O99" s="4" t="s">
        <v>124</v>
      </c>
      <c r="P99" s="4" t="s">
        <v>132</v>
      </c>
      <c r="Q99" s="4" t="s">
        <v>139</v>
      </c>
      <c r="R99" s="4" t="s">
        <v>140</v>
      </c>
      <c r="S99" s="4" t="s">
        <v>115</v>
      </c>
      <c r="T99" s="4" t="s">
        <v>260</v>
      </c>
      <c r="U99" s="4" t="s">
        <v>128</v>
      </c>
      <c r="V99" s="4" t="s">
        <v>209</v>
      </c>
      <c r="W99" s="4" t="s">
        <v>130</v>
      </c>
      <c r="X99" s="4" t="s">
        <v>128</v>
      </c>
      <c r="Y99" s="4" t="s">
        <v>140</v>
      </c>
      <c r="Z99" s="4" t="s">
        <v>132</v>
      </c>
      <c r="AA99" s="4" t="s">
        <v>132</v>
      </c>
      <c r="AB99" s="4" t="s">
        <v>132</v>
      </c>
      <c r="AC99" s="4" t="s">
        <v>125</v>
      </c>
      <c r="AD99" s="4" t="s">
        <v>125</v>
      </c>
      <c r="AE99" s="11">
        <v>6</v>
      </c>
      <c r="AF99" s="11">
        <v>15.537500000000005</v>
      </c>
      <c r="AG99" s="5">
        <v>11</v>
      </c>
      <c r="AH99" s="5">
        <v>62.64237500000003</v>
      </c>
      <c r="AI99" s="6">
        <v>0.8631983009371319</v>
      </c>
      <c r="AJ99" s="7">
        <v>31.321187500000015</v>
      </c>
      <c r="AK99" s="7">
        <v>31.321187500000015</v>
      </c>
      <c r="AL99" s="8"/>
      <c r="AM99" s="51">
        <f>AH99*(1-AI99)</f>
        <v>8.5695833333333358</v>
      </c>
      <c r="AN99" s="50" t="str">
        <f>VLOOKUP($E99,'Capgemini PResence and HC'!$B$2:$G$143,4,0)</f>
        <v>Y</v>
      </c>
      <c r="AO99" s="50">
        <f>VLOOKUP($E99,'Capgemini PResence and HC'!$B$2:$G$143,2,0)</f>
        <v>11</v>
      </c>
      <c r="AP99" s="50">
        <f>VLOOKUP($E99,'Capgemini PResence and HC'!$B$2:$G$143,3,0)</f>
        <v>0</v>
      </c>
      <c r="AQ99" s="50">
        <f>VLOOKUP($E99,'Capgemini PResence and HC'!$B$2:$G$143,6,0)</f>
        <v>7.2281250000000004</v>
      </c>
      <c r="AR99" s="65"/>
      <c r="AS99" s="65"/>
      <c r="AT99" s="72" t="e">
        <f>#REF!*AT$151</f>
        <v>#REF!</v>
      </c>
      <c r="AU99" s="72" t="e">
        <f>#REF!*AU$151</f>
        <v>#REF!</v>
      </c>
      <c r="AV99" s="72" t="e">
        <f>#REF!*AV$151</f>
        <v>#REF!</v>
      </c>
      <c r="AW99" s="72" t="e">
        <f>#REF!*AW$151</f>
        <v>#REF!</v>
      </c>
      <c r="AX99" s="72" t="e">
        <f>#REF!*AX$151</f>
        <v>#REF!</v>
      </c>
      <c r="AY99" s="72" t="e">
        <f>#REF!*AY$151</f>
        <v>#REF!</v>
      </c>
      <c r="AZ99" s="72" t="e">
        <f>#REF!*AZ$151</f>
        <v>#REF!</v>
      </c>
      <c r="BA99" s="72" t="e">
        <f>#REF!*BA$151</f>
        <v>#REF!</v>
      </c>
      <c r="BB99" s="75">
        <f>SUM(AE99:AG99)-AH99</f>
        <v>-30.104875000000021</v>
      </c>
    </row>
    <row r="100" spans="1:54" s="2" customFormat="1" ht="18.75" hidden="1" customHeight="1">
      <c r="A100" s="15"/>
      <c r="B100" s="15"/>
      <c r="C100" s="15"/>
      <c r="D100" s="15"/>
      <c r="E100" s="4">
        <v>12198</v>
      </c>
      <c r="F100" s="4" t="s">
        <v>476</v>
      </c>
      <c r="G100" s="4" t="s">
        <v>477</v>
      </c>
      <c r="H100" s="4" t="s">
        <v>478</v>
      </c>
      <c r="I100" s="4" t="s">
        <v>206</v>
      </c>
      <c r="J100" s="4" t="s">
        <v>199</v>
      </c>
      <c r="K100" s="4" t="s">
        <v>207</v>
      </c>
      <c r="L100" s="4" t="s">
        <v>121</v>
      </c>
      <c r="M100" s="4" t="s">
        <v>192</v>
      </c>
      <c r="N100" s="4" t="s">
        <v>123</v>
      </c>
      <c r="O100" s="4" t="s">
        <v>124</v>
      </c>
      <c r="P100" s="4" t="s">
        <v>125</v>
      </c>
      <c r="Q100" s="4" t="s">
        <v>139</v>
      </c>
      <c r="R100" s="4" t="s">
        <v>140</v>
      </c>
      <c r="S100" s="4" t="s">
        <v>115</v>
      </c>
      <c r="T100" s="4" t="s">
        <v>479</v>
      </c>
      <c r="U100" s="4" t="s">
        <v>128</v>
      </c>
      <c r="V100" s="4" t="s">
        <v>480</v>
      </c>
      <c r="W100" s="4" t="s">
        <v>130</v>
      </c>
      <c r="X100" s="4" t="s">
        <v>128</v>
      </c>
      <c r="Y100" s="4" t="s">
        <v>140</v>
      </c>
      <c r="Z100" s="4" t="s">
        <v>132</v>
      </c>
      <c r="AA100" s="4" t="s">
        <v>132</v>
      </c>
      <c r="AB100" s="4" t="s">
        <v>132</v>
      </c>
      <c r="AC100" s="14" t="s">
        <v>132</v>
      </c>
      <c r="AD100" s="4" t="s">
        <v>125</v>
      </c>
      <c r="AE100" s="5">
        <v>1</v>
      </c>
      <c r="AF100" s="5">
        <v>2</v>
      </c>
      <c r="AG100" s="5">
        <v>0</v>
      </c>
      <c r="AH100" s="5">
        <v>3</v>
      </c>
      <c r="AI100" s="6"/>
      <c r="AJ100" s="7">
        <v>1.5</v>
      </c>
      <c r="AK100" s="7">
        <v>1.5</v>
      </c>
      <c r="AL100" s="8"/>
      <c r="AM100" s="51">
        <f>AH100*(1-AI100)</f>
        <v>3</v>
      </c>
      <c r="AN100" s="50" t="str">
        <f>VLOOKUP($E100,'Capgemini PResence and HC'!$B$2:$G$143,4,0)</f>
        <v>N</v>
      </c>
      <c r="AO100" s="50">
        <f>VLOOKUP($E100,'Capgemini PResence and HC'!$B$2:$G$143,2,0)</f>
        <v>0</v>
      </c>
      <c r="AP100" s="50">
        <f>VLOOKUP($E100,'Capgemini PResence and HC'!$B$2:$G$143,3,0)</f>
        <v>0</v>
      </c>
      <c r="AQ100" s="50">
        <f>VLOOKUP($E100,'Capgemini PResence and HC'!$B$2:$G$143,6,0)</f>
        <v>0</v>
      </c>
      <c r="AR100" s="65"/>
      <c r="AS100" s="65"/>
      <c r="AT100" s="72" t="e">
        <f>#REF!*AT$151</f>
        <v>#REF!</v>
      </c>
      <c r="AU100" s="72" t="e">
        <f>#REF!*AU$151</f>
        <v>#REF!</v>
      </c>
      <c r="AV100" s="72" t="e">
        <f>#REF!*AV$151</f>
        <v>#REF!</v>
      </c>
      <c r="AW100" s="72" t="e">
        <f>#REF!*AW$151</f>
        <v>#REF!</v>
      </c>
      <c r="AX100" s="72" t="e">
        <f>#REF!*AX$151</f>
        <v>#REF!</v>
      </c>
      <c r="AY100" s="72" t="e">
        <f>#REF!*AY$151</f>
        <v>#REF!</v>
      </c>
      <c r="AZ100" s="72" t="e">
        <f>#REF!*AZ$151</f>
        <v>#REF!</v>
      </c>
      <c r="BA100" s="72" t="e">
        <f>#REF!*BA$151</f>
        <v>#REF!</v>
      </c>
      <c r="BB100" s="75">
        <f>SUM(AE100:AG100)-AH100</f>
        <v>0</v>
      </c>
    </row>
    <row r="101" spans="1:54" s="2" customFormat="1" ht="18.75" hidden="1" customHeight="1">
      <c r="A101" s="15" t="s">
        <v>20</v>
      </c>
      <c r="B101" s="15" t="s">
        <v>115</v>
      </c>
      <c r="C101" s="15"/>
      <c r="D101" s="15"/>
      <c r="E101" s="4">
        <v>12520</v>
      </c>
      <c r="F101" s="4" t="s">
        <v>481</v>
      </c>
      <c r="G101" s="4" t="s">
        <v>482</v>
      </c>
      <c r="H101" s="9" t="s">
        <v>483</v>
      </c>
      <c r="I101" s="4" t="s">
        <v>198</v>
      </c>
      <c r="J101" s="4" t="s">
        <v>199</v>
      </c>
      <c r="K101" s="4" t="s">
        <v>200</v>
      </c>
      <c r="L101" s="4" t="s">
        <v>291</v>
      </c>
      <c r="M101" s="4" t="s">
        <v>122</v>
      </c>
      <c r="N101" s="4" t="s">
        <v>123</v>
      </c>
      <c r="O101" s="4" t="s">
        <v>468</v>
      </c>
      <c r="P101" s="4" t="s">
        <v>125</v>
      </c>
      <c r="Q101" s="4" t="s">
        <v>139</v>
      </c>
      <c r="R101" s="4" t="s">
        <v>140</v>
      </c>
      <c r="S101" s="4" t="s">
        <v>115</v>
      </c>
      <c r="T101" s="4" t="s">
        <v>260</v>
      </c>
      <c r="U101" s="4" t="s">
        <v>128</v>
      </c>
      <c r="V101" s="4" t="s">
        <v>236</v>
      </c>
      <c r="W101" s="4" t="s">
        <v>143</v>
      </c>
      <c r="X101" s="4" t="s">
        <v>128</v>
      </c>
      <c r="Y101" s="4" t="s">
        <v>115</v>
      </c>
      <c r="Z101" s="13" t="s">
        <v>132</v>
      </c>
      <c r="AA101" s="4" t="s">
        <v>132</v>
      </c>
      <c r="AB101" s="4" t="s">
        <v>132</v>
      </c>
      <c r="AC101" s="4" t="s">
        <v>125</v>
      </c>
      <c r="AD101" s="4" t="s">
        <v>125</v>
      </c>
      <c r="AE101" s="5">
        <v>0.125</v>
      </c>
      <c r="AF101" s="5">
        <v>0</v>
      </c>
      <c r="AG101" s="5">
        <v>0</v>
      </c>
      <c r="AH101" s="5">
        <v>0.125</v>
      </c>
      <c r="AI101" s="6">
        <v>1</v>
      </c>
      <c r="AJ101" s="7">
        <v>6.25E-2</v>
      </c>
      <c r="AK101" s="7">
        <v>6.25E-2</v>
      </c>
      <c r="AL101" s="8"/>
      <c r="AM101" s="51">
        <f>AH101*(1-AI101)</f>
        <v>0</v>
      </c>
      <c r="AN101" s="50" t="str">
        <f>VLOOKUP($E101,'Capgemini PResence and HC'!$B$2:$G$143,4,0)</f>
        <v>Y</v>
      </c>
      <c r="AO101" s="50">
        <f>VLOOKUP($E101,'Capgemini PResence and HC'!$B$2:$G$143,2,0)</f>
        <v>0</v>
      </c>
      <c r="AP101" s="50">
        <f>VLOOKUP($E101,'Capgemini PResence and HC'!$B$2:$G$143,3,0)</f>
        <v>1</v>
      </c>
      <c r="AQ101" s="50">
        <f>VLOOKUP($E101,'Capgemini PResence and HC'!$B$2:$G$143,6,0)</f>
        <v>0</v>
      </c>
      <c r="AR101" s="65"/>
      <c r="AS101" s="65"/>
      <c r="AT101" s="72" t="e">
        <f>#REF!*AT$151</f>
        <v>#REF!</v>
      </c>
      <c r="AU101" s="72" t="e">
        <f>#REF!*AU$151</f>
        <v>#REF!</v>
      </c>
      <c r="AV101" s="72" t="e">
        <f>#REF!*AV$151</f>
        <v>#REF!</v>
      </c>
      <c r="AW101" s="72" t="e">
        <f>#REF!*AW$151</f>
        <v>#REF!</v>
      </c>
      <c r="AX101" s="72" t="e">
        <f>#REF!*AX$151</f>
        <v>#REF!</v>
      </c>
      <c r="AY101" s="72" t="e">
        <f>#REF!*AY$151</f>
        <v>#REF!</v>
      </c>
      <c r="AZ101" s="72" t="e">
        <f>#REF!*AZ$151</f>
        <v>#REF!</v>
      </c>
      <c r="BA101" s="72" t="e">
        <f>#REF!*BA$151</f>
        <v>#REF!</v>
      </c>
      <c r="BB101" s="75">
        <f>SUM(AE101:AG101)-AH101</f>
        <v>0</v>
      </c>
    </row>
    <row r="102" spans="1:54" s="2" customFormat="1" ht="18.75" hidden="1" customHeight="1">
      <c r="A102" s="15" t="s">
        <v>20</v>
      </c>
      <c r="B102" s="15" t="s">
        <v>115</v>
      </c>
      <c r="C102" s="15"/>
      <c r="D102" s="15"/>
      <c r="E102" s="4">
        <v>12527</v>
      </c>
      <c r="F102" s="4" t="s">
        <v>484</v>
      </c>
      <c r="G102" s="4" t="s">
        <v>485</v>
      </c>
      <c r="H102" s="4" t="s">
        <v>486</v>
      </c>
      <c r="I102" s="4" t="s">
        <v>319</v>
      </c>
      <c r="J102" s="4" t="s">
        <v>320</v>
      </c>
      <c r="K102" s="4" t="s">
        <v>320</v>
      </c>
      <c r="L102" s="4" t="s">
        <v>121</v>
      </c>
      <c r="M102" s="4" t="s">
        <v>192</v>
      </c>
      <c r="N102" s="4" t="s">
        <v>123</v>
      </c>
      <c r="O102" s="4" t="s">
        <v>124</v>
      </c>
      <c r="P102" s="4" t="s">
        <v>125</v>
      </c>
      <c r="Q102" s="4" t="s">
        <v>139</v>
      </c>
      <c r="R102" s="4" t="s">
        <v>140</v>
      </c>
      <c r="S102" s="4" t="s">
        <v>115</v>
      </c>
      <c r="T102" s="4" t="s">
        <v>487</v>
      </c>
      <c r="U102" s="4" t="s">
        <v>128</v>
      </c>
      <c r="V102" s="4" t="s">
        <v>236</v>
      </c>
      <c r="W102" s="4" t="s">
        <v>143</v>
      </c>
      <c r="X102" s="4" t="s">
        <v>302</v>
      </c>
      <c r="Y102" s="4" t="s">
        <v>115</v>
      </c>
      <c r="Z102" s="4" t="s">
        <v>132</v>
      </c>
      <c r="AA102" s="4" t="s">
        <v>132</v>
      </c>
      <c r="AB102" s="4" t="s">
        <v>132</v>
      </c>
      <c r="AC102" s="4" t="s">
        <v>125</v>
      </c>
      <c r="AD102" s="4" t="s">
        <v>125</v>
      </c>
      <c r="AE102" s="5">
        <v>0.10833333333333334</v>
      </c>
      <c r="AF102" s="5">
        <v>0</v>
      </c>
      <c r="AG102" s="5">
        <v>2.4999999999999998E-2</v>
      </c>
      <c r="AH102" s="5">
        <v>0.13333333333333333</v>
      </c>
      <c r="AI102" s="6">
        <v>1</v>
      </c>
      <c r="AJ102" s="7">
        <v>6.6666666666666666E-2</v>
      </c>
      <c r="AK102" s="7">
        <v>6.6666666666666666E-2</v>
      </c>
      <c r="AL102" s="8"/>
      <c r="AM102" s="51">
        <f>AH102*(1-AI102)</f>
        <v>0</v>
      </c>
      <c r="AN102" s="50" t="str">
        <f>VLOOKUP($E102,'Capgemini PResence and HC'!$B$2:$G$143,4,0)</f>
        <v>N</v>
      </c>
      <c r="AO102" s="50">
        <f>VLOOKUP($E102,'Capgemini PResence and HC'!$B$2:$G$143,2,0)</f>
        <v>0</v>
      </c>
      <c r="AP102" s="50">
        <f>VLOOKUP($E102,'Capgemini PResence and HC'!$B$2:$G$143,3,0)</f>
        <v>0</v>
      </c>
      <c r="AQ102" s="50">
        <f>VLOOKUP($E102,'Capgemini PResence and HC'!$B$2:$G$143,6,0)</f>
        <v>0</v>
      </c>
      <c r="AR102" s="65"/>
      <c r="AS102" s="65"/>
      <c r="AT102" s="72" t="e">
        <f>#REF!*AT$151</f>
        <v>#REF!</v>
      </c>
      <c r="AU102" s="72" t="e">
        <f>#REF!*AU$151</f>
        <v>#REF!</v>
      </c>
      <c r="AV102" s="72" t="e">
        <f>#REF!*AV$151</f>
        <v>#REF!</v>
      </c>
      <c r="AW102" s="72" t="e">
        <f>#REF!*AW$151</f>
        <v>#REF!</v>
      </c>
      <c r="AX102" s="72" t="e">
        <f>#REF!*AX$151</f>
        <v>#REF!</v>
      </c>
      <c r="AY102" s="72" t="e">
        <f>#REF!*AY$151</f>
        <v>#REF!</v>
      </c>
      <c r="AZ102" s="72" t="e">
        <f>#REF!*AZ$151</f>
        <v>#REF!</v>
      </c>
      <c r="BA102" s="72" t="e">
        <f>#REF!*BA$151</f>
        <v>#REF!</v>
      </c>
      <c r="BB102" s="75">
        <f>SUM(AE102:AG102)-AH102</f>
        <v>0</v>
      </c>
    </row>
    <row r="103" spans="1:54" s="2" customFormat="1" ht="18.75" hidden="1" customHeight="1">
      <c r="A103" s="15" t="s">
        <v>20</v>
      </c>
      <c r="B103" s="15" t="s">
        <v>115</v>
      </c>
      <c r="C103" s="15"/>
      <c r="D103" s="15"/>
      <c r="E103" s="4">
        <v>12607</v>
      </c>
      <c r="F103" s="4" t="s">
        <v>488</v>
      </c>
      <c r="G103" s="4" t="s">
        <v>489</v>
      </c>
      <c r="H103" s="4" t="s">
        <v>490</v>
      </c>
      <c r="I103" s="4" t="s">
        <v>319</v>
      </c>
      <c r="J103" s="4" t="s">
        <v>320</v>
      </c>
      <c r="K103" s="4" t="s">
        <v>320</v>
      </c>
      <c r="L103" s="4" t="s">
        <v>121</v>
      </c>
      <c r="M103" s="4" t="s">
        <v>192</v>
      </c>
      <c r="N103" s="4" t="s">
        <v>123</v>
      </c>
      <c r="O103" s="4" t="s">
        <v>124</v>
      </c>
      <c r="P103" s="4" t="s">
        <v>125</v>
      </c>
      <c r="Q103" s="4" t="s">
        <v>139</v>
      </c>
      <c r="R103" s="4" t="s">
        <v>140</v>
      </c>
      <c r="S103" s="4" t="s">
        <v>115</v>
      </c>
      <c r="T103" s="4" t="s">
        <v>487</v>
      </c>
      <c r="U103" s="4" t="s">
        <v>128</v>
      </c>
      <c r="V103" s="4" t="s">
        <v>236</v>
      </c>
      <c r="W103" s="4" t="s">
        <v>143</v>
      </c>
      <c r="X103" s="4" t="s">
        <v>302</v>
      </c>
      <c r="Y103" s="4" t="s">
        <v>115</v>
      </c>
      <c r="Z103" s="4" t="s">
        <v>132</v>
      </c>
      <c r="AA103" s="4" t="s">
        <v>132</v>
      </c>
      <c r="AB103" s="4" t="s">
        <v>132</v>
      </c>
      <c r="AC103" s="4" t="s">
        <v>125</v>
      </c>
      <c r="AD103" s="4" t="s">
        <v>125</v>
      </c>
      <c r="AE103" s="5">
        <v>1.3374999999999999</v>
      </c>
      <c r="AF103" s="5">
        <v>0</v>
      </c>
      <c r="AG103" s="5">
        <v>1</v>
      </c>
      <c r="AH103" s="5">
        <v>2.3374999999999999</v>
      </c>
      <c r="AI103" s="6">
        <v>1</v>
      </c>
      <c r="AJ103" s="7">
        <v>1.16875</v>
      </c>
      <c r="AK103" s="7">
        <v>1.16875</v>
      </c>
      <c r="AL103" s="8"/>
      <c r="AM103" s="51">
        <f>AH103*(1-AI103)</f>
        <v>0</v>
      </c>
      <c r="AN103" s="50" t="str">
        <f>VLOOKUP($E103,'Capgemini PResence and HC'!$B$2:$G$143,4,0)</f>
        <v>Y</v>
      </c>
      <c r="AO103" s="50">
        <f>VLOOKUP($E103,'Capgemini PResence and HC'!$B$2:$G$143,2,0)</f>
        <v>1</v>
      </c>
      <c r="AP103" s="50">
        <f>VLOOKUP($E103,'Capgemini PResence and HC'!$B$2:$G$143,3,0)</f>
        <v>0</v>
      </c>
      <c r="AQ103" s="50">
        <f>VLOOKUP($E103,'Capgemini PResence and HC'!$B$2:$G$143,6,0)</f>
        <v>0.45</v>
      </c>
      <c r="AR103" s="65"/>
      <c r="AS103" s="65"/>
      <c r="AT103" s="72" t="e">
        <f>#REF!*AT$151</f>
        <v>#REF!</v>
      </c>
      <c r="AU103" s="72" t="e">
        <f>#REF!*AU$151</f>
        <v>#REF!</v>
      </c>
      <c r="AV103" s="72" t="e">
        <f>#REF!*AV$151</f>
        <v>#REF!</v>
      </c>
      <c r="AW103" s="72" t="e">
        <f>#REF!*AW$151</f>
        <v>#REF!</v>
      </c>
      <c r="AX103" s="72" t="e">
        <f>#REF!*AX$151</f>
        <v>#REF!</v>
      </c>
      <c r="AY103" s="72" t="e">
        <f>#REF!*AY$151</f>
        <v>#REF!</v>
      </c>
      <c r="AZ103" s="72" t="e">
        <f>#REF!*AZ$151</f>
        <v>#REF!</v>
      </c>
      <c r="BA103" s="72" t="e">
        <f>#REF!*BA$151</f>
        <v>#REF!</v>
      </c>
      <c r="BB103" s="75">
        <f>SUM(AE103:AG103)-AH103</f>
        <v>0</v>
      </c>
    </row>
    <row r="104" spans="1:54" s="2" customFormat="1" ht="18.75" hidden="1" customHeight="1">
      <c r="A104" s="15" t="s">
        <v>22</v>
      </c>
      <c r="B104" s="15" t="s">
        <v>115</v>
      </c>
      <c r="C104" s="15"/>
      <c r="D104" s="15"/>
      <c r="E104" s="4">
        <v>12646</v>
      </c>
      <c r="F104" s="4" t="s">
        <v>23</v>
      </c>
      <c r="G104" s="4" t="s">
        <v>491</v>
      </c>
      <c r="H104" s="4" t="s">
        <v>492</v>
      </c>
      <c r="I104" s="4" t="s">
        <v>227</v>
      </c>
      <c r="J104" s="4" t="s">
        <v>199</v>
      </c>
      <c r="K104" s="4" t="s">
        <v>228</v>
      </c>
      <c r="L104" s="4" t="s">
        <v>291</v>
      </c>
      <c r="M104" s="4" t="s">
        <v>122</v>
      </c>
      <c r="N104" s="4" t="s">
        <v>123</v>
      </c>
      <c r="O104" s="4" t="s">
        <v>124</v>
      </c>
      <c r="P104" s="4" t="s">
        <v>132</v>
      </c>
      <c r="Q104" s="4" t="s">
        <v>139</v>
      </c>
      <c r="R104" s="4" t="s">
        <v>140</v>
      </c>
      <c r="S104" s="4" t="s">
        <v>140</v>
      </c>
      <c r="T104" s="4" t="s">
        <v>260</v>
      </c>
      <c r="U104" s="4" t="s">
        <v>128</v>
      </c>
      <c r="V104" s="4" t="s">
        <v>493</v>
      </c>
      <c r="W104" s="4" t="s">
        <v>130</v>
      </c>
      <c r="X104" s="4" t="s">
        <v>131</v>
      </c>
      <c r="Y104" s="4" t="s">
        <v>115</v>
      </c>
      <c r="Z104" s="4" t="s">
        <v>132</v>
      </c>
      <c r="AA104" s="4" t="s">
        <v>132</v>
      </c>
      <c r="AB104" s="4" t="s">
        <v>132</v>
      </c>
      <c r="AC104" s="4" t="s">
        <v>125</v>
      </c>
      <c r="AD104" s="4" t="s">
        <v>125</v>
      </c>
      <c r="AE104" s="5">
        <v>9.5833333333333321</v>
      </c>
      <c r="AF104" s="5">
        <v>11.337500000000002</v>
      </c>
      <c r="AG104" s="5">
        <v>7.0833333333333357</v>
      </c>
      <c r="AH104" s="5">
        <v>28.00416666666667</v>
      </c>
      <c r="AI104" s="6">
        <v>0.81223032286862074</v>
      </c>
      <c r="AJ104" s="7">
        <v>14.002083333333335</v>
      </c>
      <c r="AK104" s="7">
        <v>14.002083333333335</v>
      </c>
      <c r="AL104" s="8"/>
      <c r="AM104" s="51">
        <f>AH104*(1-AI104)</f>
        <v>5.2583333333333337</v>
      </c>
      <c r="AN104" s="50" t="str">
        <f>VLOOKUP($E104,'Capgemini PResence and HC'!$B$2:$G$143,4,0)</f>
        <v>Y</v>
      </c>
      <c r="AO104" s="50">
        <f>VLOOKUP($E104,'Capgemini PResence and HC'!$B$2:$G$143,2,0)</f>
        <v>3</v>
      </c>
      <c r="AP104" s="50">
        <f>VLOOKUP($E104,'Capgemini PResence and HC'!$B$2:$G$143,3,0)</f>
        <v>0</v>
      </c>
      <c r="AQ104" s="50">
        <f>VLOOKUP($E104,'Capgemini PResence and HC'!$B$2:$G$143,6,0)</f>
        <v>3.5437500000000002</v>
      </c>
      <c r="AR104" s="65"/>
      <c r="AS104" s="65"/>
      <c r="AT104" s="72" t="e">
        <f>#REF!*AT$151</f>
        <v>#REF!</v>
      </c>
      <c r="AU104" s="72" t="e">
        <f>#REF!*AU$151</f>
        <v>#REF!</v>
      </c>
      <c r="AV104" s="72" t="e">
        <f>#REF!*AV$151</f>
        <v>#REF!</v>
      </c>
      <c r="AW104" s="72" t="e">
        <f>#REF!*AW$151</f>
        <v>#REF!</v>
      </c>
      <c r="AX104" s="72" t="e">
        <f>#REF!*AX$151</f>
        <v>#REF!</v>
      </c>
      <c r="AY104" s="72" t="e">
        <f>#REF!*AY$151</f>
        <v>#REF!</v>
      </c>
      <c r="AZ104" s="72" t="e">
        <f>#REF!*AZ$151</f>
        <v>#REF!</v>
      </c>
      <c r="BA104" s="72" t="e">
        <f>#REF!*BA$151</f>
        <v>#REF!</v>
      </c>
      <c r="BB104" s="75">
        <f>SUM(AE104:AG104)-AH104</f>
        <v>0</v>
      </c>
    </row>
    <row r="105" spans="1:54" s="2" customFormat="1" ht="18.75" hidden="1" customHeight="1">
      <c r="A105" s="15"/>
      <c r="B105" s="15"/>
      <c r="C105" s="15"/>
      <c r="D105" s="15"/>
      <c r="E105" s="4">
        <v>12654</v>
      </c>
      <c r="F105" s="4" t="s">
        <v>494</v>
      </c>
      <c r="G105" s="4" t="s">
        <v>495</v>
      </c>
      <c r="H105" s="4" t="s">
        <v>496</v>
      </c>
      <c r="I105" s="4" t="s">
        <v>319</v>
      </c>
      <c r="J105" s="4" t="s">
        <v>199</v>
      </c>
      <c r="K105" s="4"/>
      <c r="L105" s="4" t="s">
        <v>121</v>
      </c>
      <c r="M105" s="4" t="s">
        <v>497</v>
      </c>
      <c r="N105" s="4" t="s">
        <v>123</v>
      </c>
      <c r="O105" s="4" t="s">
        <v>124</v>
      </c>
      <c r="P105" s="4" t="s">
        <v>125</v>
      </c>
      <c r="Q105" s="4" t="s">
        <v>139</v>
      </c>
      <c r="R105" s="4" t="s">
        <v>140</v>
      </c>
      <c r="S105" s="4" t="s">
        <v>115</v>
      </c>
      <c r="T105" s="4" t="s">
        <v>260</v>
      </c>
      <c r="U105" s="4" t="s">
        <v>128</v>
      </c>
      <c r="V105" s="4" t="s">
        <v>498</v>
      </c>
      <c r="W105" s="4" t="s">
        <v>143</v>
      </c>
      <c r="X105" s="4" t="s">
        <v>128</v>
      </c>
      <c r="Y105" s="4" t="s">
        <v>140</v>
      </c>
      <c r="Z105" s="4" t="s">
        <v>132</v>
      </c>
      <c r="AA105" s="4" t="s">
        <v>132</v>
      </c>
      <c r="AB105" s="4" t="s">
        <v>132</v>
      </c>
      <c r="AC105" s="4" t="s">
        <v>125</v>
      </c>
      <c r="AD105" s="4" t="s">
        <v>125</v>
      </c>
      <c r="AE105" s="5">
        <v>0</v>
      </c>
      <c r="AF105" s="5">
        <v>0.25</v>
      </c>
      <c r="AG105" s="5">
        <v>0</v>
      </c>
      <c r="AH105" s="5">
        <v>0.25</v>
      </c>
      <c r="AI105" s="6">
        <v>1</v>
      </c>
      <c r="AJ105" s="7">
        <v>0.125</v>
      </c>
      <c r="AK105" s="7">
        <v>0.125</v>
      </c>
      <c r="AL105" s="8"/>
      <c r="AM105" s="51">
        <f>AH105*(1-AI105)</f>
        <v>0</v>
      </c>
      <c r="AN105" s="50" t="str">
        <f>VLOOKUP($E105,'Capgemini PResence and HC'!$B$2:$G$143,4,0)</f>
        <v>N</v>
      </c>
      <c r="AO105" s="50">
        <f>VLOOKUP($E105,'Capgemini PResence and HC'!$B$2:$G$143,2,0)</f>
        <v>0</v>
      </c>
      <c r="AP105" s="50">
        <f>VLOOKUP($E105,'Capgemini PResence and HC'!$B$2:$G$143,3,0)</f>
        <v>0</v>
      </c>
      <c r="AQ105" s="50">
        <f>VLOOKUP($E105,'Capgemini PResence and HC'!$B$2:$G$143,6,0)</f>
        <v>0</v>
      </c>
      <c r="AR105" s="65"/>
      <c r="AS105" s="65"/>
      <c r="AT105" s="72" t="e">
        <f>#REF!*AT$151</f>
        <v>#REF!</v>
      </c>
      <c r="AU105" s="72" t="e">
        <f>#REF!*AU$151</f>
        <v>#REF!</v>
      </c>
      <c r="AV105" s="72" t="e">
        <f>#REF!*AV$151</f>
        <v>#REF!</v>
      </c>
      <c r="AW105" s="72" t="e">
        <f>#REF!*AW$151</f>
        <v>#REF!</v>
      </c>
      <c r="AX105" s="72" t="e">
        <f>#REF!*AX$151</f>
        <v>#REF!</v>
      </c>
      <c r="AY105" s="72" t="e">
        <f>#REF!*AY$151</f>
        <v>#REF!</v>
      </c>
      <c r="AZ105" s="72" t="e">
        <f>#REF!*AZ$151</f>
        <v>#REF!</v>
      </c>
      <c r="BA105" s="72" t="e">
        <f>#REF!*BA$151</f>
        <v>#REF!</v>
      </c>
      <c r="BB105" s="75">
        <f>SUM(AE105:AG105)-AH105</f>
        <v>0</v>
      </c>
    </row>
    <row r="106" spans="1:54" s="2" customFormat="1" ht="18.75" hidden="1" customHeight="1">
      <c r="A106" s="15"/>
      <c r="B106" s="15"/>
      <c r="C106" s="15"/>
      <c r="D106" s="15"/>
      <c r="E106" s="4">
        <v>12675</v>
      </c>
      <c r="F106" s="4" t="s">
        <v>499</v>
      </c>
      <c r="G106" s="4" t="s">
        <v>500</v>
      </c>
      <c r="H106" s="4" t="s">
        <v>501</v>
      </c>
      <c r="I106" s="4" t="s">
        <v>206</v>
      </c>
      <c r="J106" s="4" t="s">
        <v>199</v>
      </c>
      <c r="K106" s="4" t="s">
        <v>207</v>
      </c>
      <c r="L106" s="4" t="s">
        <v>121</v>
      </c>
      <c r="M106" s="4" t="s">
        <v>497</v>
      </c>
      <c r="N106" s="4" t="s">
        <v>123</v>
      </c>
      <c r="O106" s="4" t="s">
        <v>502</v>
      </c>
      <c r="P106" s="4" t="s">
        <v>125</v>
      </c>
      <c r="Q106" s="4" t="s">
        <v>139</v>
      </c>
      <c r="R106" s="4" t="s">
        <v>140</v>
      </c>
      <c r="S106" s="4" t="s">
        <v>115</v>
      </c>
      <c r="T106" s="4" t="s">
        <v>503</v>
      </c>
      <c r="U106" s="4" t="s">
        <v>128</v>
      </c>
      <c r="V106" s="4" t="s">
        <v>504</v>
      </c>
      <c r="W106" s="4" t="s">
        <v>130</v>
      </c>
      <c r="X106" s="4" t="s">
        <v>128</v>
      </c>
      <c r="Y106" s="4" t="s">
        <v>140</v>
      </c>
      <c r="Z106" s="4" t="s">
        <v>132</v>
      </c>
      <c r="AA106" s="4" t="s">
        <v>132</v>
      </c>
      <c r="AB106" s="4" t="s">
        <v>132</v>
      </c>
      <c r="AC106" s="4" t="s">
        <v>125</v>
      </c>
      <c r="AD106" s="4" t="s">
        <v>125</v>
      </c>
      <c r="AE106" s="11">
        <v>0</v>
      </c>
      <c r="AF106" s="11">
        <v>0.1</v>
      </c>
      <c r="AG106" s="11">
        <v>0</v>
      </c>
      <c r="AH106" s="5">
        <v>0.1</v>
      </c>
      <c r="AI106" s="6"/>
      <c r="AJ106" s="7">
        <v>0.05</v>
      </c>
      <c r="AK106" s="7">
        <v>0.05</v>
      </c>
      <c r="AL106" s="8"/>
      <c r="AM106" s="51">
        <f>AH106*(1-AI106)</f>
        <v>0.1</v>
      </c>
      <c r="AN106" s="50" t="str">
        <f>VLOOKUP($E106,'Capgemini PResence and HC'!$B$2:$G$143,4,0)</f>
        <v>N</v>
      </c>
      <c r="AO106" s="50">
        <f>VLOOKUP($E106,'Capgemini PResence and HC'!$B$2:$G$143,2,0)</f>
        <v>0</v>
      </c>
      <c r="AP106" s="50">
        <f>VLOOKUP($E106,'Capgemini PResence and HC'!$B$2:$G$143,3,0)</f>
        <v>0</v>
      </c>
      <c r="AQ106" s="50">
        <f>VLOOKUP($E106,'Capgemini PResence and HC'!$B$2:$G$143,6,0)</f>
        <v>0</v>
      </c>
      <c r="AR106" s="65"/>
      <c r="AS106" s="65"/>
      <c r="AT106" s="72" t="e">
        <f>#REF!*AT$151</f>
        <v>#REF!</v>
      </c>
      <c r="AU106" s="72" t="e">
        <f>#REF!*AU$151</f>
        <v>#REF!</v>
      </c>
      <c r="AV106" s="72" t="e">
        <f>#REF!*AV$151</f>
        <v>#REF!</v>
      </c>
      <c r="AW106" s="72" t="e">
        <f>#REF!*AW$151</f>
        <v>#REF!</v>
      </c>
      <c r="AX106" s="72" t="e">
        <f>#REF!*AX$151</f>
        <v>#REF!</v>
      </c>
      <c r="AY106" s="72" t="e">
        <f>#REF!*AY$151</f>
        <v>#REF!</v>
      </c>
      <c r="AZ106" s="72" t="e">
        <f>#REF!*AZ$151</f>
        <v>#REF!</v>
      </c>
      <c r="BA106" s="72" t="e">
        <f>#REF!*BA$151</f>
        <v>#REF!</v>
      </c>
      <c r="BB106" s="75">
        <f>SUM(AE106:AG106)-AH106</f>
        <v>0</v>
      </c>
    </row>
    <row r="107" spans="1:54" s="2" customFormat="1" ht="18.75" hidden="1" customHeight="1">
      <c r="A107" s="15" t="s">
        <v>20</v>
      </c>
      <c r="B107" s="15" t="s">
        <v>115</v>
      </c>
      <c r="C107" s="15"/>
      <c r="D107" s="15"/>
      <c r="E107" s="4">
        <v>9851</v>
      </c>
      <c r="F107" s="4" t="s">
        <v>505</v>
      </c>
      <c r="G107" s="4" t="s">
        <v>506</v>
      </c>
      <c r="H107" s="12" t="s">
        <v>507</v>
      </c>
      <c r="I107" s="4" t="s">
        <v>233</v>
      </c>
      <c r="J107" s="4" t="s">
        <v>119</v>
      </c>
      <c r="K107" s="4" t="s">
        <v>234</v>
      </c>
      <c r="L107" s="4" t="s">
        <v>121</v>
      </c>
      <c r="M107" s="4" t="s">
        <v>122</v>
      </c>
      <c r="N107" s="4" t="s">
        <v>123</v>
      </c>
      <c r="O107" s="4" t="s">
        <v>124</v>
      </c>
      <c r="P107" s="4" t="s">
        <v>125</v>
      </c>
      <c r="Q107" s="4" t="s">
        <v>139</v>
      </c>
      <c r="R107" s="4" t="s">
        <v>140</v>
      </c>
      <c r="S107" s="4" t="s">
        <v>115</v>
      </c>
      <c r="T107" s="4" t="s">
        <v>260</v>
      </c>
      <c r="U107" s="4" t="s">
        <v>128</v>
      </c>
      <c r="V107" s="4" t="s">
        <v>236</v>
      </c>
      <c r="W107" s="4" t="s">
        <v>143</v>
      </c>
      <c r="X107" s="4" t="s">
        <v>302</v>
      </c>
      <c r="Y107" s="4" t="s">
        <v>115</v>
      </c>
      <c r="Z107" s="4" t="s">
        <v>132</v>
      </c>
      <c r="AA107" s="4" t="s">
        <v>132</v>
      </c>
      <c r="AB107" s="4" t="s">
        <v>132</v>
      </c>
      <c r="AC107" s="4" t="s">
        <v>125</v>
      </c>
      <c r="AD107" s="4" t="s">
        <v>125</v>
      </c>
      <c r="AE107" s="5">
        <v>0.29166666666666663</v>
      </c>
      <c r="AF107" s="5">
        <v>0.11666666666666667</v>
      </c>
      <c r="AG107" s="5">
        <v>0</v>
      </c>
      <c r="AH107" s="5">
        <v>0.40833333333333333</v>
      </c>
      <c r="AI107" s="6">
        <v>0.82653061224489799</v>
      </c>
      <c r="AJ107" s="7">
        <v>0.20416666666666666</v>
      </c>
      <c r="AK107" s="7">
        <v>0.20416666666666666</v>
      </c>
      <c r="AL107" s="8"/>
      <c r="AM107" s="51">
        <f>AH107*(1-AI107)</f>
        <v>7.0833333333333318E-2</v>
      </c>
      <c r="AN107" s="50" t="str">
        <f>VLOOKUP($E107,'Capgemini PResence and HC'!$B$2:$G$143,4,0)</f>
        <v>N</v>
      </c>
      <c r="AO107" s="50">
        <f>VLOOKUP($E107,'Capgemini PResence and HC'!$B$2:$G$143,2,0)</f>
        <v>0</v>
      </c>
      <c r="AP107" s="50">
        <f>VLOOKUP($E107,'Capgemini PResence and HC'!$B$2:$G$143,3,0)</f>
        <v>0</v>
      </c>
      <c r="AQ107" s="50">
        <f>VLOOKUP($E107,'Capgemini PResence and HC'!$B$2:$G$143,6,0)</f>
        <v>0</v>
      </c>
      <c r="AR107" s="76">
        <f>AH107-AS107</f>
        <v>0.33750000000000002</v>
      </c>
      <c r="AS107" s="67">
        <f>AM107</f>
        <v>7.0833333333333318E-2</v>
      </c>
      <c r="BB107" s="75">
        <f>SUM(AE107:AG107)-AH107</f>
        <v>0</v>
      </c>
    </row>
    <row r="108" spans="1:54" s="2" customFormat="1" ht="18.75" hidden="1" customHeight="1">
      <c r="A108" s="15" t="s">
        <v>20</v>
      </c>
      <c r="B108" s="15" t="s">
        <v>115</v>
      </c>
      <c r="C108" s="15"/>
      <c r="D108" s="15"/>
      <c r="E108" s="4">
        <v>12820</v>
      </c>
      <c r="F108" s="4" t="s">
        <v>508</v>
      </c>
      <c r="G108" s="4" t="s">
        <v>509</v>
      </c>
      <c r="H108" s="4" t="s">
        <v>510</v>
      </c>
      <c r="I108" s="4" t="s">
        <v>272</v>
      </c>
      <c r="J108" s="4" t="s">
        <v>273</v>
      </c>
      <c r="K108" s="4" t="s">
        <v>312</v>
      </c>
      <c r="L108" s="4" t="s">
        <v>121</v>
      </c>
      <c r="M108" s="4" t="s">
        <v>122</v>
      </c>
      <c r="N108" s="4" t="s">
        <v>123</v>
      </c>
      <c r="O108" s="4" t="s">
        <v>124</v>
      </c>
      <c r="P108" s="4" t="s">
        <v>125</v>
      </c>
      <c r="Q108" s="4" t="s">
        <v>313</v>
      </c>
      <c r="R108" s="4" t="s">
        <v>140</v>
      </c>
      <c r="S108" s="4" t="s">
        <v>115</v>
      </c>
      <c r="T108" s="4" t="s">
        <v>511</v>
      </c>
      <c r="U108" s="4" t="s">
        <v>128</v>
      </c>
      <c r="V108" s="4" t="s">
        <v>236</v>
      </c>
      <c r="W108" s="4" t="s">
        <v>143</v>
      </c>
      <c r="X108" s="4" t="s">
        <v>128</v>
      </c>
      <c r="Y108" s="4" t="s">
        <v>140</v>
      </c>
      <c r="Z108" s="4" t="s">
        <v>132</v>
      </c>
      <c r="AA108" s="4" t="s">
        <v>132</v>
      </c>
      <c r="AB108" s="4" t="s">
        <v>132</v>
      </c>
      <c r="AC108" s="4" t="s">
        <v>125</v>
      </c>
      <c r="AD108" s="4" t="s">
        <v>125</v>
      </c>
      <c r="AE108" s="5">
        <v>0.36249999999999999</v>
      </c>
      <c r="AF108" s="5">
        <v>0</v>
      </c>
      <c r="AG108" s="5">
        <v>0</v>
      </c>
      <c r="AH108" s="5">
        <v>0.36249999999999999</v>
      </c>
      <c r="AI108" s="6">
        <v>1</v>
      </c>
      <c r="AJ108" s="7">
        <v>0.18124999999999999</v>
      </c>
      <c r="AK108" s="7">
        <v>0.18124999999999999</v>
      </c>
      <c r="AL108" s="8"/>
      <c r="AM108" s="51">
        <f>AH108*(1-AI108)</f>
        <v>0</v>
      </c>
      <c r="AN108" s="50" t="str">
        <f>VLOOKUP($E108,'Capgemini PResence and HC'!$B$2:$G$143,4,0)</f>
        <v>N</v>
      </c>
      <c r="AO108" s="50">
        <f>VLOOKUP($E108,'Capgemini PResence and HC'!$B$2:$G$143,2,0)</f>
        <v>0</v>
      </c>
      <c r="AP108" s="50">
        <f>VLOOKUP($E108,'Capgemini PResence and HC'!$B$2:$G$143,3,0)</f>
        <v>0</v>
      </c>
      <c r="AQ108" s="50">
        <f>VLOOKUP($E108,'Capgemini PResence and HC'!$B$2:$G$143,6,0)</f>
        <v>0</v>
      </c>
      <c r="AR108" s="65"/>
      <c r="AS108" s="65"/>
      <c r="AT108" s="72" t="e">
        <f>#REF!*AT$151</f>
        <v>#REF!</v>
      </c>
      <c r="AU108" s="72" t="e">
        <f>#REF!*AU$151</f>
        <v>#REF!</v>
      </c>
      <c r="AV108" s="72" t="e">
        <f>#REF!*AV$151</f>
        <v>#REF!</v>
      </c>
      <c r="AW108" s="72" t="e">
        <f>#REF!*AW$151</f>
        <v>#REF!</v>
      </c>
      <c r="AX108" s="72" t="e">
        <f>#REF!*AX$151</f>
        <v>#REF!</v>
      </c>
      <c r="AY108" s="72" t="e">
        <f>#REF!*AY$151</f>
        <v>#REF!</v>
      </c>
      <c r="AZ108" s="72" t="e">
        <f>#REF!*AZ$151</f>
        <v>#REF!</v>
      </c>
      <c r="BA108" s="72" t="e">
        <f>#REF!*BA$151</f>
        <v>#REF!</v>
      </c>
      <c r="BB108" s="75">
        <f>SUM(AE108:AG108)-AH108</f>
        <v>0</v>
      </c>
    </row>
    <row r="109" spans="1:54" s="2" customFormat="1" ht="18.75" hidden="1" customHeight="1">
      <c r="A109" s="15" t="s">
        <v>20</v>
      </c>
      <c r="B109" s="15" t="s">
        <v>115</v>
      </c>
      <c r="C109" s="15"/>
      <c r="D109" s="15"/>
      <c r="E109" s="4">
        <v>14376</v>
      </c>
      <c r="F109" s="4" t="s">
        <v>512</v>
      </c>
      <c r="G109" s="4" t="s">
        <v>513</v>
      </c>
      <c r="H109" s="4" t="s">
        <v>514</v>
      </c>
      <c r="I109" s="4" t="s">
        <v>233</v>
      </c>
      <c r="J109" s="4" t="s">
        <v>119</v>
      </c>
      <c r="K109" s="4" t="s">
        <v>234</v>
      </c>
      <c r="L109" s="4" t="s">
        <v>121</v>
      </c>
      <c r="M109" s="4" t="s">
        <v>122</v>
      </c>
      <c r="N109" s="4" t="s">
        <v>123</v>
      </c>
      <c r="O109" s="4" t="s">
        <v>124</v>
      </c>
      <c r="P109" s="4" t="s">
        <v>125</v>
      </c>
      <c r="Q109" s="4" t="s">
        <v>126</v>
      </c>
      <c r="R109" s="4" t="s">
        <v>140</v>
      </c>
      <c r="S109" s="4" t="s">
        <v>115</v>
      </c>
      <c r="T109" s="4" t="s">
        <v>515</v>
      </c>
      <c r="U109" s="4" t="s">
        <v>128</v>
      </c>
      <c r="V109" s="4" t="s">
        <v>209</v>
      </c>
      <c r="W109" s="4" t="s">
        <v>143</v>
      </c>
      <c r="X109" s="4" t="s">
        <v>128</v>
      </c>
      <c r="Y109" s="4" t="s">
        <v>140</v>
      </c>
      <c r="Z109" s="4" t="s">
        <v>132</v>
      </c>
      <c r="AA109" s="4" t="s">
        <v>132</v>
      </c>
      <c r="AB109" s="4" t="s">
        <v>132</v>
      </c>
      <c r="AC109" s="4" t="s">
        <v>125</v>
      </c>
      <c r="AD109" s="4" t="s">
        <v>125</v>
      </c>
      <c r="AE109" s="5">
        <v>0.27479166666666671</v>
      </c>
      <c r="AF109" s="5">
        <v>0</v>
      </c>
      <c r="AG109" s="5">
        <v>0</v>
      </c>
      <c r="AH109" s="5">
        <v>0.27479166666666671</v>
      </c>
      <c r="AI109" s="6">
        <v>0.7725549658832449</v>
      </c>
      <c r="AJ109" s="7">
        <v>0.13739583333333336</v>
      </c>
      <c r="AK109" s="7">
        <v>0.13739583333333336</v>
      </c>
      <c r="AL109" s="8"/>
      <c r="AM109" s="51">
        <f>AH109*(1-AI109)</f>
        <v>6.25E-2</v>
      </c>
      <c r="AN109" s="50" t="str">
        <f>VLOOKUP($E109,'Capgemini PResence and HC'!$B$2:$G$143,4,0)</f>
        <v>N</v>
      </c>
      <c r="AO109" s="50">
        <f>VLOOKUP($E109,'Capgemini PResence and HC'!$B$2:$G$143,2,0)</f>
        <v>0</v>
      </c>
      <c r="AP109" s="50">
        <f>VLOOKUP($E109,'Capgemini PResence and HC'!$B$2:$G$143,3,0)</f>
        <v>0</v>
      </c>
      <c r="AQ109" s="50">
        <f>VLOOKUP($E109,'Capgemini PResence and HC'!$B$2:$G$143,6,0)</f>
        <v>0</v>
      </c>
      <c r="AR109" s="76">
        <f>AH109-AS109</f>
        <v>0.21229166666666671</v>
      </c>
      <c r="AS109" s="67">
        <f>AM109</f>
        <v>6.25E-2</v>
      </c>
      <c r="AT109" s="72" t="e">
        <f>#REF!*AT$151</f>
        <v>#REF!</v>
      </c>
      <c r="AU109" s="72" t="e">
        <f>#REF!*AU$151</f>
        <v>#REF!</v>
      </c>
      <c r="AV109" s="72" t="e">
        <f>#REF!*AV$151</f>
        <v>#REF!</v>
      </c>
      <c r="AW109" s="72" t="e">
        <f>#REF!*AW$151</f>
        <v>#REF!</v>
      </c>
      <c r="AX109" s="72" t="e">
        <f>#REF!*AX$151</f>
        <v>#REF!</v>
      </c>
      <c r="AY109" s="72" t="e">
        <f>#REF!*AY$151</f>
        <v>#REF!</v>
      </c>
      <c r="AZ109" s="72" t="e">
        <f>#REF!*AZ$151</f>
        <v>#REF!</v>
      </c>
      <c r="BA109" s="72" t="e">
        <f>#REF!*BA$151</f>
        <v>#REF!</v>
      </c>
      <c r="BB109" s="75">
        <f>SUM(AE109:AG109)-AH109</f>
        <v>0</v>
      </c>
    </row>
    <row r="110" spans="1:54" s="2" customFormat="1" ht="18.75" hidden="1" customHeight="1">
      <c r="A110" s="15" t="s">
        <v>20</v>
      </c>
      <c r="B110" s="15" t="s">
        <v>115</v>
      </c>
      <c r="C110" s="15"/>
      <c r="D110" s="15"/>
      <c r="E110" s="4">
        <v>12894</v>
      </c>
      <c r="F110" s="4" t="s">
        <v>516</v>
      </c>
      <c r="G110" s="4" t="s">
        <v>517</v>
      </c>
      <c r="H110" s="4" t="s">
        <v>518</v>
      </c>
      <c r="I110" s="4" t="s">
        <v>227</v>
      </c>
      <c r="J110" s="4" t="s">
        <v>199</v>
      </c>
      <c r="K110" s="4" t="s">
        <v>519</v>
      </c>
      <c r="L110" s="4" t="s">
        <v>121</v>
      </c>
      <c r="M110" s="4" t="s">
        <v>192</v>
      </c>
      <c r="N110" s="4" t="s">
        <v>123</v>
      </c>
      <c r="O110" s="4" t="s">
        <v>124</v>
      </c>
      <c r="P110" s="4" t="s">
        <v>125</v>
      </c>
      <c r="Q110" s="4" t="s">
        <v>139</v>
      </c>
      <c r="R110" s="4" t="s">
        <v>140</v>
      </c>
      <c r="S110" s="4" t="s">
        <v>115</v>
      </c>
      <c r="T110" s="4" t="s">
        <v>260</v>
      </c>
      <c r="U110" s="4" t="s">
        <v>128</v>
      </c>
      <c r="V110" s="4" t="s">
        <v>520</v>
      </c>
      <c r="W110" s="4" t="s">
        <v>143</v>
      </c>
      <c r="X110" s="4" t="s">
        <v>302</v>
      </c>
      <c r="Y110" s="4" t="s">
        <v>115</v>
      </c>
      <c r="Z110" s="4" t="s">
        <v>132</v>
      </c>
      <c r="AA110" s="4" t="s">
        <v>132</v>
      </c>
      <c r="AB110" s="4" t="s">
        <v>132</v>
      </c>
      <c r="AC110" s="4" t="s">
        <v>125</v>
      </c>
      <c r="AD110" s="4" t="s">
        <v>125</v>
      </c>
      <c r="AE110" s="5">
        <v>2.6333333333333337</v>
      </c>
      <c r="AF110" s="5">
        <v>2.7791666666666672</v>
      </c>
      <c r="AG110" s="5">
        <v>2.9187500000000002</v>
      </c>
      <c r="AH110" s="5">
        <v>8.3312500000000007</v>
      </c>
      <c r="AI110" s="6">
        <v>0.92748187046761688</v>
      </c>
      <c r="AJ110" s="7">
        <v>4.1656250000000004</v>
      </c>
      <c r="AK110" s="7">
        <v>4.1656250000000004</v>
      </c>
      <c r="AL110" s="8"/>
      <c r="AM110" s="51">
        <f>AH110*(1-AI110)</f>
        <v>0.60416666666666696</v>
      </c>
      <c r="AN110" s="50" t="str">
        <f>VLOOKUP($E110,'Capgemini PResence and HC'!$B$2:$G$143,4,0)</f>
        <v>Y</v>
      </c>
      <c r="AO110" s="50">
        <f>VLOOKUP($E110,'Capgemini PResence and HC'!$B$2:$G$143,2,0)</f>
        <v>2</v>
      </c>
      <c r="AP110" s="50">
        <f>VLOOKUP($E110,'Capgemini PResence and HC'!$B$2:$G$143,3,0)</f>
        <v>0</v>
      </c>
      <c r="AQ110" s="50">
        <f>VLOOKUP($E110,'Capgemini PResence and HC'!$B$2:$G$143,6,0)</f>
        <v>2.3624999999999998</v>
      </c>
      <c r="AR110" s="65"/>
      <c r="AS110" s="65"/>
      <c r="AT110" s="72" t="e">
        <f>#REF!*AT$151</f>
        <v>#REF!</v>
      </c>
      <c r="AU110" s="72" t="e">
        <f>#REF!*AU$151</f>
        <v>#REF!</v>
      </c>
      <c r="AV110" s="72" t="e">
        <f>#REF!*AV$151</f>
        <v>#REF!</v>
      </c>
      <c r="AW110" s="72" t="e">
        <f>#REF!*AW$151</f>
        <v>#REF!</v>
      </c>
      <c r="AX110" s="72" t="e">
        <f>#REF!*AX$151</f>
        <v>#REF!</v>
      </c>
      <c r="AY110" s="72" t="e">
        <f>#REF!*AY$151</f>
        <v>#REF!</v>
      </c>
      <c r="AZ110" s="72" t="e">
        <f>#REF!*AZ$151</f>
        <v>#REF!</v>
      </c>
      <c r="BA110" s="72" t="e">
        <f>#REF!*BA$151</f>
        <v>#REF!</v>
      </c>
      <c r="BB110" s="75">
        <f>SUM(AE110:AG110)-AH110</f>
        <v>0</v>
      </c>
    </row>
    <row r="111" spans="1:54" s="2" customFormat="1" ht="18.75" hidden="1" customHeight="1">
      <c r="A111" s="15" t="s">
        <v>20</v>
      </c>
      <c r="B111" s="15" t="s">
        <v>115</v>
      </c>
      <c r="C111" s="15"/>
      <c r="D111" s="15"/>
      <c r="E111" s="4">
        <v>12932</v>
      </c>
      <c r="F111" s="4" t="s">
        <v>521</v>
      </c>
      <c r="G111" s="4" t="s">
        <v>522</v>
      </c>
      <c r="H111" s="4" t="s">
        <v>523</v>
      </c>
      <c r="I111" s="4" t="s">
        <v>227</v>
      </c>
      <c r="J111" s="4" t="s">
        <v>199</v>
      </c>
      <c r="K111" s="4" t="s">
        <v>228</v>
      </c>
      <c r="L111" s="4" t="s">
        <v>291</v>
      </c>
      <c r="M111" s="4" t="s">
        <v>122</v>
      </c>
      <c r="N111" s="4" t="s">
        <v>123</v>
      </c>
      <c r="O111" s="4" t="s">
        <v>124</v>
      </c>
      <c r="P111" s="4" t="s">
        <v>125</v>
      </c>
      <c r="Q111" s="4" t="s">
        <v>139</v>
      </c>
      <c r="R111" s="4" t="s">
        <v>115</v>
      </c>
      <c r="S111" s="4" t="s">
        <v>115</v>
      </c>
      <c r="T111" s="4" t="s">
        <v>524</v>
      </c>
      <c r="U111" s="4" t="s">
        <v>128</v>
      </c>
      <c r="V111" s="4" t="s">
        <v>525</v>
      </c>
      <c r="W111" s="4" t="s">
        <v>143</v>
      </c>
      <c r="X111" s="4" t="s">
        <v>302</v>
      </c>
      <c r="Y111" s="4" t="s">
        <v>115</v>
      </c>
      <c r="Z111" s="4" t="s">
        <v>132</v>
      </c>
      <c r="AA111" s="4" t="s">
        <v>132</v>
      </c>
      <c r="AB111" s="4" t="s">
        <v>132</v>
      </c>
      <c r="AC111" s="4" t="s">
        <v>125</v>
      </c>
      <c r="AD111" s="4" t="s">
        <v>125</v>
      </c>
      <c r="AE111" s="5">
        <v>35.819583333333327</v>
      </c>
      <c r="AF111" s="5">
        <v>25.000000000000068</v>
      </c>
      <c r="AG111" s="5">
        <v>12.866666666666667</v>
      </c>
      <c r="AH111" s="5">
        <v>73.686250000000058</v>
      </c>
      <c r="AI111" s="6">
        <v>0.91167506375567586</v>
      </c>
      <c r="AJ111" s="7">
        <v>36.843125000000029</v>
      </c>
      <c r="AK111" s="7">
        <v>36.843125000000029</v>
      </c>
      <c r="AL111" s="8"/>
      <c r="AM111" s="51">
        <f>AH111*(1-AI111)</f>
        <v>6.5083333333333346</v>
      </c>
      <c r="AN111" s="50" t="str">
        <f>VLOOKUP($E111,'Capgemini PResence and HC'!$B$2:$G$143,4,0)</f>
        <v>Y</v>
      </c>
      <c r="AO111" s="50">
        <f>VLOOKUP($E111,'Capgemini PResence and HC'!$B$2:$G$143,2,0)</f>
        <v>11</v>
      </c>
      <c r="AP111" s="50">
        <f>VLOOKUP($E111,'Capgemini PResence and HC'!$B$2:$G$143,3,0)</f>
        <v>0</v>
      </c>
      <c r="AQ111" s="50">
        <f>VLOOKUP($E111,'Capgemini PResence and HC'!$B$2:$G$143,6,0)</f>
        <v>8.4937500000000004</v>
      </c>
      <c r="AR111" s="65"/>
      <c r="AS111" s="65"/>
      <c r="AT111" s="72" t="e">
        <f>#REF!*AT$151</f>
        <v>#REF!</v>
      </c>
      <c r="AU111" s="72" t="e">
        <f>#REF!*AU$151</f>
        <v>#REF!</v>
      </c>
      <c r="AV111" s="72" t="e">
        <f>#REF!*AV$151</f>
        <v>#REF!</v>
      </c>
      <c r="AW111" s="72" t="e">
        <f>#REF!*AW$151</f>
        <v>#REF!</v>
      </c>
      <c r="AX111" s="72" t="e">
        <f>#REF!*AX$151</f>
        <v>#REF!</v>
      </c>
      <c r="AY111" s="72" t="e">
        <f>#REF!*AY$151</f>
        <v>#REF!</v>
      </c>
      <c r="AZ111" s="72" t="e">
        <f>#REF!*AZ$151</f>
        <v>#REF!</v>
      </c>
      <c r="BA111" s="72" t="e">
        <f>#REF!*BA$151</f>
        <v>#REF!</v>
      </c>
      <c r="BB111" s="75">
        <f>SUM(AE111:AG111)-AH111</f>
        <v>0</v>
      </c>
    </row>
    <row r="112" spans="1:54" s="2" customFormat="1" ht="18.75" hidden="1" customHeight="1">
      <c r="A112" s="15" t="s">
        <v>20</v>
      </c>
      <c r="B112" s="15" t="s">
        <v>115</v>
      </c>
      <c r="C112" s="15"/>
      <c r="D112" s="15"/>
      <c r="E112" s="4">
        <v>12991</v>
      </c>
      <c r="F112" s="4" t="s">
        <v>526</v>
      </c>
      <c r="G112" s="4" t="s">
        <v>527</v>
      </c>
      <c r="H112" s="4" t="s">
        <v>528</v>
      </c>
      <c r="I112" s="4" t="s">
        <v>287</v>
      </c>
      <c r="J112" s="4" t="s">
        <v>273</v>
      </c>
      <c r="K112" s="4" t="s">
        <v>288</v>
      </c>
      <c r="L112" s="4" t="s">
        <v>291</v>
      </c>
      <c r="M112" s="4" t="s">
        <v>192</v>
      </c>
      <c r="N112" s="4" t="s">
        <v>123</v>
      </c>
      <c r="O112" s="4" t="s">
        <v>124</v>
      </c>
      <c r="P112" s="4" t="s">
        <v>125</v>
      </c>
      <c r="Q112" s="4" t="s">
        <v>126</v>
      </c>
      <c r="R112" s="4" t="s">
        <v>115</v>
      </c>
      <c r="S112" s="4" t="s">
        <v>115</v>
      </c>
      <c r="T112" s="4" t="s">
        <v>229</v>
      </c>
      <c r="U112" s="4" t="s">
        <v>128</v>
      </c>
      <c r="V112" s="4" t="s">
        <v>236</v>
      </c>
      <c r="W112" s="4" t="s">
        <v>143</v>
      </c>
      <c r="X112" s="4" t="s">
        <v>302</v>
      </c>
      <c r="Y112" s="4" t="s">
        <v>115</v>
      </c>
      <c r="Z112" s="4" t="s">
        <v>132</v>
      </c>
      <c r="AA112" s="4" t="s">
        <v>132</v>
      </c>
      <c r="AB112" s="4" t="s">
        <v>132</v>
      </c>
      <c r="AC112" s="4" t="s">
        <v>125</v>
      </c>
      <c r="AD112" s="4" t="s">
        <v>132</v>
      </c>
      <c r="AE112" s="5">
        <v>4.6458333333333321</v>
      </c>
      <c r="AF112" s="5">
        <v>4.5625</v>
      </c>
      <c r="AG112" s="5">
        <v>2.9999999999999996</v>
      </c>
      <c r="AH112" s="5">
        <v>12.208333333333332</v>
      </c>
      <c r="AI112" s="6">
        <v>1</v>
      </c>
      <c r="AJ112" s="7">
        <v>6.1041666666666661</v>
      </c>
      <c r="AK112" s="7">
        <v>6.1041666666666661</v>
      </c>
      <c r="AL112" s="4" t="s">
        <v>529</v>
      </c>
      <c r="AM112" s="52">
        <f>AH112*(1-AI112)</f>
        <v>0</v>
      </c>
      <c r="AN112" s="50" t="str">
        <f>VLOOKUP($E112,'Capgemini PResence and HC'!$B$2:$G$143,4,0)</f>
        <v>Y</v>
      </c>
      <c r="AO112" s="50">
        <f>VLOOKUP($E112,'Capgemini PResence and HC'!$B$2:$G$143,2,0)</f>
        <v>1</v>
      </c>
      <c r="AP112" s="50">
        <f>VLOOKUP($E112,'Capgemini PResence and HC'!$B$2:$G$143,3,0)</f>
        <v>0</v>
      </c>
      <c r="AQ112" s="50">
        <f>VLOOKUP($E112,'Capgemini PResence and HC'!$B$2:$G$143,6,0)</f>
        <v>1.1812499999999999</v>
      </c>
      <c r="AR112" s="68">
        <f>AE112-AS112</f>
        <v>4.6458333333333321</v>
      </c>
      <c r="AS112" s="67">
        <f>AM112</f>
        <v>0</v>
      </c>
      <c r="AT112" s="70">
        <f>$AR112*AT$151</f>
        <v>0.34232456140350864</v>
      </c>
      <c r="AU112" s="70">
        <f>$AR112*AU$151</f>
        <v>0.34232456140350864</v>
      </c>
      <c r="AV112" s="70">
        <f>$AR112*AV$151</f>
        <v>1.8094298245614027</v>
      </c>
      <c r="AW112" s="70">
        <f>$AR112*AW$151</f>
        <v>1.2225877192982451</v>
      </c>
      <c r="AX112" s="70">
        <f>$AR112*AX$151</f>
        <v>0.24451754385964902</v>
      </c>
      <c r="AY112" s="70">
        <f>$AR112*AY$151</f>
        <v>0.34232456140350864</v>
      </c>
      <c r="AZ112" s="70">
        <f>$AR112*AZ$151</f>
        <v>0.34232456140350864</v>
      </c>
      <c r="BA112" s="70">
        <f>$AS112*BA$151</f>
        <v>0</v>
      </c>
      <c r="BB112" s="75">
        <f>SUM(AE112:AG112)-AH112</f>
        <v>0</v>
      </c>
    </row>
    <row r="113" spans="1:54" s="2" customFormat="1" ht="18.75" hidden="1" customHeight="1">
      <c r="A113" s="15" t="s">
        <v>20</v>
      </c>
      <c r="B113" s="15" t="s">
        <v>115</v>
      </c>
      <c r="C113" s="15"/>
      <c r="D113" s="15"/>
      <c r="E113" s="4">
        <v>13139</v>
      </c>
      <c r="F113" s="4" t="s">
        <v>530</v>
      </c>
      <c r="G113" s="4" t="s">
        <v>531</v>
      </c>
      <c r="H113" s="4" t="s">
        <v>531</v>
      </c>
      <c r="I113" s="4" t="s">
        <v>319</v>
      </c>
      <c r="J113" s="4" t="s">
        <v>320</v>
      </c>
      <c r="K113" s="4" t="s">
        <v>320</v>
      </c>
      <c r="L113" s="4" t="s">
        <v>121</v>
      </c>
      <c r="M113" s="4" t="s">
        <v>192</v>
      </c>
      <c r="N113" s="4" t="s">
        <v>123</v>
      </c>
      <c r="O113" s="4" t="s">
        <v>124</v>
      </c>
      <c r="P113" s="4" t="s">
        <v>125</v>
      </c>
      <c r="Q113" s="4" t="s">
        <v>139</v>
      </c>
      <c r="R113" s="4" t="s">
        <v>115</v>
      </c>
      <c r="S113" s="4" t="s">
        <v>115</v>
      </c>
      <c r="T113" s="4" t="s">
        <v>260</v>
      </c>
      <c r="U113" s="4" t="s">
        <v>128</v>
      </c>
      <c r="V113" s="4" t="s">
        <v>236</v>
      </c>
      <c r="W113" s="4" t="s">
        <v>143</v>
      </c>
      <c r="X113" s="4" t="s">
        <v>302</v>
      </c>
      <c r="Y113" s="4" t="s">
        <v>115</v>
      </c>
      <c r="Z113" s="4" t="s">
        <v>132</v>
      </c>
      <c r="AA113" s="4" t="s">
        <v>132</v>
      </c>
      <c r="AB113" s="4"/>
      <c r="AC113" s="4" t="s">
        <v>125</v>
      </c>
      <c r="AD113" s="4" t="s">
        <v>125</v>
      </c>
      <c r="AE113" s="5">
        <v>0</v>
      </c>
      <c r="AF113" s="5">
        <v>1.3</v>
      </c>
      <c r="AG113" s="5">
        <v>0.69166666666666665</v>
      </c>
      <c r="AH113" s="5">
        <v>1.9916666666666667</v>
      </c>
      <c r="AI113" s="6">
        <v>1</v>
      </c>
      <c r="AJ113" s="7">
        <v>0.99583333333333335</v>
      </c>
      <c r="AK113" s="7">
        <v>0.99583333333333335</v>
      </c>
      <c r="AL113" s="8"/>
      <c r="AM113" s="51">
        <f>AH113*(1-AI113)</f>
        <v>0</v>
      </c>
      <c r="AN113" s="50" t="str">
        <f>VLOOKUP($E113,'Capgemini PResence and HC'!$B$2:$G$143,4,0)</f>
        <v>N</v>
      </c>
      <c r="AO113" s="50">
        <f>VLOOKUP($E113,'Capgemini PResence and HC'!$B$2:$G$143,2,0)</f>
        <v>0</v>
      </c>
      <c r="AP113" s="50">
        <f>VLOOKUP($E113,'Capgemini PResence and HC'!$B$2:$G$143,3,0)</f>
        <v>0</v>
      </c>
      <c r="AQ113" s="50">
        <f>VLOOKUP($E113,'Capgemini PResence and HC'!$B$2:$G$143,6,0)</f>
        <v>0</v>
      </c>
      <c r="AR113" s="65"/>
      <c r="AS113" s="65"/>
      <c r="AT113" s="72" t="e">
        <f>#REF!*AT$151</f>
        <v>#REF!</v>
      </c>
      <c r="AU113" s="72" t="e">
        <f>#REF!*AU$151</f>
        <v>#REF!</v>
      </c>
      <c r="AV113" s="72" t="e">
        <f>#REF!*AV$151</f>
        <v>#REF!</v>
      </c>
      <c r="AW113" s="72" t="e">
        <f>#REF!*AW$151</f>
        <v>#REF!</v>
      </c>
      <c r="AX113" s="72" t="e">
        <f>#REF!*AX$151</f>
        <v>#REF!</v>
      </c>
      <c r="AY113" s="72" t="e">
        <f>#REF!*AY$151</f>
        <v>#REF!</v>
      </c>
      <c r="AZ113" s="72" t="e">
        <f>#REF!*AZ$151</f>
        <v>#REF!</v>
      </c>
      <c r="BA113" s="72" t="e">
        <f>#REF!*BA$151</f>
        <v>#REF!</v>
      </c>
      <c r="BB113" s="75">
        <f>SUM(AE113:AG113)-AH113</f>
        <v>0</v>
      </c>
    </row>
    <row r="114" spans="1:54" s="2" customFormat="1" ht="18.75" hidden="1" customHeight="1">
      <c r="A114" s="15" t="s">
        <v>20</v>
      </c>
      <c r="B114" s="15" t="s">
        <v>115</v>
      </c>
      <c r="C114" s="15"/>
      <c r="D114" s="15"/>
      <c r="E114" s="4">
        <v>13197</v>
      </c>
      <c r="F114" s="4" t="s">
        <v>532</v>
      </c>
      <c r="G114" s="4" t="s">
        <v>533</v>
      </c>
      <c r="H114" s="4" t="s">
        <v>534</v>
      </c>
      <c r="I114" s="4" t="s">
        <v>287</v>
      </c>
      <c r="J114" s="4" t="s">
        <v>273</v>
      </c>
      <c r="K114" s="4" t="s">
        <v>288</v>
      </c>
      <c r="L114" s="4" t="s">
        <v>291</v>
      </c>
      <c r="M114" s="4" t="s">
        <v>122</v>
      </c>
      <c r="N114" s="4" t="s">
        <v>123</v>
      </c>
      <c r="O114" s="4" t="s">
        <v>124</v>
      </c>
      <c r="P114" s="4" t="s">
        <v>132</v>
      </c>
      <c r="Q114" s="4" t="s">
        <v>126</v>
      </c>
      <c r="R114" s="4" t="s">
        <v>140</v>
      </c>
      <c r="S114" s="4" t="s">
        <v>115</v>
      </c>
      <c r="T114" s="4" t="s">
        <v>535</v>
      </c>
      <c r="U114" s="4" t="s">
        <v>128</v>
      </c>
      <c r="V114" s="4" t="s">
        <v>525</v>
      </c>
      <c r="W114" s="4" t="s">
        <v>143</v>
      </c>
      <c r="X114" s="4" t="s">
        <v>302</v>
      </c>
      <c r="Y114" s="4" t="s">
        <v>115</v>
      </c>
      <c r="Z114" s="4" t="s">
        <v>132</v>
      </c>
      <c r="AA114" s="4" t="s">
        <v>132</v>
      </c>
      <c r="AB114" s="4" t="s">
        <v>132</v>
      </c>
      <c r="AC114" s="4" t="s">
        <v>125</v>
      </c>
      <c r="AD114" s="4" t="s">
        <v>132</v>
      </c>
      <c r="AE114" s="5">
        <v>151.77083333333334</v>
      </c>
      <c r="AF114" s="5">
        <v>30.937500000000007</v>
      </c>
      <c r="AG114" s="5">
        <v>47.204166666666666</v>
      </c>
      <c r="AH114" s="5">
        <v>229.91250000000002</v>
      </c>
      <c r="AI114" s="6">
        <v>0.94717193135069511</v>
      </c>
      <c r="AJ114" s="7">
        <v>114.95625000000001</v>
      </c>
      <c r="AK114" s="7">
        <v>114.95625000000001</v>
      </c>
      <c r="AL114" s="4" t="s">
        <v>529</v>
      </c>
      <c r="AM114" s="52">
        <f>AH114*(1-AI114)</f>
        <v>12.145833333333313</v>
      </c>
      <c r="AN114" s="50" t="str">
        <f>VLOOKUP($E114,'Capgemini PResence and HC'!$B$2:$G$143,4,0)</f>
        <v>Y</v>
      </c>
      <c r="AO114" s="50">
        <f>VLOOKUP($E114,'Capgemini PResence and HC'!$B$2:$G$143,2,0)</f>
        <v>50</v>
      </c>
      <c r="AP114" s="50">
        <f>VLOOKUP($E114,'Capgemini PResence and HC'!$B$2:$G$143,3,0)</f>
        <v>0</v>
      </c>
      <c r="AQ114" s="50">
        <f>VLOOKUP($E114,'Capgemini PResence and HC'!$B$2:$G$143,6,0)</f>
        <v>55.575000000000003</v>
      </c>
      <c r="AR114" s="68">
        <f>AE114-AS114</f>
        <v>139.62500000000003</v>
      </c>
      <c r="AS114" s="67">
        <f>AM114</f>
        <v>12.145833333333313</v>
      </c>
      <c r="AT114" s="70">
        <f>$AR114*AT$151</f>
        <v>10.288157894736843</v>
      </c>
      <c r="AU114" s="70">
        <f>$AR114*AU$151</f>
        <v>10.288157894736843</v>
      </c>
      <c r="AV114" s="70">
        <f>$AR114*AV$151</f>
        <v>54.380263157894738</v>
      </c>
      <c r="AW114" s="70">
        <f>$AR114*AW$151</f>
        <v>36.743421052631575</v>
      </c>
      <c r="AX114" s="70">
        <f>$AR114*AX$151</f>
        <v>7.3486842105263159</v>
      </c>
      <c r="AY114" s="70">
        <f>$AR114*AY$151</f>
        <v>10.288157894736843</v>
      </c>
      <c r="AZ114" s="70">
        <f>$AR114*AZ$151</f>
        <v>10.288157894736843</v>
      </c>
      <c r="BA114" s="70">
        <f>$AS114*BA$151</f>
        <v>12.145833333333313</v>
      </c>
      <c r="BB114" s="75">
        <f>SUM(AE114:AG114)-AH114</f>
        <v>0</v>
      </c>
    </row>
    <row r="115" spans="1:54" s="2" customFormat="1" ht="18.75" hidden="1" customHeight="1">
      <c r="A115" s="15" t="s">
        <v>20</v>
      </c>
      <c r="B115" s="15" t="s">
        <v>115</v>
      </c>
      <c r="C115" s="15"/>
      <c r="D115" s="15"/>
      <c r="E115" s="4">
        <v>12721</v>
      </c>
      <c r="F115" s="4" t="s">
        <v>536</v>
      </c>
      <c r="G115" s="4" t="s">
        <v>537</v>
      </c>
      <c r="H115" s="4" t="s">
        <v>538</v>
      </c>
      <c r="I115" s="4" t="s">
        <v>233</v>
      </c>
      <c r="J115" s="4" t="s">
        <v>119</v>
      </c>
      <c r="K115" s="4" t="s">
        <v>234</v>
      </c>
      <c r="L115" s="4" t="s">
        <v>291</v>
      </c>
      <c r="M115" s="4" t="s">
        <v>122</v>
      </c>
      <c r="N115" s="4" t="s">
        <v>123</v>
      </c>
      <c r="O115" s="4" t="s">
        <v>124</v>
      </c>
      <c r="P115" s="4" t="s">
        <v>125</v>
      </c>
      <c r="Q115" s="4" t="s">
        <v>539</v>
      </c>
      <c r="R115" s="4" t="s">
        <v>115</v>
      </c>
      <c r="S115" s="4" t="s">
        <v>140</v>
      </c>
      <c r="T115" s="4" t="s">
        <v>540</v>
      </c>
      <c r="U115" s="4" t="s">
        <v>128</v>
      </c>
      <c r="V115" s="4" t="s">
        <v>541</v>
      </c>
      <c r="W115" s="4" t="s">
        <v>130</v>
      </c>
      <c r="X115" s="4" t="s">
        <v>131</v>
      </c>
      <c r="Y115" s="4" t="s">
        <v>115</v>
      </c>
      <c r="Z115" s="4" t="s">
        <v>132</v>
      </c>
      <c r="AA115" s="4" t="s">
        <v>132</v>
      </c>
      <c r="AB115" s="4" t="s">
        <v>132</v>
      </c>
      <c r="AC115" s="4" t="s">
        <v>125</v>
      </c>
      <c r="AD115" s="4" t="s">
        <v>125</v>
      </c>
      <c r="AE115" s="5">
        <v>0.24166666666666664</v>
      </c>
      <c r="AF115" s="5">
        <v>0</v>
      </c>
      <c r="AG115" s="5">
        <v>0</v>
      </c>
      <c r="AH115" s="5">
        <v>0.24166666666666664</v>
      </c>
      <c r="AI115" s="6">
        <v>0.93103448275862066</v>
      </c>
      <c r="AJ115" s="7">
        <v>0.12083333333333332</v>
      </c>
      <c r="AK115" s="7">
        <v>0.12083333333333332</v>
      </c>
      <c r="AL115" s="8"/>
      <c r="AM115" s="51">
        <f>AH115*(1-AI115)</f>
        <v>1.666666666666667E-2</v>
      </c>
      <c r="AN115" s="50" t="str">
        <f>VLOOKUP($E115,'Capgemini PResence and HC'!$B$2:$G$143,4,0)</f>
        <v>N</v>
      </c>
      <c r="AO115" s="50">
        <f>VLOOKUP($E115,'Capgemini PResence and HC'!$B$2:$G$143,2,0)</f>
        <v>0</v>
      </c>
      <c r="AP115" s="50">
        <f>VLOOKUP($E115,'Capgemini PResence and HC'!$B$2:$G$143,3,0)</f>
        <v>0</v>
      </c>
      <c r="AQ115" s="50">
        <f>VLOOKUP($E115,'Capgemini PResence and HC'!$B$2:$G$143,6,0)</f>
        <v>0</v>
      </c>
      <c r="AR115" s="76">
        <f>AH115-AS115</f>
        <v>0.22499999999999998</v>
      </c>
      <c r="AS115" s="67">
        <f>AM115</f>
        <v>1.666666666666667E-2</v>
      </c>
      <c r="AT115" s="72" t="e">
        <f>#REF!*AT$151</f>
        <v>#REF!</v>
      </c>
      <c r="AU115" s="72" t="e">
        <f>#REF!*AU$151</f>
        <v>#REF!</v>
      </c>
      <c r="AV115" s="72" t="e">
        <f>#REF!*AV$151</f>
        <v>#REF!</v>
      </c>
      <c r="AW115" s="72" t="e">
        <f>#REF!*AW$151</f>
        <v>#REF!</v>
      </c>
      <c r="AX115" s="72" t="e">
        <f>#REF!*AX$151</f>
        <v>#REF!</v>
      </c>
      <c r="AY115" s="72" t="e">
        <f>#REF!*AY$151</f>
        <v>#REF!</v>
      </c>
      <c r="AZ115" s="72" t="e">
        <f>#REF!*AZ$151</f>
        <v>#REF!</v>
      </c>
      <c r="BA115" s="72" t="e">
        <f>#REF!*BA$151</f>
        <v>#REF!</v>
      </c>
      <c r="BB115" s="75">
        <f>SUM(AE115:AG115)-AH115</f>
        <v>0</v>
      </c>
    </row>
    <row r="116" spans="1:54" s="2" customFormat="1" ht="18.75" hidden="1" customHeight="1">
      <c r="A116" s="15" t="s">
        <v>20</v>
      </c>
      <c r="B116" s="15" t="s">
        <v>115</v>
      </c>
      <c r="C116" s="15"/>
      <c r="D116" s="15"/>
      <c r="E116" s="4">
        <v>13274</v>
      </c>
      <c r="F116" s="4" t="s">
        <v>542</v>
      </c>
      <c r="G116" s="4" t="s">
        <v>543</v>
      </c>
      <c r="H116" s="4" t="s">
        <v>544</v>
      </c>
      <c r="I116" s="4" t="s">
        <v>206</v>
      </c>
      <c r="J116" s="4" t="s">
        <v>199</v>
      </c>
      <c r="K116" s="4" t="s">
        <v>207</v>
      </c>
      <c r="L116" s="4" t="s">
        <v>121</v>
      </c>
      <c r="M116" s="4" t="s">
        <v>497</v>
      </c>
      <c r="N116" s="4" t="s">
        <v>123</v>
      </c>
      <c r="O116" s="4" t="s">
        <v>124</v>
      </c>
      <c r="P116" s="4" t="s">
        <v>125</v>
      </c>
      <c r="Q116" s="4" t="s">
        <v>139</v>
      </c>
      <c r="R116" s="4" t="s">
        <v>140</v>
      </c>
      <c r="S116" s="4" t="s">
        <v>115</v>
      </c>
      <c r="T116" s="4" t="s">
        <v>545</v>
      </c>
      <c r="U116" s="4" t="s">
        <v>128</v>
      </c>
      <c r="V116" s="4" t="s">
        <v>546</v>
      </c>
      <c r="W116" s="4" t="s">
        <v>143</v>
      </c>
      <c r="X116" s="4" t="s">
        <v>128</v>
      </c>
      <c r="Y116" s="4" t="s">
        <v>140</v>
      </c>
      <c r="Z116" s="4" t="s">
        <v>132</v>
      </c>
      <c r="AA116" s="4" t="s">
        <v>132</v>
      </c>
      <c r="AB116" s="4" t="s">
        <v>132</v>
      </c>
      <c r="AC116" s="4" t="s">
        <v>125</v>
      </c>
      <c r="AD116" s="4" t="s">
        <v>125</v>
      </c>
      <c r="AE116" s="5">
        <v>0</v>
      </c>
      <c r="AF116" s="5">
        <v>1</v>
      </c>
      <c r="AG116" s="5">
        <v>0</v>
      </c>
      <c r="AH116" s="5">
        <v>1</v>
      </c>
      <c r="AI116" s="6">
        <v>1</v>
      </c>
      <c r="AJ116" s="7">
        <v>0.5</v>
      </c>
      <c r="AK116" s="7">
        <v>0.5</v>
      </c>
      <c r="AL116" s="8"/>
      <c r="AM116" s="51">
        <f>AH116*(1-AI116)</f>
        <v>0</v>
      </c>
      <c r="AN116" s="50" t="str">
        <f>VLOOKUP($E116,'Capgemini PResence and HC'!$B$2:$G$143,4,0)</f>
        <v>N</v>
      </c>
      <c r="AO116" s="50">
        <f>VLOOKUP($E116,'Capgemini PResence and HC'!$B$2:$G$143,2,0)</f>
        <v>0</v>
      </c>
      <c r="AP116" s="50">
        <f>VLOOKUP($E116,'Capgemini PResence and HC'!$B$2:$G$143,3,0)</f>
        <v>0</v>
      </c>
      <c r="AQ116" s="50">
        <f>VLOOKUP($E116,'Capgemini PResence and HC'!$B$2:$G$143,6,0)</f>
        <v>0</v>
      </c>
      <c r="AR116" s="65"/>
      <c r="AS116" s="65"/>
      <c r="AT116" s="72" t="e">
        <f>#REF!*AT$151</f>
        <v>#REF!</v>
      </c>
      <c r="AU116" s="72" t="e">
        <f>#REF!*AU$151</f>
        <v>#REF!</v>
      </c>
      <c r="AV116" s="72" t="e">
        <f>#REF!*AV$151</f>
        <v>#REF!</v>
      </c>
      <c r="AW116" s="72" t="e">
        <f>#REF!*AW$151</f>
        <v>#REF!</v>
      </c>
      <c r="AX116" s="72" t="e">
        <f>#REF!*AX$151</f>
        <v>#REF!</v>
      </c>
      <c r="AY116" s="72" t="e">
        <f>#REF!*AY$151</f>
        <v>#REF!</v>
      </c>
      <c r="AZ116" s="72" t="e">
        <f>#REF!*AZ$151</f>
        <v>#REF!</v>
      </c>
      <c r="BA116" s="72" t="e">
        <f>#REF!*BA$151</f>
        <v>#REF!</v>
      </c>
      <c r="BB116" s="75">
        <f>SUM(AE116:AG116)-AH116</f>
        <v>0</v>
      </c>
    </row>
    <row r="117" spans="1:54" ht="245.25" hidden="1">
      <c r="A117" s="18" t="s">
        <v>21</v>
      </c>
      <c r="B117" s="18" t="s">
        <v>115</v>
      </c>
      <c r="C117" s="18" t="s">
        <v>115</v>
      </c>
      <c r="D117" s="20" t="s">
        <v>547</v>
      </c>
      <c r="E117" s="28">
        <v>13314</v>
      </c>
      <c r="F117" s="28" t="s">
        <v>548</v>
      </c>
      <c r="G117" s="28" t="s">
        <v>549</v>
      </c>
      <c r="H117" s="28" t="s">
        <v>550</v>
      </c>
      <c r="I117" s="28" t="s">
        <v>353</v>
      </c>
      <c r="J117" s="28" t="s">
        <v>354</v>
      </c>
      <c r="K117" s="28" t="s">
        <v>354</v>
      </c>
      <c r="L117" s="28" t="s">
        <v>121</v>
      </c>
      <c r="M117" s="28" t="s">
        <v>497</v>
      </c>
      <c r="N117" s="28" t="s">
        <v>123</v>
      </c>
      <c r="O117" s="28" t="s">
        <v>124</v>
      </c>
      <c r="P117" s="28" t="s">
        <v>125</v>
      </c>
      <c r="Q117" s="28" t="s">
        <v>139</v>
      </c>
      <c r="R117" s="28" t="s">
        <v>140</v>
      </c>
      <c r="S117" s="28" t="s">
        <v>115</v>
      </c>
      <c r="T117" s="28" t="s">
        <v>260</v>
      </c>
      <c r="U117" s="28" t="s">
        <v>128</v>
      </c>
      <c r="V117" s="28" t="s">
        <v>551</v>
      </c>
      <c r="W117" s="28" t="s">
        <v>143</v>
      </c>
      <c r="X117" s="28" t="s">
        <v>552</v>
      </c>
      <c r="Y117" s="28" t="s">
        <v>115</v>
      </c>
      <c r="Z117" s="28" t="s">
        <v>132</v>
      </c>
      <c r="AA117" s="28" t="s">
        <v>132</v>
      </c>
      <c r="AB117" s="28" t="s">
        <v>132</v>
      </c>
      <c r="AC117" s="32" t="s">
        <v>132</v>
      </c>
      <c r="AD117" s="28" t="s">
        <v>125</v>
      </c>
      <c r="AE117" s="29">
        <v>28.606677083333327</v>
      </c>
      <c r="AF117" s="29">
        <v>11</v>
      </c>
      <c r="AG117" s="29">
        <v>9.1416666666666639</v>
      </c>
      <c r="AH117" s="29">
        <v>50.065010416666659</v>
      </c>
      <c r="AI117" s="30">
        <v>0.86264109519268795</v>
      </c>
      <c r="AJ117" s="31">
        <v>25.03250520833333</v>
      </c>
      <c r="AK117" s="31">
        <v>25.03250520833333</v>
      </c>
      <c r="AL117" s="33" t="s">
        <v>553</v>
      </c>
      <c r="AM117" s="52">
        <f>AH117*(1-AI117)</f>
        <v>6.8768750000000018</v>
      </c>
      <c r="AN117" s="50" t="str">
        <f>VLOOKUP($E117,'Capgemini PResence and HC'!$B$2:$G$143,4,0)</f>
        <v>Y</v>
      </c>
      <c r="AO117" s="50">
        <f>VLOOKUP($E117,'Capgemini PResence and HC'!$B$2:$G$143,2,0)</f>
        <v>18</v>
      </c>
      <c r="AP117" s="50">
        <f>VLOOKUP($E117,'Capgemini PResence and HC'!$B$2:$G$143,3,0)</f>
        <v>0</v>
      </c>
      <c r="AQ117" s="50">
        <f>VLOOKUP($E117,'Capgemini PResence and HC'!$B$2:$G$143,6,0)</f>
        <v>17.356249999999999</v>
      </c>
      <c r="AR117" s="65"/>
      <c r="AS117" s="65"/>
      <c r="AT117" s="72" t="e">
        <f>#REF!*AT$151</f>
        <v>#REF!</v>
      </c>
      <c r="AU117" s="72" t="e">
        <f>#REF!*AU$151</f>
        <v>#REF!</v>
      </c>
      <c r="AV117" s="72" t="e">
        <f>#REF!*AV$151</f>
        <v>#REF!</v>
      </c>
      <c r="AW117" s="72" t="e">
        <f>#REF!*AW$151</f>
        <v>#REF!</v>
      </c>
      <c r="AX117" s="72" t="e">
        <f>#REF!*AX$151</f>
        <v>#REF!</v>
      </c>
      <c r="AY117" s="72" t="e">
        <f>#REF!*AY$151</f>
        <v>#REF!</v>
      </c>
      <c r="AZ117" s="72" t="e">
        <f>#REF!*AZ$151</f>
        <v>#REF!</v>
      </c>
      <c r="BA117" s="72" t="e">
        <f>#REF!*BA$151</f>
        <v>#REF!</v>
      </c>
      <c r="BB117" s="75">
        <f>SUM(AE117:AG117)-AH117</f>
        <v>-1.31666666666667</v>
      </c>
    </row>
    <row r="118" spans="1:54" s="2" customFormat="1" ht="18.75" hidden="1" customHeight="1">
      <c r="A118" s="15" t="s">
        <v>20</v>
      </c>
      <c r="B118" s="15" t="s">
        <v>115</v>
      </c>
      <c r="C118" s="15"/>
      <c r="D118" s="15"/>
      <c r="E118" s="4">
        <v>12038</v>
      </c>
      <c r="F118" s="4" t="s">
        <v>554</v>
      </c>
      <c r="G118" s="4" t="s">
        <v>555</v>
      </c>
      <c r="H118" s="4" t="s">
        <v>556</v>
      </c>
      <c r="I118" s="4" t="s">
        <v>319</v>
      </c>
      <c r="J118" s="4" t="s">
        <v>320</v>
      </c>
      <c r="K118" s="4" t="s">
        <v>320</v>
      </c>
      <c r="L118" s="4" t="s">
        <v>121</v>
      </c>
      <c r="M118" s="4" t="s">
        <v>192</v>
      </c>
      <c r="N118" s="4" t="s">
        <v>123</v>
      </c>
      <c r="O118" s="4" t="s">
        <v>124</v>
      </c>
      <c r="P118" s="4" t="s">
        <v>125</v>
      </c>
      <c r="Q118" s="4" t="s">
        <v>139</v>
      </c>
      <c r="R118" s="4" t="s">
        <v>140</v>
      </c>
      <c r="S118" s="4" t="s">
        <v>115</v>
      </c>
      <c r="T118" s="4" t="s">
        <v>487</v>
      </c>
      <c r="U118" s="4" t="s">
        <v>128</v>
      </c>
      <c r="V118" s="4" t="s">
        <v>236</v>
      </c>
      <c r="W118" s="4" t="s">
        <v>143</v>
      </c>
      <c r="X118" s="4" t="s">
        <v>302</v>
      </c>
      <c r="Y118" s="4" t="s">
        <v>115</v>
      </c>
      <c r="Z118" s="4" t="s">
        <v>132</v>
      </c>
      <c r="AA118" s="4" t="s">
        <v>132</v>
      </c>
      <c r="AB118" s="4" t="s">
        <v>132</v>
      </c>
      <c r="AC118" s="4" t="s">
        <v>125</v>
      </c>
      <c r="AD118" s="4" t="s">
        <v>125</v>
      </c>
      <c r="AE118" s="5">
        <v>19.246666666666666</v>
      </c>
      <c r="AF118" s="5">
        <v>4.1333333333333329</v>
      </c>
      <c r="AG118" s="5">
        <v>16.910416666666666</v>
      </c>
      <c r="AH118" s="5">
        <v>40.290416666666665</v>
      </c>
      <c r="AI118" s="6">
        <v>0.94847823613969406</v>
      </c>
      <c r="AJ118" s="7">
        <v>20.145208333333333</v>
      </c>
      <c r="AK118" s="7">
        <v>20.145208333333333</v>
      </c>
      <c r="AL118" s="8"/>
      <c r="AM118" s="51">
        <f>AH118*(1-AI118)</f>
        <v>2.0758333333333345</v>
      </c>
      <c r="AN118" s="50" t="str">
        <f>VLOOKUP($E118,'Capgemini PResence and HC'!$B$2:$G$143,4,0)</f>
        <v>Y</v>
      </c>
      <c r="AO118" s="50">
        <f>VLOOKUP($E118,'Capgemini PResence and HC'!$B$2:$G$143,2,0)</f>
        <v>31</v>
      </c>
      <c r="AP118" s="50">
        <f>VLOOKUP($E118,'Capgemini PResence and HC'!$B$2:$G$143,3,0)</f>
        <v>0</v>
      </c>
      <c r="AQ118" s="50">
        <f>VLOOKUP($E118,'Capgemini PResence and HC'!$B$2:$G$143,6,0)</f>
        <v>18.309374999999999</v>
      </c>
      <c r="AR118" s="65"/>
      <c r="AS118" s="65"/>
      <c r="AT118" s="72" t="e">
        <f>#REF!*AT$151</f>
        <v>#REF!</v>
      </c>
      <c r="AU118" s="72" t="e">
        <f>#REF!*AU$151</f>
        <v>#REF!</v>
      </c>
      <c r="AV118" s="72" t="e">
        <f>#REF!*AV$151</f>
        <v>#REF!</v>
      </c>
      <c r="AW118" s="72" t="e">
        <f>#REF!*AW$151</f>
        <v>#REF!</v>
      </c>
      <c r="AX118" s="72" t="e">
        <f>#REF!*AX$151</f>
        <v>#REF!</v>
      </c>
      <c r="AY118" s="72" t="e">
        <f>#REF!*AY$151</f>
        <v>#REF!</v>
      </c>
      <c r="AZ118" s="72" t="e">
        <f>#REF!*AZ$151</f>
        <v>#REF!</v>
      </c>
      <c r="BA118" s="72" t="e">
        <f>#REF!*BA$151</f>
        <v>#REF!</v>
      </c>
      <c r="BB118" s="75">
        <f>SUM(AE118:AG118)-AH118</f>
        <v>0</v>
      </c>
    </row>
    <row r="119" spans="1:54" s="2" customFormat="1" ht="18.75" hidden="1" customHeight="1">
      <c r="A119" s="15" t="s">
        <v>20</v>
      </c>
      <c r="B119" s="15" t="s">
        <v>115</v>
      </c>
      <c r="C119" s="15"/>
      <c r="D119" s="15"/>
      <c r="E119" s="4">
        <v>11007</v>
      </c>
      <c r="F119" s="4" t="s">
        <v>557</v>
      </c>
      <c r="G119" s="4" t="s">
        <v>558</v>
      </c>
      <c r="H119" s="4" t="s">
        <v>559</v>
      </c>
      <c r="I119" s="4" t="s">
        <v>233</v>
      </c>
      <c r="J119" s="4" t="s">
        <v>119</v>
      </c>
      <c r="K119" s="4" t="s">
        <v>234</v>
      </c>
      <c r="L119" s="4" t="s">
        <v>121</v>
      </c>
      <c r="M119" s="4" t="s">
        <v>122</v>
      </c>
      <c r="N119" s="4" t="s">
        <v>123</v>
      </c>
      <c r="O119" s="4" t="s">
        <v>124</v>
      </c>
      <c r="P119" s="4" t="s">
        <v>125</v>
      </c>
      <c r="Q119" s="4" t="s">
        <v>126</v>
      </c>
      <c r="R119" s="4" t="s">
        <v>140</v>
      </c>
      <c r="S119" s="4" t="s">
        <v>115</v>
      </c>
      <c r="T119" s="4" t="s">
        <v>260</v>
      </c>
      <c r="U119" s="4" t="s">
        <v>128</v>
      </c>
      <c r="V119" s="4" t="s">
        <v>236</v>
      </c>
      <c r="W119" s="4" t="s">
        <v>143</v>
      </c>
      <c r="X119" s="4" t="s">
        <v>128</v>
      </c>
      <c r="Y119" s="4" t="s">
        <v>140</v>
      </c>
      <c r="Z119" s="4" t="s">
        <v>132</v>
      </c>
      <c r="AA119" s="4" t="s">
        <v>132</v>
      </c>
      <c r="AB119" s="4" t="s">
        <v>132</v>
      </c>
      <c r="AC119" s="4" t="s">
        <v>125</v>
      </c>
      <c r="AD119" s="4" t="s">
        <v>125</v>
      </c>
      <c r="AE119" s="5">
        <v>0.23491666666666666</v>
      </c>
      <c r="AF119" s="5">
        <v>7.2916666666666657E-2</v>
      </c>
      <c r="AG119" s="5">
        <v>0</v>
      </c>
      <c r="AH119" s="5">
        <v>0.30783333333333329</v>
      </c>
      <c r="AI119" s="6">
        <v>0.95939361126150513</v>
      </c>
      <c r="AJ119" s="7">
        <v>0.15391666666666665</v>
      </c>
      <c r="AK119" s="7">
        <v>0.15391666666666665</v>
      </c>
      <c r="AL119" s="8"/>
      <c r="AM119" s="51">
        <f>AH119*(1-AI119)</f>
        <v>1.2500000000000002E-2</v>
      </c>
      <c r="AN119" s="50" t="str">
        <f>VLOOKUP($E119,'Capgemini PResence and HC'!$B$2:$G$143,4,0)</f>
        <v>N</v>
      </c>
      <c r="AO119" s="50">
        <f>VLOOKUP($E119,'Capgemini PResence and HC'!$B$2:$G$143,2,0)</f>
        <v>0</v>
      </c>
      <c r="AP119" s="50">
        <f>VLOOKUP($E119,'Capgemini PResence and HC'!$B$2:$G$143,3,0)</f>
        <v>0</v>
      </c>
      <c r="AQ119" s="50">
        <f>VLOOKUP($E119,'Capgemini PResence and HC'!$B$2:$G$143,6,0)</f>
        <v>0</v>
      </c>
      <c r="AR119" s="76">
        <f>AH119-AS119</f>
        <v>0.29533333333333328</v>
      </c>
      <c r="AS119" s="67">
        <f>AM119</f>
        <v>1.2500000000000002E-2</v>
      </c>
      <c r="AT119" s="72" t="e">
        <f>#REF!*AT$151</f>
        <v>#REF!</v>
      </c>
      <c r="AU119" s="72" t="e">
        <f>#REF!*AU$151</f>
        <v>#REF!</v>
      </c>
      <c r="AV119" s="72" t="e">
        <f>#REF!*AV$151</f>
        <v>#REF!</v>
      </c>
      <c r="AW119" s="72" t="e">
        <f>#REF!*AW$151</f>
        <v>#REF!</v>
      </c>
      <c r="AX119" s="72" t="e">
        <f>#REF!*AX$151</f>
        <v>#REF!</v>
      </c>
      <c r="AY119" s="72" t="e">
        <f>#REF!*AY$151</f>
        <v>#REF!</v>
      </c>
      <c r="AZ119" s="72" t="e">
        <f>#REF!*AZ$151</f>
        <v>#REF!</v>
      </c>
      <c r="BA119" s="72" t="e">
        <f>#REF!*BA$151</f>
        <v>#REF!</v>
      </c>
      <c r="BB119" s="75">
        <f>SUM(AE119:AG119)-AH119</f>
        <v>0</v>
      </c>
    </row>
    <row r="120" spans="1:54" s="2" customFormat="1" ht="18.75" hidden="1" customHeight="1">
      <c r="A120" s="15" t="s">
        <v>20</v>
      </c>
      <c r="B120" s="15" t="s">
        <v>115</v>
      </c>
      <c r="C120" s="15"/>
      <c r="D120" s="15"/>
      <c r="E120" s="4">
        <v>13453</v>
      </c>
      <c r="F120" s="4" t="s">
        <v>560</v>
      </c>
      <c r="G120" s="4" t="s">
        <v>561</v>
      </c>
      <c r="H120" s="4" t="s">
        <v>562</v>
      </c>
      <c r="I120" s="4" t="s">
        <v>206</v>
      </c>
      <c r="J120" s="4" t="s">
        <v>199</v>
      </c>
      <c r="K120" s="4" t="s">
        <v>207</v>
      </c>
      <c r="L120" s="4" t="s">
        <v>121</v>
      </c>
      <c r="M120" s="4" t="s">
        <v>497</v>
      </c>
      <c r="N120" s="4" t="s">
        <v>123</v>
      </c>
      <c r="O120" s="4" t="s">
        <v>124</v>
      </c>
      <c r="P120" s="4" t="s">
        <v>125</v>
      </c>
      <c r="Q120" s="4" t="s">
        <v>139</v>
      </c>
      <c r="R120" s="4" t="s">
        <v>140</v>
      </c>
      <c r="S120" s="4" t="s">
        <v>115</v>
      </c>
      <c r="T120" s="4" t="s">
        <v>563</v>
      </c>
      <c r="U120" s="4" t="s">
        <v>128</v>
      </c>
      <c r="V120" s="4" t="s">
        <v>284</v>
      </c>
      <c r="W120" s="4" t="s">
        <v>143</v>
      </c>
      <c r="X120" s="4" t="s">
        <v>128</v>
      </c>
      <c r="Y120" s="4" t="s">
        <v>140</v>
      </c>
      <c r="Z120" s="4" t="s">
        <v>132</v>
      </c>
      <c r="AA120" s="4" t="s">
        <v>132</v>
      </c>
      <c r="AB120" s="4" t="s">
        <v>132</v>
      </c>
      <c r="AC120" s="4" t="s">
        <v>125</v>
      </c>
      <c r="AD120" s="4" t="s">
        <v>125</v>
      </c>
      <c r="AE120" s="11">
        <v>0.89999999999999991</v>
      </c>
      <c r="AF120" s="11">
        <v>0.3</v>
      </c>
      <c r="AG120" s="11">
        <v>0</v>
      </c>
      <c r="AH120" s="5">
        <v>9.9375</v>
      </c>
      <c r="AI120" s="6">
        <v>0.90440251572327046</v>
      </c>
      <c r="AJ120" s="7">
        <v>4.96875</v>
      </c>
      <c r="AK120" s="7">
        <v>4.96875</v>
      </c>
      <c r="AL120" s="8"/>
      <c r="AM120" s="51">
        <f>AH120*(1-AI120)</f>
        <v>0.94999999999999973</v>
      </c>
      <c r="AN120" s="50" t="str">
        <f>VLOOKUP($E120,'Capgemini PResence and HC'!$B$2:$G$143,4,0)</f>
        <v>Y</v>
      </c>
      <c r="AO120" s="50">
        <f>VLOOKUP($E120,'Capgemini PResence and HC'!$B$2:$G$143,2,0)</f>
        <v>0</v>
      </c>
      <c r="AP120" s="50">
        <f>VLOOKUP($E120,'Capgemini PResence and HC'!$B$2:$G$143,3,0)</f>
        <v>1</v>
      </c>
      <c r="AQ120" s="50">
        <f>VLOOKUP($E120,'Capgemini PResence and HC'!$B$2:$G$143,6,0)</f>
        <v>0</v>
      </c>
      <c r="AR120" s="65"/>
      <c r="AS120" s="65"/>
      <c r="AT120" s="72" t="e">
        <f>#REF!*AT$151</f>
        <v>#REF!</v>
      </c>
      <c r="AU120" s="72" t="e">
        <f>#REF!*AU$151</f>
        <v>#REF!</v>
      </c>
      <c r="AV120" s="72" t="e">
        <f>#REF!*AV$151</f>
        <v>#REF!</v>
      </c>
      <c r="AW120" s="72" t="e">
        <f>#REF!*AW$151</f>
        <v>#REF!</v>
      </c>
      <c r="AX120" s="72" t="e">
        <f>#REF!*AX$151</f>
        <v>#REF!</v>
      </c>
      <c r="AY120" s="72" t="e">
        <f>#REF!*AY$151</f>
        <v>#REF!</v>
      </c>
      <c r="AZ120" s="72" t="e">
        <f>#REF!*AZ$151</f>
        <v>#REF!</v>
      </c>
      <c r="BA120" s="72" t="e">
        <f>#REF!*BA$151</f>
        <v>#REF!</v>
      </c>
      <c r="BB120" s="75">
        <f>SUM(AE120:AG120)-AH120</f>
        <v>-8.7375000000000007</v>
      </c>
    </row>
    <row r="121" spans="1:54" s="2" customFormat="1" ht="18.75" hidden="1" customHeight="1">
      <c r="A121" s="15" t="s">
        <v>20</v>
      </c>
      <c r="B121" s="15" t="s">
        <v>115</v>
      </c>
      <c r="C121" s="15"/>
      <c r="D121" s="15"/>
      <c r="E121" s="4">
        <v>13476</v>
      </c>
      <c r="F121" s="4" t="s">
        <v>564</v>
      </c>
      <c r="G121" s="4" t="s">
        <v>565</v>
      </c>
      <c r="H121" s="4" t="s">
        <v>566</v>
      </c>
      <c r="I121" s="4" t="s">
        <v>319</v>
      </c>
      <c r="J121" s="4" t="s">
        <v>199</v>
      </c>
      <c r="K121" s="4"/>
      <c r="L121" s="4" t="s">
        <v>291</v>
      </c>
      <c r="M121" s="4" t="s">
        <v>122</v>
      </c>
      <c r="N121" s="4" t="s">
        <v>123</v>
      </c>
      <c r="O121" s="4" t="s">
        <v>124</v>
      </c>
      <c r="P121" s="4" t="s">
        <v>125</v>
      </c>
      <c r="Q121" s="4" t="s">
        <v>139</v>
      </c>
      <c r="R121" s="4" t="s">
        <v>140</v>
      </c>
      <c r="S121" s="4" t="s">
        <v>115</v>
      </c>
      <c r="T121" s="4" t="s">
        <v>535</v>
      </c>
      <c r="U121" s="4" t="s">
        <v>128</v>
      </c>
      <c r="V121" s="4" t="s">
        <v>567</v>
      </c>
      <c r="W121" s="4" t="s">
        <v>143</v>
      </c>
      <c r="X121" s="4" t="s">
        <v>302</v>
      </c>
      <c r="Y121" s="4" t="s">
        <v>115</v>
      </c>
      <c r="Z121" s="4" t="s">
        <v>132</v>
      </c>
      <c r="AA121" s="4" t="s">
        <v>132</v>
      </c>
      <c r="AB121" s="4" t="s">
        <v>132</v>
      </c>
      <c r="AC121" s="4" t="s">
        <v>125</v>
      </c>
      <c r="AD121" s="4" t="s">
        <v>132</v>
      </c>
      <c r="AE121" s="5">
        <v>57.149875000000016</v>
      </c>
      <c r="AF121" s="5">
        <v>23.302083333333329</v>
      </c>
      <c r="AG121" s="5">
        <v>42.086666666666666</v>
      </c>
      <c r="AH121" s="5">
        <v>122.53862500000002</v>
      </c>
      <c r="AI121" s="6">
        <v>0.88077908768221724</v>
      </c>
      <c r="AJ121" s="7">
        <v>61.269312500000012</v>
      </c>
      <c r="AK121" s="7">
        <v>61.269312500000012</v>
      </c>
      <c r="AL121" s="8"/>
      <c r="AM121" s="51">
        <f>AH121*(1-AI121)</f>
        <v>14.609166666666665</v>
      </c>
      <c r="AN121" s="50" t="str">
        <f>VLOOKUP($E121,'Capgemini PResence and HC'!$B$2:$G$143,4,0)</f>
        <v>Y</v>
      </c>
      <c r="AO121" s="50">
        <f>VLOOKUP($E121,'Capgemini PResence and HC'!$B$2:$G$143,2,0)</f>
        <v>40</v>
      </c>
      <c r="AP121" s="50">
        <f>VLOOKUP($E121,'Capgemini PResence and HC'!$B$2:$G$143,3,0)</f>
        <v>0</v>
      </c>
      <c r="AQ121" s="50">
        <f>VLOOKUP($E121,'Capgemini PResence and HC'!$B$2:$G$143,6,0)</f>
        <v>34.821874999999999</v>
      </c>
      <c r="AR121" s="65"/>
      <c r="AS121" s="65"/>
      <c r="AT121" s="72" t="e">
        <f>#REF!*AT$151</f>
        <v>#REF!</v>
      </c>
      <c r="AU121" s="72" t="e">
        <f>#REF!*AU$151</f>
        <v>#REF!</v>
      </c>
      <c r="AV121" s="72" t="e">
        <f>#REF!*AV$151</f>
        <v>#REF!</v>
      </c>
      <c r="AW121" s="72" t="e">
        <f>#REF!*AW$151</f>
        <v>#REF!</v>
      </c>
      <c r="AX121" s="72" t="e">
        <f>#REF!*AX$151</f>
        <v>#REF!</v>
      </c>
      <c r="AY121" s="72" t="e">
        <f>#REF!*AY$151</f>
        <v>#REF!</v>
      </c>
      <c r="AZ121" s="72" t="e">
        <f>#REF!*AZ$151</f>
        <v>#REF!</v>
      </c>
      <c r="BA121" s="72" t="e">
        <f>#REF!*BA$151</f>
        <v>#REF!</v>
      </c>
      <c r="BB121" s="75">
        <f>SUM(AE121:AG121)-AH121</f>
        <v>0</v>
      </c>
    </row>
    <row r="122" spans="1:54" s="2" customFormat="1" ht="18.75" hidden="1" customHeight="1">
      <c r="A122" s="15" t="s">
        <v>20</v>
      </c>
      <c r="B122" s="15" t="s">
        <v>115</v>
      </c>
      <c r="C122" s="15"/>
      <c r="D122" s="15"/>
      <c r="E122" s="4">
        <v>13500</v>
      </c>
      <c r="F122" s="4" t="s">
        <v>568</v>
      </c>
      <c r="G122" s="4" t="s">
        <v>569</v>
      </c>
      <c r="H122" s="4" t="s">
        <v>570</v>
      </c>
      <c r="I122" s="4" t="s">
        <v>206</v>
      </c>
      <c r="J122" s="4" t="s">
        <v>199</v>
      </c>
      <c r="K122" s="4" t="s">
        <v>207</v>
      </c>
      <c r="L122" s="4" t="s">
        <v>121</v>
      </c>
      <c r="M122" s="4" t="s">
        <v>122</v>
      </c>
      <c r="N122" s="4" t="s">
        <v>123</v>
      </c>
      <c r="O122" s="4" t="s">
        <v>124</v>
      </c>
      <c r="P122" s="4" t="s">
        <v>125</v>
      </c>
      <c r="Q122" s="4" t="s">
        <v>139</v>
      </c>
      <c r="R122" s="4" t="s">
        <v>140</v>
      </c>
      <c r="S122" s="4" t="s">
        <v>115</v>
      </c>
      <c r="T122" s="4" t="s">
        <v>208</v>
      </c>
      <c r="U122" s="4" t="s">
        <v>128</v>
      </c>
      <c r="V122" s="4" t="s">
        <v>209</v>
      </c>
      <c r="W122" s="4" t="s">
        <v>130</v>
      </c>
      <c r="X122" s="4" t="s">
        <v>128</v>
      </c>
      <c r="Y122" s="4" t="s">
        <v>140</v>
      </c>
      <c r="Z122" s="4" t="s">
        <v>132</v>
      </c>
      <c r="AA122" s="4" t="s">
        <v>132</v>
      </c>
      <c r="AB122" s="4" t="s">
        <v>132</v>
      </c>
      <c r="AC122" s="4" t="s">
        <v>125</v>
      </c>
      <c r="AD122" s="4" t="s">
        <v>125</v>
      </c>
      <c r="AE122" s="11">
        <v>0.5</v>
      </c>
      <c r="AF122" s="11">
        <v>0.19999999999999998</v>
      </c>
      <c r="AG122" s="5">
        <v>0</v>
      </c>
      <c r="AH122" s="5">
        <v>0.59583333333333333</v>
      </c>
      <c r="AI122" s="6">
        <v>0.66433566433566438</v>
      </c>
      <c r="AJ122" s="7">
        <v>0.29791666666666666</v>
      </c>
      <c r="AK122" s="7">
        <v>0.29791666666666666</v>
      </c>
      <c r="AL122" s="8"/>
      <c r="AM122" s="51">
        <f>AH122*(1-AI122)</f>
        <v>0.19999999999999998</v>
      </c>
      <c r="AN122" s="50" t="str">
        <f>VLOOKUP($E122,'Capgemini PResence and HC'!$B$2:$G$143,4,0)</f>
        <v>N</v>
      </c>
      <c r="AO122" s="50">
        <f>VLOOKUP($E122,'Capgemini PResence and HC'!$B$2:$G$143,2,0)</f>
        <v>0</v>
      </c>
      <c r="AP122" s="50">
        <f>VLOOKUP($E122,'Capgemini PResence and HC'!$B$2:$G$143,3,0)</f>
        <v>0</v>
      </c>
      <c r="AQ122" s="50">
        <f>VLOOKUP($E122,'Capgemini PResence and HC'!$B$2:$G$143,6,0)</f>
        <v>0</v>
      </c>
      <c r="AR122" s="65"/>
      <c r="AS122" s="65"/>
      <c r="AT122" s="72" t="e">
        <f>#REF!*AT$151</f>
        <v>#REF!</v>
      </c>
      <c r="AU122" s="72" t="e">
        <f>#REF!*AU$151</f>
        <v>#REF!</v>
      </c>
      <c r="AV122" s="72" t="e">
        <f>#REF!*AV$151</f>
        <v>#REF!</v>
      </c>
      <c r="AW122" s="72" t="e">
        <f>#REF!*AW$151</f>
        <v>#REF!</v>
      </c>
      <c r="AX122" s="72" t="e">
        <f>#REF!*AX$151</f>
        <v>#REF!</v>
      </c>
      <c r="AY122" s="72" t="e">
        <f>#REF!*AY$151</f>
        <v>#REF!</v>
      </c>
      <c r="AZ122" s="72" t="e">
        <f>#REF!*AZ$151</f>
        <v>#REF!</v>
      </c>
      <c r="BA122" s="72" t="e">
        <f>#REF!*BA$151</f>
        <v>#REF!</v>
      </c>
      <c r="BB122" s="75">
        <f>SUM(AE122:AG122)-AH122</f>
        <v>0.10416666666666663</v>
      </c>
    </row>
    <row r="123" spans="1:54" s="2" customFormat="1" ht="18.75" hidden="1" customHeight="1">
      <c r="A123" s="15" t="s">
        <v>20</v>
      </c>
      <c r="B123" s="15" t="s">
        <v>115</v>
      </c>
      <c r="C123" s="15"/>
      <c r="D123" s="15"/>
      <c r="E123" s="4">
        <v>13676</v>
      </c>
      <c r="F123" s="4" t="s">
        <v>571</v>
      </c>
      <c r="G123" s="4" t="s">
        <v>572</v>
      </c>
      <c r="H123" s="4" t="s">
        <v>573</v>
      </c>
      <c r="I123" s="4" t="s">
        <v>319</v>
      </c>
      <c r="J123" s="4" t="s">
        <v>574</v>
      </c>
      <c r="K123" s="4" t="s">
        <v>320</v>
      </c>
      <c r="L123" s="4" t="s">
        <v>575</v>
      </c>
      <c r="M123" s="4" t="s">
        <v>122</v>
      </c>
      <c r="N123" s="4" t="s">
        <v>123</v>
      </c>
      <c r="O123" s="4" t="s">
        <v>124</v>
      </c>
      <c r="P123" s="4" t="s">
        <v>125</v>
      </c>
      <c r="Q123" s="4" t="s">
        <v>139</v>
      </c>
      <c r="R123" s="4" t="s">
        <v>140</v>
      </c>
      <c r="S123" s="4" t="s">
        <v>140</v>
      </c>
      <c r="T123" s="4" t="s">
        <v>576</v>
      </c>
      <c r="U123" s="4" t="s">
        <v>128</v>
      </c>
      <c r="V123" s="4" t="s">
        <v>577</v>
      </c>
      <c r="W123" s="4" t="s">
        <v>143</v>
      </c>
      <c r="X123" s="4" t="s">
        <v>131</v>
      </c>
      <c r="Y123" s="4" t="s">
        <v>115</v>
      </c>
      <c r="Z123" s="4" t="s">
        <v>132</v>
      </c>
      <c r="AA123" s="4" t="s">
        <v>132</v>
      </c>
      <c r="AB123" s="4" t="s">
        <v>132</v>
      </c>
      <c r="AC123" s="4" t="s">
        <v>125</v>
      </c>
      <c r="AD123" s="4" t="s">
        <v>125</v>
      </c>
      <c r="AE123" s="5">
        <v>11.572916666666664</v>
      </c>
      <c r="AF123" s="5">
        <v>2.333333333333333</v>
      </c>
      <c r="AG123" s="5">
        <v>2.135416666666667</v>
      </c>
      <c r="AH123" s="5">
        <v>16.041666666666664</v>
      </c>
      <c r="AI123" s="6">
        <v>0.93766233766233764</v>
      </c>
      <c r="AJ123" s="7">
        <v>8.0208333333333321</v>
      </c>
      <c r="AK123" s="7">
        <v>8.0208333333333321</v>
      </c>
      <c r="AL123" s="8"/>
      <c r="AM123" s="51">
        <f>AH123*(1-AI123)</f>
        <v>1.0000000000000002</v>
      </c>
      <c r="AN123" s="50" t="str">
        <f>VLOOKUP($E123,'Capgemini PResence and HC'!$B$2:$G$143,4,0)</f>
        <v>Y</v>
      </c>
      <c r="AO123" s="50">
        <f>VLOOKUP($E123,'Capgemini PResence and HC'!$B$2:$G$143,2,0)</f>
        <v>18</v>
      </c>
      <c r="AP123" s="50">
        <f>VLOOKUP($E123,'Capgemini PResence and HC'!$B$2:$G$143,3,0)</f>
        <v>0</v>
      </c>
      <c r="AQ123" s="50">
        <f>VLOOKUP($E123,'Capgemini PResence and HC'!$B$2:$G$143,6,0)</f>
        <v>12.63125</v>
      </c>
      <c r="AR123" s="65"/>
      <c r="AS123" s="65"/>
      <c r="AT123" s="72" t="e">
        <f>#REF!*AT$151</f>
        <v>#REF!</v>
      </c>
      <c r="AU123" s="72" t="e">
        <f>#REF!*AU$151</f>
        <v>#REF!</v>
      </c>
      <c r="AV123" s="72" t="e">
        <f>#REF!*AV$151</f>
        <v>#REF!</v>
      </c>
      <c r="AW123" s="72" t="e">
        <f>#REF!*AW$151</f>
        <v>#REF!</v>
      </c>
      <c r="AX123" s="72" t="e">
        <f>#REF!*AX$151</f>
        <v>#REF!</v>
      </c>
      <c r="AY123" s="72" t="e">
        <f>#REF!*AY$151</f>
        <v>#REF!</v>
      </c>
      <c r="AZ123" s="72" t="e">
        <f>#REF!*AZ$151</f>
        <v>#REF!</v>
      </c>
      <c r="BA123" s="72" t="e">
        <f>#REF!*BA$151</f>
        <v>#REF!</v>
      </c>
      <c r="BB123" s="75">
        <f>SUM(AE123:AG123)-AH123</f>
        <v>0</v>
      </c>
    </row>
    <row r="124" spans="1:54" s="2" customFormat="1" ht="18.75" hidden="1" customHeight="1">
      <c r="A124" s="15" t="s">
        <v>20</v>
      </c>
      <c r="B124" s="15" t="s">
        <v>115</v>
      </c>
      <c r="C124" s="15"/>
      <c r="D124" s="15"/>
      <c r="E124" s="4">
        <v>13721</v>
      </c>
      <c r="F124" s="4" t="s">
        <v>578</v>
      </c>
      <c r="G124" s="4" t="s">
        <v>579</v>
      </c>
      <c r="H124" s="4" t="s">
        <v>580</v>
      </c>
      <c r="I124" s="4" t="s">
        <v>118</v>
      </c>
      <c r="J124" s="4" t="s">
        <v>119</v>
      </c>
      <c r="K124" s="4" t="s">
        <v>120</v>
      </c>
      <c r="L124" s="4" t="s">
        <v>291</v>
      </c>
      <c r="M124" s="4" t="s">
        <v>122</v>
      </c>
      <c r="N124" s="4" t="s">
        <v>123</v>
      </c>
      <c r="O124" s="4" t="s">
        <v>124</v>
      </c>
      <c r="P124" s="4" t="s">
        <v>125</v>
      </c>
      <c r="Q124" s="4" t="s">
        <v>139</v>
      </c>
      <c r="R124" s="4" t="s">
        <v>115</v>
      </c>
      <c r="S124" s="4" t="s">
        <v>115</v>
      </c>
      <c r="T124" s="4" t="s">
        <v>581</v>
      </c>
      <c r="U124" s="4" t="s">
        <v>128</v>
      </c>
      <c r="V124" s="4" t="s">
        <v>525</v>
      </c>
      <c r="W124" s="4" t="s">
        <v>143</v>
      </c>
      <c r="X124" s="4" t="s">
        <v>302</v>
      </c>
      <c r="Y124" s="4" t="s">
        <v>115</v>
      </c>
      <c r="Z124" s="4" t="s">
        <v>132</v>
      </c>
      <c r="AA124" s="4" t="s">
        <v>132</v>
      </c>
      <c r="AB124" s="4" t="s">
        <v>132</v>
      </c>
      <c r="AC124" s="4" t="s">
        <v>125</v>
      </c>
      <c r="AD124" s="4" t="s">
        <v>125</v>
      </c>
      <c r="AE124" s="5">
        <v>1.6666666666666665</v>
      </c>
      <c r="AF124" s="5">
        <v>0.70833333333333337</v>
      </c>
      <c r="AG124" s="5">
        <v>0.58333333333333337</v>
      </c>
      <c r="AH124" s="5">
        <v>2.9583333333333335</v>
      </c>
      <c r="AI124" s="6">
        <v>0.91549295774647887</v>
      </c>
      <c r="AJ124" s="7">
        <v>1.4791666666666667</v>
      </c>
      <c r="AK124" s="7">
        <v>1.4791666666666667</v>
      </c>
      <c r="AL124" s="8"/>
      <c r="AM124" s="51">
        <f>AH124*(1-AI124)</f>
        <v>0.25</v>
      </c>
      <c r="AN124" s="50" t="str">
        <f>VLOOKUP($E124,'Capgemini PResence and HC'!$B$2:$G$143,4,0)</f>
        <v>Y</v>
      </c>
      <c r="AO124" s="50">
        <f>VLOOKUP($E124,'Capgemini PResence and HC'!$B$2:$G$143,2,0)</f>
        <v>2</v>
      </c>
      <c r="AP124" s="50">
        <f>VLOOKUP($E124,'Capgemini PResence and HC'!$B$2:$G$143,3,0)</f>
        <v>0</v>
      </c>
      <c r="AQ124" s="50">
        <f>VLOOKUP($E124,'Capgemini PResence and HC'!$B$2:$G$143,6,0)</f>
        <v>2.3624999999999998</v>
      </c>
      <c r="AR124" s="65"/>
      <c r="AS124" s="65"/>
      <c r="AT124" s="72" t="e">
        <f>#REF!*AT$151</f>
        <v>#REF!</v>
      </c>
      <c r="AU124" s="72" t="e">
        <f>#REF!*AU$151</f>
        <v>#REF!</v>
      </c>
      <c r="AV124" s="72" t="e">
        <f>#REF!*AV$151</f>
        <v>#REF!</v>
      </c>
      <c r="AW124" s="72" t="e">
        <f>#REF!*AW$151</f>
        <v>#REF!</v>
      </c>
      <c r="AX124" s="72" t="e">
        <f>#REF!*AX$151</f>
        <v>#REF!</v>
      </c>
      <c r="AY124" s="72" t="e">
        <f>#REF!*AY$151</f>
        <v>#REF!</v>
      </c>
      <c r="AZ124" s="72" t="e">
        <f>#REF!*AZ$151</f>
        <v>#REF!</v>
      </c>
      <c r="BA124" s="72" t="e">
        <f>#REF!*BA$151</f>
        <v>#REF!</v>
      </c>
      <c r="BB124" s="75">
        <f>SUM(AE124:AG124)-AH124</f>
        <v>0</v>
      </c>
    </row>
    <row r="125" spans="1:54" s="2" customFormat="1" ht="18.75" hidden="1" customHeight="1">
      <c r="A125" s="15" t="s">
        <v>20</v>
      </c>
      <c r="B125" s="15" t="s">
        <v>115</v>
      </c>
      <c r="C125" s="15"/>
      <c r="D125" s="15"/>
      <c r="E125" s="4">
        <v>13738</v>
      </c>
      <c r="F125" s="4" t="s">
        <v>582</v>
      </c>
      <c r="G125" s="4" t="s">
        <v>582</v>
      </c>
      <c r="H125" s="4" t="s">
        <v>583</v>
      </c>
      <c r="I125" s="4" t="s">
        <v>287</v>
      </c>
      <c r="J125" s="4" t="s">
        <v>273</v>
      </c>
      <c r="K125" s="4" t="s">
        <v>288</v>
      </c>
      <c r="L125" s="4" t="s">
        <v>291</v>
      </c>
      <c r="M125" s="4" t="s">
        <v>122</v>
      </c>
      <c r="N125" s="4" t="s">
        <v>123</v>
      </c>
      <c r="O125" s="4" t="s">
        <v>124</v>
      </c>
      <c r="P125" s="4" t="s">
        <v>125</v>
      </c>
      <c r="Q125" s="4" t="s">
        <v>126</v>
      </c>
      <c r="R125" s="4" t="s">
        <v>140</v>
      </c>
      <c r="S125" s="4" t="s">
        <v>140</v>
      </c>
      <c r="T125" s="4" t="s">
        <v>260</v>
      </c>
      <c r="U125" s="4" t="s">
        <v>128</v>
      </c>
      <c r="V125" s="4" t="s">
        <v>236</v>
      </c>
      <c r="W125" s="4" t="s">
        <v>143</v>
      </c>
      <c r="X125" s="4" t="s">
        <v>302</v>
      </c>
      <c r="Y125" s="4" t="s">
        <v>115</v>
      </c>
      <c r="Z125" s="4" t="s">
        <v>132</v>
      </c>
      <c r="AA125" s="4" t="s">
        <v>132</v>
      </c>
      <c r="AB125" s="4" t="s">
        <v>132</v>
      </c>
      <c r="AC125" s="4" t="s">
        <v>125</v>
      </c>
      <c r="AD125" s="4" t="s">
        <v>132</v>
      </c>
      <c r="AE125" s="5">
        <v>0.33333333333333337</v>
      </c>
      <c r="AF125" s="5">
        <v>0.25</v>
      </c>
      <c r="AG125" s="5">
        <v>8.3333333333333329E-2</v>
      </c>
      <c r="AH125" s="5">
        <v>0.66666666666666674</v>
      </c>
      <c r="AI125" s="6">
        <v>1</v>
      </c>
      <c r="AJ125" s="7">
        <v>0.33333333333333337</v>
      </c>
      <c r="AK125" s="7">
        <v>0.33333333333333337</v>
      </c>
      <c r="AL125" s="8"/>
      <c r="AM125" s="51">
        <f>AH125*(1-AI125)</f>
        <v>0</v>
      </c>
      <c r="AN125" s="50" t="str">
        <f>VLOOKUP($E125,'Capgemini PResence and HC'!$B$2:$G$143,4,0)</f>
        <v>Y</v>
      </c>
      <c r="AO125" s="50">
        <f>VLOOKUP($E125,'Capgemini PResence and HC'!$B$2:$G$143,2,0)</f>
        <v>1</v>
      </c>
      <c r="AP125" s="50">
        <f>VLOOKUP($E125,'Capgemini PResence and HC'!$B$2:$G$143,3,0)</f>
        <v>0</v>
      </c>
      <c r="AQ125" s="50">
        <f>VLOOKUP($E125,'Capgemini PResence and HC'!$B$2:$G$143,6,0)</f>
        <v>0.28125</v>
      </c>
      <c r="AR125" s="68">
        <f>AE125-AS125</f>
        <v>0.33333333333333337</v>
      </c>
      <c r="AS125" s="67">
        <f>AM125</f>
        <v>0</v>
      </c>
      <c r="AT125" s="70">
        <f>$AR125*AT$151</f>
        <v>2.456140350877193E-2</v>
      </c>
      <c r="AU125" s="70">
        <f>$AR125*AU$151</f>
        <v>2.456140350877193E-2</v>
      </c>
      <c r="AV125" s="70">
        <f>$AR125*AV$151</f>
        <v>0.12982456140350876</v>
      </c>
      <c r="AW125" s="70">
        <f>$AR125*AW$151</f>
        <v>8.7719298245614016E-2</v>
      </c>
      <c r="AX125" s="70">
        <f>$AR125*AX$151</f>
        <v>1.7543859649122806E-2</v>
      </c>
      <c r="AY125" s="70">
        <f>$AR125*AY$151</f>
        <v>2.456140350877193E-2</v>
      </c>
      <c r="AZ125" s="70">
        <f>$AR125*AZ$151</f>
        <v>2.456140350877193E-2</v>
      </c>
      <c r="BA125" s="70">
        <f>$AS125*BA$151</f>
        <v>0</v>
      </c>
      <c r="BB125" s="75">
        <f>SUM(AE125:AG125)-AH125</f>
        <v>0</v>
      </c>
    </row>
    <row r="126" spans="1:54" s="2" customFormat="1" ht="18.75" hidden="1" customHeight="1">
      <c r="A126" s="15" t="s">
        <v>20</v>
      </c>
      <c r="B126" s="15" t="s">
        <v>115</v>
      </c>
      <c r="C126" s="15"/>
      <c r="D126" s="15"/>
      <c r="E126" s="4">
        <v>11288</v>
      </c>
      <c r="F126" s="4" t="s">
        <v>584</v>
      </c>
      <c r="G126" s="4" t="s">
        <v>585</v>
      </c>
      <c r="H126" s="4" t="s">
        <v>586</v>
      </c>
      <c r="I126" s="4" t="s">
        <v>233</v>
      </c>
      <c r="J126" s="4" t="s">
        <v>119</v>
      </c>
      <c r="K126" s="4" t="s">
        <v>234</v>
      </c>
      <c r="L126" s="4" t="s">
        <v>121</v>
      </c>
      <c r="M126" s="4" t="s">
        <v>122</v>
      </c>
      <c r="N126" s="4" t="s">
        <v>123</v>
      </c>
      <c r="O126" s="4" t="s">
        <v>124</v>
      </c>
      <c r="P126" s="4" t="s">
        <v>125</v>
      </c>
      <c r="Q126" s="4" t="s">
        <v>235</v>
      </c>
      <c r="R126" s="4" t="s">
        <v>140</v>
      </c>
      <c r="S126" s="4" t="s">
        <v>115</v>
      </c>
      <c r="T126" s="4" t="s">
        <v>208</v>
      </c>
      <c r="U126" s="4" t="s">
        <v>128</v>
      </c>
      <c r="V126" s="4" t="s">
        <v>223</v>
      </c>
      <c r="W126" s="4" t="s">
        <v>143</v>
      </c>
      <c r="X126" s="4" t="s">
        <v>128</v>
      </c>
      <c r="Y126" s="4" t="s">
        <v>140</v>
      </c>
      <c r="Z126" s="4" t="s">
        <v>132</v>
      </c>
      <c r="AA126" s="4" t="s">
        <v>132</v>
      </c>
      <c r="AB126" s="4" t="s">
        <v>132</v>
      </c>
      <c r="AC126" s="4" t="s">
        <v>125</v>
      </c>
      <c r="AD126" s="4" t="s">
        <v>125</v>
      </c>
      <c r="AE126" s="5">
        <v>9.166666666666666E-2</v>
      </c>
      <c r="AF126" s="5">
        <v>0</v>
      </c>
      <c r="AG126" s="5">
        <v>0</v>
      </c>
      <c r="AH126" s="5">
        <v>9.166666666666666E-2</v>
      </c>
      <c r="AI126" s="6">
        <v>0.27272727272727271</v>
      </c>
      <c r="AJ126" s="7">
        <v>4.583333333333333E-2</v>
      </c>
      <c r="AK126" s="7">
        <v>4.583333333333333E-2</v>
      </c>
      <c r="AL126" s="8"/>
      <c r="AM126" s="51">
        <f>AH126*(1-AI126)</f>
        <v>6.6666666666666666E-2</v>
      </c>
      <c r="AN126" s="50" t="str">
        <f>VLOOKUP($E126,'Capgemini PResence and HC'!$B$2:$G$143,4,0)</f>
        <v>N</v>
      </c>
      <c r="AO126" s="50">
        <f>VLOOKUP($E126,'Capgemini PResence and HC'!$B$2:$G$143,2,0)</f>
        <v>0</v>
      </c>
      <c r="AP126" s="50">
        <f>VLOOKUP($E126,'Capgemini PResence and HC'!$B$2:$G$143,3,0)</f>
        <v>0</v>
      </c>
      <c r="AQ126" s="50">
        <f>VLOOKUP($E126,'Capgemini PResence and HC'!$B$2:$G$143,6,0)</f>
        <v>0</v>
      </c>
      <c r="AR126" s="76">
        <f>AH126-AS126</f>
        <v>2.4999999999999994E-2</v>
      </c>
      <c r="AS126" s="67">
        <f>AM126</f>
        <v>6.6666666666666666E-2</v>
      </c>
      <c r="AT126" s="72" t="e">
        <f>#REF!*AT$151</f>
        <v>#REF!</v>
      </c>
      <c r="AU126" s="72" t="e">
        <f>#REF!*AU$151</f>
        <v>#REF!</v>
      </c>
      <c r="AV126" s="72" t="e">
        <f>#REF!*AV$151</f>
        <v>#REF!</v>
      </c>
      <c r="AW126" s="72" t="e">
        <f>#REF!*AW$151</f>
        <v>#REF!</v>
      </c>
      <c r="AX126" s="72" t="e">
        <f>#REF!*AX$151</f>
        <v>#REF!</v>
      </c>
      <c r="AY126" s="72" t="e">
        <f>#REF!*AY$151</f>
        <v>#REF!</v>
      </c>
      <c r="AZ126" s="72" t="e">
        <f>#REF!*AZ$151</f>
        <v>#REF!</v>
      </c>
      <c r="BA126" s="72" t="e">
        <f>#REF!*BA$151</f>
        <v>#REF!</v>
      </c>
      <c r="BB126" s="75">
        <f>SUM(AE126:AG126)-AH126</f>
        <v>0</v>
      </c>
    </row>
    <row r="127" spans="1:54" s="2" customFormat="1" ht="18.75" hidden="1" customHeight="1">
      <c r="A127" s="15" t="s">
        <v>20</v>
      </c>
      <c r="B127" s="15" t="s">
        <v>115</v>
      </c>
      <c r="C127" s="15"/>
      <c r="D127" s="15"/>
      <c r="E127" s="4">
        <v>13820</v>
      </c>
      <c r="F127" s="4" t="s">
        <v>587</v>
      </c>
      <c r="G127" s="4" t="s">
        <v>588</v>
      </c>
      <c r="H127" s="9" t="s">
        <v>589</v>
      </c>
      <c r="I127" s="4" t="s">
        <v>213</v>
      </c>
      <c r="J127" s="4" t="s">
        <v>199</v>
      </c>
      <c r="K127" s="4" t="s">
        <v>268</v>
      </c>
      <c r="L127" s="4" t="s">
        <v>121</v>
      </c>
      <c r="M127" s="4" t="s">
        <v>192</v>
      </c>
      <c r="N127" s="4" t="s">
        <v>123</v>
      </c>
      <c r="O127" s="4" t="s">
        <v>124</v>
      </c>
      <c r="P127" s="4" t="s">
        <v>125</v>
      </c>
      <c r="Q127" s="4" t="s">
        <v>139</v>
      </c>
      <c r="R127" s="4" t="s">
        <v>140</v>
      </c>
      <c r="S127" s="4" t="s">
        <v>115</v>
      </c>
      <c r="T127" s="4" t="s">
        <v>590</v>
      </c>
      <c r="U127" s="4" t="s">
        <v>128</v>
      </c>
      <c r="V127" s="4" t="s">
        <v>236</v>
      </c>
      <c r="W127" s="4" t="s">
        <v>143</v>
      </c>
      <c r="X127" s="4" t="s">
        <v>302</v>
      </c>
      <c r="Y127" s="4" t="s">
        <v>115</v>
      </c>
      <c r="Z127" s="4" t="s">
        <v>132</v>
      </c>
      <c r="AA127" s="4" t="s">
        <v>132</v>
      </c>
      <c r="AB127" s="4" t="s">
        <v>132</v>
      </c>
      <c r="AC127" s="4" t="s">
        <v>125</v>
      </c>
      <c r="AD127" s="4" t="s">
        <v>125</v>
      </c>
      <c r="AE127" s="5">
        <v>20.590416666666673</v>
      </c>
      <c r="AF127" s="5">
        <v>5.0458333333333316</v>
      </c>
      <c r="AG127" s="5">
        <v>18.145833333333332</v>
      </c>
      <c r="AH127" s="5">
        <v>43.782083333333333</v>
      </c>
      <c r="AI127" s="6">
        <v>0.98365960200614777</v>
      </c>
      <c r="AJ127" s="7">
        <v>21.891041666666666</v>
      </c>
      <c r="AK127" s="7">
        <v>21.891041666666666</v>
      </c>
      <c r="AL127" s="8"/>
      <c r="AM127" s="51">
        <f>AH127*(1-AI127)</f>
        <v>0.71541666666667114</v>
      </c>
      <c r="AN127" s="50" t="str">
        <f>VLOOKUP($E127,'Capgemini PResence and HC'!$B$2:$G$143,4,0)</f>
        <v>Y</v>
      </c>
      <c r="AO127" s="50">
        <f>VLOOKUP($E127,'Capgemini PResence and HC'!$B$2:$G$143,2,0)</f>
        <v>4</v>
      </c>
      <c r="AP127" s="50">
        <f>VLOOKUP($E127,'Capgemini PResence and HC'!$B$2:$G$143,3,0)</f>
        <v>0</v>
      </c>
      <c r="AQ127" s="50">
        <f>VLOOKUP($E127,'Capgemini PResence and HC'!$B$2:$G$143,6,0)</f>
        <v>3.7687499999999998</v>
      </c>
      <c r="AR127" s="65"/>
      <c r="AS127" s="65"/>
      <c r="AT127" s="72" t="e">
        <f>#REF!*AT$151</f>
        <v>#REF!</v>
      </c>
      <c r="AU127" s="72" t="e">
        <f>#REF!*AU$151</f>
        <v>#REF!</v>
      </c>
      <c r="AV127" s="72" t="e">
        <f>#REF!*AV$151</f>
        <v>#REF!</v>
      </c>
      <c r="AW127" s="72" t="e">
        <f>#REF!*AW$151</f>
        <v>#REF!</v>
      </c>
      <c r="AX127" s="72" t="e">
        <f>#REF!*AX$151</f>
        <v>#REF!</v>
      </c>
      <c r="AY127" s="72" t="e">
        <f>#REF!*AY$151</f>
        <v>#REF!</v>
      </c>
      <c r="AZ127" s="72" t="e">
        <f>#REF!*AZ$151</f>
        <v>#REF!</v>
      </c>
      <c r="BA127" s="72" t="e">
        <f>#REF!*BA$151</f>
        <v>#REF!</v>
      </c>
      <c r="BB127" s="75">
        <f>SUM(AE127:AG127)-AH127</f>
        <v>0</v>
      </c>
    </row>
    <row r="128" spans="1:54" s="2" customFormat="1" ht="18.75" hidden="1" customHeight="1">
      <c r="A128" s="15"/>
      <c r="B128" s="15"/>
      <c r="C128" s="15"/>
      <c r="D128" s="15"/>
      <c r="E128" s="4">
        <v>13856</v>
      </c>
      <c r="F128" s="4" t="s">
        <v>591</v>
      </c>
      <c r="G128" s="4" t="s">
        <v>592</v>
      </c>
      <c r="H128" s="9" t="s">
        <v>593</v>
      </c>
      <c r="I128" s="4" t="s">
        <v>227</v>
      </c>
      <c r="J128" s="4" t="s">
        <v>199</v>
      </c>
      <c r="K128" s="4" t="s">
        <v>228</v>
      </c>
      <c r="L128" s="4" t="s">
        <v>121</v>
      </c>
      <c r="M128" s="4" t="s">
        <v>122</v>
      </c>
      <c r="N128" s="4" t="s">
        <v>123</v>
      </c>
      <c r="O128" s="4" t="s">
        <v>124</v>
      </c>
      <c r="P128" s="4" t="s">
        <v>125</v>
      </c>
      <c r="Q128" s="4" t="s">
        <v>139</v>
      </c>
      <c r="R128" s="4" t="s">
        <v>140</v>
      </c>
      <c r="S128" s="4" t="s">
        <v>115</v>
      </c>
      <c r="T128" s="4" t="s">
        <v>594</v>
      </c>
      <c r="U128" s="4" t="s">
        <v>128</v>
      </c>
      <c r="V128" s="4" t="s">
        <v>595</v>
      </c>
      <c r="W128" s="4" t="s">
        <v>143</v>
      </c>
      <c r="X128" s="4" t="s">
        <v>128</v>
      </c>
      <c r="Y128" s="4" t="s">
        <v>140</v>
      </c>
      <c r="Z128" s="4" t="s">
        <v>132</v>
      </c>
      <c r="AA128" s="4" t="s">
        <v>132</v>
      </c>
      <c r="AB128" s="4" t="s">
        <v>132</v>
      </c>
      <c r="AC128" s="4" t="s">
        <v>125</v>
      </c>
      <c r="AD128" s="4" t="s">
        <v>125</v>
      </c>
      <c r="AE128" s="5">
        <v>4.4024999999999999</v>
      </c>
      <c r="AF128" s="5">
        <v>1.9583333333333335</v>
      </c>
      <c r="AG128" s="5">
        <v>4.1666666666666664E-2</v>
      </c>
      <c r="AH128" s="5">
        <v>6.4025000000000007</v>
      </c>
      <c r="AI128" s="6">
        <v>0.95769881556683589</v>
      </c>
      <c r="AJ128" s="7">
        <v>3.2012500000000004</v>
      </c>
      <c r="AK128" s="7">
        <v>3.2012500000000004</v>
      </c>
      <c r="AL128" s="8"/>
      <c r="AM128" s="51">
        <f>AH128*(1-AI128)</f>
        <v>0.2708333333333332</v>
      </c>
      <c r="AN128" s="50" t="str">
        <f>VLOOKUP($E128,'Capgemini PResence and HC'!$B$2:$G$143,4,0)</f>
        <v>Y</v>
      </c>
      <c r="AO128" s="50">
        <f>VLOOKUP($E128,'Capgemini PResence and HC'!$B$2:$G$143,2,0)</f>
        <v>8</v>
      </c>
      <c r="AP128" s="50">
        <f>VLOOKUP($E128,'Capgemini PResence and HC'!$B$2:$G$143,3,0)</f>
        <v>0</v>
      </c>
      <c r="AQ128" s="50">
        <f>VLOOKUP($E128,'Capgemini PResence and HC'!$B$2:$G$143,6,0)</f>
        <v>7.2</v>
      </c>
      <c r="AR128" s="65"/>
      <c r="AS128" s="65"/>
      <c r="AT128" s="72" t="e">
        <f>#REF!*AT$151</f>
        <v>#REF!</v>
      </c>
      <c r="AU128" s="72" t="e">
        <f>#REF!*AU$151</f>
        <v>#REF!</v>
      </c>
      <c r="AV128" s="72" t="e">
        <f>#REF!*AV$151</f>
        <v>#REF!</v>
      </c>
      <c r="AW128" s="72" t="e">
        <f>#REF!*AW$151</f>
        <v>#REF!</v>
      </c>
      <c r="AX128" s="72" t="e">
        <f>#REF!*AX$151</f>
        <v>#REF!</v>
      </c>
      <c r="AY128" s="72" t="e">
        <f>#REF!*AY$151</f>
        <v>#REF!</v>
      </c>
      <c r="AZ128" s="72" t="e">
        <f>#REF!*AZ$151</f>
        <v>#REF!</v>
      </c>
      <c r="BA128" s="72" t="e">
        <f>#REF!*BA$151</f>
        <v>#REF!</v>
      </c>
      <c r="BB128" s="75">
        <f>SUM(AE128:AG128)-AH128</f>
        <v>0</v>
      </c>
    </row>
    <row r="129" spans="1:54" s="2" customFormat="1" ht="18.75" hidden="1" customHeight="1">
      <c r="A129" s="15" t="s">
        <v>20</v>
      </c>
      <c r="B129" s="15" t="s">
        <v>115</v>
      </c>
      <c r="C129" s="15"/>
      <c r="D129" s="15"/>
      <c r="E129" s="4">
        <v>13863</v>
      </c>
      <c r="F129" s="4" t="s">
        <v>596</v>
      </c>
      <c r="G129" s="4" t="s">
        <v>597</v>
      </c>
      <c r="H129" s="4" t="s">
        <v>598</v>
      </c>
      <c r="I129" s="4" t="s">
        <v>198</v>
      </c>
      <c r="J129" s="4" t="s">
        <v>199</v>
      </c>
      <c r="K129" s="4" t="s">
        <v>200</v>
      </c>
      <c r="L129" s="4" t="s">
        <v>291</v>
      </c>
      <c r="M129" s="4" t="s">
        <v>192</v>
      </c>
      <c r="N129" s="4" t="s">
        <v>123</v>
      </c>
      <c r="O129" s="4" t="s">
        <v>124</v>
      </c>
      <c r="P129" s="4" t="s">
        <v>125</v>
      </c>
      <c r="Q129" s="4" t="s">
        <v>139</v>
      </c>
      <c r="R129" s="4" t="s">
        <v>140</v>
      </c>
      <c r="S129" s="4" t="s">
        <v>140</v>
      </c>
      <c r="T129" s="4" t="s">
        <v>599</v>
      </c>
      <c r="U129" s="4" t="s">
        <v>128</v>
      </c>
      <c r="V129" s="4" t="s">
        <v>236</v>
      </c>
      <c r="W129" s="4" t="s">
        <v>130</v>
      </c>
      <c r="X129" s="4" t="s">
        <v>131</v>
      </c>
      <c r="Y129" s="4" t="s">
        <v>115</v>
      </c>
      <c r="Z129" s="4" t="s">
        <v>132</v>
      </c>
      <c r="AA129" s="4" t="s">
        <v>132</v>
      </c>
      <c r="AB129" s="4" t="s">
        <v>132</v>
      </c>
      <c r="AC129" s="4" t="s">
        <v>125</v>
      </c>
      <c r="AD129" s="4" t="s">
        <v>125</v>
      </c>
      <c r="AE129" s="5">
        <v>1</v>
      </c>
      <c r="AF129" s="5">
        <v>0</v>
      </c>
      <c r="AG129" s="5">
        <v>0</v>
      </c>
      <c r="AH129" s="5">
        <v>0</v>
      </c>
      <c r="AI129" s="6"/>
      <c r="AJ129" s="7">
        <v>0</v>
      </c>
      <c r="AK129" s="7">
        <v>0</v>
      </c>
      <c r="AL129" s="8"/>
      <c r="AM129" s="51">
        <f>AH129*(1-AI129)</f>
        <v>0</v>
      </c>
      <c r="AN129" s="50" t="str">
        <f>VLOOKUP($E129,'Capgemini PResence and HC'!$B$2:$G$143,4,0)</f>
        <v>N</v>
      </c>
      <c r="AO129" s="50">
        <f>VLOOKUP($E129,'Capgemini PResence and HC'!$B$2:$G$143,2,0)</f>
        <v>0</v>
      </c>
      <c r="AP129" s="50">
        <f>VLOOKUP($E129,'Capgemini PResence and HC'!$B$2:$G$143,3,0)</f>
        <v>0</v>
      </c>
      <c r="AQ129" s="50">
        <f>VLOOKUP($E129,'Capgemini PResence and HC'!$B$2:$G$143,6,0)</f>
        <v>0</v>
      </c>
      <c r="AR129" s="65"/>
      <c r="AS129" s="65"/>
      <c r="AT129" s="72" t="e">
        <f>#REF!*AT$151</f>
        <v>#REF!</v>
      </c>
      <c r="AU129" s="72" t="e">
        <f>#REF!*AU$151</f>
        <v>#REF!</v>
      </c>
      <c r="AV129" s="72" t="e">
        <f>#REF!*AV$151</f>
        <v>#REF!</v>
      </c>
      <c r="AW129" s="72" t="e">
        <f>#REF!*AW$151</f>
        <v>#REF!</v>
      </c>
      <c r="AX129" s="72" t="e">
        <f>#REF!*AX$151</f>
        <v>#REF!</v>
      </c>
      <c r="AY129" s="72" t="e">
        <f>#REF!*AY$151</f>
        <v>#REF!</v>
      </c>
      <c r="AZ129" s="72" t="e">
        <f>#REF!*AZ$151</f>
        <v>#REF!</v>
      </c>
      <c r="BA129" s="72" t="e">
        <f>#REF!*BA$151</f>
        <v>#REF!</v>
      </c>
      <c r="BB129" s="75">
        <f>SUM(AE129:AG129)-AH129</f>
        <v>1</v>
      </c>
    </row>
    <row r="130" spans="1:54" s="2" customFormat="1" ht="18.75" hidden="1" customHeight="1">
      <c r="A130" s="15" t="s">
        <v>20</v>
      </c>
      <c r="B130" s="15" t="s">
        <v>115</v>
      </c>
      <c r="C130" s="15"/>
      <c r="D130" s="15"/>
      <c r="E130" s="4">
        <v>13884</v>
      </c>
      <c r="F130" s="4" t="s">
        <v>600</v>
      </c>
      <c r="G130" s="4" t="s">
        <v>601</v>
      </c>
      <c r="H130" s="9" t="s">
        <v>602</v>
      </c>
      <c r="I130" s="4" t="s">
        <v>206</v>
      </c>
      <c r="J130" s="4" t="s">
        <v>199</v>
      </c>
      <c r="K130" s="4" t="s">
        <v>207</v>
      </c>
      <c r="L130" s="4" t="s">
        <v>121</v>
      </c>
      <c r="M130" s="4" t="s">
        <v>122</v>
      </c>
      <c r="N130" s="4" t="s">
        <v>123</v>
      </c>
      <c r="O130" s="4" t="s">
        <v>124</v>
      </c>
      <c r="P130" s="4" t="s">
        <v>125</v>
      </c>
      <c r="Q130" s="4" t="s">
        <v>139</v>
      </c>
      <c r="R130" s="4" t="s">
        <v>140</v>
      </c>
      <c r="S130" s="4" t="s">
        <v>115</v>
      </c>
      <c r="T130" s="4" t="s">
        <v>594</v>
      </c>
      <c r="U130" s="4" t="s">
        <v>128</v>
      </c>
      <c r="V130" s="4" t="s">
        <v>236</v>
      </c>
      <c r="W130" s="4" t="s">
        <v>143</v>
      </c>
      <c r="X130" s="4" t="s">
        <v>128</v>
      </c>
      <c r="Y130" s="4" t="s">
        <v>140</v>
      </c>
      <c r="Z130" s="4" t="s">
        <v>132</v>
      </c>
      <c r="AA130" s="4" t="s">
        <v>132</v>
      </c>
      <c r="AB130" s="4" t="s">
        <v>132</v>
      </c>
      <c r="AC130" s="4" t="s">
        <v>125</v>
      </c>
      <c r="AD130" s="4" t="s">
        <v>125</v>
      </c>
      <c r="AE130" s="11">
        <v>0.4</v>
      </c>
      <c r="AF130" s="11">
        <v>0.3</v>
      </c>
      <c r="AG130" s="11">
        <v>0</v>
      </c>
      <c r="AH130" s="5">
        <v>4.2762499999999992</v>
      </c>
      <c r="AI130" s="6">
        <v>0.90909090909090917</v>
      </c>
      <c r="AJ130" s="7">
        <v>2.1381249999999996</v>
      </c>
      <c r="AK130" s="7">
        <v>2.1381249999999996</v>
      </c>
      <c r="AL130" s="8"/>
      <c r="AM130" s="51">
        <f>AH130*(1-AI130)</f>
        <v>0.3887499999999996</v>
      </c>
      <c r="AN130" s="50" t="str">
        <f>VLOOKUP($E130,'Capgemini PResence and HC'!$B$2:$G$143,4,0)</f>
        <v>Y</v>
      </c>
      <c r="AO130" s="50">
        <f>VLOOKUP($E130,'Capgemini PResence and HC'!$B$2:$G$143,2,0)</f>
        <v>0</v>
      </c>
      <c r="AP130" s="50">
        <f>VLOOKUP($E130,'Capgemini PResence and HC'!$B$2:$G$143,3,0)</f>
        <v>1</v>
      </c>
      <c r="AQ130" s="50">
        <f>VLOOKUP($E130,'Capgemini PResence and HC'!$B$2:$G$143,6,0)</f>
        <v>0</v>
      </c>
      <c r="AR130" s="65"/>
      <c r="AS130" s="65"/>
      <c r="AT130" s="72" t="e">
        <f>#REF!*AT$151</f>
        <v>#REF!</v>
      </c>
      <c r="AU130" s="72" t="e">
        <f>#REF!*AU$151</f>
        <v>#REF!</v>
      </c>
      <c r="AV130" s="72" t="e">
        <f>#REF!*AV$151</f>
        <v>#REF!</v>
      </c>
      <c r="AW130" s="72" t="e">
        <f>#REF!*AW$151</f>
        <v>#REF!</v>
      </c>
      <c r="AX130" s="72" t="e">
        <f>#REF!*AX$151</f>
        <v>#REF!</v>
      </c>
      <c r="AY130" s="72" t="e">
        <f>#REF!*AY$151</f>
        <v>#REF!</v>
      </c>
      <c r="AZ130" s="72" t="e">
        <f>#REF!*AZ$151</f>
        <v>#REF!</v>
      </c>
      <c r="BA130" s="72" t="e">
        <f>#REF!*BA$151</f>
        <v>#REF!</v>
      </c>
      <c r="BB130" s="75">
        <f>SUM(AE130:AG130)-AH130</f>
        <v>-3.576249999999999</v>
      </c>
    </row>
    <row r="131" spans="1:54" s="2" customFormat="1" ht="18.75" hidden="1" customHeight="1">
      <c r="A131" s="15" t="s">
        <v>20</v>
      </c>
      <c r="B131" s="15" t="s">
        <v>115</v>
      </c>
      <c r="C131" s="15"/>
      <c r="D131" s="15"/>
      <c r="E131" s="4">
        <v>13888</v>
      </c>
      <c r="F131" s="4" t="s">
        <v>603</v>
      </c>
      <c r="G131" s="4" t="s">
        <v>604</v>
      </c>
      <c r="H131" s="4" t="s">
        <v>605</v>
      </c>
      <c r="I131" s="4" t="s">
        <v>272</v>
      </c>
      <c r="J131" s="4" t="s">
        <v>273</v>
      </c>
      <c r="K131" s="4" t="s">
        <v>362</v>
      </c>
      <c r="L131" s="4" t="s">
        <v>467</v>
      </c>
      <c r="M131" s="4" t="s">
        <v>192</v>
      </c>
      <c r="N131" s="4" t="s">
        <v>123</v>
      </c>
      <c r="O131" s="4" t="s">
        <v>124</v>
      </c>
      <c r="P131" s="4" t="s">
        <v>125</v>
      </c>
      <c r="Q131" s="4" t="s">
        <v>139</v>
      </c>
      <c r="R131" s="4" t="s">
        <v>140</v>
      </c>
      <c r="S131" s="4" t="s">
        <v>115</v>
      </c>
      <c r="T131" s="4" t="s">
        <v>208</v>
      </c>
      <c r="U131" s="4" t="s">
        <v>128</v>
      </c>
      <c r="V131" s="4" t="s">
        <v>546</v>
      </c>
      <c r="W131" s="4" t="s">
        <v>143</v>
      </c>
      <c r="X131" s="4" t="s">
        <v>128</v>
      </c>
      <c r="Y131" s="4" t="s">
        <v>140</v>
      </c>
      <c r="Z131" s="4" t="s">
        <v>132</v>
      </c>
      <c r="AA131" s="4" t="s">
        <v>132</v>
      </c>
      <c r="AB131" s="4" t="s">
        <v>132</v>
      </c>
      <c r="AC131" s="4" t="s">
        <v>125</v>
      </c>
      <c r="AD131" s="4" t="s">
        <v>125</v>
      </c>
      <c r="AE131" s="5">
        <v>2.9475000000000016</v>
      </c>
      <c r="AF131" s="5">
        <v>0.49999999999999994</v>
      </c>
      <c r="AG131" s="5">
        <v>1</v>
      </c>
      <c r="AH131" s="5">
        <v>4.4475000000000016</v>
      </c>
      <c r="AI131" s="6">
        <v>0.24077196927112607</v>
      </c>
      <c r="AJ131" s="7">
        <v>2.2237500000000008</v>
      </c>
      <c r="AK131" s="7">
        <v>2.2237500000000008</v>
      </c>
      <c r="AL131" s="8"/>
      <c r="AM131" s="51">
        <f>AH131*(1-AI131)</f>
        <v>3.3766666666666678</v>
      </c>
      <c r="AN131" s="50" t="str">
        <f>VLOOKUP($E131,'Capgemini PResence and HC'!$B$2:$G$143,4,0)</f>
        <v>N</v>
      </c>
      <c r="AO131" s="50">
        <f>VLOOKUP($E131,'Capgemini PResence and HC'!$B$2:$G$143,2,0)</f>
        <v>0</v>
      </c>
      <c r="AP131" s="50">
        <f>VLOOKUP($E131,'Capgemini PResence and HC'!$B$2:$G$143,3,0)</f>
        <v>0</v>
      </c>
      <c r="AQ131" s="50">
        <f>VLOOKUP($E131,'Capgemini PResence and HC'!$B$2:$G$143,6,0)</f>
        <v>0</v>
      </c>
      <c r="AR131" s="65"/>
      <c r="AS131" s="65"/>
      <c r="AT131" s="72" t="e">
        <f>#REF!*AT$151</f>
        <v>#REF!</v>
      </c>
      <c r="AU131" s="72" t="e">
        <f>#REF!*AU$151</f>
        <v>#REF!</v>
      </c>
      <c r="AV131" s="72" t="e">
        <f>#REF!*AV$151</f>
        <v>#REF!</v>
      </c>
      <c r="AW131" s="72" t="e">
        <f>#REF!*AW$151</f>
        <v>#REF!</v>
      </c>
      <c r="AX131" s="72" t="e">
        <f>#REF!*AX$151</f>
        <v>#REF!</v>
      </c>
      <c r="AY131" s="72" t="e">
        <f>#REF!*AY$151</f>
        <v>#REF!</v>
      </c>
      <c r="AZ131" s="72" t="e">
        <f>#REF!*AZ$151</f>
        <v>#REF!</v>
      </c>
      <c r="BA131" s="72" t="e">
        <f>#REF!*BA$151</f>
        <v>#REF!</v>
      </c>
      <c r="BB131" s="75">
        <f>SUM(AE131:AG131)-AH131</f>
        <v>0</v>
      </c>
    </row>
    <row r="132" spans="1:54" s="2" customFormat="1" ht="18.75" hidden="1" customHeight="1">
      <c r="A132" s="15" t="s">
        <v>20</v>
      </c>
      <c r="B132" s="15" t="s">
        <v>115</v>
      </c>
      <c r="C132" s="15"/>
      <c r="D132" s="15"/>
      <c r="E132" s="4">
        <v>13971</v>
      </c>
      <c r="F132" s="4" t="s">
        <v>606</v>
      </c>
      <c r="G132" s="4" t="s">
        <v>607</v>
      </c>
      <c r="H132" s="9" t="s">
        <v>608</v>
      </c>
      <c r="I132" s="4" t="s">
        <v>227</v>
      </c>
      <c r="J132" s="4" t="s">
        <v>199</v>
      </c>
      <c r="K132" s="4" t="s">
        <v>228</v>
      </c>
      <c r="L132" s="4" t="s">
        <v>121</v>
      </c>
      <c r="M132" s="4" t="s">
        <v>122</v>
      </c>
      <c r="N132" s="4" t="s">
        <v>123</v>
      </c>
      <c r="O132" s="4" t="s">
        <v>124</v>
      </c>
      <c r="P132" s="4" t="s">
        <v>125</v>
      </c>
      <c r="Q132" s="4" t="s">
        <v>139</v>
      </c>
      <c r="R132" s="4" t="s">
        <v>140</v>
      </c>
      <c r="S132" s="4" t="s">
        <v>115</v>
      </c>
      <c r="T132" s="4" t="s">
        <v>609</v>
      </c>
      <c r="U132" s="4" t="s">
        <v>128</v>
      </c>
      <c r="V132" s="4" t="s">
        <v>209</v>
      </c>
      <c r="W132" s="4" t="s">
        <v>143</v>
      </c>
      <c r="X132" s="4" t="s">
        <v>128</v>
      </c>
      <c r="Y132" s="4" t="s">
        <v>140</v>
      </c>
      <c r="Z132" s="4" t="s">
        <v>132</v>
      </c>
      <c r="AA132" s="4" t="s">
        <v>132</v>
      </c>
      <c r="AB132" s="4" t="s">
        <v>132</v>
      </c>
      <c r="AC132" s="4" t="s">
        <v>125</v>
      </c>
      <c r="AD132" s="4" t="s">
        <v>125</v>
      </c>
      <c r="AE132" s="5">
        <v>0.95416666666666661</v>
      </c>
      <c r="AF132" s="5">
        <v>0.54999999999999993</v>
      </c>
      <c r="AG132" s="5">
        <v>0</v>
      </c>
      <c r="AH132" s="5">
        <v>1.5041666666666664</v>
      </c>
      <c r="AI132" s="6">
        <v>0.29362880886426596</v>
      </c>
      <c r="AJ132" s="7">
        <v>0.75208333333333321</v>
      </c>
      <c r="AK132" s="7">
        <v>0.75208333333333321</v>
      </c>
      <c r="AL132" s="8"/>
      <c r="AM132" s="51">
        <f>AH132*(1-AI132)</f>
        <v>1.0624999999999998</v>
      </c>
      <c r="AN132" s="50" t="str">
        <f>VLOOKUP($E132,'Capgemini PResence and HC'!$B$2:$G$143,4,0)</f>
        <v>N</v>
      </c>
      <c r="AO132" s="50">
        <f>VLOOKUP($E132,'Capgemini PResence and HC'!$B$2:$G$143,2,0)</f>
        <v>0</v>
      </c>
      <c r="AP132" s="50">
        <f>VLOOKUP($E132,'Capgemini PResence and HC'!$B$2:$G$143,3,0)</f>
        <v>0</v>
      </c>
      <c r="AQ132" s="50">
        <f>VLOOKUP($E132,'Capgemini PResence and HC'!$B$2:$G$143,6,0)</f>
        <v>0</v>
      </c>
      <c r="AR132" s="65"/>
      <c r="AS132" s="65"/>
      <c r="AT132" s="72" t="e">
        <f>#REF!*AT$151</f>
        <v>#REF!</v>
      </c>
      <c r="AU132" s="72" t="e">
        <f>#REF!*AU$151</f>
        <v>#REF!</v>
      </c>
      <c r="AV132" s="72" t="e">
        <f>#REF!*AV$151</f>
        <v>#REF!</v>
      </c>
      <c r="AW132" s="72" t="e">
        <f>#REF!*AW$151</f>
        <v>#REF!</v>
      </c>
      <c r="AX132" s="72" t="e">
        <f>#REF!*AX$151</f>
        <v>#REF!</v>
      </c>
      <c r="AY132" s="72" t="e">
        <f>#REF!*AY$151</f>
        <v>#REF!</v>
      </c>
      <c r="AZ132" s="72" t="e">
        <f>#REF!*AZ$151</f>
        <v>#REF!</v>
      </c>
      <c r="BA132" s="72" t="e">
        <f>#REF!*BA$151</f>
        <v>#REF!</v>
      </c>
      <c r="BB132" s="75">
        <f>SUM(AE132:AG132)-AH132</f>
        <v>0</v>
      </c>
    </row>
    <row r="133" spans="1:54" s="2" customFormat="1" ht="18.75" hidden="1" customHeight="1">
      <c r="A133" s="15" t="s">
        <v>20</v>
      </c>
      <c r="B133" s="15" t="s">
        <v>115</v>
      </c>
      <c r="C133" s="15"/>
      <c r="D133" s="15"/>
      <c r="E133" s="4">
        <v>13982</v>
      </c>
      <c r="F133" s="4" t="s">
        <v>610</v>
      </c>
      <c r="G133" s="4" t="s">
        <v>611</v>
      </c>
      <c r="H133" s="9" t="s">
        <v>612</v>
      </c>
      <c r="I133" s="4" t="s">
        <v>198</v>
      </c>
      <c r="J133" s="4" t="s">
        <v>199</v>
      </c>
      <c r="K133" s="4" t="s">
        <v>200</v>
      </c>
      <c r="L133" s="4" t="s">
        <v>121</v>
      </c>
      <c r="M133" s="4" t="s">
        <v>122</v>
      </c>
      <c r="N133" s="4" t="s">
        <v>123</v>
      </c>
      <c r="O133" s="4" t="s">
        <v>124</v>
      </c>
      <c r="P133" s="4" t="s">
        <v>125</v>
      </c>
      <c r="Q133" s="4" t="s">
        <v>139</v>
      </c>
      <c r="R133" s="4" t="s">
        <v>140</v>
      </c>
      <c r="S133" s="4" t="s">
        <v>115</v>
      </c>
      <c r="T133" s="4" t="s">
        <v>594</v>
      </c>
      <c r="U133" s="4" t="s">
        <v>128</v>
      </c>
      <c r="V133" s="4" t="s">
        <v>236</v>
      </c>
      <c r="W133" s="4" t="s">
        <v>143</v>
      </c>
      <c r="X133" s="4" t="s">
        <v>128</v>
      </c>
      <c r="Y133" s="4" t="s">
        <v>140</v>
      </c>
      <c r="Z133" s="4" t="s">
        <v>132</v>
      </c>
      <c r="AA133" s="4" t="s">
        <v>132</v>
      </c>
      <c r="AB133" s="4" t="s">
        <v>132</v>
      </c>
      <c r="AC133" s="4" t="s">
        <v>125</v>
      </c>
      <c r="AD133" s="4" t="s">
        <v>125</v>
      </c>
      <c r="AE133" s="5">
        <v>0.86916666666666664</v>
      </c>
      <c r="AF133" s="5">
        <v>3.3333333333333333E-2</v>
      </c>
      <c r="AG133" s="5">
        <v>0</v>
      </c>
      <c r="AH133" s="5">
        <v>0.90249999999999997</v>
      </c>
      <c r="AI133" s="6">
        <v>1</v>
      </c>
      <c r="AJ133" s="7">
        <v>0.45124999999999998</v>
      </c>
      <c r="AK133" s="7">
        <v>0.45124999999999998</v>
      </c>
      <c r="AL133" s="8"/>
      <c r="AM133" s="51">
        <f>AH133*(1-AI133)</f>
        <v>0</v>
      </c>
      <c r="AN133" s="50" t="str">
        <f>VLOOKUP($E133,'Capgemini PResence and HC'!$B$2:$G$143,4,0)</f>
        <v>Y</v>
      </c>
      <c r="AO133" s="50">
        <f>VLOOKUP($E133,'Capgemini PResence and HC'!$B$2:$G$143,2,0)</f>
        <v>0</v>
      </c>
      <c r="AP133" s="50">
        <f>VLOOKUP($E133,'Capgemini PResence and HC'!$B$2:$G$143,3,0)</f>
        <v>1</v>
      </c>
      <c r="AQ133" s="50">
        <f>VLOOKUP($E133,'Capgemini PResence and HC'!$B$2:$G$143,6,0)</f>
        <v>0</v>
      </c>
      <c r="AR133" s="65"/>
      <c r="AS133" s="65"/>
      <c r="AT133" s="72" t="e">
        <f>#REF!*AT$151</f>
        <v>#REF!</v>
      </c>
      <c r="AU133" s="72" t="e">
        <f>#REF!*AU$151</f>
        <v>#REF!</v>
      </c>
      <c r="AV133" s="72" t="e">
        <f>#REF!*AV$151</f>
        <v>#REF!</v>
      </c>
      <c r="AW133" s="72" t="e">
        <f>#REF!*AW$151</f>
        <v>#REF!</v>
      </c>
      <c r="AX133" s="72" t="e">
        <f>#REF!*AX$151</f>
        <v>#REF!</v>
      </c>
      <c r="AY133" s="72" t="e">
        <f>#REF!*AY$151</f>
        <v>#REF!</v>
      </c>
      <c r="AZ133" s="72" t="e">
        <f>#REF!*AZ$151</f>
        <v>#REF!</v>
      </c>
      <c r="BA133" s="72" t="e">
        <f>#REF!*BA$151</f>
        <v>#REF!</v>
      </c>
      <c r="BB133" s="75">
        <f>SUM(AE133:AG133)-AH133</f>
        <v>0</v>
      </c>
    </row>
    <row r="134" spans="1:54" s="2" customFormat="1" ht="18.75" hidden="1" customHeight="1">
      <c r="A134" s="15" t="s">
        <v>20</v>
      </c>
      <c r="B134" s="15" t="s">
        <v>115</v>
      </c>
      <c r="C134" s="15"/>
      <c r="D134" s="15"/>
      <c r="E134" s="4">
        <v>14049</v>
      </c>
      <c r="F134" s="4" t="s">
        <v>613</v>
      </c>
      <c r="G134" s="4" t="s">
        <v>614</v>
      </c>
      <c r="H134" s="4" t="s">
        <v>615</v>
      </c>
      <c r="I134" s="4" t="s">
        <v>287</v>
      </c>
      <c r="J134" s="4" t="s">
        <v>273</v>
      </c>
      <c r="K134" s="4" t="s">
        <v>288</v>
      </c>
      <c r="L134" s="4" t="s">
        <v>291</v>
      </c>
      <c r="M134" s="4" t="s">
        <v>192</v>
      </c>
      <c r="N134" s="4" t="s">
        <v>123</v>
      </c>
      <c r="O134" s="4" t="s">
        <v>124</v>
      </c>
      <c r="P134" s="4" t="s">
        <v>125</v>
      </c>
      <c r="Q134" s="4" t="s">
        <v>126</v>
      </c>
      <c r="R134" s="4" t="s">
        <v>115</v>
      </c>
      <c r="S134" s="4" t="s">
        <v>115</v>
      </c>
      <c r="T134" s="4" t="s">
        <v>260</v>
      </c>
      <c r="U134" s="4" t="s">
        <v>128</v>
      </c>
      <c r="V134" s="4" t="s">
        <v>616</v>
      </c>
      <c r="W134" s="4" t="s">
        <v>143</v>
      </c>
      <c r="X134" s="4" t="s">
        <v>302</v>
      </c>
      <c r="Y134" s="4" t="s">
        <v>115</v>
      </c>
      <c r="Z134" s="4" t="s">
        <v>132</v>
      </c>
      <c r="AA134" s="4" t="s">
        <v>132</v>
      </c>
      <c r="AB134" s="4" t="s">
        <v>132</v>
      </c>
      <c r="AC134" s="4" t="s">
        <v>125</v>
      </c>
      <c r="AD134" s="4" t="s">
        <v>132</v>
      </c>
      <c r="AE134" s="5">
        <v>0</v>
      </c>
      <c r="AF134" s="5">
        <v>0</v>
      </c>
      <c r="AG134" s="5">
        <v>0.125</v>
      </c>
      <c r="AH134" s="5">
        <v>0.125</v>
      </c>
      <c r="AI134" s="6">
        <v>1</v>
      </c>
      <c r="AJ134" s="7">
        <v>6.25E-2</v>
      </c>
      <c r="AK134" s="7">
        <v>6.25E-2</v>
      </c>
      <c r="AL134" s="4" t="s">
        <v>529</v>
      </c>
      <c r="AM134" s="52">
        <f>AH134*(1-AI134)</f>
        <v>0</v>
      </c>
      <c r="AN134" s="50" t="str">
        <f>VLOOKUP($E134,'Capgemini PResence and HC'!$B$2:$G$143,4,0)</f>
        <v>N</v>
      </c>
      <c r="AO134" s="50">
        <f>VLOOKUP($E134,'Capgemini PResence and HC'!$B$2:$G$143,2,0)</f>
        <v>0</v>
      </c>
      <c r="AP134" s="50">
        <f>VLOOKUP($E134,'Capgemini PResence and HC'!$B$2:$G$143,3,0)</f>
        <v>0</v>
      </c>
      <c r="AQ134" s="50">
        <f>VLOOKUP($E134,'Capgemini PResence and HC'!$B$2:$G$143,6,0)</f>
        <v>0</v>
      </c>
      <c r="AR134" s="68">
        <f>AE134-AS134</f>
        <v>0</v>
      </c>
      <c r="AS134" s="67">
        <f>AM134</f>
        <v>0</v>
      </c>
      <c r="AT134" s="70">
        <f>$AR134*AT$151</f>
        <v>0</v>
      </c>
      <c r="AU134" s="70">
        <f>$AR134*AU$151</f>
        <v>0</v>
      </c>
      <c r="AV134" s="70">
        <f>$AR134*AV$151</f>
        <v>0</v>
      </c>
      <c r="AW134" s="70">
        <f>$AR134*AW$151</f>
        <v>0</v>
      </c>
      <c r="AX134" s="70">
        <f>$AR134*AX$151</f>
        <v>0</v>
      </c>
      <c r="AY134" s="70">
        <f>$AR134*AY$151</f>
        <v>0</v>
      </c>
      <c r="AZ134" s="70">
        <f>$AR134*AZ$151</f>
        <v>0</v>
      </c>
      <c r="BA134" s="70">
        <f>$AS134*BA$151</f>
        <v>0</v>
      </c>
      <c r="BB134" s="75">
        <f>SUM(AE134:AG134)-AH134</f>
        <v>0</v>
      </c>
    </row>
    <row r="135" spans="1:54" s="2" customFormat="1" ht="18.75" hidden="1" customHeight="1">
      <c r="A135" s="15" t="s">
        <v>20</v>
      </c>
      <c r="B135" s="15" t="s">
        <v>115</v>
      </c>
      <c r="C135" s="15"/>
      <c r="D135" s="15"/>
      <c r="E135" s="4">
        <v>14059</v>
      </c>
      <c r="F135" s="4" t="s">
        <v>617</v>
      </c>
      <c r="G135" s="4" t="s">
        <v>618</v>
      </c>
      <c r="H135" s="4" t="s">
        <v>619</v>
      </c>
      <c r="I135" s="4" t="s">
        <v>137</v>
      </c>
      <c r="J135" s="4" t="s">
        <v>119</v>
      </c>
      <c r="K135" s="4" t="s">
        <v>138</v>
      </c>
      <c r="L135" s="4" t="s">
        <v>121</v>
      </c>
      <c r="M135" s="4" t="s">
        <v>122</v>
      </c>
      <c r="N135" s="4" t="s">
        <v>123</v>
      </c>
      <c r="O135" s="4" t="s">
        <v>124</v>
      </c>
      <c r="P135" s="4" t="s">
        <v>125</v>
      </c>
      <c r="Q135" s="4" t="s">
        <v>126</v>
      </c>
      <c r="R135" s="4" t="s">
        <v>140</v>
      </c>
      <c r="S135" s="4" t="s">
        <v>115</v>
      </c>
      <c r="T135" s="4" t="s">
        <v>594</v>
      </c>
      <c r="U135" s="4" t="s">
        <v>128</v>
      </c>
      <c r="V135" s="4" t="s">
        <v>236</v>
      </c>
      <c r="W135" s="4" t="s">
        <v>143</v>
      </c>
      <c r="X135" s="4" t="s">
        <v>128</v>
      </c>
      <c r="Y135" s="4" t="s">
        <v>140</v>
      </c>
      <c r="Z135" s="4" t="s">
        <v>132</v>
      </c>
      <c r="AA135" s="4" t="s">
        <v>132</v>
      </c>
      <c r="AB135" s="4" t="s">
        <v>132</v>
      </c>
      <c r="AC135" s="4" t="s">
        <v>125</v>
      </c>
      <c r="AD135" s="4" t="s">
        <v>125</v>
      </c>
      <c r="AE135" s="5">
        <v>1.0166666666666666</v>
      </c>
      <c r="AF135" s="5">
        <v>1.0416666666666666E-2</v>
      </c>
      <c r="AG135" s="5">
        <v>0</v>
      </c>
      <c r="AH135" s="5">
        <v>1.0270833333333333</v>
      </c>
      <c r="AI135" s="6">
        <v>0.9026369168356998</v>
      </c>
      <c r="AJ135" s="7">
        <v>0.51354166666666667</v>
      </c>
      <c r="AK135" s="7">
        <v>0.51354166666666667</v>
      </c>
      <c r="AL135" s="8"/>
      <c r="AM135" s="51">
        <f>AH135*(1-AI135)</f>
        <v>0.1</v>
      </c>
      <c r="AN135" s="50" t="str">
        <f>VLOOKUP($E135,'Capgemini PResence and HC'!$B$2:$G$143,4,0)</f>
        <v>N</v>
      </c>
      <c r="AO135" s="50">
        <f>VLOOKUP($E135,'Capgemini PResence and HC'!$B$2:$G$143,2,0)</f>
        <v>0</v>
      </c>
      <c r="AP135" s="50">
        <f>VLOOKUP($E135,'Capgemini PResence and HC'!$B$2:$G$143,3,0)</f>
        <v>0</v>
      </c>
      <c r="AQ135" s="50">
        <f>VLOOKUP($E135,'Capgemini PResence and HC'!$B$2:$G$143,6,0)</f>
        <v>0</v>
      </c>
      <c r="AR135" s="65"/>
      <c r="AS135" s="65"/>
      <c r="AT135" s="72" t="e">
        <f>#REF!*AT$151</f>
        <v>#REF!</v>
      </c>
      <c r="AU135" s="72" t="e">
        <f>#REF!*AU$151</f>
        <v>#REF!</v>
      </c>
      <c r="AV135" s="72" t="e">
        <f>#REF!*AV$151</f>
        <v>#REF!</v>
      </c>
      <c r="AW135" s="72" t="e">
        <f>#REF!*AW$151</f>
        <v>#REF!</v>
      </c>
      <c r="AX135" s="72" t="e">
        <f>#REF!*AX$151</f>
        <v>#REF!</v>
      </c>
      <c r="AY135" s="72" t="e">
        <f>#REF!*AY$151</f>
        <v>#REF!</v>
      </c>
      <c r="AZ135" s="72" t="e">
        <f>#REF!*AZ$151</f>
        <v>#REF!</v>
      </c>
      <c r="BA135" s="72" t="e">
        <f>#REF!*BA$151</f>
        <v>#REF!</v>
      </c>
      <c r="BB135" s="75">
        <f>SUM(AE135:AG135)-AH135</f>
        <v>0</v>
      </c>
    </row>
    <row r="136" spans="1:54" s="2" customFormat="1" ht="18.75" hidden="1" customHeight="1">
      <c r="A136" s="15" t="s">
        <v>20</v>
      </c>
      <c r="B136" s="15" t="s">
        <v>115</v>
      </c>
      <c r="C136" s="15"/>
      <c r="D136" s="15"/>
      <c r="E136" s="4">
        <v>14097</v>
      </c>
      <c r="F136" s="4" t="s">
        <v>620</v>
      </c>
      <c r="G136" s="4" t="s">
        <v>621</v>
      </c>
      <c r="H136" s="4" t="s">
        <v>622</v>
      </c>
      <c r="I136" s="4" t="s">
        <v>287</v>
      </c>
      <c r="J136" s="4" t="s">
        <v>273</v>
      </c>
      <c r="K136" s="4" t="s">
        <v>288</v>
      </c>
      <c r="L136" s="4" t="s">
        <v>291</v>
      </c>
      <c r="M136" s="4" t="s">
        <v>192</v>
      </c>
      <c r="N136" s="4" t="s">
        <v>123</v>
      </c>
      <c r="O136" s="4" t="s">
        <v>468</v>
      </c>
      <c r="P136" s="4" t="s">
        <v>125</v>
      </c>
      <c r="Q136" s="4" t="s">
        <v>126</v>
      </c>
      <c r="R136" s="4" t="s">
        <v>115</v>
      </c>
      <c r="S136" s="4" t="s">
        <v>140</v>
      </c>
      <c r="T136" s="4" t="s">
        <v>576</v>
      </c>
      <c r="U136" s="4" t="s">
        <v>128</v>
      </c>
      <c r="V136" s="4" t="s">
        <v>623</v>
      </c>
      <c r="W136" s="4" t="s">
        <v>130</v>
      </c>
      <c r="X136" s="4" t="s">
        <v>131</v>
      </c>
      <c r="Y136" s="4" t="s">
        <v>115</v>
      </c>
      <c r="Z136" s="4" t="s">
        <v>132</v>
      </c>
      <c r="AA136" s="4" t="s">
        <v>132</v>
      </c>
      <c r="AB136" s="4" t="s">
        <v>132</v>
      </c>
      <c r="AC136" s="4" t="s">
        <v>125</v>
      </c>
      <c r="AD136" s="4" t="s">
        <v>132</v>
      </c>
      <c r="AE136" s="5">
        <v>8.3333333333333329E-2</v>
      </c>
      <c r="AF136" s="5">
        <v>0</v>
      </c>
      <c r="AG136" s="5">
        <v>8.3333333333333329E-2</v>
      </c>
      <c r="AH136" s="5">
        <v>0.16666666666666666</v>
      </c>
      <c r="AI136" s="6">
        <v>1</v>
      </c>
      <c r="AJ136" s="7">
        <v>8.3333333333333329E-2</v>
      </c>
      <c r="AK136" s="7">
        <v>8.3333333333333329E-2</v>
      </c>
      <c r="AL136" s="4" t="s">
        <v>529</v>
      </c>
      <c r="AM136" s="52">
        <f>AH136*(1-AI136)</f>
        <v>0</v>
      </c>
      <c r="AN136" s="50" t="str">
        <f>VLOOKUP($E136,'Capgemini PResence and HC'!$B$2:$G$143,4,0)</f>
        <v>N</v>
      </c>
      <c r="AO136" s="50">
        <f>VLOOKUP($E136,'Capgemini PResence and HC'!$B$2:$G$143,2,0)</f>
        <v>0</v>
      </c>
      <c r="AP136" s="50">
        <f>VLOOKUP($E136,'Capgemini PResence and HC'!$B$2:$G$143,3,0)</f>
        <v>0</v>
      </c>
      <c r="AQ136" s="50">
        <f>VLOOKUP($E136,'Capgemini PResence and HC'!$B$2:$G$143,6,0)</f>
        <v>0</v>
      </c>
      <c r="AR136" s="68">
        <f>AE136-AS136</f>
        <v>8.3333333333333329E-2</v>
      </c>
      <c r="AS136" s="67">
        <f>AM136</f>
        <v>0</v>
      </c>
      <c r="AT136" s="70">
        <f>$AR136*AT$151</f>
        <v>6.1403508771929816E-3</v>
      </c>
      <c r="AU136" s="70">
        <f>$AR136*AU$151</f>
        <v>6.1403508771929816E-3</v>
      </c>
      <c r="AV136" s="70">
        <f>$AR136*AV$151</f>
        <v>3.2456140350877183E-2</v>
      </c>
      <c r="AW136" s="70">
        <f>$AR136*AW$151</f>
        <v>2.1929824561403501E-2</v>
      </c>
      <c r="AX136" s="70">
        <f>$AR136*AX$151</f>
        <v>4.3859649122807006E-3</v>
      </c>
      <c r="AY136" s="70">
        <f>$AR136*AY$151</f>
        <v>6.1403508771929816E-3</v>
      </c>
      <c r="AZ136" s="70">
        <f>$AR136*AZ$151</f>
        <v>6.1403508771929816E-3</v>
      </c>
      <c r="BA136" s="70">
        <f>$AS136*BA$151</f>
        <v>0</v>
      </c>
      <c r="BB136" s="75">
        <f>SUM(AE136:AG136)-AH136</f>
        <v>0</v>
      </c>
    </row>
    <row r="137" spans="1:54" s="2" customFormat="1" ht="18.75" hidden="1" customHeight="1">
      <c r="A137" s="15" t="s">
        <v>20</v>
      </c>
      <c r="B137" s="15" t="s">
        <v>115</v>
      </c>
      <c r="C137" s="15"/>
      <c r="D137" s="15"/>
      <c r="E137" s="4">
        <v>14217</v>
      </c>
      <c r="F137" s="4" t="s">
        <v>624</v>
      </c>
      <c r="G137" s="4" t="s">
        <v>625</v>
      </c>
      <c r="H137" s="4" t="s">
        <v>626</v>
      </c>
      <c r="I137" s="4" t="s">
        <v>287</v>
      </c>
      <c r="J137" s="4" t="s">
        <v>273</v>
      </c>
      <c r="K137" s="4" t="s">
        <v>331</v>
      </c>
      <c r="L137" s="4" t="s">
        <v>121</v>
      </c>
      <c r="M137" s="4" t="s">
        <v>122</v>
      </c>
      <c r="N137" s="4" t="s">
        <v>123</v>
      </c>
      <c r="O137" s="4" t="s">
        <v>124</v>
      </c>
      <c r="P137" s="4" t="s">
        <v>125</v>
      </c>
      <c r="Q137" s="4" t="s">
        <v>126</v>
      </c>
      <c r="R137" s="4" t="s">
        <v>140</v>
      </c>
      <c r="S137" s="4" t="s">
        <v>115</v>
      </c>
      <c r="T137" s="4" t="s">
        <v>590</v>
      </c>
      <c r="U137" s="4" t="s">
        <v>128</v>
      </c>
      <c r="V137" s="4" t="s">
        <v>209</v>
      </c>
      <c r="W137" s="4" t="s">
        <v>143</v>
      </c>
      <c r="X137" s="4" t="s">
        <v>128</v>
      </c>
      <c r="Y137" s="4" t="s">
        <v>140</v>
      </c>
      <c r="Z137" s="4" t="s">
        <v>132</v>
      </c>
      <c r="AA137" s="4" t="s">
        <v>132</v>
      </c>
      <c r="AB137" s="4" t="s">
        <v>132</v>
      </c>
      <c r="AC137" s="4" t="s">
        <v>125</v>
      </c>
      <c r="AD137" s="4" t="s">
        <v>125</v>
      </c>
      <c r="AE137" s="5">
        <v>0.80833333333333335</v>
      </c>
      <c r="AF137" s="5">
        <v>7.4999999999999997E-2</v>
      </c>
      <c r="AG137" s="5">
        <v>0</v>
      </c>
      <c r="AH137" s="5">
        <v>0.8833333333333333</v>
      </c>
      <c r="AI137" s="6">
        <v>0.48113207547169817</v>
      </c>
      <c r="AJ137" s="7">
        <v>0.44166666666666665</v>
      </c>
      <c r="AK137" s="7">
        <v>0.44166666666666665</v>
      </c>
      <c r="AL137" s="8"/>
      <c r="AM137" s="51">
        <f>AH137*(1-AI137)</f>
        <v>0.45833333333333331</v>
      </c>
      <c r="AN137" s="50" t="str">
        <f>VLOOKUP($E137,'Capgemini PResence and HC'!$B$2:$G$143,4,0)</f>
        <v>N</v>
      </c>
      <c r="AO137" s="50">
        <f>VLOOKUP($E137,'Capgemini PResence and HC'!$B$2:$G$143,2,0)</f>
        <v>0</v>
      </c>
      <c r="AP137" s="50">
        <f>VLOOKUP($E137,'Capgemini PResence and HC'!$B$2:$G$143,3,0)</f>
        <v>0</v>
      </c>
      <c r="AQ137" s="50">
        <f>VLOOKUP($E137,'Capgemini PResence and HC'!$B$2:$G$143,6,0)</f>
        <v>0</v>
      </c>
      <c r="AR137" s="68">
        <f>AE137-AS137</f>
        <v>0.35000000000000003</v>
      </c>
      <c r="AS137" s="67">
        <f>AM137</f>
        <v>0.45833333333333331</v>
      </c>
      <c r="AT137" s="70">
        <f>$AR137*AT$151</f>
        <v>2.5789473684210525E-2</v>
      </c>
      <c r="AU137" s="70">
        <f>$AR137*AU$151</f>
        <v>2.5789473684210525E-2</v>
      </c>
      <c r="AV137" s="70">
        <f>$AR137*AV$151</f>
        <v>0.1363157894736842</v>
      </c>
      <c r="AW137" s="70">
        <f>$AR137*AW$151</f>
        <v>9.2105263157894718E-2</v>
      </c>
      <c r="AX137" s="70">
        <f>$AR137*AX$151</f>
        <v>1.8421052631578946E-2</v>
      </c>
      <c r="AY137" s="70">
        <f>$AR137*AY$151</f>
        <v>2.5789473684210525E-2</v>
      </c>
      <c r="AZ137" s="70">
        <f>$AR137*AZ$151</f>
        <v>2.5789473684210525E-2</v>
      </c>
      <c r="BA137" s="70">
        <f>$AS137*BA$151</f>
        <v>0.45833333333333331</v>
      </c>
      <c r="BB137" s="75">
        <f>SUM(AE137:AG137)-AH137</f>
        <v>0</v>
      </c>
    </row>
    <row r="138" spans="1:54" s="2" customFormat="1" ht="18.75" hidden="1" customHeight="1">
      <c r="A138" s="15" t="s">
        <v>20</v>
      </c>
      <c r="B138" s="15" t="s">
        <v>115</v>
      </c>
      <c r="C138" s="15"/>
      <c r="D138" s="15"/>
      <c r="E138" s="4">
        <v>14267</v>
      </c>
      <c r="F138" s="4" t="s">
        <v>627</v>
      </c>
      <c r="G138" s="4" t="s">
        <v>628</v>
      </c>
      <c r="H138" s="9" t="s">
        <v>629</v>
      </c>
      <c r="I138" s="4" t="s">
        <v>198</v>
      </c>
      <c r="J138" s="4" t="s">
        <v>199</v>
      </c>
      <c r="K138" s="4" t="s">
        <v>200</v>
      </c>
      <c r="L138" s="4" t="s">
        <v>121</v>
      </c>
      <c r="M138" s="4" t="s">
        <v>192</v>
      </c>
      <c r="N138" s="4" t="s">
        <v>123</v>
      </c>
      <c r="O138" s="4" t="s">
        <v>124</v>
      </c>
      <c r="P138" s="4" t="s">
        <v>125</v>
      </c>
      <c r="Q138" s="4" t="s">
        <v>139</v>
      </c>
      <c r="R138" s="4" t="s">
        <v>140</v>
      </c>
      <c r="S138" s="4" t="s">
        <v>115</v>
      </c>
      <c r="T138" s="4" t="s">
        <v>229</v>
      </c>
      <c r="U138" s="4" t="s">
        <v>128</v>
      </c>
      <c r="V138" s="4" t="s">
        <v>236</v>
      </c>
      <c r="W138" s="4" t="s">
        <v>143</v>
      </c>
      <c r="X138" s="4" t="s">
        <v>128</v>
      </c>
      <c r="Y138" s="4" t="s">
        <v>140</v>
      </c>
      <c r="Z138" s="4" t="s">
        <v>132</v>
      </c>
      <c r="AA138" s="4" t="s">
        <v>132</v>
      </c>
      <c r="AB138" s="4" t="s">
        <v>132</v>
      </c>
      <c r="AC138" s="4" t="s">
        <v>125</v>
      </c>
      <c r="AD138" s="4" t="s">
        <v>125</v>
      </c>
      <c r="AE138" s="5">
        <v>12.256666666666677</v>
      </c>
      <c r="AF138" s="5">
        <v>0.5</v>
      </c>
      <c r="AG138" s="5">
        <v>0</v>
      </c>
      <c r="AH138" s="5">
        <v>12.756666666666677</v>
      </c>
      <c r="AI138" s="6">
        <v>0.88241442383067681</v>
      </c>
      <c r="AJ138" s="7">
        <v>6.3783333333333383</v>
      </c>
      <c r="AK138" s="7">
        <v>6.3783333333333383</v>
      </c>
      <c r="AL138" s="8"/>
      <c r="AM138" s="51">
        <f>AH138*(1-AI138)</f>
        <v>1.5000000000000007</v>
      </c>
      <c r="AN138" s="50" t="str">
        <f>VLOOKUP($E138,'Capgemini PResence and HC'!$B$2:$G$143,4,0)</f>
        <v>Y</v>
      </c>
      <c r="AO138" s="50">
        <f>VLOOKUP($E138,'Capgemini PResence and HC'!$B$2:$G$143,2,0)</f>
        <v>0</v>
      </c>
      <c r="AP138" s="50">
        <f>VLOOKUP($E138,'Capgemini PResence and HC'!$B$2:$G$143,3,0)</f>
        <v>1</v>
      </c>
      <c r="AQ138" s="50">
        <f>VLOOKUP($E138,'Capgemini PResence and HC'!$B$2:$G$143,6,0)</f>
        <v>0</v>
      </c>
      <c r="AR138" s="65"/>
      <c r="AS138" s="65"/>
      <c r="AT138" s="72" t="e">
        <f>#REF!*AT$151</f>
        <v>#REF!</v>
      </c>
      <c r="AU138" s="72" t="e">
        <f>#REF!*AU$151</f>
        <v>#REF!</v>
      </c>
      <c r="AV138" s="72" t="e">
        <f>#REF!*AV$151</f>
        <v>#REF!</v>
      </c>
      <c r="AW138" s="72" t="e">
        <f>#REF!*AW$151</f>
        <v>#REF!</v>
      </c>
      <c r="AX138" s="72" t="e">
        <f>#REF!*AX$151</f>
        <v>#REF!</v>
      </c>
      <c r="AY138" s="72" t="e">
        <f>#REF!*AY$151</f>
        <v>#REF!</v>
      </c>
      <c r="AZ138" s="72" t="e">
        <f>#REF!*AZ$151</f>
        <v>#REF!</v>
      </c>
      <c r="BA138" s="72" t="e">
        <f>#REF!*BA$151</f>
        <v>#REF!</v>
      </c>
      <c r="BB138" s="75">
        <f>SUM(AE138:AG138)-AH138</f>
        <v>0</v>
      </c>
    </row>
    <row r="139" spans="1:54" s="2" customFormat="1" ht="18.75" hidden="1" customHeight="1">
      <c r="A139" s="15" t="s">
        <v>20</v>
      </c>
      <c r="B139" s="15" t="s">
        <v>115</v>
      </c>
      <c r="C139" s="15"/>
      <c r="D139" s="15"/>
      <c r="E139" s="4">
        <v>14285</v>
      </c>
      <c r="F139" s="4" t="s">
        <v>630</v>
      </c>
      <c r="G139" s="4" t="s">
        <v>631</v>
      </c>
      <c r="H139" s="4" t="s">
        <v>632</v>
      </c>
      <c r="I139" s="4" t="s">
        <v>118</v>
      </c>
      <c r="J139" s="4" t="s">
        <v>119</v>
      </c>
      <c r="K139" s="4" t="s">
        <v>120</v>
      </c>
      <c r="L139" s="4" t="s">
        <v>121</v>
      </c>
      <c r="M139" s="4" t="s">
        <v>122</v>
      </c>
      <c r="N139" s="4" t="s">
        <v>300</v>
      </c>
      <c r="O139" s="4" t="s">
        <v>124</v>
      </c>
      <c r="P139" s="4" t="s">
        <v>125</v>
      </c>
      <c r="Q139" s="4" t="s">
        <v>126</v>
      </c>
      <c r="R139" s="4" t="s">
        <v>140</v>
      </c>
      <c r="S139" s="4" t="s">
        <v>115</v>
      </c>
      <c r="T139" s="4" t="s">
        <v>633</v>
      </c>
      <c r="U139" s="4" t="s">
        <v>128</v>
      </c>
      <c r="V139" s="4" t="s">
        <v>634</v>
      </c>
      <c r="W139" s="4" t="s">
        <v>143</v>
      </c>
      <c r="X139" s="4" t="s">
        <v>302</v>
      </c>
      <c r="Y139" s="4" t="s">
        <v>115</v>
      </c>
      <c r="Z139" s="4" t="s">
        <v>132</v>
      </c>
      <c r="AA139" s="4" t="s">
        <v>132</v>
      </c>
      <c r="AB139" s="4" t="s">
        <v>132</v>
      </c>
      <c r="AC139" s="4" t="s">
        <v>635</v>
      </c>
      <c r="AD139" s="4" t="s">
        <v>125</v>
      </c>
      <c r="AE139" s="5">
        <v>14.975000000000003</v>
      </c>
      <c r="AF139" s="5">
        <v>1.3416666666666668</v>
      </c>
      <c r="AG139" s="5">
        <v>0</v>
      </c>
      <c r="AH139" s="5">
        <v>16.31666666666667</v>
      </c>
      <c r="AI139" s="6">
        <v>0.98774259448416757</v>
      </c>
      <c r="AJ139" s="7">
        <v>8.158333333333335</v>
      </c>
      <c r="AK139" s="7">
        <v>8.158333333333335</v>
      </c>
      <c r="AL139" s="8"/>
      <c r="AM139" s="51">
        <f>AH139*(1-AI139)</f>
        <v>0.19999999999999921</v>
      </c>
      <c r="AN139" s="50" t="str">
        <f>VLOOKUP($E139,'Capgemini PResence and HC'!$B$2:$G$143,4,0)</f>
        <v>N</v>
      </c>
      <c r="AO139" s="50">
        <f>VLOOKUP($E139,'Capgemini PResence and HC'!$B$2:$G$143,2,0)</f>
        <v>0</v>
      </c>
      <c r="AP139" s="50">
        <f>VLOOKUP($E139,'Capgemini PResence and HC'!$B$2:$G$143,3,0)</f>
        <v>0</v>
      </c>
      <c r="AQ139" s="50">
        <f>VLOOKUP($E139,'Capgemini PResence and HC'!$B$2:$G$143,6,0)</f>
        <v>0</v>
      </c>
      <c r="AR139" s="65"/>
      <c r="AS139" s="65"/>
      <c r="AT139" s="72" t="e">
        <f>#REF!*AT$151</f>
        <v>#REF!</v>
      </c>
      <c r="AU139" s="72" t="e">
        <f>#REF!*AU$151</f>
        <v>#REF!</v>
      </c>
      <c r="AV139" s="72" t="e">
        <f>#REF!*AV$151</f>
        <v>#REF!</v>
      </c>
      <c r="AW139" s="72" t="e">
        <f>#REF!*AW$151</f>
        <v>#REF!</v>
      </c>
      <c r="AX139" s="72" t="e">
        <f>#REF!*AX$151</f>
        <v>#REF!</v>
      </c>
      <c r="AY139" s="72" t="e">
        <f>#REF!*AY$151</f>
        <v>#REF!</v>
      </c>
      <c r="AZ139" s="72" t="e">
        <f>#REF!*AZ$151</f>
        <v>#REF!</v>
      </c>
      <c r="BA139" s="72" t="e">
        <f>#REF!*BA$151</f>
        <v>#REF!</v>
      </c>
      <c r="BB139" s="75">
        <f>SUM(AE139:AG139)-AH139</f>
        <v>0</v>
      </c>
    </row>
    <row r="140" spans="1:54" s="2" customFormat="1" ht="18.75" hidden="1" customHeight="1">
      <c r="A140" s="15" t="s">
        <v>20</v>
      </c>
      <c r="B140" s="15" t="s">
        <v>115</v>
      </c>
      <c r="C140" s="15"/>
      <c r="D140" s="15"/>
      <c r="E140" s="4">
        <v>14322</v>
      </c>
      <c r="F140" s="4" t="s">
        <v>636</v>
      </c>
      <c r="G140" s="4" t="s">
        <v>637</v>
      </c>
      <c r="H140" s="4" t="s">
        <v>638</v>
      </c>
      <c r="I140" s="4" t="s">
        <v>213</v>
      </c>
      <c r="J140" s="4" t="s">
        <v>199</v>
      </c>
      <c r="K140" s="4" t="s">
        <v>268</v>
      </c>
      <c r="L140" s="4" t="s">
        <v>575</v>
      </c>
      <c r="M140" s="4" t="s">
        <v>122</v>
      </c>
      <c r="N140" s="4" t="s">
        <v>123</v>
      </c>
      <c r="O140" s="4" t="s">
        <v>124</v>
      </c>
      <c r="P140" s="4" t="s">
        <v>125</v>
      </c>
      <c r="Q140" s="4" t="s">
        <v>139</v>
      </c>
      <c r="R140" s="4" t="s">
        <v>140</v>
      </c>
      <c r="S140" s="4" t="s">
        <v>140</v>
      </c>
      <c r="T140" s="4" t="s">
        <v>639</v>
      </c>
      <c r="U140" s="4" t="s">
        <v>128</v>
      </c>
      <c r="V140" s="4" t="s">
        <v>236</v>
      </c>
      <c r="W140" s="4" t="s">
        <v>143</v>
      </c>
      <c r="X140" s="4" t="s">
        <v>131</v>
      </c>
      <c r="Y140" s="4" t="s">
        <v>115</v>
      </c>
      <c r="Z140" s="4" t="s">
        <v>132</v>
      </c>
      <c r="AA140" s="4" t="s">
        <v>132</v>
      </c>
      <c r="AB140" s="4" t="s">
        <v>132</v>
      </c>
      <c r="AC140" s="4" t="s">
        <v>125</v>
      </c>
      <c r="AD140" s="4" t="s">
        <v>125</v>
      </c>
      <c r="AE140" s="5">
        <v>11.491666666666667</v>
      </c>
      <c r="AF140" s="5">
        <v>0.70833333333333337</v>
      </c>
      <c r="AG140" s="5">
        <v>4.5</v>
      </c>
      <c r="AH140" s="5">
        <v>16.700000000000003</v>
      </c>
      <c r="AI140" s="6">
        <v>0.98702594810379252</v>
      </c>
      <c r="AJ140" s="7">
        <v>8.3500000000000014</v>
      </c>
      <c r="AK140" s="7">
        <v>8.3500000000000014</v>
      </c>
      <c r="AL140" s="8"/>
      <c r="AM140" s="51">
        <f>AH140*(1-AI140)</f>
        <v>0.21666666666666501</v>
      </c>
      <c r="AN140" s="50" t="str">
        <f>VLOOKUP($E140,'Capgemini PResence and HC'!$B$2:$G$143,4,0)</f>
        <v>Y</v>
      </c>
      <c r="AO140" s="50">
        <f>VLOOKUP($E140,'Capgemini PResence and HC'!$B$2:$G$143,2,0)</f>
        <v>2</v>
      </c>
      <c r="AP140" s="50">
        <f>VLOOKUP($E140,'Capgemini PResence and HC'!$B$2:$G$143,3,0)</f>
        <v>0</v>
      </c>
      <c r="AQ140" s="50">
        <f>VLOOKUP($E140,'Capgemini PResence and HC'!$B$2:$G$143,6,0)</f>
        <v>2.1812499999999999</v>
      </c>
      <c r="AR140" s="65"/>
      <c r="AS140" s="65"/>
      <c r="AT140" s="72" t="e">
        <f>#REF!*AT$151</f>
        <v>#REF!</v>
      </c>
      <c r="AU140" s="72" t="e">
        <f>#REF!*AU$151</f>
        <v>#REF!</v>
      </c>
      <c r="AV140" s="72" t="e">
        <f>#REF!*AV$151</f>
        <v>#REF!</v>
      </c>
      <c r="AW140" s="72" t="e">
        <f>#REF!*AW$151</f>
        <v>#REF!</v>
      </c>
      <c r="AX140" s="72" t="e">
        <f>#REF!*AX$151</f>
        <v>#REF!</v>
      </c>
      <c r="AY140" s="72" t="e">
        <f>#REF!*AY$151</f>
        <v>#REF!</v>
      </c>
      <c r="AZ140" s="72" t="e">
        <f>#REF!*AZ$151</f>
        <v>#REF!</v>
      </c>
      <c r="BA140" s="72" t="e">
        <f>#REF!*BA$151</f>
        <v>#REF!</v>
      </c>
      <c r="BB140" s="75">
        <f>SUM(AE140:AG140)-AH140</f>
        <v>0</v>
      </c>
    </row>
    <row r="141" spans="1:54" s="2" customFormat="1" ht="18.75" hidden="1" customHeight="1">
      <c r="A141" s="15" t="s">
        <v>20</v>
      </c>
      <c r="B141" s="15" t="s">
        <v>115</v>
      </c>
      <c r="C141" s="15"/>
      <c r="D141" s="15"/>
      <c r="E141" s="4">
        <v>9949</v>
      </c>
      <c r="F141" s="4" t="s">
        <v>640</v>
      </c>
      <c r="G141" s="4" t="s">
        <v>641</v>
      </c>
      <c r="H141" s="12" t="s">
        <v>642</v>
      </c>
      <c r="I141" s="4" t="s">
        <v>233</v>
      </c>
      <c r="J141" s="4" t="s">
        <v>119</v>
      </c>
      <c r="K141" s="4" t="s">
        <v>234</v>
      </c>
      <c r="L141" s="4" t="s">
        <v>121</v>
      </c>
      <c r="M141" s="4" t="s">
        <v>192</v>
      </c>
      <c r="N141" s="4" t="s">
        <v>123</v>
      </c>
      <c r="O141" s="4" t="s">
        <v>124</v>
      </c>
      <c r="P141" s="4" t="s">
        <v>125</v>
      </c>
      <c r="Q141" s="4" t="s">
        <v>139</v>
      </c>
      <c r="R141" s="4" t="s">
        <v>140</v>
      </c>
      <c r="S141" s="4" t="s">
        <v>115</v>
      </c>
      <c r="T141" s="4" t="s">
        <v>260</v>
      </c>
      <c r="U141" s="4" t="s">
        <v>128</v>
      </c>
      <c r="V141" s="4" t="s">
        <v>643</v>
      </c>
      <c r="W141" s="4" t="s">
        <v>143</v>
      </c>
      <c r="X141" s="4" t="s">
        <v>128</v>
      </c>
      <c r="Y141" s="4" t="s">
        <v>140</v>
      </c>
      <c r="Z141" s="4" t="s">
        <v>132</v>
      </c>
      <c r="AA141" s="4" t="s">
        <v>132</v>
      </c>
      <c r="AB141" s="4" t="s">
        <v>132</v>
      </c>
      <c r="AC141" s="4" t="s">
        <v>125</v>
      </c>
      <c r="AD141" s="4" t="s">
        <v>125</v>
      </c>
      <c r="AE141" s="5">
        <v>6.6666666666666666E-2</v>
      </c>
      <c r="AF141" s="5">
        <v>0</v>
      </c>
      <c r="AG141" s="5">
        <v>0</v>
      </c>
      <c r="AH141" s="5">
        <v>6.6666666666666666E-2</v>
      </c>
      <c r="AI141" s="6">
        <v>0</v>
      </c>
      <c r="AJ141" s="7">
        <v>3.3333333333333333E-2</v>
      </c>
      <c r="AK141" s="7">
        <v>3.3333333333333333E-2</v>
      </c>
      <c r="AL141" s="8"/>
      <c r="AM141" s="51">
        <f>AH141*(1-AI141)</f>
        <v>6.6666666666666666E-2</v>
      </c>
      <c r="AN141" s="50" t="str">
        <f>VLOOKUP($E141,'Capgemini PResence and HC'!$B$2:$G$143,4,0)</f>
        <v>N</v>
      </c>
      <c r="AO141" s="50">
        <f>VLOOKUP($E141,'Capgemini PResence and HC'!$B$2:$G$143,2,0)</f>
        <v>0</v>
      </c>
      <c r="AP141" s="50">
        <f>VLOOKUP($E141,'Capgemini PResence and HC'!$B$2:$G$143,3,0)</f>
        <v>0</v>
      </c>
      <c r="AQ141" s="50">
        <f>VLOOKUP($E141,'Capgemini PResence and HC'!$B$2:$G$143,6,0)</f>
        <v>0</v>
      </c>
      <c r="AR141" s="76">
        <f>AH141-AS141</f>
        <v>0</v>
      </c>
      <c r="AS141" s="67">
        <f>AM141</f>
        <v>6.6666666666666666E-2</v>
      </c>
      <c r="AT141" s="72" t="e">
        <f>#REF!*AT$151</f>
        <v>#REF!</v>
      </c>
      <c r="AU141" s="72" t="e">
        <f>#REF!*AU$151</f>
        <v>#REF!</v>
      </c>
      <c r="AV141" s="72" t="e">
        <f>#REF!*AV$151</f>
        <v>#REF!</v>
      </c>
      <c r="AW141" s="72" t="e">
        <f>#REF!*AW$151</f>
        <v>#REF!</v>
      </c>
      <c r="AX141" s="72" t="e">
        <f>#REF!*AX$151</f>
        <v>#REF!</v>
      </c>
      <c r="AY141" s="72" t="e">
        <f>#REF!*AY$151</f>
        <v>#REF!</v>
      </c>
      <c r="AZ141" s="72" t="e">
        <f>#REF!*AZ$151</f>
        <v>#REF!</v>
      </c>
      <c r="BA141" s="72" t="e">
        <f>#REF!*BA$151</f>
        <v>#REF!</v>
      </c>
      <c r="BB141" s="75">
        <f>SUM(AE141:AG141)-AH141</f>
        <v>0</v>
      </c>
    </row>
    <row r="142" spans="1:54" s="2" customFormat="1" ht="18.75" hidden="1" customHeight="1">
      <c r="A142" s="15" t="s">
        <v>20</v>
      </c>
      <c r="B142" s="15" t="s">
        <v>115</v>
      </c>
      <c r="C142" s="15"/>
      <c r="D142" s="15"/>
      <c r="E142" s="4">
        <v>9965</v>
      </c>
      <c r="F142" s="4" t="s">
        <v>644</v>
      </c>
      <c r="G142" s="4" t="s">
        <v>645</v>
      </c>
      <c r="H142" s="4" t="s">
        <v>646</v>
      </c>
      <c r="I142" s="4" t="s">
        <v>233</v>
      </c>
      <c r="J142" s="4" t="s">
        <v>119</v>
      </c>
      <c r="K142" s="4" t="s">
        <v>234</v>
      </c>
      <c r="L142" s="4" t="s">
        <v>121</v>
      </c>
      <c r="M142" s="4" t="s">
        <v>122</v>
      </c>
      <c r="N142" s="4" t="s">
        <v>123</v>
      </c>
      <c r="O142" s="4" t="s">
        <v>124</v>
      </c>
      <c r="P142" s="4" t="s">
        <v>125</v>
      </c>
      <c r="Q142" s="4" t="s">
        <v>139</v>
      </c>
      <c r="R142" s="4" t="s">
        <v>140</v>
      </c>
      <c r="S142" s="4" t="s">
        <v>115</v>
      </c>
      <c r="T142" s="4" t="s">
        <v>229</v>
      </c>
      <c r="U142" s="4" t="s">
        <v>128</v>
      </c>
      <c r="V142" s="4" t="s">
        <v>236</v>
      </c>
      <c r="W142" s="4" t="s">
        <v>143</v>
      </c>
      <c r="X142" s="4" t="s">
        <v>128</v>
      </c>
      <c r="Y142" s="4" t="s">
        <v>140</v>
      </c>
      <c r="Z142" s="4" t="s">
        <v>132</v>
      </c>
      <c r="AA142" s="4" t="s">
        <v>132</v>
      </c>
      <c r="AB142" s="4" t="s">
        <v>132</v>
      </c>
      <c r="AC142" s="4" t="s">
        <v>125</v>
      </c>
      <c r="AD142" s="4" t="s">
        <v>125</v>
      </c>
      <c r="AE142" s="5">
        <v>2.4999999999999998E-2</v>
      </c>
      <c r="AF142" s="5">
        <v>3.7499999999999999E-2</v>
      </c>
      <c r="AG142" s="5">
        <v>0</v>
      </c>
      <c r="AH142" s="5">
        <v>6.25E-2</v>
      </c>
      <c r="AI142" s="6">
        <v>0.2</v>
      </c>
      <c r="AJ142" s="7">
        <v>3.125E-2</v>
      </c>
      <c r="AK142" s="7">
        <v>3.125E-2</v>
      </c>
      <c r="AL142" s="8"/>
      <c r="AM142" s="51">
        <f>AH142*(1-AI142)</f>
        <v>0.05</v>
      </c>
      <c r="AN142" s="50" t="str">
        <f>VLOOKUP($E142,'Capgemini PResence and HC'!$B$2:$G$143,4,0)</f>
        <v>N</v>
      </c>
      <c r="AO142" s="50">
        <f>VLOOKUP($E142,'Capgemini PResence and HC'!$B$2:$G$143,2,0)</f>
        <v>0</v>
      </c>
      <c r="AP142" s="50">
        <f>VLOOKUP($E142,'Capgemini PResence and HC'!$B$2:$G$143,3,0)</f>
        <v>0</v>
      </c>
      <c r="AQ142" s="50">
        <f>VLOOKUP($E142,'Capgemini PResence and HC'!$B$2:$G$143,6,0)</f>
        <v>0</v>
      </c>
      <c r="AR142" s="76">
        <f>AH142-AS142</f>
        <v>1.2499999999999997E-2</v>
      </c>
      <c r="AS142" s="67">
        <f>AM142</f>
        <v>0.05</v>
      </c>
      <c r="AT142" s="72" t="e">
        <f>#REF!*AT$151</f>
        <v>#REF!</v>
      </c>
      <c r="AU142" s="72" t="e">
        <f>#REF!*AU$151</f>
        <v>#REF!</v>
      </c>
      <c r="AV142" s="72" t="e">
        <f>#REF!*AV$151</f>
        <v>#REF!</v>
      </c>
      <c r="AW142" s="72" t="e">
        <f>#REF!*AW$151</f>
        <v>#REF!</v>
      </c>
      <c r="AX142" s="72" t="e">
        <f>#REF!*AX$151</f>
        <v>#REF!</v>
      </c>
      <c r="AY142" s="72" t="e">
        <f>#REF!*AY$151</f>
        <v>#REF!</v>
      </c>
      <c r="AZ142" s="72" t="e">
        <f>#REF!*AZ$151</f>
        <v>#REF!</v>
      </c>
      <c r="BA142" s="72" t="e">
        <f>#REF!*BA$151</f>
        <v>#REF!</v>
      </c>
      <c r="BB142" s="75">
        <f>SUM(AE142:AG142)-AH142</f>
        <v>0</v>
      </c>
    </row>
    <row r="143" spans="1:54" s="2" customFormat="1" ht="18.75" hidden="1" customHeight="1">
      <c r="A143" s="15" t="s">
        <v>20</v>
      </c>
      <c r="B143" s="15" t="s">
        <v>115</v>
      </c>
      <c r="C143" s="15"/>
      <c r="D143" s="15"/>
      <c r="E143" s="4">
        <v>14423</v>
      </c>
      <c r="F143" s="4" t="s">
        <v>647</v>
      </c>
      <c r="G143" s="4" t="s">
        <v>648</v>
      </c>
      <c r="H143" s="9" t="s">
        <v>649</v>
      </c>
      <c r="I143" s="4" t="s">
        <v>213</v>
      </c>
      <c r="J143" s="4" t="s">
        <v>199</v>
      </c>
      <c r="K143" s="4" t="s">
        <v>268</v>
      </c>
      <c r="L143" s="4" t="s">
        <v>121</v>
      </c>
      <c r="M143" s="4" t="s">
        <v>122</v>
      </c>
      <c r="N143" s="4" t="s">
        <v>123</v>
      </c>
      <c r="O143" s="4" t="s">
        <v>124</v>
      </c>
      <c r="P143" s="4" t="s">
        <v>132</v>
      </c>
      <c r="Q143" s="4" t="s">
        <v>139</v>
      </c>
      <c r="R143" s="4" t="s">
        <v>140</v>
      </c>
      <c r="S143" s="4" t="s">
        <v>115</v>
      </c>
      <c r="T143" s="4" t="s">
        <v>208</v>
      </c>
      <c r="U143" s="4" t="s">
        <v>128</v>
      </c>
      <c r="V143" s="4" t="s">
        <v>209</v>
      </c>
      <c r="W143" s="4" t="s">
        <v>143</v>
      </c>
      <c r="X143" s="4" t="s">
        <v>128</v>
      </c>
      <c r="Y143" s="4" t="s">
        <v>140</v>
      </c>
      <c r="Z143" s="4" t="s">
        <v>132</v>
      </c>
      <c r="AA143" s="4" t="s">
        <v>132</v>
      </c>
      <c r="AB143" s="4" t="s">
        <v>132</v>
      </c>
      <c r="AC143" s="4" t="s">
        <v>125</v>
      </c>
      <c r="AD143" s="4" t="s">
        <v>125</v>
      </c>
      <c r="AE143" s="5">
        <v>2.1225000000000001</v>
      </c>
      <c r="AF143" s="5">
        <v>0</v>
      </c>
      <c r="AG143" s="5">
        <v>0</v>
      </c>
      <c r="AH143" s="5">
        <v>2.1225000000000001</v>
      </c>
      <c r="AI143" s="6">
        <v>0.75068708284255981</v>
      </c>
      <c r="AJ143" s="7">
        <v>1.06125</v>
      </c>
      <c r="AK143" s="7">
        <v>1.06125</v>
      </c>
      <c r="AL143" s="8"/>
      <c r="AM143" s="51">
        <f>AH143*(1-AI143)</f>
        <v>0.52916666666666679</v>
      </c>
      <c r="AN143" s="50" t="str">
        <f>VLOOKUP($E143,'Capgemini PResence and HC'!$B$2:$G$143,4,0)</f>
        <v>Y</v>
      </c>
      <c r="AO143" s="50">
        <f>VLOOKUP($E143,'Capgemini PResence and HC'!$B$2:$G$143,2,0)</f>
        <v>0</v>
      </c>
      <c r="AP143" s="50">
        <f>VLOOKUP($E143,'Capgemini PResence and HC'!$B$2:$G$143,3,0)</f>
        <v>1</v>
      </c>
      <c r="AQ143" s="50">
        <f>VLOOKUP($E143,'Capgemini PResence and HC'!$B$2:$G$143,6,0)</f>
        <v>0</v>
      </c>
      <c r="AR143" s="65"/>
      <c r="AS143" s="65"/>
      <c r="AT143" s="72" t="e">
        <f>#REF!*AT$151</f>
        <v>#REF!</v>
      </c>
      <c r="AU143" s="72" t="e">
        <f>#REF!*AU$151</f>
        <v>#REF!</v>
      </c>
      <c r="AV143" s="72" t="e">
        <f>#REF!*AV$151</f>
        <v>#REF!</v>
      </c>
      <c r="AW143" s="72" t="e">
        <f>#REF!*AW$151</f>
        <v>#REF!</v>
      </c>
      <c r="AX143" s="72" t="e">
        <f>#REF!*AX$151</f>
        <v>#REF!</v>
      </c>
      <c r="AY143" s="72" t="e">
        <f>#REF!*AY$151</f>
        <v>#REF!</v>
      </c>
      <c r="AZ143" s="72" t="e">
        <f>#REF!*AZ$151</f>
        <v>#REF!</v>
      </c>
      <c r="BA143" s="72" t="e">
        <f>#REF!*BA$151</f>
        <v>#REF!</v>
      </c>
      <c r="BB143" s="75">
        <f>SUM(AE143:AG143)-AH143</f>
        <v>0</v>
      </c>
    </row>
    <row r="144" spans="1:54" s="2" customFormat="1" ht="18.75" hidden="1" customHeight="1">
      <c r="A144" s="15" t="s">
        <v>20</v>
      </c>
      <c r="B144" s="15" t="s">
        <v>115</v>
      </c>
      <c r="C144" s="15"/>
      <c r="D144" s="15"/>
      <c r="E144" s="4">
        <v>14595</v>
      </c>
      <c r="F144" s="4" t="s">
        <v>650</v>
      </c>
      <c r="G144" s="4" t="s">
        <v>651</v>
      </c>
      <c r="H144" s="9" t="s">
        <v>652</v>
      </c>
      <c r="I144" s="4" t="s">
        <v>287</v>
      </c>
      <c r="J144" s="4" t="s">
        <v>273</v>
      </c>
      <c r="K144" s="4"/>
      <c r="L144" s="4" t="s">
        <v>291</v>
      </c>
      <c r="M144" s="4" t="s">
        <v>122</v>
      </c>
      <c r="N144" s="4" t="s">
        <v>123</v>
      </c>
      <c r="O144" s="4" t="s">
        <v>124</v>
      </c>
      <c r="P144" s="4" t="s">
        <v>125</v>
      </c>
      <c r="Q144" s="4" t="s">
        <v>126</v>
      </c>
      <c r="R144" s="4" t="s">
        <v>140</v>
      </c>
      <c r="S144" s="4" t="s">
        <v>115</v>
      </c>
      <c r="T144" s="4" t="s">
        <v>581</v>
      </c>
      <c r="U144" s="4" t="s">
        <v>128</v>
      </c>
      <c r="V144" s="4" t="s">
        <v>567</v>
      </c>
      <c r="W144" s="4" t="s">
        <v>143</v>
      </c>
      <c r="X144" s="4" t="s">
        <v>302</v>
      </c>
      <c r="Y144" s="4" t="s">
        <v>115</v>
      </c>
      <c r="Z144" s="4" t="s">
        <v>132</v>
      </c>
      <c r="AA144" s="4" t="s">
        <v>125</v>
      </c>
      <c r="AB144" s="4" t="s">
        <v>132</v>
      </c>
      <c r="AC144" s="4" t="s">
        <v>125</v>
      </c>
      <c r="AD144" s="4" t="s">
        <v>132</v>
      </c>
      <c r="AE144" s="5">
        <v>60</v>
      </c>
      <c r="AF144" s="5">
        <v>25</v>
      </c>
      <c r="AG144" s="5">
        <v>25</v>
      </c>
      <c r="AH144" s="5">
        <v>110</v>
      </c>
      <c r="AI144" s="6">
        <v>0.99242965891407664</v>
      </c>
      <c r="AJ144" s="7">
        <v>55</v>
      </c>
      <c r="AK144" s="7">
        <v>55</v>
      </c>
      <c r="AL144" s="8"/>
      <c r="AM144" s="51">
        <f>AH144*(1-AI144)</f>
        <v>0.8327375194515696</v>
      </c>
      <c r="AN144" s="50" t="str">
        <f>VLOOKUP($E144,'Capgemini PResence and HC'!$B$2:$G$143,4,0)</f>
        <v>Y</v>
      </c>
      <c r="AO144" s="50">
        <f>VLOOKUP($E144,'Capgemini PResence and HC'!$B$2:$G$143,2,0)</f>
        <v>38</v>
      </c>
      <c r="AP144" s="50">
        <f>VLOOKUP($E144,'Capgemini PResence and HC'!$B$2:$G$143,3,0)</f>
        <v>0</v>
      </c>
      <c r="AQ144" s="50">
        <f>VLOOKUP($E144,'Capgemini PResence and HC'!$B$2:$G$143,6,0)</f>
        <v>34.018749999999997</v>
      </c>
      <c r="AR144" s="68">
        <f>AE144-AS144</f>
        <v>59.16726248054843</v>
      </c>
      <c r="AS144" s="67">
        <f>AM144</f>
        <v>0.8327375194515696</v>
      </c>
      <c r="AT144" s="70">
        <f>$AR144*AT$151</f>
        <v>4.3596930248825156</v>
      </c>
      <c r="AU144" s="70">
        <f>$AR144*AU$151</f>
        <v>4.3596930248825156</v>
      </c>
      <c r="AV144" s="70">
        <f>$AR144*AV$151</f>
        <v>23.044091702950439</v>
      </c>
      <c r="AW144" s="70">
        <f>$AR144*AW$151</f>
        <v>15.570332231723267</v>
      </c>
      <c r="AX144" s="70">
        <f>$AR144*AX$151</f>
        <v>3.1140664463446535</v>
      </c>
      <c r="AY144" s="70">
        <f>$AR144*AY$151</f>
        <v>4.3596930248825156</v>
      </c>
      <c r="AZ144" s="70">
        <f>$AR144*AZ$151</f>
        <v>4.3596930248825156</v>
      </c>
      <c r="BA144" s="70">
        <f>$AS144*BA$151</f>
        <v>0.8327375194515696</v>
      </c>
      <c r="BB144" s="75">
        <f>SUM(AE144:AG144)-AH144</f>
        <v>0</v>
      </c>
    </row>
    <row r="145" spans="1:55" s="2" customFormat="1" ht="18.75" hidden="1" customHeight="1">
      <c r="A145" s="15" t="s">
        <v>20</v>
      </c>
      <c r="B145" s="15" t="s">
        <v>115</v>
      </c>
      <c r="C145" s="15"/>
      <c r="D145" s="15"/>
      <c r="E145" s="4">
        <v>14701</v>
      </c>
      <c r="F145" s="4" t="s">
        <v>653</v>
      </c>
      <c r="G145" s="4" t="s">
        <v>654</v>
      </c>
      <c r="H145" s="4" t="s">
        <v>655</v>
      </c>
      <c r="I145" s="4" t="s">
        <v>118</v>
      </c>
      <c r="J145" s="4" t="s">
        <v>119</v>
      </c>
      <c r="K145" s="4" t="s">
        <v>656</v>
      </c>
      <c r="L145" s="4" t="s">
        <v>121</v>
      </c>
      <c r="M145" s="4" t="s">
        <v>192</v>
      </c>
      <c r="N145" s="4" t="s">
        <v>657</v>
      </c>
      <c r="O145" s="4" t="s">
        <v>124</v>
      </c>
      <c r="P145" s="4" t="s">
        <v>125</v>
      </c>
      <c r="Q145" s="4" t="s">
        <v>139</v>
      </c>
      <c r="R145" s="4" t="s">
        <v>140</v>
      </c>
      <c r="S145" s="4" t="s">
        <v>115</v>
      </c>
      <c r="T145" s="4" t="s">
        <v>229</v>
      </c>
      <c r="U145" s="4" t="s">
        <v>128</v>
      </c>
      <c r="V145" s="4" t="s">
        <v>236</v>
      </c>
      <c r="W145" s="4" t="s">
        <v>143</v>
      </c>
      <c r="X145" s="4" t="s">
        <v>302</v>
      </c>
      <c r="Y145" s="4" t="s">
        <v>115</v>
      </c>
      <c r="Z145" s="4" t="s">
        <v>132</v>
      </c>
      <c r="AA145" s="4" t="s">
        <v>132</v>
      </c>
      <c r="AB145" s="4" t="s">
        <v>132</v>
      </c>
      <c r="AC145" s="4" t="s">
        <v>133</v>
      </c>
      <c r="AD145" s="4" t="s">
        <v>125</v>
      </c>
      <c r="AE145" s="5"/>
      <c r="AF145" s="5"/>
      <c r="AG145" s="5"/>
      <c r="AH145" s="5"/>
      <c r="AI145" s="6"/>
      <c r="AJ145" s="7">
        <v>0</v>
      </c>
      <c r="AK145" s="7">
        <v>0</v>
      </c>
      <c r="AL145" s="8"/>
      <c r="AM145" s="51">
        <f>AH145*(1-AI145)</f>
        <v>0</v>
      </c>
      <c r="AN145" s="50" t="str">
        <f>VLOOKUP($E145,'Capgemini PResence and HC'!$B$2:$G$143,4,0)</f>
        <v>N</v>
      </c>
      <c r="AO145" s="50">
        <f>VLOOKUP($E145,'Capgemini PResence and HC'!$B$2:$G$143,2,0)</f>
        <v>0</v>
      </c>
      <c r="AP145" s="50">
        <f>VLOOKUP($E145,'Capgemini PResence and HC'!$B$2:$G$143,3,0)</f>
        <v>0</v>
      </c>
      <c r="AQ145" s="50">
        <f>VLOOKUP($E145,'Capgemini PResence and HC'!$B$2:$G$143,6,0)</f>
        <v>0</v>
      </c>
      <c r="AR145" s="65"/>
      <c r="AS145" s="65"/>
      <c r="BB145" s="75">
        <f>SUM(AE145:AG145)-AH145</f>
        <v>0</v>
      </c>
    </row>
    <row r="146" spans="1:55" s="2" customFormat="1" ht="18.75" hidden="1" customHeight="1">
      <c r="A146" s="15" t="s">
        <v>20</v>
      </c>
      <c r="B146" s="15" t="s">
        <v>115</v>
      </c>
      <c r="C146" s="15"/>
      <c r="D146" s="15"/>
      <c r="E146" s="4">
        <v>13405</v>
      </c>
      <c r="F146" s="4" t="s">
        <v>658</v>
      </c>
      <c r="G146" s="4" t="s">
        <v>659</v>
      </c>
      <c r="H146" s="4" t="s">
        <v>660</v>
      </c>
      <c r="I146" s="4" t="s">
        <v>233</v>
      </c>
      <c r="J146" s="4" t="s">
        <v>119</v>
      </c>
      <c r="K146" s="4" t="s">
        <v>234</v>
      </c>
      <c r="L146" s="4" t="s">
        <v>291</v>
      </c>
      <c r="M146" s="4" t="s">
        <v>192</v>
      </c>
      <c r="N146" s="4" t="s">
        <v>123</v>
      </c>
      <c r="O146" s="4" t="s">
        <v>468</v>
      </c>
      <c r="P146" s="4" t="s">
        <v>125</v>
      </c>
      <c r="Q146" s="4" t="s">
        <v>139</v>
      </c>
      <c r="R146" s="4" t="s">
        <v>115</v>
      </c>
      <c r="S146" s="4" t="s">
        <v>140</v>
      </c>
      <c r="T146" s="4" t="s">
        <v>260</v>
      </c>
      <c r="U146" s="4" t="s">
        <v>128</v>
      </c>
      <c r="V146" s="4" t="s">
        <v>661</v>
      </c>
      <c r="W146" s="4" t="s">
        <v>130</v>
      </c>
      <c r="X146" s="4" t="s">
        <v>131</v>
      </c>
      <c r="Y146" s="4" t="s">
        <v>115</v>
      </c>
      <c r="Z146" s="4" t="s">
        <v>132</v>
      </c>
      <c r="AA146" s="4" t="s">
        <v>132</v>
      </c>
      <c r="AB146" s="4" t="s">
        <v>132</v>
      </c>
      <c r="AC146" s="4" t="s">
        <v>125</v>
      </c>
      <c r="AD146" s="4" t="s">
        <v>125</v>
      </c>
      <c r="AE146" s="5"/>
      <c r="AF146" s="5"/>
      <c r="AG146" s="5"/>
      <c r="AH146" s="5"/>
      <c r="AI146" s="6"/>
      <c r="AJ146" s="7" t="s">
        <v>128</v>
      </c>
      <c r="AK146" s="7" t="s">
        <v>128</v>
      </c>
      <c r="AL146" s="8"/>
      <c r="AM146" s="51">
        <f>AH146*(1-AI146)</f>
        <v>0</v>
      </c>
      <c r="AN146" s="50" t="str">
        <f>VLOOKUP($E146,'Capgemini PResence and HC'!$B$2:$G$143,4,0)</f>
        <v>N</v>
      </c>
      <c r="AO146" s="50">
        <f>VLOOKUP($E146,'Capgemini PResence and HC'!$B$2:$G$143,2,0)</f>
        <v>0</v>
      </c>
      <c r="AP146" s="50">
        <f>VLOOKUP($E146,'Capgemini PResence and HC'!$B$2:$G$143,3,0)</f>
        <v>0</v>
      </c>
      <c r="AQ146" s="50">
        <f>VLOOKUP($E146,'Capgemini PResence and HC'!$B$2:$G$143,6,0)</f>
        <v>0</v>
      </c>
      <c r="AR146" s="76">
        <f>AH146-AS146</f>
        <v>0</v>
      </c>
      <c r="AS146" s="67">
        <f>AM146</f>
        <v>0</v>
      </c>
      <c r="AT146" s="72" t="e">
        <f>#REF!*AT$151</f>
        <v>#REF!</v>
      </c>
      <c r="AU146" s="72" t="e">
        <f>#REF!*AU$151</f>
        <v>#REF!</v>
      </c>
      <c r="AV146" s="72" t="e">
        <f>#REF!*AV$151</f>
        <v>#REF!</v>
      </c>
      <c r="AW146" s="72" t="e">
        <f>#REF!*AW$151</f>
        <v>#REF!</v>
      </c>
      <c r="AX146" s="72" t="e">
        <f>#REF!*AX$151</f>
        <v>#REF!</v>
      </c>
      <c r="AY146" s="72" t="e">
        <f>#REF!*AY$151</f>
        <v>#REF!</v>
      </c>
      <c r="AZ146" s="72" t="e">
        <f>#REF!*AZ$151</f>
        <v>#REF!</v>
      </c>
      <c r="BA146" s="72" t="e">
        <f>#REF!*BA$151</f>
        <v>#REF!</v>
      </c>
      <c r="BB146" s="75">
        <f>SUM(AE146:AG146)-AH146</f>
        <v>0</v>
      </c>
    </row>
    <row r="147" spans="1:55" s="2" customFormat="1" ht="18.75" customHeight="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T147" s="47"/>
      <c r="AU147" s="47"/>
      <c r="AV147" s="47"/>
      <c r="AW147" s="47"/>
      <c r="AX147" s="47"/>
      <c r="AY147" s="47"/>
      <c r="AZ147" s="47"/>
      <c r="BA147" s="47"/>
      <c r="BB147" s="47"/>
    </row>
    <row r="148" spans="1:55" ht="18.75" customHeight="1">
      <c r="AW148" s="58">
        <f>SUM(AT150:AZ150)</f>
        <v>0.95000000000000018</v>
      </c>
      <c r="AX148" s="58"/>
      <c r="AY148" s="58"/>
      <c r="AZ148" s="58"/>
      <c r="BA148" s="58">
        <f>SUM(BA150)</f>
        <v>0.05</v>
      </c>
      <c r="BC148" s="53"/>
    </row>
    <row r="149" spans="1:55" ht="30.75" customHeight="1">
      <c r="AT149" s="61" t="s">
        <v>106</v>
      </c>
      <c r="AU149" s="61" t="s">
        <v>107</v>
      </c>
      <c r="AV149" s="61" t="s">
        <v>108</v>
      </c>
      <c r="AW149" s="61" t="s">
        <v>109</v>
      </c>
      <c r="AX149" s="61" t="s">
        <v>110</v>
      </c>
      <c r="AY149" s="61" t="s">
        <v>111</v>
      </c>
      <c r="AZ149" s="61" t="s">
        <v>112</v>
      </c>
      <c r="BA149" s="61" t="s">
        <v>113</v>
      </c>
      <c r="BB149" s="61"/>
    </row>
    <row r="150" spans="1:55" ht="18.75" customHeight="1">
      <c r="AQ150" s="59" t="s">
        <v>287</v>
      </c>
      <c r="AR150" s="66"/>
      <c r="AS150" s="66"/>
      <c r="AT150" s="58">
        <v>7.0000000000000007E-2</v>
      </c>
      <c r="AU150" s="58">
        <v>7.0000000000000007E-2</v>
      </c>
      <c r="AV150" s="58">
        <v>0.37</v>
      </c>
      <c r="AW150" s="58">
        <v>0.25</v>
      </c>
      <c r="AX150" s="58">
        <v>0.05</v>
      </c>
      <c r="AY150" s="58">
        <v>7.0000000000000007E-2</v>
      </c>
      <c r="AZ150" s="58">
        <v>7.0000000000000007E-2</v>
      </c>
      <c r="BA150" s="58">
        <v>0.05</v>
      </c>
      <c r="BB150" s="58"/>
      <c r="BC150" s="53"/>
    </row>
    <row r="151" spans="1:55" ht="27" customHeight="1">
      <c r="AT151" s="62">
        <f>AT150/$AW$148</f>
        <v>7.3684210526315783E-2</v>
      </c>
      <c r="AU151" s="63">
        <f>AU150/$AW$148</f>
        <v>7.3684210526315783E-2</v>
      </c>
      <c r="AV151" s="63">
        <f>AV150/$AW$148</f>
        <v>0.38947368421052625</v>
      </c>
      <c r="AW151" s="63">
        <f>AW150/$AW$148</f>
        <v>0.26315789473684204</v>
      </c>
      <c r="AX151" s="63">
        <f>AX150/$AW$148</f>
        <v>5.2631578947368411E-2</v>
      </c>
      <c r="AY151" s="63">
        <f>AY150/$AW$148</f>
        <v>7.3684210526315783E-2</v>
      </c>
      <c r="AZ151" s="63">
        <f>AZ150/$AW$148</f>
        <v>7.3684210526315783E-2</v>
      </c>
      <c r="BA151" s="58">
        <v>1</v>
      </c>
    </row>
    <row r="153" spans="1:55" ht="18.75" customHeight="1">
      <c r="AQ153" s="77" t="s">
        <v>9</v>
      </c>
    </row>
  </sheetData>
  <autoFilter ref="A4:AQ146" xr:uid="{9C31207F-1906-40C7-9E4B-B58C106E6EC4}">
    <filterColumn colId="0">
      <filters>
        <filter val="Cloud"/>
      </filters>
    </filterColumn>
    <filterColumn colId="8">
      <filters>
        <filter val="Sales / Insurance Recruitment"/>
      </filters>
    </filterColumn>
  </autoFilter>
  <sortState xmlns:xlrd2="http://schemas.microsoft.com/office/spreadsheetml/2017/richdata2" ref="E5:AI146">
    <sortCondition ref="E5:E146"/>
  </sortState>
  <mergeCells count="1">
    <mergeCell ref="AN3:AQ3"/>
  </mergeCells>
  <phoneticPr fontId="1"/>
  <dataValidations count="3">
    <dataValidation type="list" allowBlank="1" showInputMessage="1" showErrorMessage="1" sqref="Z5:AD146" xr:uid="{CBF30642-5818-4605-8928-2FC5EB0F5448}">
      <formula1>"Y,N"</formula1>
    </dataValidation>
    <dataValidation type="list" allowBlank="1" showInputMessage="1" showErrorMessage="1" sqref="B5:C146" xr:uid="{D50A8344-E418-BD44-AE76-BA6E6AF7D360}">
      <formula1>"Yes, No"</formula1>
    </dataValidation>
    <dataValidation type="list" allowBlank="1" showInputMessage="1" showErrorMessage="1" sqref="A5:A146" xr:uid="{CB8E2458-B0EE-BE47-B9CE-B2BA7C6CDA69}">
      <formula1>"Cloud, Mainframe, Digital, Data"</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E48D3-21E2-4114-80F5-6F2D2FF257E6}">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D673-210D-46DB-9BBA-544162BE671C}">
  <dimension ref="B1:I143"/>
  <sheetViews>
    <sheetView workbookViewId="0">
      <selection activeCell="B2" sqref="B2"/>
    </sheetView>
  </sheetViews>
  <sheetFormatPr defaultColWidth="17.42578125" defaultRowHeight="12"/>
  <cols>
    <col min="1" max="7" width="14.85546875" style="43" customWidth="1"/>
    <col min="8" max="16384" width="17.42578125" style="43"/>
  </cols>
  <sheetData>
    <row r="1" spans="2:9" s="45" customFormat="1" ht="14.45">
      <c r="B1" s="44" t="s">
        <v>662</v>
      </c>
      <c r="C1" s="44" t="s">
        <v>101</v>
      </c>
      <c r="D1" s="44" t="s">
        <v>102</v>
      </c>
      <c r="E1" s="44" t="s">
        <v>55</v>
      </c>
      <c r="F1" s="44" t="s">
        <v>663</v>
      </c>
      <c r="G1" s="44" t="s">
        <v>664</v>
      </c>
      <c r="I1" s="45" t="s">
        <v>665</v>
      </c>
    </row>
    <row r="2" spans="2:9">
      <c r="B2" s="42">
        <v>9629</v>
      </c>
      <c r="C2" s="42">
        <v>0</v>
      </c>
      <c r="D2" s="42">
        <v>0</v>
      </c>
      <c r="E2" s="42" t="s">
        <v>125</v>
      </c>
      <c r="F2" s="42">
        <v>0</v>
      </c>
      <c r="G2" s="42">
        <v>0</v>
      </c>
    </row>
    <row r="3" spans="2:9">
      <c r="B3" s="42">
        <v>9796</v>
      </c>
      <c r="C3" s="42">
        <v>0</v>
      </c>
      <c r="D3" s="42">
        <v>0</v>
      </c>
      <c r="E3" s="42" t="s">
        <v>125</v>
      </c>
      <c r="F3" s="42">
        <v>0</v>
      </c>
      <c r="G3" s="42">
        <v>0</v>
      </c>
    </row>
    <row r="4" spans="2:9">
      <c r="B4" s="42">
        <v>9800</v>
      </c>
      <c r="C4" s="42">
        <v>0</v>
      </c>
      <c r="D4" s="42">
        <v>0</v>
      </c>
      <c r="E4" s="42" t="s">
        <v>125</v>
      </c>
      <c r="F4" s="42">
        <v>0</v>
      </c>
      <c r="G4" s="42">
        <v>0</v>
      </c>
    </row>
    <row r="5" spans="2:9">
      <c r="B5" s="42">
        <v>9801</v>
      </c>
      <c r="C5" s="42">
        <v>0</v>
      </c>
      <c r="D5" s="42">
        <v>0</v>
      </c>
      <c r="E5" s="42" t="s">
        <v>125</v>
      </c>
      <c r="F5" s="42">
        <v>0</v>
      </c>
      <c r="G5" s="42">
        <v>0</v>
      </c>
    </row>
    <row r="6" spans="2:9">
      <c r="B6" s="42">
        <v>9802</v>
      </c>
      <c r="C6" s="42">
        <v>0</v>
      </c>
      <c r="D6" s="42">
        <v>0</v>
      </c>
      <c r="E6" s="42" t="s">
        <v>125</v>
      </c>
      <c r="F6" s="42">
        <v>0</v>
      </c>
      <c r="G6" s="42">
        <v>0</v>
      </c>
    </row>
    <row r="7" spans="2:9">
      <c r="B7" s="42">
        <v>9803</v>
      </c>
      <c r="C7" s="42">
        <v>0</v>
      </c>
      <c r="D7" s="42">
        <v>0</v>
      </c>
      <c r="E7" s="42" t="s">
        <v>125</v>
      </c>
      <c r="F7" s="42">
        <v>0</v>
      </c>
      <c r="G7" s="42">
        <v>0</v>
      </c>
    </row>
    <row r="8" spans="2:9">
      <c r="B8" s="42">
        <v>9804</v>
      </c>
      <c r="C8" s="42">
        <v>0</v>
      </c>
      <c r="D8" s="42">
        <v>0</v>
      </c>
      <c r="E8" s="42" t="s">
        <v>125</v>
      </c>
      <c r="F8" s="42">
        <v>0</v>
      </c>
      <c r="G8" s="42">
        <v>0</v>
      </c>
    </row>
    <row r="9" spans="2:9">
      <c r="B9" s="42">
        <v>9805</v>
      </c>
      <c r="C9" s="42">
        <v>0</v>
      </c>
      <c r="D9" s="42">
        <v>0</v>
      </c>
      <c r="E9" s="42" t="s">
        <v>125</v>
      </c>
      <c r="F9" s="42">
        <v>0</v>
      </c>
      <c r="G9" s="42">
        <v>0</v>
      </c>
    </row>
    <row r="10" spans="2:9">
      <c r="B10" s="42">
        <v>9806</v>
      </c>
      <c r="C10" s="42">
        <v>0</v>
      </c>
      <c r="D10" s="42">
        <v>0</v>
      </c>
      <c r="E10" s="42" t="s">
        <v>125</v>
      </c>
      <c r="F10" s="42">
        <v>0</v>
      </c>
      <c r="G10" s="42">
        <v>0</v>
      </c>
    </row>
    <row r="11" spans="2:9">
      <c r="B11" s="42">
        <v>9807</v>
      </c>
      <c r="C11" s="42">
        <v>0</v>
      </c>
      <c r="D11" s="42">
        <v>0</v>
      </c>
      <c r="E11" s="42" t="s">
        <v>125</v>
      </c>
      <c r="F11" s="42">
        <v>0</v>
      </c>
      <c r="G11" s="42">
        <v>0</v>
      </c>
    </row>
    <row r="12" spans="2:9">
      <c r="B12" s="42">
        <v>9808</v>
      </c>
      <c r="C12" s="42">
        <v>0</v>
      </c>
      <c r="D12" s="42">
        <v>0</v>
      </c>
      <c r="E12" s="42" t="s">
        <v>125</v>
      </c>
      <c r="F12" s="42">
        <v>0</v>
      </c>
      <c r="G12" s="42">
        <v>0</v>
      </c>
    </row>
    <row r="13" spans="2:9">
      <c r="B13" s="42">
        <v>9810</v>
      </c>
      <c r="C13" s="42">
        <v>0</v>
      </c>
      <c r="D13" s="42">
        <v>0</v>
      </c>
      <c r="E13" s="42" t="s">
        <v>125</v>
      </c>
      <c r="F13" s="42">
        <v>0</v>
      </c>
      <c r="G13" s="42">
        <v>0</v>
      </c>
    </row>
    <row r="14" spans="2:9">
      <c r="B14" s="42">
        <v>9811</v>
      </c>
      <c r="C14" s="42">
        <v>0</v>
      </c>
      <c r="D14" s="42">
        <v>0</v>
      </c>
      <c r="E14" s="42" t="s">
        <v>125</v>
      </c>
      <c r="F14" s="42">
        <v>0</v>
      </c>
      <c r="G14" s="42">
        <v>0</v>
      </c>
    </row>
    <row r="15" spans="2:9">
      <c r="B15" s="42">
        <v>9813</v>
      </c>
      <c r="C15" s="42">
        <v>0</v>
      </c>
      <c r="D15" s="42">
        <v>0</v>
      </c>
      <c r="E15" s="42" t="s">
        <v>125</v>
      </c>
      <c r="F15" s="42">
        <v>0</v>
      </c>
      <c r="G15" s="42">
        <v>0</v>
      </c>
    </row>
    <row r="16" spans="2:9">
      <c r="B16" s="42">
        <v>9814</v>
      </c>
      <c r="C16" s="42">
        <v>0</v>
      </c>
      <c r="D16" s="42">
        <v>0</v>
      </c>
      <c r="E16" s="42" t="s">
        <v>125</v>
      </c>
      <c r="F16" s="42">
        <v>0</v>
      </c>
      <c r="G16" s="42">
        <v>0</v>
      </c>
    </row>
    <row r="17" spans="2:7">
      <c r="B17" s="42">
        <v>9816</v>
      </c>
      <c r="C17" s="42">
        <v>0</v>
      </c>
      <c r="D17" s="42">
        <v>0</v>
      </c>
      <c r="E17" s="42" t="s">
        <v>125</v>
      </c>
      <c r="F17" s="42">
        <v>0</v>
      </c>
      <c r="G17" s="42">
        <v>0</v>
      </c>
    </row>
    <row r="18" spans="2:7">
      <c r="B18" s="42">
        <v>9817</v>
      </c>
      <c r="C18" s="42">
        <v>0</v>
      </c>
      <c r="D18" s="42">
        <v>0</v>
      </c>
      <c r="E18" s="42" t="s">
        <v>125</v>
      </c>
      <c r="F18" s="42">
        <v>0</v>
      </c>
      <c r="G18" s="42">
        <v>0</v>
      </c>
    </row>
    <row r="19" spans="2:7">
      <c r="B19" s="42">
        <v>9818</v>
      </c>
      <c r="C19" s="42">
        <v>0</v>
      </c>
      <c r="D19" s="42">
        <v>0</v>
      </c>
      <c r="E19" s="42" t="s">
        <v>125</v>
      </c>
      <c r="F19" s="42">
        <v>0</v>
      </c>
      <c r="G19" s="42">
        <v>0</v>
      </c>
    </row>
    <row r="20" spans="2:7">
      <c r="B20" s="42">
        <v>9819</v>
      </c>
      <c r="C20" s="42">
        <v>0</v>
      </c>
      <c r="D20" s="42">
        <v>0</v>
      </c>
      <c r="E20" s="42" t="s">
        <v>125</v>
      </c>
      <c r="F20" s="42">
        <v>0</v>
      </c>
      <c r="G20" s="42">
        <v>0</v>
      </c>
    </row>
    <row r="21" spans="2:7">
      <c r="B21" s="42">
        <v>9820</v>
      </c>
      <c r="C21" s="42">
        <v>0</v>
      </c>
      <c r="D21" s="42">
        <v>0</v>
      </c>
      <c r="E21" s="42" t="s">
        <v>125</v>
      </c>
      <c r="F21" s="42">
        <v>0</v>
      </c>
      <c r="G21" s="42">
        <v>0</v>
      </c>
    </row>
    <row r="22" spans="2:7">
      <c r="B22" s="42">
        <v>9821</v>
      </c>
      <c r="C22" s="42">
        <v>0</v>
      </c>
      <c r="D22" s="42">
        <v>0</v>
      </c>
      <c r="E22" s="42" t="s">
        <v>125</v>
      </c>
      <c r="F22" s="42">
        <v>0</v>
      </c>
      <c r="G22" s="42">
        <v>0</v>
      </c>
    </row>
    <row r="23" spans="2:7">
      <c r="B23" s="42">
        <v>9822</v>
      </c>
      <c r="C23" s="42">
        <v>0</v>
      </c>
      <c r="D23" s="42">
        <v>0</v>
      </c>
      <c r="E23" s="42" t="s">
        <v>125</v>
      </c>
      <c r="F23" s="42">
        <v>0</v>
      </c>
      <c r="G23" s="42">
        <v>0</v>
      </c>
    </row>
    <row r="24" spans="2:7">
      <c r="B24" s="42">
        <v>9823</v>
      </c>
      <c r="C24" s="42">
        <v>0</v>
      </c>
      <c r="D24" s="42">
        <v>0</v>
      </c>
      <c r="E24" s="42" t="s">
        <v>125</v>
      </c>
      <c r="F24" s="42">
        <v>0</v>
      </c>
      <c r="G24" s="42">
        <v>0</v>
      </c>
    </row>
    <row r="25" spans="2:7">
      <c r="B25" s="42">
        <v>9824</v>
      </c>
      <c r="C25" s="42">
        <v>0</v>
      </c>
      <c r="D25" s="42">
        <v>0</v>
      </c>
      <c r="E25" s="42" t="s">
        <v>125</v>
      </c>
      <c r="F25" s="42">
        <v>0</v>
      </c>
      <c r="G25" s="42">
        <v>0</v>
      </c>
    </row>
    <row r="26" spans="2:7">
      <c r="B26" s="42">
        <v>9833</v>
      </c>
      <c r="C26" s="42">
        <v>0</v>
      </c>
      <c r="D26" s="42">
        <v>1</v>
      </c>
      <c r="E26" s="42" t="s">
        <v>132</v>
      </c>
      <c r="F26" s="42">
        <v>1</v>
      </c>
      <c r="G26" s="42">
        <v>0</v>
      </c>
    </row>
    <row r="27" spans="2:7">
      <c r="B27" s="42">
        <v>9834</v>
      </c>
      <c r="C27" s="42">
        <v>0</v>
      </c>
      <c r="D27" s="42">
        <v>0</v>
      </c>
      <c r="E27" s="42" t="s">
        <v>125</v>
      </c>
      <c r="F27" s="42">
        <v>0</v>
      </c>
      <c r="G27" s="42">
        <v>0</v>
      </c>
    </row>
    <row r="28" spans="2:7">
      <c r="B28" s="42">
        <v>9835</v>
      </c>
      <c r="C28" s="42">
        <v>0</v>
      </c>
      <c r="D28" s="42">
        <v>1</v>
      </c>
      <c r="E28" s="42" t="s">
        <v>132</v>
      </c>
      <c r="F28" s="42">
        <v>1</v>
      </c>
      <c r="G28" s="42">
        <v>0</v>
      </c>
    </row>
    <row r="29" spans="2:7">
      <c r="B29" s="42">
        <v>9836</v>
      </c>
      <c r="C29" s="42">
        <v>0</v>
      </c>
      <c r="D29" s="42">
        <v>1</v>
      </c>
      <c r="E29" s="42" t="s">
        <v>132</v>
      </c>
      <c r="F29" s="42">
        <v>1</v>
      </c>
      <c r="G29" s="42">
        <v>0</v>
      </c>
    </row>
    <row r="30" spans="2:7">
      <c r="B30" s="42">
        <v>9842</v>
      </c>
      <c r="C30" s="42">
        <v>0</v>
      </c>
      <c r="D30" s="42">
        <v>1</v>
      </c>
      <c r="E30" s="42" t="s">
        <v>132</v>
      </c>
      <c r="F30" s="42">
        <v>1</v>
      </c>
      <c r="G30" s="42">
        <v>0</v>
      </c>
    </row>
    <row r="31" spans="2:7">
      <c r="B31" s="42">
        <v>9843</v>
      </c>
      <c r="C31" s="42">
        <v>0</v>
      </c>
      <c r="D31" s="42">
        <v>1</v>
      </c>
      <c r="E31" s="42" t="s">
        <v>132</v>
      </c>
      <c r="F31" s="42">
        <v>1</v>
      </c>
      <c r="G31" s="42">
        <v>0</v>
      </c>
    </row>
    <row r="32" spans="2:7">
      <c r="B32" s="42">
        <v>9844</v>
      </c>
      <c r="C32" s="42">
        <v>0</v>
      </c>
      <c r="D32" s="42">
        <v>0</v>
      </c>
      <c r="E32" s="42" t="s">
        <v>125</v>
      </c>
      <c r="F32" s="42">
        <v>0</v>
      </c>
      <c r="G32" s="42">
        <v>0</v>
      </c>
    </row>
    <row r="33" spans="2:7">
      <c r="B33" s="42">
        <v>9845</v>
      </c>
      <c r="C33" s="42">
        <v>0</v>
      </c>
      <c r="D33" s="42">
        <v>1</v>
      </c>
      <c r="E33" s="42" t="s">
        <v>132</v>
      </c>
      <c r="F33" s="42">
        <v>1</v>
      </c>
      <c r="G33" s="42">
        <v>0</v>
      </c>
    </row>
    <row r="34" spans="2:7">
      <c r="B34" s="42">
        <v>9846</v>
      </c>
      <c r="C34" s="42">
        <v>0</v>
      </c>
      <c r="D34" s="42">
        <v>1</v>
      </c>
      <c r="E34" s="42" t="s">
        <v>132</v>
      </c>
      <c r="F34" s="42">
        <v>1</v>
      </c>
      <c r="G34" s="42">
        <v>0</v>
      </c>
    </row>
    <row r="35" spans="2:7">
      <c r="B35" s="42">
        <v>9847</v>
      </c>
      <c r="C35" s="42">
        <v>0</v>
      </c>
      <c r="D35" s="42">
        <v>0</v>
      </c>
      <c r="E35" s="42" t="s">
        <v>125</v>
      </c>
      <c r="F35" s="42">
        <v>0</v>
      </c>
      <c r="G35" s="42">
        <v>0</v>
      </c>
    </row>
    <row r="36" spans="2:7">
      <c r="B36" s="42">
        <v>9848</v>
      </c>
      <c r="C36" s="42">
        <v>0</v>
      </c>
      <c r="D36" s="42">
        <v>1</v>
      </c>
      <c r="E36" s="42" t="s">
        <v>132</v>
      </c>
      <c r="F36" s="42">
        <v>1</v>
      </c>
      <c r="G36" s="42">
        <v>0</v>
      </c>
    </row>
    <row r="37" spans="2:7">
      <c r="B37" s="42">
        <v>9849</v>
      </c>
      <c r="C37" s="42">
        <v>0</v>
      </c>
      <c r="D37" s="42">
        <v>1</v>
      </c>
      <c r="E37" s="42" t="s">
        <v>132</v>
      </c>
      <c r="F37" s="42">
        <v>1</v>
      </c>
      <c r="G37" s="42">
        <v>0</v>
      </c>
    </row>
    <row r="38" spans="2:7">
      <c r="B38" s="42">
        <v>9851</v>
      </c>
      <c r="C38" s="42">
        <v>0</v>
      </c>
      <c r="D38" s="42">
        <v>0</v>
      </c>
      <c r="E38" s="42" t="s">
        <v>125</v>
      </c>
      <c r="F38" s="42">
        <v>0</v>
      </c>
      <c r="G38" s="42">
        <v>0</v>
      </c>
    </row>
    <row r="39" spans="2:7">
      <c r="B39" s="42">
        <v>9852</v>
      </c>
      <c r="C39" s="42">
        <v>0</v>
      </c>
      <c r="D39" s="42">
        <v>0</v>
      </c>
      <c r="E39" s="42" t="s">
        <v>125</v>
      </c>
      <c r="F39" s="42">
        <v>0</v>
      </c>
      <c r="G39" s="42">
        <v>0</v>
      </c>
    </row>
    <row r="40" spans="2:7">
      <c r="B40" s="42">
        <v>9854</v>
      </c>
      <c r="C40" s="42">
        <v>0</v>
      </c>
      <c r="D40" s="42">
        <v>1</v>
      </c>
      <c r="E40" s="42" t="s">
        <v>132</v>
      </c>
      <c r="F40" s="42">
        <v>1</v>
      </c>
      <c r="G40" s="42">
        <v>0</v>
      </c>
    </row>
    <row r="41" spans="2:7">
      <c r="B41" s="42">
        <v>9857</v>
      </c>
      <c r="C41" s="42">
        <v>0</v>
      </c>
      <c r="D41" s="42">
        <v>1</v>
      </c>
      <c r="E41" s="42" t="s">
        <v>132</v>
      </c>
      <c r="F41" s="42">
        <v>1</v>
      </c>
      <c r="G41" s="42">
        <v>0</v>
      </c>
    </row>
    <row r="42" spans="2:7">
      <c r="B42" s="42">
        <v>9858</v>
      </c>
      <c r="C42" s="42">
        <v>3</v>
      </c>
      <c r="D42" s="42">
        <v>0</v>
      </c>
      <c r="E42" s="42" t="s">
        <v>132</v>
      </c>
      <c r="F42" s="42">
        <v>1</v>
      </c>
      <c r="G42" s="42">
        <v>2.3624999999999998</v>
      </c>
    </row>
    <row r="43" spans="2:7">
      <c r="B43" s="42">
        <v>9861</v>
      </c>
      <c r="C43" s="42">
        <v>0</v>
      </c>
      <c r="D43" s="42">
        <v>1</v>
      </c>
      <c r="E43" s="42" t="s">
        <v>132</v>
      </c>
      <c r="F43" s="42">
        <v>1</v>
      </c>
      <c r="G43" s="42">
        <v>0</v>
      </c>
    </row>
    <row r="44" spans="2:7">
      <c r="B44" s="42">
        <v>9879</v>
      </c>
      <c r="C44" s="42">
        <v>0</v>
      </c>
      <c r="D44" s="42">
        <v>1</v>
      </c>
      <c r="E44" s="42" t="s">
        <v>132</v>
      </c>
      <c r="F44" s="42">
        <v>1</v>
      </c>
      <c r="G44" s="42">
        <v>0</v>
      </c>
    </row>
    <row r="45" spans="2:7">
      <c r="B45" s="42">
        <v>9890</v>
      </c>
      <c r="C45" s="42">
        <v>0</v>
      </c>
      <c r="D45" s="42">
        <v>0</v>
      </c>
      <c r="E45" s="42" t="s">
        <v>125</v>
      </c>
      <c r="F45" s="42">
        <v>0</v>
      </c>
      <c r="G45" s="42">
        <v>0</v>
      </c>
    </row>
    <row r="46" spans="2:7">
      <c r="B46" s="42">
        <v>9894</v>
      </c>
      <c r="C46" s="42">
        <v>0</v>
      </c>
      <c r="D46" s="42">
        <v>0</v>
      </c>
      <c r="E46" s="42" t="s">
        <v>125</v>
      </c>
      <c r="F46" s="42">
        <v>0</v>
      </c>
      <c r="G46" s="42">
        <v>0</v>
      </c>
    </row>
    <row r="47" spans="2:7">
      <c r="B47" s="42">
        <v>9896</v>
      </c>
      <c r="C47" s="42">
        <v>0</v>
      </c>
      <c r="D47" s="42">
        <v>0</v>
      </c>
      <c r="E47" s="42" t="s">
        <v>125</v>
      </c>
      <c r="F47" s="42">
        <v>0</v>
      </c>
      <c r="G47" s="42">
        <v>0</v>
      </c>
    </row>
    <row r="48" spans="2:7">
      <c r="B48" s="42">
        <v>9899</v>
      </c>
      <c r="C48" s="42">
        <v>0</v>
      </c>
      <c r="D48" s="42">
        <v>0</v>
      </c>
      <c r="E48" s="42" t="s">
        <v>125</v>
      </c>
      <c r="F48" s="42">
        <v>0</v>
      </c>
      <c r="G48" s="42">
        <v>0</v>
      </c>
    </row>
    <row r="49" spans="2:7">
      <c r="B49" s="42">
        <v>9906</v>
      </c>
      <c r="C49" s="42">
        <v>0</v>
      </c>
      <c r="D49" s="42">
        <v>0</v>
      </c>
      <c r="E49" s="42" t="s">
        <v>125</v>
      </c>
      <c r="F49" s="42">
        <v>0</v>
      </c>
      <c r="G49" s="42">
        <v>0</v>
      </c>
    </row>
    <row r="50" spans="2:7">
      <c r="B50" s="42">
        <v>9907</v>
      </c>
      <c r="C50" s="42">
        <v>0</v>
      </c>
      <c r="D50" s="42">
        <v>0</v>
      </c>
      <c r="E50" s="42" t="s">
        <v>125</v>
      </c>
      <c r="F50" s="42">
        <v>0</v>
      </c>
      <c r="G50" s="42">
        <v>0</v>
      </c>
    </row>
    <row r="51" spans="2:7">
      <c r="B51" s="42">
        <v>9910</v>
      </c>
      <c r="C51" s="42">
        <v>0</v>
      </c>
      <c r="D51" s="42">
        <v>1</v>
      </c>
      <c r="E51" s="42" t="s">
        <v>132</v>
      </c>
      <c r="F51" s="42">
        <v>1</v>
      </c>
      <c r="G51" s="42">
        <v>0</v>
      </c>
    </row>
    <row r="52" spans="2:7">
      <c r="B52" s="42">
        <v>9920</v>
      </c>
      <c r="C52" s="42">
        <v>0</v>
      </c>
      <c r="D52" s="42">
        <v>0</v>
      </c>
      <c r="E52" s="42" t="s">
        <v>125</v>
      </c>
      <c r="F52" s="42">
        <v>0</v>
      </c>
      <c r="G52" s="42">
        <v>0</v>
      </c>
    </row>
    <row r="53" spans="2:7">
      <c r="B53" s="42">
        <v>9921</v>
      </c>
      <c r="C53" s="42">
        <v>0</v>
      </c>
      <c r="D53" s="42">
        <v>0</v>
      </c>
      <c r="E53" s="42" t="s">
        <v>125</v>
      </c>
      <c r="F53" s="42">
        <v>0</v>
      </c>
      <c r="G53" s="42">
        <v>0</v>
      </c>
    </row>
    <row r="54" spans="2:7">
      <c r="B54" s="42">
        <v>9926</v>
      </c>
      <c r="C54" s="42">
        <v>0</v>
      </c>
      <c r="D54" s="42">
        <v>0</v>
      </c>
      <c r="E54" s="42" t="s">
        <v>125</v>
      </c>
      <c r="F54" s="42">
        <v>0</v>
      </c>
      <c r="G54" s="42">
        <v>0</v>
      </c>
    </row>
    <row r="55" spans="2:7">
      <c r="B55" s="42">
        <v>9928</v>
      </c>
      <c r="C55" s="42">
        <v>0</v>
      </c>
      <c r="D55" s="42">
        <v>0</v>
      </c>
      <c r="E55" s="42" t="s">
        <v>125</v>
      </c>
      <c r="F55" s="42">
        <v>0</v>
      </c>
      <c r="G55" s="42">
        <v>0</v>
      </c>
    </row>
    <row r="56" spans="2:7">
      <c r="B56" s="42">
        <v>9930</v>
      </c>
      <c r="C56" s="42">
        <v>0</v>
      </c>
      <c r="D56" s="42">
        <v>0</v>
      </c>
      <c r="E56" s="42" t="s">
        <v>125</v>
      </c>
      <c r="F56" s="42">
        <v>0</v>
      </c>
      <c r="G56" s="42">
        <v>0</v>
      </c>
    </row>
    <row r="57" spans="2:7">
      <c r="B57" s="42">
        <v>9931</v>
      </c>
      <c r="C57" s="42">
        <v>0</v>
      </c>
      <c r="D57" s="42">
        <v>0</v>
      </c>
      <c r="E57" s="42" t="s">
        <v>125</v>
      </c>
      <c r="F57" s="42">
        <v>0</v>
      </c>
      <c r="G57" s="42">
        <v>0</v>
      </c>
    </row>
    <row r="58" spans="2:7">
      <c r="B58" s="42">
        <v>9940</v>
      </c>
      <c r="C58" s="42">
        <v>0</v>
      </c>
      <c r="D58" s="42">
        <v>0</v>
      </c>
      <c r="E58" s="42" t="s">
        <v>125</v>
      </c>
      <c r="F58" s="42">
        <v>0</v>
      </c>
      <c r="G58" s="42">
        <v>0</v>
      </c>
    </row>
    <row r="59" spans="2:7">
      <c r="B59" s="42">
        <v>9941</v>
      </c>
      <c r="C59" s="42">
        <v>0</v>
      </c>
      <c r="D59" s="42">
        <v>0</v>
      </c>
      <c r="E59" s="42" t="s">
        <v>125</v>
      </c>
      <c r="F59" s="42">
        <v>0</v>
      </c>
      <c r="G59" s="42">
        <v>0</v>
      </c>
    </row>
    <row r="60" spans="2:7">
      <c r="B60" s="42">
        <v>9947</v>
      </c>
      <c r="C60" s="42">
        <v>0</v>
      </c>
      <c r="D60" s="42">
        <v>1</v>
      </c>
      <c r="E60" s="42" t="s">
        <v>132</v>
      </c>
      <c r="F60" s="42">
        <v>1</v>
      </c>
      <c r="G60" s="42">
        <v>0</v>
      </c>
    </row>
    <row r="61" spans="2:7">
      <c r="B61" s="42">
        <v>9948</v>
      </c>
      <c r="C61" s="42">
        <v>0</v>
      </c>
      <c r="D61" s="42">
        <v>0</v>
      </c>
      <c r="E61" s="42" t="s">
        <v>125</v>
      </c>
      <c r="F61" s="42">
        <v>0</v>
      </c>
      <c r="G61" s="42">
        <v>0</v>
      </c>
    </row>
    <row r="62" spans="2:7">
      <c r="B62" s="42">
        <v>9949</v>
      </c>
      <c r="C62" s="42">
        <v>0</v>
      </c>
      <c r="D62" s="42">
        <v>0</v>
      </c>
      <c r="E62" s="42" t="s">
        <v>125</v>
      </c>
      <c r="F62" s="42">
        <v>0</v>
      </c>
      <c r="G62" s="42">
        <v>0</v>
      </c>
    </row>
    <row r="63" spans="2:7">
      <c r="B63" s="42">
        <v>9951</v>
      </c>
      <c r="C63" s="42">
        <v>0</v>
      </c>
      <c r="D63" s="42">
        <v>0</v>
      </c>
      <c r="E63" s="42" t="s">
        <v>125</v>
      </c>
      <c r="F63" s="42">
        <v>0</v>
      </c>
      <c r="G63" s="42">
        <v>0</v>
      </c>
    </row>
    <row r="64" spans="2:7">
      <c r="B64" s="42">
        <v>9962</v>
      </c>
      <c r="C64" s="42">
        <v>0</v>
      </c>
      <c r="D64" s="42">
        <v>0</v>
      </c>
      <c r="E64" s="42" t="s">
        <v>125</v>
      </c>
      <c r="F64" s="42">
        <v>0</v>
      </c>
      <c r="G64" s="42">
        <v>0</v>
      </c>
    </row>
    <row r="65" spans="2:7">
      <c r="B65" s="42">
        <v>9964</v>
      </c>
      <c r="C65" s="42">
        <v>0</v>
      </c>
      <c r="D65" s="42">
        <v>0</v>
      </c>
      <c r="E65" s="42" t="s">
        <v>125</v>
      </c>
      <c r="F65" s="42">
        <v>0</v>
      </c>
      <c r="G65" s="42">
        <v>0</v>
      </c>
    </row>
    <row r="66" spans="2:7">
      <c r="B66" s="42">
        <v>9965</v>
      </c>
      <c r="C66" s="42">
        <v>0</v>
      </c>
      <c r="D66" s="42">
        <v>0</v>
      </c>
      <c r="E66" s="42" t="s">
        <v>125</v>
      </c>
      <c r="F66" s="42">
        <v>0</v>
      </c>
      <c r="G66" s="42">
        <v>0</v>
      </c>
    </row>
    <row r="67" spans="2:7">
      <c r="B67" s="42">
        <v>9969</v>
      </c>
      <c r="C67" s="42">
        <v>0</v>
      </c>
      <c r="D67" s="42">
        <v>0</v>
      </c>
      <c r="E67" s="42" t="s">
        <v>125</v>
      </c>
      <c r="F67" s="42">
        <v>0</v>
      </c>
      <c r="G67" s="42">
        <v>0</v>
      </c>
    </row>
    <row r="68" spans="2:7">
      <c r="B68" s="42">
        <v>9975</v>
      </c>
      <c r="C68" s="42">
        <v>0</v>
      </c>
      <c r="D68" s="42">
        <v>0</v>
      </c>
      <c r="E68" s="42" t="s">
        <v>125</v>
      </c>
      <c r="F68" s="42">
        <v>0</v>
      </c>
      <c r="G68" s="42">
        <v>0</v>
      </c>
    </row>
    <row r="69" spans="2:7">
      <c r="B69" s="42">
        <v>9977</v>
      </c>
      <c r="C69" s="42">
        <v>0</v>
      </c>
      <c r="D69" s="42">
        <v>0</v>
      </c>
      <c r="E69" s="42" t="s">
        <v>125</v>
      </c>
      <c r="F69" s="42">
        <v>0</v>
      </c>
      <c r="G69" s="42">
        <v>0</v>
      </c>
    </row>
    <row r="70" spans="2:7">
      <c r="B70" s="42">
        <v>9980</v>
      </c>
      <c r="C70" s="42">
        <v>0</v>
      </c>
      <c r="D70" s="42">
        <v>0</v>
      </c>
      <c r="E70" s="42" t="s">
        <v>125</v>
      </c>
      <c r="F70" s="42">
        <v>0</v>
      </c>
      <c r="G70" s="42">
        <v>0</v>
      </c>
    </row>
    <row r="71" spans="2:7">
      <c r="B71" s="42">
        <v>9983</v>
      </c>
      <c r="C71" s="42">
        <v>0</v>
      </c>
      <c r="D71" s="42">
        <v>0</v>
      </c>
      <c r="E71" s="42" t="s">
        <v>125</v>
      </c>
      <c r="F71" s="42">
        <v>0</v>
      </c>
      <c r="G71" s="42">
        <v>0</v>
      </c>
    </row>
    <row r="72" spans="2:7">
      <c r="B72" s="42">
        <v>9986</v>
      </c>
      <c r="C72" s="42">
        <v>0</v>
      </c>
      <c r="D72" s="42">
        <v>0</v>
      </c>
      <c r="E72" s="42" t="s">
        <v>125</v>
      </c>
      <c r="F72" s="42">
        <v>0</v>
      </c>
      <c r="G72" s="42">
        <v>0</v>
      </c>
    </row>
    <row r="73" spans="2:7">
      <c r="B73" s="42">
        <v>9992</v>
      </c>
      <c r="C73" s="42">
        <v>12</v>
      </c>
      <c r="D73" s="42">
        <v>0</v>
      </c>
      <c r="E73" s="42" t="s">
        <v>132</v>
      </c>
      <c r="F73" s="42">
        <v>1</v>
      </c>
      <c r="G73" s="42">
        <v>9.28125</v>
      </c>
    </row>
    <row r="74" spans="2:7">
      <c r="B74" s="42">
        <v>9994</v>
      </c>
      <c r="C74" s="42">
        <v>0</v>
      </c>
      <c r="D74" s="42">
        <v>1</v>
      </c>
      <c r="E74" s="42" t="s">
        <v>132</v>
      </c>
      <c r="F74" s="42">
        <v>1</v>
      </c>
      <c r="G74" s="42">
        <v>0</v>
      </c>
    </row>
    <row r="75" spans="2:7">
      <c r="B75" s="42">
        <v>9995</v>
      </c>
      <c r="C75" s="42">
        <v>0</v>
      </c>
      <c r="D75" s="42">
        <v>0</v>
      </c>
      <c r="E75" s="42" t="s">
        <v>125</v>
      </c>
      <c r="F75" s="42">
        <v>0</v>
      </c>
      <c r="G75" s="42">
        <v>0</v>
      </c>
    </row>
    <row r="76" spans="2:7">
      <c r="B76" s="42">
        <v>9996</v>
      </c>
      <c r="C76" s="42">
        <v>0</v>
      </c>
      <c r="D76" s="42">
        <v>1</v>
      </c>
      <c r="E76" s="42" t="s">
        <v>132</v>
      </c>
      <c r="F76" s="42">
        <v>1</v>
      </c>
      <c r="G76" s="42">
        <v>0</v>
      </c>
    </row>
    <row r="77" spans="2:7">
      <c r="B77" s="42">
        <v>9999</v>
      </c>
      <c r="C77" s="42">
        <v>0</v>
      </c>
      <c r="D77" s="42">
        <v>0</v>
      </c>
      <c r="E77" s="42" t="s">
        <v>125</v>
      </c>
      <c r="F77" s="42">
        <v>0</v>
      </c>
      <c r="G77" s="42">
        <v>0</v>
      </c>
    </row>
    <row r="78" spans="2:7">
      <c r="B78" s="42">
        <v>10001</v>
      </c>
      <c r="C78" s="42">
        <v>0</v>
      </c>
      <c r="D78" s="42">
        <v>0</v>
      </c>
      <c r="E78" s="42" t="s">
        <v>125</v>
      </c>
      <c r="F78" s="42">
        <v>0</v>
      </c>
      <c r="G78" s="42">
        <v>0</v>
      </c>
    </row>
    <row r="79" spans="2:7">
      <c r="B79" s="42">
        <v>10032</v>
      </c>
      <c r="C79" s="42">
        <v>0</v>
      </c>
      <c r="D79" s="42">
        <v>0</v>
      </c>
      <c r="E79" s="42" t="s">
        <v>125</v>
      </c>
      <c r="F79" s="42">
        <v>0</v>
      </c>
      <c r="G79" s="42">
        <v>0</v>
      </c>
    </row>
    <row r="80" spans="2:7">
      <c r="B80" s="42">
        <v>11004</v>
      </c>
      <c r="C80" s="42">
        <v>0</v>
      </c>
      <c r="D80" s="42">
        <v>0</v>
      </c>
      <c r="E80" s="42" t="s">
        <v>125</v>
      </c>
      <c r="F80" s="42">
        <v>0</v>
      </c>
      <c r="G80" s="42">
        <v>0</v>
      </c>
    </row>
    <row r="81" spans="2:7">
      <c r="B81" s="42">
        <v>11005</v>
      </c>
      <c r="C81" s="42">
        <v>0</v>
      </c>
      <c r="D81" s="42">
        <v>0</v>
      </c>
      <c r="E81" s="42" t="s">
        <v>125</v>
      </c>
      <c r="F81" s="42">
        <v>0</v>
      </c>
      <c r="G81" s="42">
        <v>0</v>
      </c>
    </row>
    <row r="82" spans="2:7">
      <c r="B82" s="42">
        <v>11007</v>
      </c>
      <c r="C82" s="42">
        <v>0</v>
      </c>
      <c r="D82" s="42">
        <v>0</v>
      </c>
      <c r="E82" s="42" t="s">
        <v>125</v>
      </c>
      <c r="F82" s="42">
        <v>0</v>
      </c>
      <c r="G82" s="42">
        <v>0</v>
      </c>
    </row>
    <row r="83" spans="2:7">
      <c r="B83" s="42">
        <v>11008</v>
      </c>
      <c r="C83" s="42">
        <v>0</v>
      </c>
      <c r="D83" s="42">
        <v>0</v>
      </c>
      <c r="E83" s="42" t="s">
        <v>125</v>
      </c>
      <c r="F83" s="42">
        <v>0</v>
      </c>
      <c r="G83" s="42">
        <v>0</v>
      </c>
    </row>
    <row r="84" spans="2:7">
      <c r="B84" s="42">
        <v>11010</v>
      </c>
      <c r="C84" s="42">
        <v>0</v>
      </c>
      <c r="D84" s="42">
        <v>0</v>
      </c>
      <c r="E84" s="42" t="s">
        <v>125</v>
      </c>
      <c r="F84" s="42">
        <v>0</v>
      </c>
      <c r="G84" s="42">
        <v>0</v>
      </c>
    </row>
    <row r="85" spans="2:7">
      <c r="B85" s="42">
        <v>11011</v>
      </c>
      <c r="C85" s="42">
        <v>0</v>
      </c>
      <c r="D85" s="42">
        <v>0</v>
      </c>
      <c r="E85" s="42" t="s">
        <v>125</v>
      </c>
      <c r="F85" s="42">
        <v>0</v>
      </c>
      <c r="G85" s="42">
        <v>0</v>
      </c>
    </row>
    <row r="86" spans="2:7">
      <c r="B86" s="42">
        <v>11012</v>
      </c>
      <c r="C86" s="42">
        <v>0</v>
      </c>
      <c r="D86" s="42">
        <v>1</v>
      </c>
      <c r="E86" s="42" t="s">
        <v>132</v>
      </c>
      <c r="F86" s="42">
        <v>1</v>
      </c>
      <c r="G86" s="42">
        <v>0</v>
      </c>
    </row>
    <row r="87" spans="2:7">
      <c r="B87" s="42">
        <v>11014</v>
      </c>
      <c r="C87" s="42">
        <v>9</v>
      </c>
      <c r="D87" s="42">
        <v>0</v>
      </c>
      <c r="E87" s="42" t="s">
        <v>132</v>
      </c>
      <c r="F87" s="42">
        <v>1</v>
      </c>
      <c r="G87" s="42">
        <v>9.4499999999999993</v>
      </c>
    </row>
    <row r="88" spans="2:7">
      <c r="B88" s="42">
        <v>11203</v>
      </c>
      <c r="C88" s="42">
        <v>14</v>
      </c>
      <c r="D88" s="42">
        <v>0</v>
      </c>
      <c r="E88" s="42" t="s">
        <v>132</v>
      </c>
      <c r="F88" s="42">
        <v>1</v>
      </c>
      <c r="G88" s="42">
        <v>16.537500000000001</v>
      </c>
    </row>
    <row r="89" spans="2:7">
      <c r="B89" s="42">
        <v>11288</v>
      </c>
      <c r="C89" s="42">
        <v>0</v>
      </c>
      <c r="D89" s="42">
        <v>0</v>
      </c>
      <c r="E89" s="42" t="s">
        <v>125</v>
      </c>
      <c r="F89" s="42">
        <v>0</v>
      </c>
      <c r="G89" s="42">
        <v>0</v>
      </c>
    </row>
    <row r="90" spans="2:7">
      <c r="B90" s="42">
        <v>11308</v>
      </c>
      <c r="C90" s="42">
        <v>0</v>
      </c>
      <c r="D90" s="42">
        <v>0</v>
      </c>
      <c r="E90" s="42" t="s">
        <v>125</v>
      </c>
      <c r="F90" s="42">
        <v>0</v>
      </c>
      <c r="G90" s="42">
        <v>0</v>
      </c>
    </row>
    <row r="91" spans="2:7">
      <c r="B91" s="42">
        <v>11604</v>
      </c>
      <c r="C91" s="42">
        <v>0</v>
      </c>
      <c r="D91" s="42">
        <v>0</v>
      </c>
      <c r="E91" s="42" t="s">
        <v>125</v>
      </c>
      <c r="F91" s="42">
        <v>0</v>
      </c>
      <c r="G91" s="42">
        <v>0</v>
      </c>
    </row>
    <row r="92" spans="2:7">
      <c r="B92" s="42">
        <v>11893</v>
      </c>
      <c r="C92" s="42">
        <v>0</v>
      </c>
      <c r="D92" s="42">
        <v>1</v>
      </c>
      <c r="E92" s="42" t="s">
        <v>132</v>
      </c>
      <c r="F92" s="42">
        <v>1</v>
      </c>
      <c r="G92" s="42">
        <v>0</v>
      </c>
    </row>
    <row r="93" spans="2:7">
      <c r="B93" s="42">
        <v>11986</v>
      </c>
      <c r="C93" s="42">
        <v>7</v>
      </c>
      <c r="D93" s="42">
        <v>0</v>
      </c>
      <c r="E93" s="42" t="s">
        <v>132</v>
      </c>
      <c r="F93" s="42">
        <v>1</v>
      </c>
      <c r="G93" s="42">
        <v>8.0875000000000004</v>
      </c>
    </row>
    <row r="94" spans="2:7">
      <c r="B94" s="42">
        <v>12021</v>
      </c>
      <c r="C94" s="42">
        <v>0</v>
      </c>
      <c r="D94" s="42">
        <v>0</v>
      </c>
      <c r="E94" s="42" t="s">
        <v>125</v>
      </c>
      <c r="F94" s="42">
        <v>0</v>
      </c>
      <c r="G94" s="42">
        <v>0</v>
      </c>
    </row>
    <row r="95" spans="2:7">
      <c r="B95" s="42">
        <v>12030</v>
      </c>
      <c r="C95" s="42">
        <v>0</v>
      </c>
      <c r="D95" s="42">
        <v>0</v>
      </c>
      <c r="E95" s="42" t="s">
        <v>125</v>
      </c>
      <c r="F95" s="42">
        <v>0</v>
      </c>
      <c r="G95" s="42">
        <v>0</v>
      </c>
    </row>
    <row r="96" spans="2:7">
      <c r="B96" s="42">
        <v>12038</v>
      </c>
      <c r="C96" s="42">
        <v>31</v>
      </c>
      <c r="D96" s="42">
        <v>0</v>
      </c>
      <c r="E96" s="42" t="s">
        <v>132</v>
      </c>
      <c r="F96" s="42">
        <v>1</v>
      </c>
      <c r="G96" s="42">
        <v>18.309374999999999</v>
      </c>
    </row>
    <row r="97" spans="2:7">
      <c r="B97" s="42">
        <v>12117</v>
      </c>
      <c r="C97" s="42">
        <v>11</v>
      </c>
      <c r="D97" s="42">
        <v>0</v>
      </c>
      <c r="E97" s="42" t="s">
        <v>132</v>
      </c>
      <c r="F97" s="42">
        <v>1</v>
      </c>
      <c r="G97" s="42">
        <v>7.2281250000000004</v>
      </c>
    </row>
    <row r="98" spans="2:7">
      <c r="B98" s="42">
        <v>12198</v>
      </c>
      <c r="C98" s="42">
        <v>0</v>
      </c>
      <c r="D98" s="42">
        <v>0</v>
      </c>
      <c r="E98" s="42" t="s">
        <v>125</v>
      </c>
      <c r="F98" s="42">
        <v>0</v>
      </c>
      <c r="G98" s="42">
        <v>0</v>
      </c>
    </row>
    <row r="99" spans="2:7">
      <c r="B99" s="42">
        <v>12520</v>
      </c>
      <c r="C99" s="42">
        <v>0</v>
      </c>
      <c r="D99" s="42">
        <v>1</v>
      </c>
      <c r="E99" s="42" t="s">
        <v>132</v>
      </c>
      <c r="F99" s="42">
        <v>1</v>
      </c>
      <c r="G99" s="42">
        <v>0</v>
      </c>
    </row>
    <row r="100" spans="2:7">
      <c r="B100" s="42">
        <v>12527</v>
      </c>
      <c r="C100" s="42">
        <v>0</v>
      </c>
      <c r="D100" s="42">
        <v>0</v>
      </c>
      <c r="E100" s="42" t="s">
        <v>125</v>
      </c>
      <c r="F100" s="42">
        <v>0</v>
      </c>
      <c r="G100" s="42">
        <v>0</v>
      </c>
    </row>
    <row r="101" spans="2:7">
      <c r="B101" s="42">
        <v>12607</v>
      </c>
      <c r="C101" s="42">
        <v>1</v>
      </c>
      <c r="D101" s="42">
        <v>0</v>
      </c>
      <c r="E101" s="42" t="s">
        <v>132</v>
      </c>
      <c r="F101" s="42">
        <v>1</v>
      </c>
      <c r="G101" s="42">
        <v>0.45</v>
      </c>
    </row>
    <row r="102" spans="2:7">
      <c r="B102" s="42">
        <v>12646</v>
      </c>
      <c r="C102" s="42">
        <v>3</v>
      </c>
      <c r="D102" s="42">
        <v>0</v>
      </c>
      <c r="E102" s="42" t="s">
        <v>132</v>
      </c>
      <c r="F102" s="42">
        <v>1</v>
      </c>
      <c r="G102" s="42">
        <v>3.5437500000000002</v>
      </c>
    </row>
    <row r="103" spans="2:7">
      <c r="B103" s="42">
        <v>12654</v>
      </c>
      <c r="C103" s="42">
        <v>0</v>
      </c>
      <c r="D103" s="42">
        <v>0</v>
      </c>
      <c r="E103" s="42" t="s">
        <v>125</v>
      </c>
      <c r="F103" s="42">
        <v>0</v>
      </c>
      <c r="G103" s="42">
        <v>0</v>
      </c>
    </row>
    <row r="104" spans="2:7">
      <c r="B104" s="42">
        <v>12675</v>
      </c>
      <c r="C104" s="42">
        <v>0</v>
      </c>
      <c r="D104" s="42">
        <v>0</v>
      </c>
      <c r="E104" s="42" t="s">
        <v>125</v>
      </c>
      <c r="F104" s="42">
        <v>0</v>
      </c>
      <c r="G104" s="42">
        <v>0</v>
      </c>
    </row>
    <row r="105" spans="2:7">
      <c r="B105" s="42">
        <v>12721</v>
      </c>
      <c r="C105" s="42">
        <v>0</v>
      </c>
      <c r="D105" s="42">
        <v>0</v>
      </c>
      <c r="E105" s="42" t="s">
        <v>125</v>
      </c>
      <c r="F105" s="42">
        <v>0</v>
      </c>
      <c r="G105" s="42">
        <v>0</v>
      </c>
    </row>
    <row r="106" spans="2:7">
      <c r="B106" s="42">
        <v>12820</v>
      </c>
      <c r="C106" s="42">
        <v>0</v>
      </c>
      <c r="D106" s="42">
        <v>0</v>
      </c>
      <c r="E106" s="42" t="s">
        <v>125</v>
      </c>
      <c r="F106" s="42">
        <v>0</v>
      </c>
      <c r="G106" s="42">
        <v>0</v>
      </c>
    </row>
    <row r="107" spans="2:7">
      <c r="B107" s="42">
        <v>12890</v>
      </c>
      <c r="C107" s="42">
        <v>0</v>
      </c>
      <c r="D107" s="42">
        <v>0</v>
      </c>
      <c r="E107" s="42" t="s">
        <v>125</v>
      </c>
      <c r="F107" s="42">
        <v>0</v>
      </c>
      <c r="G107" s="42">
        <v>0</v>
      </c>
    </row>
    <row r="108" spans="2:7">
      <c r="B108" s="42">
        <v>12894</v>
      </c>
      <c r="C108" s="42">
        <v>2</v>
      </c>
      <c r="D108" s="42">
        <v>0</v>
      </c>
      <c r="E108" s="42" t="s">
        <v>132</v>
      </c>
      <c r="F108" s="42">
        <v>1</v>
      </c>
      <c r="G108" s="42">
        <v>2.3624999999999998</v>
      </c>
    </row>
    <row r="109" spans="2:7">
      <c r="B109" s="42">
        <v>12932</v>
      </c>
      <c r="C109" s="42">
        <v>11</v>
      </c>
      <c r="D109" s="42">
        <v>0</v>
      </c>
      <c r="E109" s="42" t="s">
        <v>132</v>
      </c>
      <c r="F109" s="42">
        <v>1</v>
      </c>
      <c r="G109" s="42">
        <v>8.4937500000000004</v>
      </c>
    </row>
    <row r="110" spans="2:7">
      <c r="B110" s="42">
        <v>12991</v>
      </c>
      <c r="C110" s="42">
        <v>1</v>
      </c>
      <c r="D110" s="42">
        <v>0</v>
      </c>
      <c r="E110" s="42" t="s">
        <v>132</v>
      </c>
      <c r="F110" s="42">
        <v>1</v>
      </c>
      <c r="G110" s="42">
        <v>1.1812499999999999</v>
      </c>
    </row>
    <row r="111" spans="2:7">
      <c r="B111" s="42">
        <v>13139</v>
      </c>
      <c r="C111" s="42">
        <v>0</v>
      </c>
      <c r="D111" s="42">
        <v>0</v>
      </c>
      <c r="E111" s="42" t="s">
        <v>125</v>
      </c>
      <c r="F111" s="42">
        <v>0</v>
      </c>
      <c r="G111" s="42">
        <v>0</v>
      </c>
    </row>
    <row r="112" spans="2:7">
      <c r="B112" s="42">
        <v>13197</v>
      </c>
      <c r="C112" s="42">
        <v>50</v>
      </c>
      <c r="D112" s="42">
        <v>0</v>
      </c>
      <c r="E112" s="42" t="s">
        <v>132</v>
      </c>
      <c r="F112" s="42">
        <v>1</v>
      </c>
      <c r="G112" s="42">
        <v>55.575000000000003</v>
      </c>
    </row>
    <row r="113" spans="2:7">
      <c r="B113" s="42">
        <v>13262</v>
      </c>
      <c r="C113" s="42">
        <v>2</v>
      </c>
      <c r="D113" s="42">
        <v>0</v>
      </c>
      <c r="E113" s="42" t="s">
        <v>132</v>
      </c>
      <c r="F113" s="42">
        <v>1</v>
      </c>
      <c r="G113" s="42">
        <v>0.64687499999999998</v>
      </c>
    </row>
    <row r="114" spans="2:7">
      <c r="B114" s="42">
        <v>13274</v>
      </c>
      <c r="C114" s="42">
        <v>0</v>
      </c>
      <c r="D114" s="42">
        <v>0</v>
      </c>
      <c r="E114" s="42" t="s">
        <v>125</v>
      </c>
      <c r="F114" s="42">
        <v>0</v>
      </c>
      <c r="G114" s="42">
        <v>0</v>
      </c>
    </row>
    <row r="115" spans="2:7">
      <c r="B115" s="42">
        <v>13314</v>
      </c>
      <c r="C115" s="42">
        <v>18</v>
      </c>
      <c r="D115" s="42">
        <v>0</v>
      </c>
      <c r="E115" s="42" t="s">
        <v>132</v>
      </c>
      <c r="F115" s="42">
        <v>1</v>
      </c>
      <c r="G115" s="42">
        <v>17.356249999999999</v>
      </c>
    </row>
    <row r="116" spans="2:7">
      <c r="B116" s="42">
        <v>13405</v>
      </c>
      <c r="C116" s="42">
        <v>0</v>
      </c>
      <c r="D116" s="42">
        <v>0</v>
      </c>
      <c r="E116" s="42" t="s">
        <v>125</v>
      </c>
      <c r="F116" s="42">
        <v>0</v>
      </c>
      <c r="G116" s="42">
        <v>0</v>
      </c>
    </row>
    <row r="117" spans="2:7">
      <c r="B117" s="42">
        <v>13453</v>
      </c>
      <c r="C117" s="42">
        <v>0</v>
      </c>
      <c r="D117" s="42">
        <v>1</v>
      </c>
      <c r="E117" s="42" t="s">
        <v>132</v>
      </c>
      <c r="F117" s="42">
        <v>1</v>
      </c>
      <c r="G117" s="42">
        <v>0</v>
      </c>
    </row>
    <row r="118" spans="2:7">
      <c r="B118" s="42">
        <v>13476</v>
      </c>
      <c r="C118" s="42">
        <v>40</v>
      </c>
      <c r="D118" s="42">
        <v>0</v>
      </c>
      <c r="E118" s="42" t="s">
        <v>132</v>
      </c>
      <c r="F118" s="42">
        <v>1</v>
      </c>
      <c r="G118" s="42">
        <v>34.821874999999999</v>
      </c>
    </row>
    <row r="119" spans="2:7">
      <c r="B119" s="42">
        <v>13500</v>
      </c>
      <c r="C119" s="42">
        <v>0</v>
      </c>
      <c r="D119" s="42">
        <v>0</v>
      </c>
      <c r="E119" s="42" t="s">
        <v>125</v>
      </c>
      <c r="F119" s="42">
        <v>0</v>
      </c>
      <c r="G119" s="42">
        <v>0</v>
      </c>
    </row>
    <row r="120" spans="2:7">
      <c r="B120" s="42">
        <v>13676</v>
      </c>
      <c r="C120" s="42">
        <v>18</v>
      </c>
      <c r="D120" s="42">
        <v>0</v>
      </c>
      <c r="E120" s="42" t="s">
        <v>132</v>
      </c>
      <c r="F120" s="42">
        <v>1</v>
      </c>
      <c r="G120" s="42">
        <v>12.63125</v>
      </c>
    </row>
    <row r="121" spans="2:7">
      <c r="B121" s="42">
        <v>13721</v>
      </c>
      <c r="C121" s="42">
        <v>2</v>
      </c>
      <c r="D121" s="42">
        <v>0</v>
      </c>
      <c r="E121" s="42" t="s">
        <v>132</v>
      </c>
      <c r="F121" s="42">
        <v>1</v>
      </c>
      <c r="G121" s="42">
        <v>2.3624999999999998</v>
      </c>
    </row>
    <row r="122" spans="2:7">
      <c r="B122" s="42">
        <v>13738</v>
      </c>
      <c r="C122" s="42">
        <v>1</v>
      </c>
      <c r="D122" s="42">
        <v>0</v>
      </c>
      <c r="E122" s="42" t="s">
        <v>132</v>
      </c>
      <c r="F122" s="42">
        <v>1</v>
      </c>
      <c r="G122" s="42">
        <v>0.28125</v>
      </c>
    </row>
    <row r="123" spans="2:7">
      <c r="B123" s="42">
        <v>13812</v>
      </c>
      <c r="C123" s="42">
        <v>0</v>
      </c>
      <c r="D123" s="42">
        <v>0</v>
      </c>
      <c r="E123" s="42" t="s">
        <v>125</v>
      </c>
      <c r="F123" s="42">
        <v>0</v>
      </c>
      <c r="G123" s="42">
        <v>0</v>
      </c>
    </row>
    <row r="124" spans="2:7">
      <c r="B124" s="42">
        <v>13820</v>
      </c>
      <c r="C124" s="42">
        <v>4</v>
      </c>
      <c r="D124" s="42">
        <v>0</v>
      </c>
      <c r="E124" s="42" t="s">
        <v>132</v>
      </c>
      <c r="F124" s="42">
        <v>1</v>
      </c>
      <c r="G124" s="42">
        <v>3.7687499999999998</v>
      </c>
    </row>
    <row r="125" spans="2:7">
      <c r="B125" s="42">
        <v>13856</v>
      </c>
      <c r="C125" s="42">
        <v>8</v>
      </c>
      <c r="D125" s="42">
        <v>0</v>
      </c>
      <c r="E125" s="42" t="s">
        <v>132</v>
      </c>
      <c r="F125" s="42">
        <v>1</v>
      </c>
      <c r="G125" s="42">
        <v>7.2</v>
      </c>
    </row>
    <row r="126" spans="2:7">
      <c r="B126" s="42">
        <v>13863</v>
      </c>
      <c r="C126" s="42">
        <v>0</v>
      </c>
      <c r="D126" s="42">
        <v>0</v>
      </c>
      <c r="E126" s="42" t="s">
        <v>125</v>
      </c>
      <c r="F126" s="42">
        <v>0</v>
      </c>
      <c r="G126" s="42">
        <v>0</v>
      </c>
    </row>
    <row r="127" spans="2:7">
      <c r="B127" s="42">
        <v>13884</v>
      </c>
      <c r="C127" s="42">
        <v>0</v>
      </c>
      <c r="D127" s="42">
        <v>1</v>
      </c>
      <c r="E127" s="42" t="s">
        <v>132</v>
      </c>
      <c r="F127" s="42">
        <v>1</v>
      </c>
      <c r="G127" s="42">
        <v>0</v>
      </c>
    </row>
    <row r="128" spans="2:7">
      <c r="B128" s="42">
        <v>13888</v>
      </c>
      <c r="C128" s="42">
        <v>0</v>
      </c>
      <c r="D128" s="42">
        <v>0</v>
      </c>
      <c r="E128" s="42" t="s">
        <v>125</v>
      </c>
      <c r="F128" s="42">
        <v>0</v>
      </c>
      <c r="G128" s="42">
        <v>0</v>
      </c>
    </row>
    <row r="129" spans="2:7">
      <c r="B129" s="42">
        <v>13971</v>
      </c>
      <c r="C129" s="42">
        <v>0</v>
      </c>
      <c r="D129" s="42">
        <v>0</v>
      </c>
      <c r="E129" s="42" t="s">
        <v>125</v>
      </c>
      <c r="F129" s="42">
        <v>0</v>
      </c>
      <c r="G129" s="42">
        <v>0</v>
      </c>
    </row>
    <row r="130" spans="2:7">
      <c r="B130" s="42">
        <v>13982</v>
      </c>
      <c r="C130" s="42">
        <v>0</v>
      </c>
      <c r="D130" s="42">
        <v>1</v>
      </c>
      <c r="E130" s="42" t="s">
        <v>132</v>
      </c>
      <c r="F130" s="42">
        <v>1</v>
      </c>
      <c r="G130" s="42">
        <v>0</v>
      </c>
    </row>
    <row r="131" spans="2:7">
      <c r="B131" s="42">
        <v>14049</v>
      </c>
      <c r="C131" s="42">
        <v>0</v>
      </c>
      <c r="D131" s="42">
        <v>0</v>
      </c>
      <c r="E131" s="42" t="s">
        <v>125</v>
      </c>
      <c r="F131" s="42">
        <v>0</v>
      </c>
      <c r="G131" s="42">
        <v>0</v>
      </c>
    </row>
    <row r="132" spans="2:7">
      <c r="B132" s="42">
        <v>14059</v>
      </c>
      <c r="C132" s="42">
        <v>0</v>
      </c>
      <c r="D132" s="42">
        <v>0</v>
      </c>
      <c r="E132" s="42" t="s">
        <v>125</v>
      </c>
      <c r="F132" s="42">
        <v>0</v>
      </c>
      <c r="G132" s="42">
        <v>0</v>
      </c>
    </row>
    <row r="133" spans="2:7">
      <c r="B133" s="42">
        <v>14097</v>
      </c>
      <c r="C133" s="42">
        <v>0</v>
      </c>
      <c r="D133" s="42">
        <v>0</v>
      </c>
      <c r="E133" s="42" t="s">
        <v>125</v>
      </c>
      <c r="F133" s="42">
        <v>0</v>
      </c>
      <c r="G133" s="42">
        <v>0</v>
      </c>
    </row>
    <row r="134" spans="2:7">
      <c r="B134" s="42">
        <v>14217</v>
      </c>
      <c r="C134" s="42">
        <v>0</v>
      </c>
      <c r="D134" s="42">
        <v>0</v>
      </c>
      <c r="E134" s="42" t="s">
        <v>125</v>
      </c>
      <c r="F134" s="42">
        <v>0</v>
      </c>
      <c r="G134" s="42">
        <v>0</v>
      </c>
    </row>
    <row r="135" spans="2:7">
      <c r="B135" s="42">
        <v>14267</v>
      </c>
      <c r="C135" s="42">
        <v>0</v>
      </c>
      <c r="D135" s="42">
        <v>1</v>
      </c>
      <c r="E135" s="42" t="s">
        <v>132</v>
      </c>
      <c r="F135" s="42">
        <v>1</v>
      </c>
      <c r="G135" s="42">
        <v>0</v>
      </c>
    </row>
    <row r="136" spans="2:7">
      <c r="B136" s="42">
        <v>14285</v>
      </c>
      <c r="C136" s="42">
        <v>0</v>
      </c>
      <c r="D136" s="42">
        <v>0</v>
      </c>
      <c r="E136" s="42" t="s">
        <v>125</v>
      </c>
      <c r="F136" s="42">
        <v>0</v>
      </c>
      <c r="G136" s="42">
        <v>0</v>
      </c>
    </row>
    <row r="137" spans="2:7">
      <c r="B137" s="42">
        <v>14322</v>
      </c>
      <c r="C137" s="42">
        <v>2</v>
      </c>
      <c r="D137" s="42">
        <v>0</v>
      </c>
      <c r="E137" s="42" t="s">
        <v>132</v>
      </c>
      <c r="F137" s="42">
        <v>1</v>
      </c>
      <c r="G137" s="42">
        <v>2.1812499999999999</v>
      </c>
    </row>
    <row r="138" spans="2:7">
      <c r="B138" s="42">
        <v>14376</v>
      </c>
      <c r="C138" s="42">
        <v>0</v>
      </c>
      <c r="D138" s="42">
        <v>0</v>
      </c>
      <c r="E138" s="42" t="s">
        <v>125</v>
      </c>
      <c r="F138" s="42">
        <v>0</v>
      </c>
      <c r="G138" s="42">
        <v>0</v>
      </c>
    </row>
    <row r="139" spans="2:7">
      <c r="B139" s="42">
        <v>14377</v>
      </c>
      <c r="C139" s="42">
        <v>0</v>
      </c>
      <c r="D139" s="42">
        <v>0</v>
      </c>
      <c r="E139" s="42" t="s">
        <v>125</v>
      </c>
      <c r="F139" s="42">
        <v>0</v>
      </c>
      <c r="G139" s="42">
        <v>0</v>
      </c>
    </row>
    <row r="140" spans="2:7">
      <c r="B140" s="42">
        <v>14423</v>
      </c>
      <c r="C140" s="42">
        <v>0</v>
      </c>
      <c r="D140" s="42">
        <v>1</v>
      </c>
      <c r="E140" s="42" t="s">
        <v>132</v>
      </c>
      <c r="F140" s="42">
        <v>1</v>
      </c>
      <c r="G140" s="42">
        <v>0</v>
      </c>
    </row>
    <row r="141" spans="2:7">
      <c r="B141" s="42">
        <v>14595</v>
      </c>
      <c r="C141" s="42">
        <v>38</v>
      </c>
      <c r="D141" s="42">
        <v>0</v>
      </c>
      <c r="E141" s="42" t="s">
        <v>132</v>
      </c>
      <c r="F141" s="42">
        <v>1</v>
      </c>
      <c r="G141" s="42">
        <v>34.018749999999997</v>
      </c>
    </row>
    <row r="142" spans="2:7">
      <c r="B142" s="42">
        <v>14701</v>
      </c>
      <c r="C142" s="42">
        <v>0</v>
      </c>
      <c r="D142" s="42">
        <v>0</v>
      </c>
      <c r="E142" s="42" t="s">
        <v>125</v>
      </c>
      <c r="F142" s="42">
        <v>0</v>
      </c>
      <c r="G142" s="42">
        <v>0</v>
      </c>
    </row>
    <row r="143" spans="2:7">
      <c r="B143" s="42">
        <v>14930</v>
      </c>
      <c r="C143" s="42">
        <v>0</v>
      </c>
      <c r="D143" s="42">
        <v>0</v>
      </c>
      <c r="E143" s="42" t="s">
        <v>125</v>
      </c>
      <c r="F143" s="42">
        <v>0</v>
      </c>
      <c r="G143" s="4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6F9B9AA9FDD341B4BEBD17B645EC21" ma:contentTypeVersion="8" ma:contentTypeDescription="Create a new document." ma:contentTypeScope="" ma:versionID="5745af9a74d46f102bb11af60999e8af">
  <xsd:schema xmlns:xsd="http://www.w3.org/2001/XMLSchema" xmlns:xs="http://www.w3.org/2001/XMLSchema" xmlns:p="http://schemas.microsoft.com/office/2006/metadata/properties" xmlns:ns2="a84add37-9773-464e-afdf-4ed72a97b2aa" targetNamespace="http://schemas.microsoft.com/office/2006/metadata/properties" ma:root="true" ma:fieldsID="849244e1f35761c386d289d5fd495158" ns2:_="">
    <xsd:import namespace="a84add37-9773-464e-afdf-4ed72a97b2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add37-9773-464e-afdf-4ed72a97b2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983D46-BEEF-4C96-BD53-36D0EF0CC68F}"/>
</file>

<file path=customXml/itemProps2.xml><?xml version="1.0" encoding="utf-8"?>
<ds:datastoreItem xmlns:ds="http://schemas.openxmlformats.org/officeDocument/2006/customXml" ds:itemID="{60D3ADB1-39F4-42E4-B4F9-89AE500E8072}"/>
</file>

<file path=customXml/itemProps3.xml><?xml version="1.0" encoding="utf-8"?>
<ds:datastoreItem xmlns:ds="http://schemas.openxmlformats.org/officeDocument/2006/customXml" ds:itemID="{0D46E937-8DAA-42A0-BA01-C71E9780D554}"/>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Prasad, Mukesh Kumar</cp:lastModifiedBy>
  <cp:revision/>
  <dcterms:created xsi:type="dcterms:W3CDTF">2026-07-14T04:48:42Z</dcterms:created>
  <dcterms:modified xsi:type="dcterms:W3CDTF">2026-09-02T00:56:59Z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y fmtid="{D5CDD505-2E9C-101B-9397-08002B2CF9AE}" pid="3" name="MediaServiceImageTags">
    <vt:lpwstr/>
  </property>
</Properties>
</file>