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prasad3\Downloads\"/>
    </mc:Choice>
  </mc:AlternateContent>
  <xr:revisionPtr revIDLastSave="0" documentId="13_ncr:1_{57B3F653-47F9-4FFD-90C9-FE14037DCE6E}" xr6:coauthVersionLast="47" xr6:coauthVersionMax="47" xr10:uidLastSave="{00000000-0000-0000-0000-000000000000}"/>
  <bookViews>
    <workbookView xWindow="-110" yWindow="-110" windowWidth="19420" windowHeight="11500" activeTab="1" xr2:uid="{00000000-000D-0000-FFFF-FFFF00000000}"/>
  </bookViews>
  <sheets>
    <sheet name="START HERE" sheetId="1" r:id="rId1"/>
    <sheet name="Logic Tree" sheetId="2" r:id="rId2"/>
    <sheet name="Value Streams &amp; Delivery Mode" sheetId="3" r:id="rId3"/>
    <sheet name="Role x Sourcing" sheetId="4" r:id="rId4"/>
    <sheet name="AMS &amp; Ticket Load" sheetId="5" r:id="rId5"/>
    <sheet name="Seat Planner" sheetId="6" r:id="rId6"/>
    <sheet name="Seat Planner — how" sheetId="7" r:id="rId7"/>
    <sheet name="Reconciliation &amp; Checks" sheetId="8" r:id="rId8"/>
    <sheet name="Rates &amp; Tables" sheetId="9" r:id="rId9"/>
    <sheet name="Inventory v5" sheetId="10" r:id="rId10"/>
    <sheet name="Stream Catalogue" sheetId="11" r:id="rId11"/>
    <sheet name="Method Note" sheetId="12" r:id="rId12"/>
    <sheet name="Pod Library"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119" i="13" l="1"/>
  <c r="J119" i="13"/>
  <c r="N118" i="13"/>
  <c r="K118" i="13"/>
  <c r="N117" i="13"/>
  <c r="K117" i="13"/>
  <c r="N116" i="13"/>
  <c r="K116" i="13"/>
  <c r="N115" i="13"/>
  <c r="K115" i="13"/>
  <c r="N114" i="13"/>
  <c r="K114" i="13"/>
  <c r="N113" i="13"/>
  <c r="K113" i="13"/>
  <c r="N112" i="13"/>
  <c r="K112" i="13"/>
  <c r="N111" i="13"/>
  <c r="K111" i="13"/>
  <c r="N110" i="13"/>
  <c r="K110" i="13"/>
  <c r="N109" i="13"/>
  <c r="K109" i="13"/>
  <c r="N108" i="13"/>
  <c r="K108" i="13"/>
  <c r="M105" i="13"/>
  <c r="J105" i="13"/>
  <c r="N104" i="13"/>
  <c r="K104" i="13"/>
  <c r="N103" i="13"/>
  <c r="K103" i="13"/>
  <c r="N102" i="13"/>
  <c r="K102" i="13"/>
  <c r="N101" i="13"/>
  <c r="K101" i="13"/>
  <c r="N100" i="13"/>
  <c r="K100" i="13"/>
  <c r="N99" i="13"/>
  <c r="K99" i="13"/>
  <c r="N98" i="13"/>
  <c r="K98" i="13"/>
  <c r="N97" i="13"/>
  <c r="K97" i="13"/>
  <c r="N96" i="13"/>
  <c r="K96" i="13"/>
  <c r="N95" i="13"/>
  <c r="K95" i="13"/>
  <c r="N94" i="13"/>
  <c r="K94" i="13"/>
  <c r="J91" i="13"/>
  <c r="K90" i="13"/>
  <c r="K89" i="13"/>
  <c r="K88" i="13"/>
  <c r="K87" i="13"/>
  <c r="K86" i="13"/>
  <c r="K85" i="13"/>
  <c r="K84" i="13"/>
  <c r="K83" i="13"/>
  <c r="K82" i="13"/>
  <c r="K81" i="13"/>
  <c r="K80" i="13"/>
  <c r="K79" i="13"/>
  <c r="M76" i="13"/>
  <c r="J76" i="13"/>
  <c r="N75" i="13"/>
  <c r="K75" i="13"/>
  <c r="N74" i="13"/>
  <c r="K74" i="13"/>
  <c r="N73" i="13"/>
  <c r="K73" i="13"/>
  <c r="N72" i="13"/>
  <c r="K72" i="13"/>
  <c r="N71" i="13"/>
  <c r="K71" i="13"/>
  <c r="N70" i="13"/>
  <c r="K70" i="13"/>
  <c r="N69" i="13"/>
  <c r="K69" i="13"/>
  <c r="N68" i="13"/>
  <c r="K68" i="13"/>
  <c r="N67" i="13"/>
  <c r="K67" i="13"/>
  <c r="N66" i="13"/>
  <c r="K66" i="13"/>
  <c r="N65" i="13"/>
  <c r="K65" i="13"/>
  <c r="J62" i="13"/>
  <c r="K61" i="13"/>
  <c r="K60" i="13"/>
  <c r="K59" i="13"/>
  <c r="K58" i="13"/>
  <c r="K57" i="13"/>
  <c r="K56" i="13"/>
  <c r="K55" i="13"/>
  <c r="K54" i="13"/>
  <c r="K53" i="13"/>
  <c r="K52" i="13"/>
  <c r="K51" i="13"/>
  <c r="K50" i="13"/>
  <c r="J47" i="13"/>
  <c r="K46" i="13"/>
  <c r="K45" i="13"/>
  <c r="K44" i="13"/>
  <c r="K43" i="13"/>
  <c r="K42" i="13"/>
  <c r="K41" i="13"/>
  <c r="K40" i="13"/>
  <c r="K39" i="13"/>
  <c r="K38" i="13"/>
  <c r="K37" i="13"/>
  <c r="K36" i="13"/>
  <c r="J33" i="13"/>
  <c r="K32" i="13"/>
  <c r="K31" i="13"/>
  <c r="K30" i="13"/>
  <c r="K29" i="13"/>
  <c r="K28" i="13"/>
  <c r="K27" i="13"/>
  <c r="K26" i="13"/>
  <c r="K25" i="13"/>
  <c r="K24" i="13"/>
  <c r="K23" i="13"/>
  <c r="K22" i="13"/>
  <c r="K21" i="13"/>
  <c r="K20" i="13"/>
  <c r="K19" i="13"/>
  <c r="J17" i="13"/>
  <c r="K16" i="13"/>
  <c r="K15" i="13"/>
  <c r="K14" i="13"/>
  <c r="K13" i="13"/>
  <c r="K12" i="13"/>
  <c r="K11" i="13"/>
  <c r="K10" i="13"/>
  <c r="K9" i="13"/>
  <c r="K8" i="13"/>
  <c r="K7" i="13"/>
  <c r="K6" i="13"/>
  <c r="K5" i="13"/>
  <c r="K76" i="13" l="1"/>
  <c r="N76" i="13"/>
  <c r="K119" i="13"/>
  <c r="N105" i="13"/>
  <c r="K105" i="13"/>
  <c r="K47" i="13"/>
  <c r="AN147" i="10" l="1"/>
  <c r="AK147" i="10"/>
  <c r="AJ147" i="10"/>
  <c r="AI147" i="10"/>
  <c r="AH147" i="10"/>
  <c r="AG147" i="10"/>
  <c r="AF147" i="10"/>
  <c r="AE147" i="10"/>
  <c r="AD147" i="10"/>
  <c r="V147" i="10"/>
  <c r="U147" i="10"/>
  <c r="T147" i="10"/>
  <c r="S147" i="10"/>
  <c r="R147" i="10"/>
  <c r="Q147" i="10"/>
  <c r="P147" i="10"/>
  <c r="O147" i="10"/>
  <c r="N147" i="10"/>
  <c r="M147" i="10"/>
  <c r="L147" i="10"/>
  <c r="K147" i="10"/>
  <c r="J147" i="10"/>
  <c r="AO146" i="10"/>
  <c r="AO145" i="10"/>
  <c r="AO144" i="10"/>
  <c r="AO143" i="10"/>
  <c r="AO142" i="10"/>
  <c r="AO141" i="10"/>
  <c r="AO140" i="10"/>
  <c r="AO139" i="10"/>
  <c r="AO138" i="10"/>
  <c r="AO137" i="10"/>
  <c r="AO136" i="10"/>
  <c r="AO135" i="10"/>
  <c r="AO134" i="10"/>
  <c r="AO133" i="10"/>
  <c r="AO132" i="10"/>
  <c r="AO131" i="10"/>
  <c r="AO130" i="10"/>
  <c r="AO129" i="10"/>
  <c r="AO128" i="10"/>
  <c r="AO127" i="10"/>
  <c r="AO126" i="10"/>
  <c r="AO125" i="10"/>
  <c r="AO124" i="10"/>
  <c r="AO123" i="10"/>
  <c r="AO122" i="10"/>
  <c r="AO121" i="10"/>
  <c r="AO120" i="10"/>
  <c r="AO119" i="10"/>
  <c r="AO118" i="10"/>
  <c r="AO117" i="10"/>
  <c r="AO116" i="10"/>
  <c r="AO115" i="10"/>
  <c r="AO114" i="10"/>
  <c r="AO113" i="10"/>
  <c r="AO112" i="10"/>
  <c r="AO111" i="10"/>
  <c r="AO110" i="10"/>
  <c r="AO109" i="10"/>
  <c r="AO108" i="10"/>
  <c r="AO107" i="10"/>
  <c r="AO106" i="10"/>
  <c r="AO105" i="10"/>
  <c r="AO104" i="10"/>
  <c r="AO103" i="10"/>
  <c r="AO102" i="10"/>
  <c r="AO101" i="10"/>
  <c r="AO100" i="10"/>
  <c r="AO99" i="10"/>
  <c r="AO98" i="10"/>
  <c r="AO97" i="10"/>
  <c r="AO96" i="10"/>
  <c r="AO95" i="10"/>
  <c r="AO94" i="10"/>
  <c r="AO93" i="10"/>
  <c r="AO92" i="10"/>
  <c r="AO91" i="10"/>
  <c r="AO90" i="10"/>
  <c r="AO89" i="10"/>
  <c r="AO88" i="10"/>
  <c r="AO87" i="10"/>
  <c r="AO86" i="10"/>
  <c r="AO85" i="10"/>
  <c r="AO84" i="10"/>
  <c r="AO83" i="10"/>
  <c r="AO82" i="10"/>
  <c r="AO81" i="10"/>
  <c r="AO80" i="10"/>
  <c r="AO79" i="10"/>
  <c r="AO78" i="10"/>
  <c r="AO77" i="10"/>
  <c r="AO76" i="10"/>
  <c r="AO75" i="10"/>
  <c r="AO74" i="10"/>
  <c r="AO73" i="10"/>
  <c r="AO72" i="10"/>
  <c r="AO71" i="10"/>
  <c r="AO70" i="10"/>
  <c r="AO69" i="10"/>
  <c r="AO68" i="10"/>
  <c r="AO67" i="10"/>
  <c r="AO66" i="10"/>
  <c r="AO65" i="10"/>
  <c r="AO64" i="10"/>
  <c r="AO63" i="10"/>
  <c r="AO62" i="10"/>
  <c r="AO61" i="10"/>
  <c r="AO60" i="10"/>
  <c r="AO59" i="10"/>
  <c r="AO58" i="10"/>
  <c r="AO57" i="10"/>
  <c r="AO56" i="10"/>
  <c r="AO55" i="10"/>
  <c r="AO54" i="10"/>
  <c r="AO53" i="10"/>
  <c r="AO52" i="10"/>
  <c r="AO51" i="10"/>
  <c r="AO50" i="10"/>
  <c r="AO49" i="10"/>
  <c r="AO48" i="10"/>
  <c r="AO47" i="10"/>
  <c r="AO46" i="10"/>
  <c r="AO45" i="10"/>
  <c r="AO44" i="10"/>
  <c r="AO43" i="10"/>
  <c r="AO42" i="10"/>
  <c r="AO41" i="10"/>
  <c r="AO40" i="10"/>
  <c r="AO39" i="10"/>
  <c r="AO38" i="10"/>
  <c r="AO37" i="10"/>
  <c r="AO36" i="10"/>
  <c r="AO35" i="10"/>
  <c r="AO34" i="10"/>
  <c r="AO33" i="10"/>
  <c r="AO32" i="10"/>
  <c r="AO31" i="10"/>
  <c r="AO30" i="10"/>
  <c r="AO29" i="10"/>
  <c r="AO28" i="10"/>
  <c r="AO27" i="10"/>
  <c r="AO26" i="10"/>
  <c r="AO25" i="10"/>
  <c r="AO24" i="10"/>
  <c r="AO23" i="10"/>
  <c r="AO22" i="10"/>
  <c r="AO21" i="10"/>
  <c r="AO20" i="10"/>
  <c r="AO19" i="10"/>
  <c r="AO18" i="10"/>
  <c r="AO17" i="10"/>
  <c r="AO16" i="10"/>
  <c r="AO15" i="10"/>
  <c r="AO14" i="10"/>
  <c r="AO13" i="10"/>
  <c r="AO12" i="10"/>
  <c r="AO11" i="10"/>
  <c r="AO10" i="10"/>
  <c r="AO9" i="10"/>
  <c r="AO8" i="10"/>
  <c r="AO7" i="10"/>
  <c r="AO6" i="10"/>
  <c r="AO5" i="10"/>
  <c r="I22" i="9"/>
  <c r="I21" i="9"/>
  <c r="I20" i="9"/>
  <c r="I19" i="9"/>
  <c r="I18" i="9"/>
  <c r="I17" i="9"/>
  <c r="I12" i="9"/>
  <c r="I11" i="9"/>
  <c r="F37" i="2" s="1"/>
  <c r="I10" i="9"/>
  <c r="F36" i="2" s="1"/>
  <c r="I9" i="9"/>
  <c r="F35" i="2" s="1"/>
  <c r="I8" i="9"/>
  <c r="F34" i="2" s="1"/>
  <c r="I7" i="9"/>
  <c r="F33" i="2" s="1"/>
  <c r="I6" i="9"/>
  <c r="F32" i="2" s="1"/>
  <c r="C76" i="8"/>
  <c r="C75" i="8"/>
  <c r="C77" i="8" s="1"/>
  <c r="C71" i="8"/>
  <c r="G65" i="8"/>
  <c r="F65" i="8"/>
  <c r="E65" i="8"/>
  <c r="D65" i="8"/>
  <c r="C65" i="8"/>
  <c r="G64" i="8"/>
  <c r="F64" i="8"/>
  <c r="E64" i="8"/>
  <c r="D64" i="8"/>
  <c r="C64" i="8"/>
  <c r="G63" i="8"/>
  <c r="F63" i="8"/>
  <c r="E63" i="8"/>
  <c r="D63" i="8"/>
  <c r="C63" i="8"/>
  <c r="G62" i="8"/>
  <c r="F62" i="8"/>
  <c r="E62" i="8"/>
  <c r="D62" i="8"/>
  <c r="C62" i="8"/>
  <c r="G61" i="8"/>
  <c r="F61" i="8"/>
  <c r="E61" i="8"/>
  <c r="D61" i="8"/>
  <c r="C61" i="8"/>
  <c r="G60" i="8"/>
  <c r="F60" i="8"/>
  <c r="E60" i="8"/>
  <c r="D60" i="8"/>
  <c r="C60" i="8"/>
  <c r="G59" i="8"/>
  <c r="F59" i="8"/>
  <c r="E59" i="8"/>
  <c r="D59" i="8"/>
  <c r="C59" i="8"/>
  <c r="G58" i="8"/>
  <c r="F58" i="8"/>
  <c r="E58" i="8"/>
  <c r="D58" i="8"/>
  <c r="C58" i="8"/>
  <c r="G57" i="8"/>
  <c r="F57" i="8"/>
  <c r="E57" i="8"/>
  <c r="D57" i="8"/>
  <c r="C57" i="8"/>
  <c r="G56" i="8"/>
  <c r="F56" i="8"/>
  <c r="E56" i="8"/>
  <c r="D56" i="8"/>
  <c r="C56" i="8"/>
  <c r="G55" i="8"/>
  <c r="F55" i="8"/>
  <c r="E55" i="8"/>
  <c r="D55" i="8"/>
  <c r="C55" i="8"/>
  <c r="G54" i="8"/>
  <c r="F54" i="8"/>
  <c r="E54" i="8"/>
  <c r="D54" i="8"/>
  <c r="C54" i="8"/>
  <c r="G49" i="8"/>
  <c r="F49" i="8"/>
  <c r="E49" i="8"/>
  <c r="D49" i="8"/>
  <c r="C49" i="8"/>
  <c r="I48" i="8"/>
  <c r="G48" i="8"/>
  <c r="F48" i="8"/>
  <c r="E48" i="8"/>
  <c r="D48" i="8"/>
  <c r="C48" i="8"/>
  <c r="I47" i="8"/>
  <c r="G47" i="8"/>
  <c r="F47" i="8"/>
  <c r="E47" i="8"/>
  <c r="D47" i="8"/>
  <c r="C47" i="8"/>
  <c r="G41" i="8"/>
  <c r="F41" i="8"/>
  <c r="E41" i="8"/>
  <c r="D41" i="8"/>
  <c r="C41" i="8"/>
  <c r="G37" i="8"/>
  <c r="F37" i="8"/>
  <c r="E37" i="8"/>
  <c r="D37" i="8"/>
  <c r="C37" i="8"/>
  <c r="G33" i="8"/>
  <c r="F33" i="8"/>
  <c r="E33" i="8"/>
  <c r="D33" i="8"/>
  <c r="C33" i="8"/>
  <c r="G29" i="8"/>
  <c r="F29" i="8"/>
  <c r="E29" i="8"/>
  <c r="D29" i="8"/>
  <c r="C29" i="8"/>
  <c r="G25" i="8"/>
  <c r="F25" i="8"/>
  <c r="E25" i="8"/>
  <c r="D25" i="8"/>
  <c r="C25" i="8"/>
  <c r="C20" i="8"/>
  <c r="C19" i="8"/>
  <c r="C18" i="8"/>
  <c r="C17" i="8"/>
  <c r="C16" i="8"/>
  <c r="C15" i="8"/>
  <c r="C14" i="8"/>
  <c r="C13" i="8"/>
  <c r="C12" i="8"/>
  <c r="C11" i="8"/>
  <c r="C10" i="8"/>
  <c r="C9" i="8"/>
  <c r="C8" i="8"/>
  <c r="C7" i="8"/>
  <c r="C6" i="8"/>
  <c r="P424" i="6"/>
  <c r="O424" i="6"/>
  <c r="N424" i="6"/>
  <c r="M424" i="6"/>
  <c r="L424" i="6"/>
  <c r="P423" i="6"/>
  <c r="O423" i="6"/>
  <c r="N423" i="6"/>
  <c r="M423" i="6"/>
  <c r="L423" i="6"/>
  <c r="P422" i="6"/>
  <c r="O422" i="6"/>
  <c r="N422" i="6"/>
  <c r="M422" i="6"/>
  <c r="L422" i="6"/>
  <c r="P421" i="6"/>
  <c r="O421" i="6"/>
  <c r="N421" i="6"/>
  <c r="M421" i="6"/>
  <c r="L421" i="6"/>
  <c r="P420" i="6"/>
  <c r="O420" i="6"/>
  <c r="N420" i="6"/>
  <c r="M420" i="6"/>
  <c r="L420" i="6"/>
  <c r="P419" i="6"/>
  <c r="O419" i="6"/>
  <c r="N419" i="6"/>
  <c r="M419" i="6"/>
  <c r="L419" i="6"/>
  <c r="P418" i="6"/>
  <c r="O418" i="6"/>
  <c r="N418" i="6"/>
  <c r="M418" i="6"/>
  <c r="L418" i="6"/>
  <c r="P417" i="6"/>
  <c r="O417" i="6"/>
  <c r="N417" i="6"/>
  <c r="M417" i="6"/>
  <c r="L417" i="6"/>
  <c r="P416" i="6"/>
  <c r="O416" i="6"/>
  <c r="N416" i="6"/>
  <c r="M416" i="6"/>
  <c r="L416" i="6"/>
  <c r="P415" i="6"/>
  <c r="O415" i="6"/>
  <c r="N415" i="6"/>
  <c r="M415" i="6"/>
  <c r="L415" i="6"/>
  <c r="P414" i="6"/>
  <c r="O414" i="6"/>
  <c r="N414" i="6"/>
  <c r="M414" i="6"/>
  <c r="L414" i="6"/>
  <c r="P413" i="6"/>
  <c r="O413" i="6"/>
  <c r="N413" i="6"/>
  <c r="M413" i="6"/>
  <c r="L413" i="6"/>
  <c r="P412" i="6"/>
  <c r="O412" i="6"/>
  <c r="N412" i="6"/>
  <c r="M412" i="6"/>
  <c r="L412" i="6"/>
  <c r="P411" i="6"/>
  <c r="O411" i="6"/>
  <c r="N411" i="6"/>
  <c r="M411" i="6"/>
  <c r="L411" i="6"/>
  <c r="P410" i="6"/>
  <c r="O410" i="6"/>
  <c r="N410" i="6"/>
  <c r="M410" i="6"/>
  <c r="L410" i="6"/>
  <c r="P409" i="6"/>
  <c r="O409" i="6"/>
  <c r="N409" i="6"/>
  <c r="M409" i="6"/>
  <c r="L409" i="6"/>
  <c r="P408" i="6"/>
  <c r="O408" i="6"/>
  <c r="N408" i="6"/>
  <c r="M408" i="6"/>
  <c r="L408" i="6"/>
  <c r="P407" i="6"/>
  <c r="O407" i="6"/>
  <c r="N407" i="6"/>
  <c r="M407" i="6"/>
  <c r="L407" i="6"/>
  <c r="P406" i="6"/>
  <c r="O406" i="6"/>
  <c r="N406" i="6"/>
  <c r="M406" i="6"/>
  <c r="L406" i="6"/>
  <c r="P405" i="6"/>
  <c r="O405" i="6"/>
  <c r="N405" i="6"/>
  <c r="M405" i="6"/>
  <c r="L405" i="6"/>
  <c r="P404" i="6"/>
  <c r="O404" i="6"/>
  <c r="N404" i="6"/>
  <c r="M404" i="6"/>
  <c r="L404" i="6"/>
  <c r="P403" i="6"/>
  <c r="O403" i="6"/>
  <c r="N403" i="6"/>
  <c r="M403" i="6"/>
  <c r="L403" i="6"/>
  <c r="P402" i="6"/>
  <c r="O402" i="6"/>
  <c r="N402" i="6"/>
  <c r="M402" i="6"/>
  <c r="L402" i="6"/>
  <c r="P401" i="6"/>
  <c r="O401" i="6"/>
  <c r="N401" i="6"/>
  <c r="M401" i="6"/>
  <c r="L401" i="6"/>
  <c r="P400" i="6"/>
  <c r="O400" i="6"/>
  <c r="N400" i="6"/>
  <c r="M400" i="6"/>
  <c r="L400" i="6"/>
  <c r="P399" i="6"/>
  <c r="O399" i="6"/>
  <c r="N399" i="6"/>
  <c r="M399" i="6"/>
  <c r="L399" i="6"/>
  <c r="P398" i="6"/>
  <c r="O398" i="6"/>
  <c r="N398" i="6"/>
  <c r="M398" i="6"/>
  <c r="L398" i="6"/>
  <c r="P397" i="6"/>
  <c r="O397" i="6"/>
  <c r="N397" i="6"/>
  <c r="M397" i="6"/>
  <c r="L397" i="6"/>
  <c r="P396" i="6"/>
  <c r="O396" i="6"/>
  <c r="N396" i="6"/>
  <c r="M396" i="6"/>
  <c r="L396" i="6"/>
  <c r="P395" i="6"/>
  <c r="O395" i="6"/>
  <c r="N395" i="6"/>
  <c r="M395" i="6"/>
  <c r="L395" i="6"/>
  <c r="P394" i="6"/>
  <c r="O394" i="6"/>
  <c r="N394" i="6"/>
  <c r="M394" i="6"/>
  <c r="L394" i="6"/>
  <c r="P393" i="6"/>
  <c r="O393" i="6"/>
  <c r="N393" i="6"/>
  <c r="M393" i="6"/>
  <c r="L393" i="6"/>
  <c r="P392" i="6"/>
  <c r="O392" i="6"/>
  <c r="N392" i="6"/>
  <c r="M392" i="6"/>
  <c r="L392" i="6"/>
  <c r="P391" i="6"/>
  <c r="O391" i="6"/>
  <c r="N391" i="6"/>
  <c r="M391" i="6"/>
  <c r="L391" i="6"/>
  <c r="P390" i="6"/>
  <c r="O390" i="6"/>
  <c r="N390" i="6"/>
  <c r="M390" i="6"/>
  <c r="L390" i="6"/>
  <c r="P389" i="6"/>
  <c r="O389" i="6"/>
  <c r="N389" i="6"/>
  <c r="M389" i="6"/>
  <c r="L389" i="6"/>
  <c r="P388" i="6"/>
  <c r="O388" i="6"/>
  <c r="N388" i="6"/>
  <c r="M388" i="6"/>
  <c r="L388" i="6"/>
  <c r="P387" i="6"/>
  <c r="O387" i="6"/>
  <c r="N387" i="6"/>
  <c r="M387" i="6"/>
  <c r="L387" i="6"/>
  <c r="P386" i="6"/>
  <c r="O386" i="6"/>
  <c r="N386" i="6"/>
  <c r="M386" i="6"/>
  <c r="L386" i="6"/>
  <c r="P385" i="6"/>
  <c r="O385" i="6"/>
  <c r="N385" i="6"/>
  <c r="M385" i="6"/>
  <c r="L385" i="6"/>
  <c r="P384" i="6"/>
  <c r="O384" i="6"/>
  <c r="N384" i="6"/>
  <c r="M384" i="6"/>
  <c r="L384" i="6"/>
  <c r="P383" i="6"/>
  <c r="O383" i="6"/>
  <c r="N383" i="6"/>
  <c r="M383" i="6"/>
  <c r="L383" i="6"/>
  <c r="P382" i="6"/>
  <c r="O382" i="6"/>
  <c r="N382" i="6"/>
  <c r="M382" i="6"/>
  <c r="L382" i="6"/>
  <c r="P381" i="6"/>
  <c r="O381" i="6"/>
  <c r="N381" i="6"/>
  <c r="M381" i="6"/>
  <c r="L381" i="6"/>
  <c r="P380" i="6"/>
  <c r="O380" i="6"/>
  <c r="N380" i="6"/>
  <c r="M380" i="6"/>
  <c r="L380" i="6"/>
  <c r="P379" i="6"/>
  <c r="O379" i="6"/>
  <c r="N379" i="6"/>
  <c r="M379" i="6"/>
  <c r="L379" i="6"/>
  <c r="P378" i="6"/>
  <c r="O378" i="6"/>
  <c r="N378" i="6"/>
  <c r="M378" i="6"/>
  <c r="L378" i="6"/>
  <c r="P377" i="6"/>
  <c r="O377" i="6"/>
  <c r="N377" i="6"/>
  <c r="M377" i="6"/>
  <c r="L377" i="6"/>
  <c r="P376" i="6"/>
  <c r="O376" i="6"/>
  <c r="N376" i="6"/>
  <c r="M376" i="6"/>
  <c r="L376" i="6"/>
  <c r="P375" i="6"/>
  <c r="O375" i="6"/>
  <c r="N375" i="6"/>
  <c r="M375" i="6"/>
  <c r="L375" i="6"/>
  <c r="P374" i="6"/>
  <c r="O374" i="6"/>
  <c r="N374" i="6"/>
  <c r="M374" i="6"/>
  <c r="L374" i="6"/>
  <c r="P373" i="6"/>
  <c r="O373" i="6"/>
  <c r="N373" i="6"/>
  <c r="M373" i="6"/>
  <c r="L373" i="6"/>
  <c r="P372" i="6"/>
  <c r="O372" i="6"/>
  <c r="N372" i="6"/>
  <c r="M372" i="6"/>
  <c r="L372" i="6"/>
  <c r="P371" i="6"/>
  <c r="O371" i="6"/>
  <c r="N371" i="6"/>
  <c r="M371" i="6"/>
  <c r="L371" i="6"/>
  <c r="P370" i="6"/>
  <c r="O370" i="6"/>
  <c r="N370" i="6"/>
  <c r="M370" i="6"/>
  <c r="L370" i="6"/>
  <c r="P369" i="6"/>
  <c r="O369" i="6"/>
  <c r="N369" i="6"/>
  <c r="M369" i="6"/>
  <c r="L369" i="6"/>
  <c r="P368" i="6"/>
  <c r="O368" i="6"/>
  <c r="N368" i="6"/>
  <c r="M368" i="6"/>
  <c r="L368" i="6"/>
  <c r="P367" i="6"/>
  <c r="O367" i="6"/>
  <c r="N367" i="6"/>
  <c r="M367" i="6"/>
  <c r="L367" i="6"/>
  <c r="P366" i="6"/>
  <c r="O366" i="6"/>
  <c r="N366" i="6"/>
  <c r="M366" i="6"/>
  <c r="L366" i="6"/>
  <c r="P365" i="6"/>
  <c r="O365" i="6"/>
  <c r="N365" i="6"/>
  <c r="M365" i="6"/>
  <c r="L365" i="6"/>
  <c r="P364" i="6"/>
  <c r="O364" i="6"/>
  <c r="N364" i="6"/>
  <c r="M364" i="6"/>
  <c r="L364" i="6"/>
  <c r="P363" i="6"/>
  <c r="O363" i="6"/>
  <c r="N363" i="6"/>
  <c r="M363" i="6"/>
  <c r="L363" i="6"/>
  <c r="P362" i="6"/>
  <c r="O362" i="6"/>
  <c r="N362" i="6"/>
  <c r="M362" i="6"/>
  <c r="L362" i="6"/>
  <c r="P361" i="6"/>
  <c r="O361" i="6"/>
  <c r="N361" i="6"/>
  <c r="M361" i="6"/>
  <c r="L361" i="6"/>
  <c r="P360" i="6"/>
  <c r="O360" i="6"/>
  <c r="N360" i="6"/>
  <c r="M360" i="6"/>
  <c r="L360" i="6"/>
  <c r="P359" i="6"/>
  <c r="O359" i="6"/>
  <c r="N359" i="6"/>
  <c r="M359" i="6"/>
  <c r="L359" i="6"/>
  <c r="P358" i="6"/>
  <c r="O358" i="6"/>
  <c r="N358" i="6"/>
  <c r="M358" i="6"/>
  <c r="L358" i="6"/>
  <c r="P357" i="6"/>
  <c r="O357" i="6"/>
  <c r="N357" i="6"/>
  <c r="M357" i="6"/>
  <c r="L357" i="6"/>
  <c r="P356" i="6"/>
  <c r="O356" i="6"/>
  <c r="N356" i="6"/>
  <c r="M356" i="6"/>
  <c r="L356" i="6"/>
  <c r="P355" i="6"/>
  <c r="O355" i="6"/>
  <c r="N355" i="6"/>
  <c r="M355" i="6"/>
  <c r="L355" i="6"/>
  <c r="P354" i="6"/>
  <c r="O354" i="6"/>
  <c r="N354" i="6"/>
  <c r="M354" i="6"/>
  <c r="L354" i="6"/>
  <c r="P353" i="6"/>
  <c r="O353" i="6"/>
  <c r="N353" i="6"/>
  <c r="M353" i="6"/>
  <c r="L353" i="6"/>
  <c r="P352" i="6"/>
  <c r="O352" i="6"/>
  <c r="N352" i="6"/>
  <c r="M352" i="6"/>
  <c r="L352" i="6"/>
  <c r="P351" i="6"/>
  <c r="O351" i="6"/>
  <c r="N351" i="6"/>
  <c r="M351" i="6"/>
  <c r="L351" i="6"/>
  <c r="P350" i="6"/>
  <c r="O350" i="6"/>
  <c r="N350" i="6"/>
  <c r="M350" i="6"/>
  <c r="L350" i="6"/>
  <c r="P349" i="6"/>
  <c r="O349" i="6"/>
  <c r="N349" i="6"/>
  <c r="M349" i="6"/>
  <c r="L349" i="6"/>
  <c r="P348" i="6"/>
  <c r="O348" i="6"/>
  <c r="N348" i="6"/>
  <c r="M348" i="6"/>
  <c r="L348" i="6"/>
  <c r="P347" i="6"/>
  <c r="O347" i="6"/>
  <c r="N347" i="6"/>
  <c r="M347" i="6"/>
  <c r="L347" i="6"/>
  <c r="P346" i="6"/>
  <c r="O346" i="6"/>
  <c r="N346" i="6"/>
  <c r="M346" i="6"/>
  <c r="L346" i="6"/>
  <c r="P345" i="6"/>
  <c r="O345" i="6"/>
  <c r="N345" i="6"/>
  <c r="M345" i="6"/>
  <c r="L345" i="6"/>
  <c r="P344" i="6"/>
  <c r="O344" i="6"/>
  <c r="N344" i="6"/>
  <c r="M344" i="6"/>
  <c r="L344" i="6"/>
  <c r="P343" i="6"/>
  <c r="O343" i="6"/>
  <c r="N343" i="6"/>
  <c r="M343" i="6"/>
  <c r="L343" i="6"/>
  <c r="P342" i="6"/>
  <c r="O342" i="6"/>
  <c r="N342" i="6"/>
  <c r="M342" i="6"/>
  <c r="L342" i="6"/>
  <c r="P341" i="6"/>
  <c r="O341" i="6"/>
  <c r="N341" i="6"/>
  <c r="M341" i="6"/>
  <c r="L341" i="6"/>
  <c r="P340" i="6"/>
  <c r="O340" i="6"/>
  <c r="N340" i="6"/>
  <c r="M340" i="6"/>
  <c r="L340" i="6"/>
  <c r="P339" i="6"/>
  <c r="O339" i="6"/>
  <c r="N339" i="6"/>
  <c r="M339" i="6"/>
  <c r="L339" i="6"/>
  <c r="P338" i="6"/>
  <c r="O338" i="6"/>
  <c r="N338" i="6"/>
  <c r="M338" i="6"/>
  <c r="L338" i="6"/>
  <c r="P337" i="6"/>
  <c r="O337" i="6"/>
  <c r="N337" i="6"/>
  <c r="M337" i="6"/>
  <c r="L337" i="6"/>
  <c r="P336" i="6"/>
  <c r="O336" i="6"/>
  <c r="N336" i="6"/>
  <c r="M336" i="6"/>
  <c r="L336" i="6"/>
  <c r="P335" i="6"/>
  <c r="O335" i="6"/>
  <c r="N335" i="6"/>
  <c r="M335" i="6"/>
  <c r="L335" i="6"/>
  <c r="P334" i="6"/>
  <c r="O334" i="6"/>
  <c r="N334" i="6"/>
  <c r="M334" i="6"/>
  <c r="L334" i="6"/>
  <c r="P333" i="6"/>
  <c r="O333" i="6"/>
  <c r="N333" i="6"/>
  <c r="M333" i="6"/>
  <c r="L333" i="6"/>
  <c r="P332" i="6"/>
  <c r="O332" i="6"/>
  <c r="N332" i="6"/>
  <c r="M332" i="6"/>
  <c r="L332" i="6"/>
  <c r="P331" i="6"/>
  <c r="O331" i="6"/>
  <c r="N331" i="6"/>
  <c r="M331" i="6"/>
  <c r="L331" i="6"/>
  <c r="P330" i="6"/>
  <c r="O330" i="6"/>
  <c r="N330" i="6"/>
  <c r="M330" i="6"/>
  <c r="L330" i="6"/>
  <c r="P329" i="6"/>
  <c r="O329" i="6"/>
  <c r="N329" i="6"/>
  <c r="M329" i="6"/>
  <c r="L329" i="6"/>
  <c r="P328" i="6"/>
  <c r="O328" i="6"/>
  <c r="N328" i="6"/>
  <c r="M328" i="6"/>
  <c r="L328" i="6"/>
  <c r="P327" i="6"/>
  <c r="O327" i="6"/>
  <c r="N327" i="6"/>
  <c r="M327" i="6"/>
  <c r="L327" i="6"/>
  <c r="P326" i="6"/>
  <c r="O326" i="6"/>
  <c r="N326" i="6"/>
  <c r="M326" i="6"/>
  <c r="L326" i="6"/>
  <c r="P325" i="6"/>
  <c r="O325" i="6"/>
  <c r="N325" i="6"/>
  <c r="M325" i="6"/>
  <c r="L325" i="6"/>
  <c r="P324" i="6"/>
  <c r="O324" i="6"/>
  <c r="N324" i="6"/>
  <c r="M324" i="6"/>
  <c r="L324" i="6"/>
  <c r="P323" i="6"/>
  <c r="O323" i="6"/>
  <c r="N323" i="6"/>
  <c r="M323" i="6"/>
  <c r="L323" i="6"/>
  <c r="P322" i="6"/>
  <c r="O322" i="6"/>
  <c r="N322" i="6"/>
  <c r="M322" i="6"/>
  <c r="L322" i="6"/>
  <c r="P321" i="6"/>
  <c r="O321" i="6"/>
  <c r="N321" i="6"/>
  <c r="M321" i="6"/>
  <c r="L321" i="6"/>
  <c r="P320" i="6"/>
  <c r="O320" i="6"/>
  <c r="N320" i="6"/>
  <c r="M320" i="6"/>
  <c r="L320" i="6"/>
  <c r="P319" i="6"/>
  <c r="O319" i="6"/>
  <c r="N319" i="6"/>
  <c r="M319" i="6"/>
  <c r="L319" i="6"/>
  <c r="P318" i="6"/>
  <c r="O318" i="6"/>
  <c r="N318" i="6"/>
  <c r="M318" i="6"/>
  <c r="L318" i="6"/>
  <c r="P317" i="6"/>
  <c r="O317" i="6"/>
  <c r="N317" i="6"/>
  <c r="M317" i="6"/>
  <c r="L317" i="6"/>
  <c r="P316" i="6"/>
  <c r="O316" i="6"/>
  <c r="N316" i="6"/>
  <c r="M316" i="6"/>
  <c r="L316" i="6"/>
  <c r="P315" i="6"/>
  <c r="O315" i="6"/>
  <c r="N315" i="6"/>
  <c r="M315" i="6"/>
  <c r="L315" i="6"/>
  <c r="P314" i="6"/>
  <c r="O314" i="6"/>
  <c r="N314" i="6"/>
  <c r="M314" i="6"/>
  <c r="L314" i="6"/>
  <c r="P313" i="6"/>
  <c r="O313" i="6"/>
  <c r="N313" i="6"/>
  <c r="M313" i="6"/>
  <c r="L313" i="6"/>
  <c r="P312" i="6"/>
  <c r="O312" i="6"/>
  <c r="N312" i="6"/>
  <c r="M312" i="6"/>
  <c r="L312" i="6"/>
  <c r="P311" i="6"/>
  <c r="O311" i="6"/>
  <c r="N311" i="6"/>
  <c r="M311" i="6"/>
  <c r="L311" i="6"/>
  <c r="P310" i="6"/>
  <c r="O310" i="6"/>
  <c r="N310" i="6"/>
  <c r="M310" i="6"/>
  <c r="L310" i="6"/>
  <c r="P309" i="6"/>
  <c r="O309" i="6"/>
  <c r="N309" i="6"/>
  <c r="M309" i="6"/>
  <c r="L309" i="6"/>
  <c r="P308" i="6"/>
  <c r="O308" i="6"/>
  <c r="N308" i="6"/>
  <c r="M308" i="6"/>
  <c r="L308" i="6"/>
  <c r="P307" i="6"/>
  <c r="O307" i="6"/>
  <c r="N307" i="6"/>
  <c r="M307" i="6"/>
  <c r="L307" i="6"/>
  <c r="P306" i="6"/>
  <c r="O306" i="6"/>
  <c r="N306" i="6"/>
  <c r="M306" i="6"/>
  <c r="L306" i="6"/>
  <c r="P305" i="6"/>
  <c r="O305" i="6"/>
  <c r="N305" i="6"/>
  <c r="M305" i="6"/>
  <c r="L305" i="6"/>
  <c r="P304" i="6"/>
  <c r="O304" i="6"/>
  <c r="N304" i="6"/>
  <c r="M304" i="6"/>
  <c r="L304" i="6"/>
  <c r="P303" i="6"/>
  <c r="O303" i="6"/>
  <c r="N303" i="6"/>
  <c r="M303" i="6"/>
  <c r="L303" i="6"/>
  <c r="P302" i="6"/>
  <c r="O302" i="6"/>
  <c r="N302" i="6"/>
  <c r="M302" i="6"/>
  <c r="L302" i="6"/>
  <c r="P301" i="6"/>
  <c r="O301" i="6"/>
  <c r="N301" i="6"/>
  <c r="M301" i="6"/>
  <c r="L301" i="6"/>
  <c r="P300" i="6"/>
  <c r="O300" i="6"/>
  <c r="N300" i="6"/>
  <c r="M300" i="6"/>
  <c r="L300" i="6"/>
  <c r="P299" i="6"/>
  <c r="O299" i="6"/>
  <c r="N299" i="6"/>
  <c r="M299" i="6"/>
  <c r="L299" i="6"/>
  <c r="P298" i="6"/>
  <c r="O298" i="6"/>
  <c r="N298" i="6"/>
  <c r="M298" i="6"/>
  <c r="L298" i="6"/>
  <c r="P297" i="6"/>
  <c r="O297" i="6"/>
  <c r="N297" i="6"/>
  <c r="M297" i="6"/>
  <c r="L297" i="6"/>
  <c r="P296" i="6"/>
  <c r="O296" i="6"/>
  <c r="N296" i="6"/>
  <c r="M296" i="6"/>
  <c r="L296" i="6"/>
  <c r="P295" i="6"/>
  <c r="O295" i="6"/>
  <c r="N295" i="6"/>
  <c r="M295" i="6"/>
  <c r="L295" i="6"/>
  <c r="P294" i="6"/>
  <c r="O294" i="6"/>
  <c r="N294" i="6"/>
  <c r="M294" i="6"/>
  <c r="L294" i="6"/>
  <c r="P293" i="6"/>
  <c r="O293" i="6"/>
  <c r="N293" i="6"/>
  <c r="M293" i="6"/>
  <c r="L293" i="6"/>
  <c r="P292" i="6"/>
  <c r="O292" i="6"/>
  <c r="N292" i="6"/>
  <c r="M292" i="6"/>
  <c r="L292" i="6"/>
  <c r="P291" i="6"/>
  <c r="O291" i="6"/>
  <c r="N291" i="6"/>
  <c r="M291" i="6"/>
  <c r="L291" i="6"/>
  <c r="P290" i="6"/>
  <c r="O290" i="6"/>
  <c r="N290" i="6"/>
  <c r="M290" i="6"/>
  <c r="L290" i="6"/>
  <c r="P289" i="6"/>
  <c r="O289" i="6"/>
  <c r="N289" i="6"/>
  <c r="M289" i="6"/>
  <c r="L289" i="6"/>
  <c r="P288" i="6"/>
  <c r="O288" i="6"/>
  <c r="N288" i="6"/>
  <c r="M288" i="6"/>
  <c r="L288" i="6"/>
  <c r="P287" i="6"/>
  <c r="O287" i="6"/>
  <c r="N287" i="6"/>
  <c r="M287" i="6"/>
  <c r="L287" i="6"/>
  <c r="P286" i="6"/>
  <c r="O286" i="6"/>
  <c r="N286" i="6"/>
  <c r="M286" i="6"/>
  <c r="L286" i="6"/>
  <c r="P285" i="6"/>
  <c r="O285" i="6"/>
  <c r="N285" i="6"/>
  <c r="M285" i="6"/>
  <c r="L285" i="6"/>
  <c r="P284" i="6"/>
  <c r="O284" i="6"/>
  <c r="N284" i="6"/>
  <c r="M284" i="6"/>
  <c r="L284" i="6"/>
  <c r="P283" i="6"/>
  <c r="O283" i="6"/>
  <c r="N283" i="6"/>
  <c r="M283" i="6"/>
  <c r="L283" i="6"/>
  <c r="P282" i="6"/>
  <c r="O282" i="6"/>
  <c r="N282" i="6"/>
  <c r="M282" i="6"/>
  <c r="L282" i="6"/>
  <c r="P281" i="6"/>
  <c r="O281" i="6"/>
  <c r="N281" i="6"/>
  <c r="M281" i="6"/>
  <c r="L281" i="6"/>
  <c r="P280" i="6"/>
  <c r="O280" i="6"/>
  <c r="N280" i="6"/>
  <c r="M280" i="6"/>
  <c r="L280" i="6"/>
  <c r="P279" i="6"/>
  <c r="O279" i="6"/>
  <c r="N279" i="6"/>
  <c r="M279" i="6"/>
  <c r="L279" i="6"/>
  <c r="P278" i="6"/>
  <c r="O278" i="6"/>
  <c r="N278" i="6"/>
  <c r="M278" i="6"/>
  <c r="L278" i="6"/>
  <c r="P277" i="6"/>
  <c r="O277" i="6"/>
  <c r="N277" i="6"/>
  <c r="M277" i="6"/>
  <c r="L277" i="6"/>
  <c r="P276" i="6"/>
  <c r="O276" i="6"/>
  <c r="N276" i="6"/>
  <c r="M276" i="6"/>
  <c r="L276" i="6"/>
  <c r="P275" i="6"/>
  <c r="O275" i="6"/>
  <c r="N275" i="6"/>
  <c r="M275" i="6"/>
  <c r="L275" i="6"/>
  <c r="P274" i="6"/>
  <c r="O274" i="6"/>
  <c r="N274" i="6"/>
  <c r="M274" i="6"/>
  <c r="L274" i="6"/>
  <c r="P273" i="6"/>
  <c r="O273" i="6"/>
  <c r="N273" i="6"/>
  <c r="M273" i="6"/>
  <c r="L273" i="6"/>
  <c r="P272" i="6"/>
  <c r="O272" i="6"/>
  <c r="N272" i="6"/>
  <c r="M272" i="6"/>
  <c r="L272" i="6"/>
  <c r="P271" i="6"/>
  <c r="O271" i="6"/>
  <c r="N271" i="6"/>
  <c r="M271" i="6"/>
  <c r="L271" i="6"/>
  <c r="P270" i="6"/>
  <c r="O270" i="6"/>
  <c r="N270" i="6"/>
  <c r="M270" i="6"/>
  <c r="L270" i="6"/>
  <c r="P269" i="6"/>
  <c r="O269" i="6"/>
  <c r="N269" i="6"/>
  <c r="M269" i="6"/>
  <c r="L269" i="6"/>
  <c r="P268" i="6"/>
  <c r="O268" i="6"/>
  <c r="N268" i="6"/>
  <c r="M268" i="6"/>
  <c r="L268" i="6"/>
  <c r="P267" i="6"/>
  <c r="O267" i="6"/>
  <c r="N267" i="6"/>
  <c r="M267" i="6"/>
  <c r="L267" i="6"/>
  <c r="P266" i="6"/>
  <c r="O266" i="6"/>
  <c r="N266" i="6"/>
  <c r="M266" i="6"/>
  <c r="L266" i="6"/>
  <c r="P265" i="6"/>
  <c r="O265" i="6"/>
  <c r="N265" i="6"/>
  <c r="M265" i="6"/>
  <c r="L265" i="6"/>
  <c r="P264" i="6"/>
  <c r="O264" i="6"/>
  <c r="N264" i="6"/>
  <c r="M264" i="6"/>
  <c r="L264" i="6"/>
  <c r="P263" i="6"/>
  <c r="O263" i="6"/>
  <c r="N263" i="6"/>
  <c r="M263" i="6"/>
  <c r="L263" i="6"/>
  <c r="P262" i="6"/>
  <c r="O262" i="6"/>
  <c r="N262" i="6"/>
  <c r="M262" i="6"/>
  <c r="L262" i="6"/>
  <c r="P261" i="6"/>
  <c r="O261" i="6"/>
  <c r="N261" i="6"/>
  <c r="M261" i="6"/>
  <c r="L261" i="6"/>
  <c r="P260" i="6"/>
  <c r="O260" i="6"/>
  <c r="N260" i="6"/>
  <c r="M260" i="6"/>
  <c r="L260" i="6"/>
  <c r="P259" i="6"/>
  <c r="O259" i="6"/>
  <c r="N259" i="6"/>
  <c r="M259" i="6"/>
  <c r="L259" i="6"/>
  <c r="P258" i="6"/>
  <c r="O258" i="6"/>
  <c r="N258" i="6"/>
  <c r="M258" i="6"/>
  <c r="L258" i="6"/>
  <c r="P257" i="6"/>
  <c r="O257" i="6"/>
  <c r="N257" i="6"/>
  <c r="M257" i="6"/>
  <c r="L257" i="6"/>
  <c r="P256" i="6"/>
  <c r="O256" i="6"/>
  <c r="N256" i="6"/>
  <c r="M256" i="6"/>
  <c r="L256" i="6"/>
  <c r="P255" i="6"/>
  <c r="O255" i="6"/>
  <c r="N255" i="6"/>
  <c r="M255" i="6"/>
  <c r="L255" i="6"/>
  <c r="P254" i="6"/>
  <c r="O254" i="6"/>
  <c r="N254" i="6"/>
  <c r="M254" i="6"/>
  <c r="L254" i="6"/>
  <c r="P253" i="6"/>
  <c r="O253" i="6"/>
  <c r="N253" i="6"/>
  <c r="M253" i="6"/>
  <c r="L253" i="6"/>
  <c r="P252" i="6"/>
  <c r="O252" i="6"/>
  <c r="N252" i="6"/>
  <c r="M252" i="6"/>
  <c r="L252" i="6"/>
  <c r="P251" i="6"/>
  <c r="O251" i="6"/>
  <c r="N251" i="6"/>
  <c r="M251" i="6"/>
  <c r="L251" i="6"/>
  <c r="P250" i="6"/>
  <c r="O250" i="6"/>
  <c r="N250" i="6"/>
  <c r="M250" i="6"/>
  <c r="L250" i="6"/>
  <c r="P249" i="6"/>
  <c r="O249" i="6"/>
  <c r="N249" i="6"/>
  <c r="M249" i="6"/>
  <c r="L249" i="6"/>
  <c r="P248" i="6"/>
  <c r="O248" i="6"/>
  <c r="N248" i="6"/>
  <c r="M248" i="6"/>
  <c r="L248" i="6"/>
  <c r="P247" i="6"/>
  <c r="O247" i="6"/>
  <c r="N247" i="6"/>
  <c r="M247" i="6"/>
  <c r="L247" i="6"/>
  <c r="P246" i="6"/>
  <c r="O246" i="6"/>
  <c r="N246" i="6"/>
  <c r="M246" i="6"/>
  <c r="L246" i="6"/>
  <c r="P245" i="6"/>
  <c r="O245" i="6"/>
  <c r="N245" i="6"/>
  <c r="M245" i="6"/>
  <c r="L245" i="6"/>
  <c r="P244" i="6"/>
  <c r="O244" i="6"/>
  <c r="N244" i="6"/>
  <c r="M244" i="6"/>
  <c r="L244" i="6"/>
  <c r="P243" i="6"/>
  <c r="O243" i="6"/>
  <c r="N243" i="6"/>
  <c r="M243" i="6"/>
  <c r="L243" i="6"/>
  <c r="P242" i="6"/>
  <c r="O242" i="6"/>
  <c r="N242" i="6"/>
  <c r="M242" i="6"/>
  <c r="L242" i="6"/>
  <c r="P241" i="6"/>
  <c r="O241" i="6"/>
  <c r="N241" i="6"/>
  <c r="M241" i="6"/>
  <c r="L241" i="6"/>
  <c r="P240" i="6"/>
  <c r="O240" i="6"/>
  <c r="N240" i="6"/>
  <c r="M240" i="6"/>
  <c r="L240" i="6"/>
  <c r="P239" i="6"/>
  <c r="O239" i="6"/>
  <c r="N239" i="6"/>
  <c r="M239" i="6"/>
  <c r="L239" i="6"/>
  <c r="P238" i="6"/>
  <c r="O238" i="6"/>
  <c r="N238" i="6"/>
  <c r="M238" i="6"/>
  <c r="L238" i="6"/>
  <c r="P237" i="6"/>
  <c r="O237" i="6"/>
  <c r="N237" i="6"/>
  <c r="M237" i="6"/>
  <c r="L237" i="6"/>
  <c r="P236" i="6"/>
  <c r="O236" i="6"/>
  <c r="N236" i="6"/>
  <c r="M236" i="6"/>
  <c r="L236" i="6"/>
  <c r="P235" i="6"/>
  <c r="O235" i="6"/>
  <c r="N235" i="6"/>
  <c r="M235" i="6"/>
  <c r="L235" i="6"/>
  <c r="P234" i="6"/>
  <c r="O234" i="6"/>
  <c r="N234" i="6"/>
  <c r="M234" i="6"/>
  <c r="L234" i="6"/>
  <c r="P233" i="6"/>
  <c r="O233" i="6"/>
  <c r="N233" i="6"/>
  <c r="M233" i="6"/>
  <c r="L233" i="6"/>
  <c r="P232" i="6"/>
  <c r="O232" i="6"/>
  <c r="N232" i="6"/>
  <c r="M232" i="6"/>
  <c r="L232" i="6"/>
  <c r="P231" i="6"/>
  <c r="O231" i="6"/>
  <c r="N231" i="6"/>
  <c r="M231" i="6"/>
  <c r="L231" i="6"/>
  <c r="P230" i="6"/>
  <c r="O230" i="6"/>
  <c r="N230" i="6"/>
  <c r="M230" i="6"/>
  <c r="L230" i="6"/>
  <c r="P229" i="6"/>
  <c r="O229" i="6"/>
  <c r="N229" i="6"/>
  <c r="M229" i="6"/>
  <c r="L229" i="6"/>
  <c r="P228" i="6"/>
  <c r="O228" i="6"/>
  <c r="N228" i="6"/>
  <c r="M228" i="6"/>
  <c r="L228" i="6"/>
  <c r="P227" i="6"/>
  <c r="O227" i="6"/>
  <c r="N227" i="6"/>
  <c r="M227" i="6"/>
  <c r="L227" i="6"/>
  <c r="P226" i="6"/>
  <c r="O226" i="6"/>
  <c r="N226" i="6"/>
  <c r="M226" i="6"/>
  <c r="L226" i="6"/>
  <c r="P225" i="6"/>
  <c r="O225" i="6"/>
  <c r="N225" i="6"/>
  <c r="M225" i="6"/>
  <c r="L225" i="6"/>
  <c r="P224" i="6"/>
  <c r="O224" i="6"/>
  <c r="N224" i="6"/>
  <c r="M224" i="6"/>
  <c r="L224" i="6"/>
  <c r="P223" i="6"/>
  <c r="O223" i="6"/>
  <c r="N223" i="6"/>
  <c r="M223" i="6"/>
  <c r="L223" i="6"/>
  <c r="P222" i="6"/>
  <c r="O222" i="6"/>
  <c r="N222" i="6"/>
  <c r="M222" i="6"/>
  <c r="L222" i="6"/>
  <c r="P221" i="6"/>
  <c r="O221" i="6"/>
  <c r="N221" i="6"/>
  <c r="M221" i="6"/>
  <c r="L221" i="6"/>
  <c r="P220" i="6"/>
  <c r="O220" i="6"/>
  <c r="N220" i="6"/>
  <c r="M220" i="6"/>
  <c r="L220" i="6"/>
  <c r="P219" i="6"/>
  <c r="O219" i="6"/>
  <c r="N219" i="6"/>
  <c r="M219" i="6"/>
  <c r="L219" i="6"/>
  <c r="P218" i="6"/>
  <c r="O218" i="6"/>
  <c r="N218" i="6"/>
  <c r="M218" i="6"/>
  <c r="L218" i="6"/>
  <c r="P217" i="6"/>
  <c r="O217" i="6"/>
  <c r="N217" i="6"/>
  <c r="M217" i="6"/>
  <c r="L217" i="6"/>
  <c r="P216" i="6"/>
  <c r="O216" i="6"/>
  <c r="N216" i="6"/>
  <c r="M216" i="6"/>
  <c r="L216" i="6"/>
  <c r="P215" i="6"/>
  <c r="O215" i="6"/>
  <c r="N215" i="6"/>
  <c r="M215" i="6"/>
  <c r="L215" i="6"/>
  <c r="P214" i="6"/>
  <c r="O214" i="6"/>
  <c r="N214" i="6"/>
  <c r="M214" i="6"/>
  <c r="L214" i="6"/>
  <c r="P213" i="6"/>
  <c r="O213" i="6"/>
  <c r="N213" i="6"/>
  <c r="M213" i="6"/>
  <c r="L213" i="6"/>
  <c r="P212" i="6"/>
  <c r="O212" i="6"/>
  <c r="N212" i="6"/>
  <c r="M212" i="6"/>
  <c r="L212" i="6"/>
  <c r="P211" i="6"/>
  <c r="O211" i="6"/>
  <c r="N211" i="6"/>
  <c r="M211" i="6"/>
  <c r="L211" i="6"/>
  <c r="P210" i="6"/>
  <c r="O210" i="6"/>
  <c r="N210" i="6"/>
  <c r="M210" i="6"/>
  <c r="L210" i="6"/>
  <c r="P209" i="6"/>
  <c r="O209" i="6"/>
  <c r="N209" i="6"/>
  <c r="M209" i="6"/>
  <c r="L209" i="6"/>
  <c r="P208" i="6"/>
  <c r="O208" i="6"/>
  <c r="N208" i="6"/>
  <c r="M208" i="6"/>
  <c r="L208" i="6"/>
  <c r="P207" i="6"/>
  <c r="O207" i="6"/>
  <c r="N207" i="6"/>
  <c r="M207" i="6"/>
  <c r="L207" i="6"/>
  <c r="P206" i="6"/>
  <c r="O206" i="6"/>
  <c r="N206" i="6"/>
  <c r="M206" i="6"/>
  <c r="L206" i="6"/>
  <c r="P205" i="6"/>
  <c r="O205" i="6"/>
  <c r="N205" i="6"/>
  <c r="M205" i="6"/>
  <c r="L205" i="6"/>
  <c r="P204" i="6"/>
  <c r="O204" i="6"/>
  <c r="N204" i="6"/>
  <c r="M204" i="6"/>
  <c r="L204" i="6"/>
  <c r="P203" i="6"/>
  <c r="O203" i="6"/>
  <c r="N203" i="6"/>
  <c r="M203" i="6"/>
  <c r="L203" i="6"/>
  <c r="P202" i="6"/>
  <c r="O202" i="6"/>
  <c r="N202" i="6"/>
  <c r="M202" i="6"/>
  <c r="L202" i="6"/>
  <c r="P201" i="6"/>
  <c r="O201" i="6"/>
  <c r="N201" i="6"/>
  <c r="M201" i="6"/>
  <c r="L201" i="6"/>
  <c r="P200" i="6"/>
  <c r="O200" i="6"/>
  <c r="N200" i="6"/>
  <c r="M200" i="6"/>
  <c r="L200" i="6"/>
  <c r="P199" i="6"/>
  <c r="O199" i="6"/>
  <c r="N199" i="6"/>
  <c r="M199" i="6"/>
  <c r="L199" i="6"/>
  <c r="P198" i="6"/>
  <c r="O198" i="6"/>
  <c r="N198" i="6"/>
  <c r="M198" i="6"/>
  <c r="L198" i="6"/>
  <c r="P197" i="6"/>
  <c r="O197" i="6"/>
  <c r="N197" i="6"/>
  <c r="M197" i="6"/>
  <c r="L197" i="6"/>
  <c r="P196" i="6"/>
  <c r="O196" i="6"/>
  <c r="N196" i="6"/>
  <c r="M196" i="6"/>
  <c r="L196" i="6"/>
  <c r="P195" i="6"/>
  <c r="O195" i="6"/>
  <c r="N195" i="6"/>
  <c r="M195" i="6"/>
  <c r="L195" i="6"/>
  <c r="P194" i="6"/>
  <c r="O194" i="6"/>
  <c r="N194" i="6"/>
  <c r="M194" i="6"/>
  <c r="L194" i="6"/>
  <c r="P193" i="6"/>
  <c r="O193" i="6"/>
  <c r="N193" i="6"/>
  <c r="M193" i="6"/>
  <c r="L193" i="6"/>
  <c r="P192" i="6"/>
  <c r="O192" i="6"/>
  <c r="N192" i="6"/>
  <c r="M192" i="6"/>
  <c r="L192" i="6"/>
  <c r="P191" i="6"/>
  <c r="O191" i="6"/>
  <c r="N191" i="6"/>
  <c r="M191" i="6"/>
  <c r="L191" i="6"/>
  <c r="P190" i="6"/>
  <c r="O190" i="6"/>
  <c r="N190" i="6"/>
  <c r="M190" i="6"/>
  <c r="L190" i="6"/>
  <c r="P189" i="6"/>
  <c r="O189" i="6"/>
  <c r="N189" i="6"/>
  <c r="M189" i="6"/>
  <c r="L189" i="6"/>
  <c r="P188" i="6"/>
  <c r="O188" i="6"/>
  <c r="N188" i="6"/>
  <c r="M188" i="6"/>
  <c r="L188" i="6"/>
  <c r="P187" i="6"/>
  <c r="O187" i="6"/>
  <c r="N187" i="6"/>
  <c r="M187" i="6"/>
  <c r="L187" i="6"/>
  <c r="P186" i="6"/>
  <c r="O186" i="6"/>
  <c r="N186" i="6"/>
  <c r="M186" i="6"/>
  <c r="L186" i="6"/>
  <c r="P185" i="6"/>
  <c r="O185" i="6"/>
  <c r="N185" i="6"/>
  <c r="M185" i="6"/>
  <c r="L185" i="6"/>
  <c r="P184" i="6"/>
  <c r="O184" i="6"/>
  <c r="N184" i="6"/>
  <c r="M184" i="6"/>
  <c r="L184" i="6"/>
  <c r="P183" i="6"/>
  <c r="O183" i="6"/>
  <c r="N183" i="6"/>
  <c r="M183" i="6"/>
  <c r="L183" i="6"/>
  <c r="P182" i="6"/>
  <c r="O182" i="6"/>
  <c r="N182" i="6"/>
  <c r="M182" i="6"/>
  <c r="L182" i="6"/>
  <c r="P181" i="6"/>
  <c r="O181" i="6"/>
  <c r="N181" i="6"/>
  <c r="M181" i="6"/>
  <c r="L181" i="6"/>
  <c r="P180" i="6"/>
  <c r="O180" i="6"/>
  <c r="N180" i="6"/>
  <c r="M180" i="6"/>
  <c r="L180" i="6"/>
  <c r="P179" i="6"/>
  <c r="O179" i="6"/>
  <c r="N179" i="6"/>
  <c r="M179" i="6"/>
  <c r="L179" i="6"/>
  <c r="P178" i="6"/>
  <c r="O178" i="6"/>
  <c r="N178" i="6"/>
  <c r="M178" i="6"/>
  <c r="L178" i="6"/>
  <c r="P177" i="6"/>
  <c r="O177" i="6"/>
  <c r="N177" i="6"/>
  <c r="M177" i="6"/>
  <c r="L177" i="6"/>
  <c r="P176" i="6"/>
  <c r="O176" i="6"/>
  <c r="N176" i="6"/>
  <c r="M176" i="6"/>
  <c r="L176" i="6"/>
  <c r="P175" i="6"/>
  <c r="O175" i="6"/>
  <c r="N175" i="6"/>
  <c r="M175" i="6"/>
  <c r="L175" i="6"/>
  <c r="P174" i="6"/>
  <c r="O174" i="6"/>
  <c r="N174" i="6"/>
  <c r="M174" i="6"/>
  <c r="L174" i="6"/>
  <c r="P173" i="6"/>
  <c r="O173" i="6"/>
  <c r="N173" i="6"/>
  <c r="M173" i="6"/>
  <c r="L173" i="6"/>
  <c r="P172" i="6"/>
  <c r="O172" i="6"/>
  <c r="N172" i="6"/>
  <c r="M172" i="6"/>
  <c r="L172" i="6"/>
  <c r="P171" i="6"/>
  <c r="O171" i="6"/>
  <c r="N171" i="6"/>
  <c r="M171" i="6"/>
  <c r="L171" i="6"/>
  <c r="P170" i="6"/>
  <c r="O170" i="6"/>
  <c r="N170" i="6"/>
  <c r="M170" i="6"/>
  <c r="L170" i="6"/>
  <c r="P169" i="6"/>
  <c r="O169" i="6"/>
  <c r="N169" i="6"/>
  <c r="M169" i="6"/>
  <c r="L169" i="6"/>
  <c r="P168" i="6"/>
  <c r="O168" i="6"/>
  <c r="N168" i="6"/>
  <c r="M168" i="6"/>
  <c r="L168" i="6"/>
  <c r="P167" i="6"/>
  <c r="O167" i="6"/>
  <c r="N167" i="6"/>
  <c r="M167" i="6"/>
  <c r="L167" i="6"/>
  <c r="P166" i="6"/>
  <c r="O166" i="6"/>
  <c r="N166" i="6"/>
  <c r="M166" i="6"/>
  <c r="L166" i="6"/>
  <c r="P165" i="6"/>
  <c r="O165" i="6"/>
  <c r="N165" i="6"/>
  <c r="M165" i="6"/>
  <c r="L165" i="6"/>
  <c r="P164" i="6"/>
  <c r="O164" i="6"/>
  <c r="N164" i="6"/>
  <c r="M164" i="6"/>
  <c r="L164" i="6"/>
  <c r="P163" i="6"/>
  <c r="O163" i="6"/>
  <c r="N163" i="6"/>
  <c r="M163" i="6"/>
  <c r="L163" i="6"/>
  <c r="P162" i="6"/>
  <c r="O162" i="6"/>
  <c r="N162" i="6"/>
  <c r="M162" i="6"/>
  <c r="L162" i="6"/>
  <c r="P161" i="6"/>
  <c r="O161" i="6"/>
  <c r="N161" i="6"/>
  <c r="M161" i="6"/>
  <c r="L161" i="6"/>
  <c r="P160" i="6"/>
  <c r="O160" i="6"/>
  <c r="N160" i="6"/>
  <c r="M160" i="6"/>
  <c r="L160" i="6"/>
  <c r="P159" i="6"/>
  <c r="O159" i="6"/>
  <c r="N159" i="6"/>
  <c r="M159" i="6"/>
  <c r="L159" i="6"/>
  <c r="P158" i="6"/>
  <c r="O158" i="6"/>
  <c r="N158" i="6"/>
  <c r="M158" i="6"/>
  <c r="L158" i="6"/>
  <c r="P157" i="6"/>
  <c r="O157" i="6"/>
  <c r="N157" i="6"/>
  <c r="M157" i="6"/>
  <c r="L157" i="6"/>
  <c r="P156" i="6"/>
  <c r="O156" i="6"/>
  <c r="N156" i="6"/>
  <c r="M156" i="6"/>
  <c r="L156" i="6"/>
  <c r="P155" i="6"/>
  <c r="O155" i="6"/>
  <c r="N155" i="6"/>
  <c r="M155" i="6"/>
  <c r="L155" i="6"/>
  <c r="P154" i="6"/>
  <c r="O154" i="6"/>
  <c r="N154" i="6"/>
  <c r="M154" i="6"/>
  <c r="L154" i="6"/>
  <c r="P153" i="6"/>
  <c r="O153" i="6"/>
  <c r="N153" i="6"/>
  <c r="M153" i="6"/>
  <c r="L153" i="6"/>
  <c r="P152" i="6"/>
  <c r="O152" i="6"/>
  <c r="N152" i="6"/>
  <c r="M152" i="6"/>
  <c r="L152" i="6"/>
  <c r="P151" i="6"/>
  <c r="O151" i="6"/>
  <c r="N151" i="6"/>
  <c r="M151" i="6"/>
  <c r="L151" i="6"/>
  <c r="P150" i="6"/>
  <c r="O150" i="6"/>
  <c r="N150" i="6"/>
  <c r="M150" i="6"/>
  <c r="L150" i="6"/>
  <c r="P149" i="6"/>
  <c r="O149" i="6"/>
  <c r="N149" i="6"/>
  <c r="M149" i="6"/>
  <c r="L149" i="6"/>
  <c r="P148" i="6"/>
  <c r="O148" i="6"/>
  <c r="N148" i="6"/>
  <c r="M148" i="6"/>
  <c r="L148" i="6"/>
  <c r="P147" i="6"/>
  <c r="O147" i="6"/>
  <c r="N147" i="6"/>
  <c r="M147" i="6"/>
  <c r="L147" i="6"/>
  <c r="P146" i="6"/>
  <c r="O146" i="6"/>
  <c r="N146" i="6"/>
  <c r="M146" i="6"/>
  <c r="L146" i="6"/>
  <c r="P145" i="6"/>
  <c r="O145" i="6"/>
  <c r="N145" i="6"/>
  <c r="M145" i="6"/>
  <c r="L145" i="6"/>
  <c r="P144" i="6"/>
  <c r="O144" i="6"/>
  <c r="N144" i="6"/>
  <c r="M144" i="6"/>
  <c r="L144" i="6"/>
  <c r="P143" i="6"/>
  <c r="O143" i="6"/>
  <c r="N143" i="6"/>
  <c r="M143" i="6"/>
  <c r="L143" i="6"/>
  <c r="P142" i="6"/>
  <c r="O142" i="6"/>
  <c r="N142" i="6"/>
  <c r="M142" i="6"/>
  <c r="L142" i="6"/>
  <c r="P141" i="6"/>
  <c r="O141" i="6"/>
  <c r="N141" i="6"/>
  <c r="M141" i="6"/>
  <c r="L141" i="6"/>
  <c r="P140" i="6"/>
  <c r="O140" i="6"/>
  <c r="N140" i="6"/>
  <c r="M140" i="6"/>
  <c r="L140" i="6"/>
  <c r="P139" i="6"/>
  <c r="O139" i="6"/>
  <c r="N139" i="6"/>
  <c r="M139" i="6"/>
  <c r="L139" i="6"/>
  <c r="P138" i="6"/>
  <c r="O138" i="6"/>
  <c r="N138" i="6"/>
  <c r="M138" i="6"/>
  <c r="L138" i="6"/>
  <c r="P137" i="6"/>
  <c r="O137" i="6"/>
  <c r="N137" i="6"/>
  <c r="M137" i="6"/>
  <c r="L137" i="6"/>
  <c r="P136" i="6"/>
  <c r="O136" i="6"/>
  <c r="N136" i="6"/>
  <c r="M136" i="6"/>
  <c r="L136" i="6"/>
  <c r="P135" i="6"/>
  <c r="O135" i="6"/>
  <c r="N135" i="6"/>
  <c r="M135" i="6"/>
  <c r="L135" i="6"/>
  <c r="P134" i="6"/>
  <c r="O134" i="6"/>
  <c r="N134" i="6"/>
  <c r="M134" i="6"/>
  <c r="L134" i="6"/>
  <c r="P133" i="6"/>
  <c r="O133" i="6"/>
  <c r="N133" i="6"/>
  <c r="M133" i="6"/>
  <c r="L133" i="6"/>
  <c r="P132" i="6"/>
  <c r="O132" i="6"/>
  <c r="N132" i="6"/>
  <c r="M132" i="6"/>
  <c r="L132" i="6"/>
  <c r="P131" i="6"/>
  <c r="O131" i="6"/>
  <c r="N131" i="6"/>
  <c r="M131" i="6"/>
  <c r="L131" i="6"/>
  <c r="P130" i="6"/>
  <c r="O130" i="6"/>
  <c r="N130" i="6"/>
  <c r="M130" i="6"/>
  <c r="L130" i="6"/>
  <c r="P129" i="6"/>
  <c r="O129" i="6"/>
  <c r="N129" i="6"/>
  <c r="M129" i="6"/>
  <c r="L129" i="6"/>
  <c r="P128" i="6"/>
  <c r="O128" i="6"/>
  <c r="N128" i="6"/>
  <c r="M128" i="6"/>
  <c r="L128" i="6"/>
  <c r="P127" i="6"/>
  <c r="O127" i="6"/>
  <c r="N127" i="6"/>
  <c r="M127" i="6"/>
  <c r="L127" i="6"/>
  <c r="P126" i="6"/>
  <c r="O126" i="6"/>
  <c r="N126" i="6"/>
  <c r="M126" i="6"/>
  <c r="L126" i="6"/>
  <c r="P125" i="6"/>
  <c r="O125" i="6"/>
  <c r="N125" i="6"/>
  <c r="M125" i="6"/>
  <c r="L125" i="6"/>
  <c r="P124" i="6"/>
  <c r="O124" i="6"/>
  <c r="N124" i="6"/>
  <c r="M124" i="6"/>
  <c r="L124" i="6"/>
  <c r="P123" i="6"/>
  <c r="O123" i="6"/>
  <c r="N123" i="6"/>
  <c r="M123" i="6"/>
  <c r="L123" i="6"/>
  <c r="P122" i="6"/>
  <c r="O122" i="6"/>
  <c r="N122" i="6"/>
  <c r="M122" i="6"/>
  <c r="L122" i="6"/>
  <c r="P121" i="6"/>
  <c r="O121" i="6"/>
  <c r="N121" i="6"/>
  <c r="M121" i="6"/>
  <c r="L121" i="6"/>
  <c r="P120" i="6"/>
  <c r="O120" i="6"/>
  <c r="N120" i="6"/>
  <c r="M120" i="6"/>
  <c r="L120" i="6"/>
  <c r="P119" i="6"/>
  <c r="O119" i="6"/>
  <c r="N119" i="6"/>
  <c r="M119" i="6"/>
  <c r="L119" i="6"/>
  <c r="P118" i="6"/>
  <c r="O118" i="6"/>
  <c r="N118" i="6"/>
  <c r="M118" i="6"/>
  <c r="L118" i="6"/>
  <c r="P117" i="6"/>
  <c r="O117" i="6"/>
  <c r="N117" i="6"/>
  <c r="M117" i="6"/>
  <c r="L117" i="6"/>
  <c r="P116" i="6"/>
  <c r="O116" i="6"/>
  <c r="N116" i="6"/>
  <c r="M116" i="6"/>
  <c r="L116" i="6"/>
  <c r="P115" i="6"/>
  <c r="O115" i="6"/>
  <c r="N115" i="6"/>
  <c r="M115" i="6"/>
  <c r="L115" i="6"/>
  <c r="P114" i="6"/>
  <c r="O114" i="6"/>
  <c r="N114" i="6"/>
  <c r="M114" i="6"/>
  <c r="L114" i="6"/>
  <c r="P113" i="6"/>
  <c r="O113" i="6"/>
  <c r="N113" i="6"/>
  <c r="M113" i="6"/>
  <c r="L113" i="6"/>
  <c r="P112" i="6"/>
  <c r="O112" i="6"/>
  <c r="N112" i="6"/>
  <c r="M112" i="6"/>
  <c r="L112" i="6"/>
  <c r="P111" i="6"/>
  <c r="O111" i="6"/>
  <c r="N111" i="6"/>
  <c r="M111" i="6"/>
  <c r="L111" i="6"/>
  <c r="P110" i="6"/>
  <c r="O110" i="6"/>
  <c r="N110" i="6"/>
  <c r="M110" i="6"/>
  <c r="L110" i="6"/>
  <c r="P109" i="6"/>
  <c r="O109" i="6"/>
  <c r="N109" i="6"/>
  <c r="M109" i="6"/>
  <c r="L109" i="6"/>
  <c r="P108" i="6"/>
  <c r="O108" i="6"/>
  <c r="N108" i="6"/>
  <c r="M108" i="6"/>
  <c r="L108" i="6"/>
  <c r="P107" i="6"/>
  <c r="O107" i="6"/>
  <c r="N107" i="6"/>
  <c r="M107" i="6"/>
  <c r="L107" i="6"/>
  <c r="P106" i="6"/>
  <c r="O106" i="6"/>
  <c r="N106" i="6"/>
  <c r="M106" i="6"/>
  <c r="L106" i="6"/>
  <c r="P105" i="6"/>
  <c r="O105" i="6"/>
  <c r="N105" i="6"/>
  <c r="M105" i="6"/>
  <c r="L105" i="6"/>
  <c r="P104" i="6"/>
  <c r="O104" i="6"/>
  <c r="N104" i="6"/>
  <c r="M104" i="6"/>
  <c r="L104" i="6"/>
  <c r="P103" i="6"/>
  <c r="O103" i="6"/>
  <c r="N103" i="6"/>
  <c r="M103" i="6"/>
  <c r="L103" i="6"/>
  <c r="P102" i="6"/>
  <c r="O102" i="6"/>
  <c r="N102" i="6"/>
  <c r="M102" i="6"/>
  <c r="L102" i="6"/>
  <c r="P101" i="6"/>
  <c r="O101" i="6"/>
  <c r="N101" i="6"/>
  <c r="M101" i="6"/>
  <c r="L101" i="6"/>
  <c r="P100" i="6"/>
  <c r="O100" i="6"/>
  <c r="N100" i="6"/>
  <c r="M100" i="6"/>
  <c r="L100" i="6"/>
  <c r="P99" i="6"/>
  <c r="O99" i="6"/>
  <c r="N99" i="6"/>
  <c r="M99" i="6"/>
  <c r="L99" i="6"/>
  <c r="P98" i="6"/>
  <c r="O98" i="6"/>
  <c r="N98" i="6"/>
  <c r="M98" i="6"/>
  <c r="L98" i="6"/>
  <c r="P97" i="6"/>
  <c r="O97" i="6"/>
  <c r="N97" i="6"/>
  <c r="M97" i="6"/>
  <c r="L97" i="6"/>
  <c r="P96" i="6"/>
  <c r="O96" i="6"/>
  <c r="N96" i="6"/>
  <c r="M96" i="6"/>
  <c r="L96" i="6"/>
  <c r="P95" i="6"/>
  <c r="O95" i="6"/>
  <c r="N95" i="6"/>
  <c r="M95" i="6"/>
  <c r="L95" i="6"/>
  <c r="P94" i="6"/>
  <c r="O94" i="6"/>
  <c r="N94" i="6"/>
  <c r="M94" i="6"/>
  <c r="L94" i="6"/>
  <c r="P93" i="6"/>
  <c r="O93" i="6"/>
  <c r="N93" i="6"/>
  <c r="M93" i="6"/>
  <c r="L93" i="6"/>
  <c r="P92" i="6"/>
  <c r="O92" i="6"/>
  <c r="N92" i="6"/>
  <c r="M92" i="6"/>
  <c r="L92" i="6"/>
  <c r="P91" i="6"/>
  <c r="O91" i="6"/>
  <c r="N91" i="6"/>
  <c r="M91" i="6"/>
  <c r="L91" i="6"/>
  <c r="P90" i="6"/>
  <c r="O90" i="6"/>
  <c r="N90" i="6"/>
  <c r="M90" i="6"/>
  <c r="L90" i="6"/>
  <c r="P89" i="6"/>
  <c r="O89" i="6"/>
  <c r="N89" i="6"/>
  <c r="M89" i="6"/>
  <c r="L89" i="6"/>
  <c r="P88" i="6"/>
  <c r="O88" i="6"/>
  <c r="N88" i="6"/>
  <c r="M88" i="6"/>
  <c r="L88" i="6"/>
  <c r="P87" i="6"/>
  <c r="O87" i="6"/>
  <c r="N87" i="6"/>
  <c r="M87" i="6"/>
  <c r="L87" i="6"/>
  <c r="P86" i="6"/>
  <c r="O86" i="6"/>
  <c r="N86" i="6"/>
  <c r="M86" i="6"/>
  <c r="L86" i="6"/>
  <c r="P85" i="6"/>
  <c r="O85" i="6"/>
  <c r="N85" i="6"/>
  <c r="M85" i="6"/>
  <c r="L85" i="6"/>
  <c r="P84" i="6"/>
  <c r="O84" i="6"/>
  <c r="N84" i="6"/>
  <c r="M84" i="6"/>
  <c r="L84" i="6"/>
  <c r="P83" i="6"/>
  <c r="O83" i="6"/>
  <c r="N83" i="6"/>
  <c r="M83" i="6"/>
  <c r="L83" i="6"/>
  <c r="P82" i="6"/>
  <c r="O82" i="6"/>
  <c r="N82" i="6"/>
  <c r="M82" i="6"/>
  <c r="L82" i="6"/>
  <c r="P81" i="6"/>
  <c r="O81" i="6"/>
  <c r="N81" i="6"/>
  <c r="M81" i="6"/>
  <c r="L81" i="6"/>
  <c r="P80" i="6"/>
  <c r="O80" i="6"/>
  <c r="N80" i="6"/>
  <c r="M80" i="6"/>
  <c r="L80" i="6"/>
  <c r="P79" i="6"/>
  <c r="O79" i="6"/>
  <c r="N79" i="6"/>
  <c r="M79" i="6"/>
  <c r="L79" i="6"/>
  <c r="P78" i="6"/>
  <c r="O78" i="6"/>
  <c r="N78" i="6"/>
  <c r="M78" i="6"/>
  <c r="L78" i="6"/>
  <c r="P77" i="6"/>
  <c r="O77" i="6"/>
  <c r="N77" i="6"/>
  <c r="M77" i="6"/>
  <c r="L77" i="6"/>
  <c r="P76" i="6"/>
  <c r="O76" i="6"/>
  <c r="N76" i="6"/>
  <c r="M76" i="6"/>
  <c r="L76" i="6"/>
  <c r="P75" i="6"/>
  <c r="O75" i="6"/>
  <c r="N75" i="6"/>
  <c r="M75" i="6"/>
  <c r="L75" i="6"/>
  <c r="P74" i="6"/>
  <c r="O74" i="6"/>
  <c r="N74" i="6"/>
  <c r="M74" i="6"/>
  <c r="L74" i="6"/>
  <c r="P73" i="6"/>
  <c r="O73" i="6"/>
  <c r="N73" i="6"/>
  <c r="M73" i="6"/>
  <c r="L73" i="6"/>
  <c r="P72" i="6"/>
  <c r="O72" i="6"/>
  <c r="N72" i="6"/>
  <c r="M72" i="6"/>
  <c r="L72" i="6"/>
  <c r="P71" i="6"/>
  <c r="O71" i="6"/>
  <c r="N71" i="6"/>
  <c r="M71" i="6"/>
  <c r="L71" i="6"/>
  <c r="P70" i="6"/>
  <c r="O70" i="6"/>
  <c r="N70" i="6"/>
  <c r="M70" i="6"/>
  <c r="L70" i="6"/>
  <c r="P69" i="6"/>
  <c r="O69" i="6"/>
  <c r="N69" i="6"/>
  <c r="M69" i="6"/>
  <c r="L69" i="6"/>
  <c r="P68" i="6"/>
  <c r="O68" i="6"/>
  <c r="N68" i="6"/>
  <c r="M68" i="6"/>
  <c r="L68" i="6"/>
  <c r="P67" i="6"/>
  <c r="O67" i="6"/>
  <c r="N67" i="6"/>
  <c r="M67" i="6"/>
  <c r="L67" i="6"/>
  <c r="P66" i="6"/>
  <c r="O66" i="6"/>
  <c r="N66" i="6"/>
  <c r="M66" i="6"/>
  <c r="L66" i="6"/>
  <c r="P65" i="6"/>
  <c r="O65" i="6"/>
  <c r="N65" i="6"/>
  <c r="M65" i="6"/>
  <c r="L65" i="6"/>
  <c r="P64" i="6"/>
  <c r="O64" i="6"/>
  <c r="N64" i="6"/>
  <c r="M64" i="6"/>
  <c r="L64" i="6"/>
  <c r="P63" i="6"/>
  <c r="O63" i="6"/>
  <c r="N63" i="6"/>
  <c r="M63" i="6"/>
  <c r="L63" i="6"/>
  <c r="P62" i="6"/>
  <c r="O62" i="6"/>
  <c r="N62" i="6"/>
  <c r="M62" i="6"/>
  <c r="L62" i="6"/>
  <c r="P61" i="6"/>
  <c r="O61" i="6"/>
  <c r="N61" i="6"/>
  <c r="M61" i="6"/>
  <c r="L61" i="6"/>
  <c r="P60" i="6"/>
  <c r="O60" i="6"/>
  <c r="N60" i="6"/>
  <c r="M60" i="6"/>
  <c r="L60" i="6"/>
  <c r="P59" i="6"/>
  <c r="O59" i="6"/>
  <c r="N59" i="6"/>
  <c r="M59" i="6"/>
  <c r="L59" i="6"/>
  <c r="P58" i="6"/>
  <c r="O58" i="6"/>
  <c r="N58" i="6"/>
  <c r="M58" i="6"/>
  <c r="L58" i="6"/>
  <c r="P57" i="6"/>
  <c r="O57" i="6"/>
  <c r="N57" i="6"/>
  <c r="M57" i="6"/>
  <c r="L57" i="6"/>
  <c r="P56" i="6"/>
  <c r="O56" i="6"/>
  <c r="N56" i="6"/>
  <c r="M56" i="6"/>
  <c r="L56" i="6"/>
  <c r="P55" i="6"/>
  <c r="O55" i="6"/>
  <c r="N55" i="6"/>
  <c r="M55" i="6"/>
  <c r="L55" i="6"/>
  <c r="P54" i="6"/>
  <c r="O54" i="6"/>
  <c r="N54" i="6"/>
  <c r="M54" i="6"/>
  <c r="L54" i="6"/>
  <c r="P53" i="6"/>
  <c r="O53" i="6"/>
  <c r="N53" i="6"/>
  <c r="M53" i="6"/>
  <c r="L53" i="6"/>
  <c r="P52" i="6"/>
  <c r="O52" i="6"/>
  <c r="N52" i="6"/>
  <c r="M52" i="6"/>
  <c r="L52" i="6"/>
  <c r="P51" i="6"/>
  <c r="O51" i="6"/>
  <c r="N51" i="6"/>
  <c r="M51" i="6"/>
  <c r="L51" i="6"/>
  <c r="P50" i="6"/>
  <c r="O50" i="6"/>
  <c r="N50" i="6"/>
  <c r="M50" i="6"/>
  <c r="L50" i="6"/>
  <c r="P49" i="6"/>
  <c r="O49" i="6"/>
  <c r="N49" i="6"/>
  <c r="M49" i="6"/>
  <c r="L49" i="6"/>
  <c r="P48" i="6"/>
  <c r="O48" i="6"/>
  <c r="N48" i="6"/>
  <c r="M48" i="6"/>
  <c r="L48" i="6"/>
  <c r="P47" i="6"/>
  <c r="O47" i="6"/>
  <c r="N47" i="6"/>
  <c r="M47" i="6"/>
  <c r="L47" i="6"/>
  <c r="P46" i="6"/>
  <c r="O46" i="6"/>
  <c r="N46" i="6"/>
  <c r="M46" i="6"/>
  <c r="L46" i="6"/>
  <c r="P45" i="6"/>
  <c r="O45" i="6"/>
  <c r="N45" i="6"/>
  <c r="M45" i="6"/>
  <c r="L45" i="6"/>
  <c r="P44" i="6"/>
  <c r="O44" i="6"/>
  <c r="N44" i="6"/>
  <c r="M44" i="6"/>
  <c r="L44" i="6"/>
  <c r="P43" i="6"/>
  <c r="O43" i="6"/>
  <c r="N43" i="6"/>
  <c r="M43" i="6"/>
  <c r="L43" i="6"/>
  <c r="P42" i="6"/>
  <c r="O42" i="6"/>
  <c r="N42" i="6"/>
  <c r="M42" i="6"/>
  <c r="L42" i="6"/>
  <c r="P41" i="6"/>
  <c r="O41" i="6"/>
  <c r="N41" i="6"/>
  <c r="M41" i="6"/>
  <c r="L41" i="6"/>
  <c r="P40" i="6"/>
  <c r="O40" i="6"/>
  <c r="N40" i="6"/>
  <c r="M40" i="6"/>
  <c r="L40" i="6"/>
  <c r="P39" i="6"/>
  <c r="O39" i="6"/>
  <c r="N39" i="6"/>
  <c r="M39" i="6"/>
  <c r="L39" i="6"/>
  <c r="P38" i="6"/>
  <c r="O38" i="6"/>
  <c r="N38" i="6"/>
  <c r="M38" i="6"/>
  <c r="L38" i="6"/>
  <c r="P37" i="6"/>
  <c r="O37" i="6"/>
  <c r="N37" i="6"/>
  <c r="M37" i="6"/>
  <c r="L37" i="6"/>
  <c r="P36" i="6"/>
  <c r="O36" i="6"/>
  <c r="N36" i="6"/>
  <c r="M36" i="6"/>
  <c r="L36" i="6"/>
  <c r="P35" i="6"/>
  <c r="O35" i="6"/>
  <c r="N35" i="6"/>
  <c r="M35" i="6"/>
  <c r="L35" i="6"/>
  <c r="P34" i="6"/>
  <c r="O34" i="6"/>
  <c r="N34" i="6"/>
  <c r="M34" i="6"/>
  <c r="L34" i="6"/>
  <c r="P33" i="6"/>
  <c r="O33" i="6"/>
  <c r="N33" i="6"/>
  <c r="M33" i="6"/>
  <c r="L33" i="6"/>
  <c r="P32" i="6"/>
  <c r="O32" i="6"/>
  <c r="N32" i="6"/>
  <c r="M32" i="6"/>
  <c r="L32" i="6"/>
  <c r="P31" i="6"/>
  <c r="O31" i="6"/>
  <c r="N31" i="6"/>
  <c r="M31" i="6"/>
  <c r="L31" i="6"/>
  <c r="P30" i="6"/>
  <c r="O30" i="6"/>
  <c r="N30" i="6"/>
  <c r="M30" i="6"/>
  <c r="L30" i="6"/>
  <c r="P29" i="6"/>
  <c r="O29" i="6"/>
  <c r="N29" i="6"/>
  <c r="M29" i="6"/>
  <c r="L29" i="6"/>
  <c r="P28" i="6"/>
  <c r="O28" i="6"/>
  <c r="N28" i="6"/>
  <c r="M28" i="6"/>
  <c r="L28" i="6"/>
  <c r="P27" i="6"/>
  <c r="O27" i="6"/>
  <c r="N27" i="6"/>
  <c r="M27" i="6"/>
  <c r="L27" i="6"/>
  <c r="P26" i="6"/>
  <c r="O26" i="6"/>
  <c r="N26" i="6"/>
  <c r="M26" i="6"/>
  <c r="L26" i="6"/>
  <c r="P25" i="6"/>
  <c r="O25" i="6"/>
  <c r="N25" i="6"/>
  <c r="M25" i="6"/>
  <c r="L25" i="6"/>
  <c r="P24" i="6"/>
  <c r="O24" i="6"/>
  <c r="N24" i="6"/>
  <c r="M24" i="6"/>
  <c r="L24" i="6"/>
  <c r="P23" i="6"/>
  <c r="O23" i="6"/>
  <c r="N23" i="6"/>
  <c r="M23" i="6"/>
  <c r="L23" i="6"/>
  <c r="P22" i="6"/>
  <c r="O22" i="6"/>
  <c r="N22" i="6"/>
  <c r="M22" i="6"/>
  <c r="L22" i="6"/>
  <c r="P21" i="6"/>
  <c r="O21" i="6"/>
  <c r="N21" i="6"/>
  <c r="M21" i="6"/>
  <c r="L21" i="6"/>
  <c r="P20" i="6"/>
  <c r="O20" i="6"/>
  <c r="N20" i="6"/>
  <c r="M20" i="6"/>
  <c r="L20" i="6"/>
  <c r="P19" i="6"/>
  <c r="O19" i="6"/>
  <c r="N19" i="6"/>
  <c r="M19" i="6"/>
  <c r="L19" i="6"/>
  <c r="P18" i="6"/>
  <c r="O18" i="6"/>
  <c r="N18" i="6"/>
  <c r="M18" i="6"/>
  <c r="L18" i="6"/>
  <c r="P17" i="6"/>
  <c r="O17" i="6"/>
  <c r="N17" i="6"/>
  <c r="M17" i="6"/>
  <c r="L17" i="6"/>
  <c r="P16" i="6"/>
  <c r="O16" i="6"/>
  <c r="N16" i="6"/>
  <c r="M16" i="6"/>
  <c r="L16" i="6"/>
  <c r="P15" i="6"/>
  <c r="O15" i="6"/>
  <c r="N15" i="6"/>
  <c r="M15" i="6"/>
  <c r="L15" i="6"/>
  <c r="P14" i="6"/>
  <c r="O14" i="6"/>
  <c r="N14" i="6"/>
  <c r="M14" i="6"/>
  <c r="L14" i="6"/>
  <c r="P13" i="6"/>
  <c r="O13" i="6"/>
  <c r="N13" i="6"/>
  <c r="M13" i="6"/>
  <c r="L13" i="6"/>
  <c r="P12" i="6"/>
  <c r="O12" i="6"/>
  <c r="N12" i="6"/>
  <c r="M12" i="6"/>
  <c r="L12" i="6"/>
  <c r="P11" i="6"/>
  <c r="O11" i="6"/>
  <c r="N11" i="6"/>
  <c r="M11" i="6"/>
  <c r="L11" i="6"/>
  <c r="P10" i="6"/>
  <c r="O10" i="6"/>
  <c r="N10" i="6"/>
  <c r="M10" i="6"/>
  <c r="L10" i="6"/>
  <c r="P9" i="6"/>
  <c r="O9" i="6"/>
  <c r="N9" i="6"/>
  <c r="M9" i="6"/>
  <c r="L9" i="6"/>
  <c r="P8" i="6"/>
  <c r="O8" i="6"/>
  <c r="N8" i="6"/>
  <c r="M8" i="6"/>
  <c r="L8" i="6"/>
  <c r="P7" i="6"/>
  <c r="O7" i="6"/>
  <c r="N7" i="6"/>
  <c r="M7" i="6"/>
  <c r="L7" i="6"/>
  <c r="P6" i="6"/>
  <c r="O6" i="6"/>
  <c r="N6" i="6"/>
  <c r="M6" i="6"/>
  <c r="L6" i="6"/>
  <c r="P5" i="6"/>
  <c r="O5" i="6"/>
  <c r="N5" i="6"/>
  <c r="M5" i="6"/>
  <c r="L5" i="6"/>
  <c r="C14" i="5"/>
  <c r="C13" i="5"/>
  <c r="C12" i="5"/>
  <c r="C10" i="5"/>
  <c r="C9" i="5"/>
  <c r="C8" i="5"/>
  <c r="C7" i="5"/>
  <c r="C6" i="5"/>
  <c r="E43" i="4"/>
  <c r="C43" i="4"/>
  <c r="E42" i="4"/>
  <c r="C42" i="4"/>
  <c r="E41" i="4"/>
  <c r="C41" i="4"/>
  <c r="E40" i="4"/>
  <c r="C40" i="4"/>
  <c r="J19" i="4"/>
  <c r="J18" i="4"/>
  <c r="J17" i="4"/>
  <c r="J16" i="4"/>
  <c r="I11" i="4"/>
  <c r="H11" i="4"/>
  <c r="G11" i="4"/>
  <c r="F11" i="4"/>
  <c r="E11" i="4"/>
  <c r="D11" i="4"/>
  <c r="I10" i="4"/>
  <c r="H10" i="4"/>
  <c r="G10" i="4"/>
  <c r="F10" i="4"/>
  <c r="E10" i="4"/>
  <c r="D10" i="4"/>
  <c r="I9" i="4"/>
  <c r="H9" i="4"/>
  <c r="G9" i="4"/>
  <c r="F9" i="4"/>
  <c r="E9" i="4"/>
  <c r="D9" i="4"/>
  <c r="I8" i="4"/>
  <c r="H8" i="4"/>
  <c r="G8" i="4"/>
  <c r="F8" i="4"/>
  <c r="E8" i="4"/>
  <c r="D8" i="4"/>
  <c r="I7" i="4"/>
  <c r="H7" i="4"/>
  <c r="G7" i="4"/>
  <c r="F7" i="4"/>
  <c r="E7" i="4"/>
  <c r="D7" i="4"/>
  <c r="I6" i="4"/>
  <c r="H6" i="4"/>
  <c r="G6" i="4"/>
  <c r="F6" i="4"/>
  <c r="E6" i="4"/>
  <c r="D6" i="4"/>
  <c r="M23" i="3"/>
  <c r="L23" i="3"/>
  <c r="K23" i="3"/>
  <c r="J23" i="3"/>
  <c r="I23" i="3"/>
  <c r="H23" i="3"/>
  <c r="G23" i="3"/>
  <c r="F23" i="3"/>
  <c r="E23" i="3"/>
  <c r="D23" i="3"/>
  <c r="G11" i="3"/>
  <c r="E11" i="3"/>
  <c r="F11" i="3" s="1"/>
  <c r="D11" i="3"/>
  <c r="C11" i="3"/>
  <c r="C32" i="3" s="1"/>
  <c r="H32" i="3" s="1"/>
  <c r="G10" i="3"/>
  <c r="E10" i="3"/>
  <c r="F10" i="3" s="1"/>
  <c r="D10" i="3"/>
  <c r="C10" i="3"/>
  <c r="C31" i="3" s="1"/>
  <c r="H31" i="3" s="1"/>
  <c r="G9" i="3"/>
  <c r="E9" i="3"/>
  <c r="F9" i="3" s="1"/>
  <c r="D9" i="3"/>
  <c r="C9" i="3"/>
  <c r="C30" i="3" s="1"/>
  <c r="F30" i="3" s="1"/>
  <c r="G8" i="3"/>
  <c r="E8" i="3"/>
  <c r="D8" i="3"/>
  <c r="C8" i="3"/>
  <c r="C29" i="3" s="1"/>
  <c r="H29" i="3" s="1"/>
  <c r="G7" i="3"/>
  <c r="E7" i="3"/>
  <c r="D7" i="3"/>
  <c r="C7" i="3"/>
  <c r="C18" i="3" s="1"/>
  <c r="G6" i="3"/>
  <c r="E6" i="3"/>
  <c r="D6" i="3"/>
  <c r="C6" i="3"/>
  <c r="C109" i="2"/>
  <c r="C80" i="2"/>
  <c r="C79" i="2"/>
  <c r="C78" i="2"/>
  <c r="C77" i="2"/>
  <c r="E66" i="2"/>
  <c r="E65" i="2"/>
  <c r="E64" i="2"/>
  <c r="E63" i="2"/>
  <c r="I56" i="2"/>
  <c r="C56" i="2"/>
  <c r="C57" i="2" s="1"/>
  <c r="C51" i="2"/>
  <c r="C46" i="2"/>
  <c r="G37" i="2"/>
  <c r="D37" i="2"/>
  <c r="C37" i="2"/>
  <c r="G36" i="2"/>
  <c r="D36" i="2"/>
  <c r="C36" i="2"/>
  <c r="G35" i="2"/>
  <c r="D35" i="2"/>
  <c r="C35" i="2"/>
  <c r="G34" i="2"/>
  <c r="D34" i="2"/>
  <c r="C34" i="2"/>
  <c r="G33" i="2"/>
  <c r="D33" i="2"/>
  <c r="C33" i="2"/>
  <c r="G32" i="2"/>
  <c r="D32" i="2"/>
  <c r="C32" i="2"/>
  <c r="C25" i="2"/>
  <c r="D25" i="2" s="1"/>
  <c r="C24" i="2"/>
  <c r="D24" i="2" s="1"/>
  <c r="C23" i="2"/>
  <c r="D23" i="2" s="1"/>
  <c r="E23" i="2" s="1"/>
  <c r="C22" i="2"/>
  <c r="D22" i="2" s="1"/>
  <c r="E22" i="2" s="1"/>
  <c r="C21" i="2"/>
  <c r="D21" i="2" s="1"/>
  <c r="C20" i="2"/>
  <c r="D20" i="2" s="1"/>
  <c r="C14" i="2"/>
  <c r="C14" i="1" s="1"/>
  <c r="C13" i="2"/>
  <c r="D14" i="8" s="1"/>
  <c r="C12" i="2"/>
  <c r="D13" i="8" s="1"/>
  <c r="C11" i="2"/>
  <c r="D12" i="8" s="1"/>
  <c r="C10" i="2"/>
  <c r="C9" i="2"/>
  <c r="C65" i="2" s="1"/>
  <c r="C8" i="2"/>
  <c r="D7" i="8" s="1"/>
  <c r="C7" i="2"/>
  <c r="C6" i="2"/>
  <c r="C5" i="2"/>
  <c r="C13" i="1"/>
  <c r="C12" i="1"/>
  <c r="C11" i="1"/>
  <c r="C10" i="1"/>
  <c r="C9" i="1"/>
  <c r="F8" i="3" l="1"/>
  <c r="C19" i="3"/>
  <c r="C21" i="3"/>
  <c r="C28" i="3"/>
  <c r="H28" i="3" s="1"/>
  <c r="C22" i="3"/>
  <c r="C17" i="5"/>
  <c r="C66" i="8"/>
  <c r="C67" i="8" s="1"/>
  <c r="C52" i="2"/>
  <c r="C91" i="2" s="1"/>
  <c r="D66" i="8"/>
  <c r="D67" i="8" s="1"/>
  <c r="C15" i="1"/>
  <c r="D12" i="3"/>
  <c r="E66" i="8"/>
  <c r="E67" i="8" s="1"/>
  <c r="F66" i="8"/>
  <c r="F67" i="8" s="1"/>
  <c r="C38" i="2"/>
  <c r="C16" i="1" s="1"/>
  <c r="D29" i="3"/>
  <c r="E12" i="3"/>
  <c r="E13" i="3" s="1"/>
  <c r="E29" i="3"/>
  <c r="F31" i="3"/>
  <c r="E7" i="8"/>
  <c r="F7" i="8" s="1"/>
  <c r="AO147" i="10"/>
  <c r="E13" i="8"/>
  <c r="F13" i="8" s="1"/>
  <c r="C16" i="5"/>
  <c r="I29" i="4"/>
  <c r="D20" i="8"/>
  <c r="E20" i="8" s="1"/>
  <c r="F20" i="8" s="1"/>
  <c r="E25" i="2"/>
  <c r="D16" i="8"/>
  <c r="E16" i="8" s="1"/>
  <c r="F16" i="8" s="1"/>
  <c r="E21" i="2"/>
  <c r="E29" i="4"/>
  <c r="D15" i="8"/>
  <c r="E15" i="8" s="1"/>
  <c r="F15" i="8" s="1"/>
  <c r="D29" i="4"/>
  <c r="E20" i="2"/>
  <c r="D11" i="8"/>
  <c r="E11" i="8" s="1"/>
  <c r="F11" i="8" s="1"/>
  <c r="C66" i="2"/>
  <c r="C74" i="8"/>
  <c r="E12" i="8"/>
  <c r="F12" i="8" s="1"/>
  <c r="D17" i="8"/>
  <c r="E17" i="8" s="1"/>
  <c r="F17" i="8" s="1"/>
  <c r="F29" i="4"/>
  <c r="D26" i="2"/>
  <c r="E35" i="2"/>
  <c r="C9" i="4" s="1"/>
  <c r="C63" i="2"/>
  <c r="G66" i="8"/>
  <c r="G67" i="8" s="1"/>
  <c r="C85" i="2"/>
  <c r="C92" i="2" s="1"/>
  <c r="C121" i="2" s="1"/>
  <c r="D30" i="3"/>
  <c r="D19" i="8"/>
  <c r="E19" i="8" s="1"/>
  <c r="F19" i="8" s="1"/>
  <c r="H29" i="4"/>
  <c r="E24" i="2"/>
  <c r="E36" i="2"/>
  <c r="C10" i="4" s="1"/>
  <c r="C27" i="3"/>
  <c r="C17" i="3"/>
  <c r="F7" i="3"/>
  <c r="D9" i="8"/>
  <c r="E9" i="8" s="1"/>
  <c r="F9" i="8" s="1"/>
  <c r="C94" i="2"/>
  <c r="C123" i="2" s="1"/>
  <c r="C34" i="8" s="1"/>
  <c r="C35" i="8" s="1"/>
  <c r="F6" i="3"/>
  <c r="G31" i="3"/>
  <c r="E31" i="3"/>
  <c r="D31" i="3"/>
  <c r="D10" i="5"/>
  <c r="D6" i="5"/>
  <c r="D14" i="5"/>
  <c r="D9" i="5"/>
  <c r="D13" i="5"/>
  <c r="D8" i="5"/>
  <c r="D12" i="5"/>
  <c r="D7" i="5"/>
  <c r="D18" i="8"/>
  <c r="E18" i="8" s="1"/>
  <c r="F18" i="8" s="1"/>
  <c r="C31" i="5"/>
  <c r="G29" i="4"/>
  <c r="E37" i="2"/>
  <c r="C11" i="4" s="1"/>
  <c r="C64" i="2"/>
  <c r="E14" i="8"/>
  <c r="F14" i="8" s="1"/>
  <c r="E30" i="3"/>
  <c r="H30" i="3"/>
  <c r="C20" i="3"/>
  <c r="C26" i="4"/>
  <c r="G32" i="3"/>
  <c r="F32" i="3"/>
  <c r="E32" i="3"/>
  <c r="D32" i="3"/>
  <c r="C47" i="2"/>
  <c r="E34" i="2"/>
  <c r="C8" i="4" s="1"/>
  <c r="E32" i="2"/>
  <c r="C6" i="4" s="1"/>
  <c r="C32" i="5"/>
  <c r="D6" i="8"/>
  <c r="E6" i="8" s="1"/>
  <c r="C39" i="2"/>
  <c r="C130" i="2"/>
  <c r="E33" i="2"/>
  <c r="C7" i="4" s="1"/>
  <c r="C26" i="2"/>
  <c r="G30" i="3"/>
  <c r="C73" i="8"/>
  <c r="C72" i="8"/>
  <c r="F29" i="3"/>
  <c r="G29" i="3"/>
  <c r="D10" i="8"/>
  <c r="E10" i="8" s="1"/>
  <c r="F10" i="8" s="1"/>
  <c r="C26" i="5" l="1"/>
  <c r="C27" i="5" s="1"/>
  <c r="E28" i="3"/>
  <c r="F28" i="3"/>
  <c r="D28" i="3"/>
  <c r="G28" i="3"/>
  <c r="C33" i="5"/>
  <c r="F12" i="3"/>
  <c r="C18" i="5"/>
  <c r="E26" i="2"/>
  <c r="C27" i="2" s="1"/>
  <c r="F6" i="8"/>
  <c r="C84" i="2"/>
  <c r="C25" i="4"/>
  <c r="E12" i="4"/>
  <c r="I12" i="4"/>
  <c r="H12" i="4"/>
  <c r="G12" i="4"/>
  <c r="F12" i="4"/>
  <c r="D12" i="4"/>
  <c r="H26" i="4"/>
  <c r="G26" i="4"/>
  <c r="F26" i="4"/>
  <c r="E26" i="4"/>
  <c r="D26" i="4"/>
  <c r="I26" i="4"/>
  <c r="C48" i="2"/>
  <c r="C58" i="2" s="1"/>
  <c r="C86" i="2"/>
  <c r="C93" i="2" s="1"/>
  <c r="C122" i="2" s="1"/>
  <c r="C42" i="8" s="1"/>
  <c r="C43" i="8" s="1"/>
  <c r="C27" i="4"/>
  <c r="J29" i="4"/>
  <c r="C18" i="1"/>
  <c r="G27" i="3"/>
  <c r="E27" i="3"/>
  <c r="E33" i="3" s="1"/>
  <c r="D43" i="2" s="1"/>
  <c r="D27" i="3"/>
  <c r="D33" i="3" s="1"/>
  <c r="C43" i="2" s="1"/>
  <c r="H27" i="3"/>
  <c r="H33" i="3" s="1"/>
  <c r="G43" i="2" s="1"/>
  <c r="F27" i="3"/>
  <c r="C131" i="2"/>
  <c r="F134" i="2" s="1"/>
  <c r="C17" i="1"/>
  <c r="C38" i="8"/>
  <c r="C39" i="8" s="1"/>
  <c r="C67" i="2"/>
  <c r="D8" i="8"/>
  <c r="E8" i="8" s="1"/>
  <c r="F8" i="8" s="1"/>
  <c r="C83" i="2"/>
  <c r="C24" i="4"/>
  <c r="C68" i="2"/>
  <c r="D68" i="2" s="1"/>
  <c r="F33" i="3" l="1"/>
  <c r="E43" i="2" s="1"/>
  <c r="E44" i="2" s="1"/>
  <c r="E45" i="2" s="1"/>
  <c r="G33" i="3"/>
  <c r="F43" i="2" s="1"/>
  <c r="F44" i="2" s="1"/>
  <c r="F45" i="2" s="1"/>
  <c r="D134" i="2"/>
  <c r="G134" i="2"/>
  <c r="J26" i="4"/>
  <c r="E134" i="2"/>
  <c r="G44" i="2"/>
  <c r="G45" i="2" s="1"/>
  <c r="D42" i="4"/>
  <c r="D40" i="4"/>
  <c r="D43" i="4"/>
  <c r="D41" i="4"/>
  <c r="C134" i="2"/>
  <c r="I49" i="8" s="1"/>
  <c r="H25" i="4"/>
  <c r="G25" i="4"/>
  <c r="F25" i="4"/>
  <c r="E25" i="4"/>
  <c r="D25" i="4"/>
  <c r="I25" i="4"/>
  <c r="H24" i="4"/>
  <c r="G24" i="4"/>
  <c r="F24" i="4"/>
  <c r="E24" i="4"/>
  <c r="I24" i="4"/>
  <c r="D24" i="4"/>
  <c r="H27" i="4"/>
  <c r="G27" i="4"/>
  <c r="F27" i="4"/>
  <c r="E27" i="4"/>
  <c r="I27" i="4"/>
  <c r="D27" i="4"/>
  <c r="C49" i="2"/>
  <c r="C50" i="2" s="1"/>
  <c r="C44" i="2"/>
  <c r="C45" i="2" s="1"/>
  <c r="C21" i="8"/>
  <c r="F50" i="8"/>
  <c r="D50" i="8"/>
  <c r="C50" i="8"/>
  <c r="G50" i="8"/>
  <c r="E50" i="8"/>
  <c r="D44" i="2"/>
  <c r="D45" i="2" s="1"/>
  <c r="C95" i="2"/>
  <c r="D46" i="2" l="1"/>
  <c r="D47" i="2" s="1"/>
  <c r="G46" i="2"/>
  <c r="G47" i="2" s="1"/>
  <c r="F46" i="2"/>
  <c r="F47" i="2" s="1"/>
  <c r="H28" i="4"/>
  <c r="H30" i="4" s="1"/>
  <c r="F41" i="4"/>
  <c r="D64" i="2"/>
  <c r="F57" i="2"/>
  <c r="F94" i="2" s="1"/>
  <c r="F123" i="2" s="1"/>
  <c r="F34" i="8" s="1"/>
  <c r="F35" i="8" s="1"/>
  <c r="C96" i="2"/>
  <c r="C97" i="2" s="1"/>
  <c r="C124" i="2"/>
  <c r="I28" i="4"/>
  <c r="I30" i="4" s="1"/>
  <c r="G57" i="2"/>
  <c r="G94" i="2" s="1"/>
  <c r="G123" i="2" s="1"/>
  <c r="G34" i="8" s="1"/>
  <c r="G35" i="8" s="1"/>
  <c r="D63" i="2"/>
  <c r="F40" i="4"/>
  <c r="F42" i="4"/>
  <c r="D65" i="2"/>
  <c r="E46" i="2"/>
  <c r="E47" i="2" s="1"/>
  <c r="F28" i="4"/>
  <c r="F30" i="4" s="1"/>
  <c r="D57" i="2"/>
  <c r="D94" i="2" s="1"/>
  <c r="D123" i="2" s="1"/>
  <c r="D34" i="8" s="1"/>
  <c r="D35" i="8" s="1"/>
  <c r="F43" i="4"/>
  <c r="D66" i="2"/>
  <c r="J25" i="4"/>
  <c r="J24" i="4"/>
  <c r="D28" i="4"/>
  <c r="J27" i="4"/>
  <c r="E28" i="4"/>
  <c r="E30" i="4" s="1"/>
  <c r="G28" i="4"/>
  <c r="G30" i="4" s="1"/>
  <c r="G48" i="2" l="1"/>
  <c r="D48" i="2"/>
  <c r="F48" i="2"/>
  <c r="E57" i="2"/>
  <c r="E94" i="2" s="1"/>
  <c r="E123" i="2" s="1"/>
  <c r="E34" i="8" s="1"/>
  <c r="E35" i="8" s="1"/>
  <c r="G58" i="2"/>
  <c r="G49" i="2"/>
  <c r="G50" i="2" s="1"/>
  <c r="F58" i="2"/>
  <c r="F49" i="2"/>
  <c r="F50" i="2" s="1"/>
  <c r="G51" i="2" s="1"/>
  <c r="G52" i="2" s="1"/>
  <c r="G91" i="2" s="1"/>
  <c r="F73" i="2"/>
  <c r="C73" i="2"/>
  <c r="C74" i="2"/>
  <c r="G74" i="2"/>
  <c r="C71" i="2"/>
  <c r="C72" i="2"/>
  <c r="D30" i="4"/>
  <c r="J28" i="4"/>
  <c r="C30" i="8"/>
  <c r="C31" i="8" s="1"/>
  <c r="C125" i="2"/>
  <c r="D58" i="2"/>
  <c r="D49" i="2"/>
  <c r="D50" i="2" s="1"/>
  <c r="D74" i="2" l="1"/>
  <c r="D80" i="2" s="1"/>
  <c r="D86" i="2" s="1"/>
  <c r="D93" i="2" s="1"/>
  <c r="D122" i="2" s="1"/>
  <c r="D42" i="8" s="1"/>
  <c r="D43" i="8" s="1"/>
  <c r="D72" i="2"/>
  <c r="D51" i="2"/>
  <c r="D52" i="2" s="1"/>
  <c r="D91" i="2" s="1"/>
  <c r="D73" i="2"/>
  <c r="C126" i="2"/>
  <c r="C26" i="8"/>
  <c r="C27" i="8" s="1"/>
  <c r="F74" i="2"/>
  <c r="G80" i="2" s="1"/>
  <c r="G86" i="2" s="1"/>
  <c r="G93" i="2" s="1"/>
  <c r="D71" i="2"/>
  <c r="C31" i="4"/>
  <c r="J30" i="4"/>
  <c r="G71" i="2"/>
  <c r="F72" i="2"/>
  <c r="G73" i="2"/>
  <c r="G79" i="2" s="1"/>
  <c r="G85" i="2" s="1"/>
  <c r="G92" i="2" s="1"/>
  <c r="G72" i="2"/>
  <c r="F71" i="2"/>
  <c r="E48" i="2"/>
  <c r="G95" i="2" l="1"/>
  <c r="G96" i="2" s="1"/>
  <c r="G97" i="2" s="1"/>
  <c r="G98" i="2"/>
  <c r="G78" i="2"/>
  <c r="G84" i="2" s="1"/>
  <c r="D78" i="2"/>
  <c r="D84" i="2" s="1"/>
  <c r="E58" i="2"/>
  <c r="E49" i="2"/>
  <c r="D79" i="2"/>
  <c r="D85" i="2" s="1"/>
  <c r="D92" i="2" s="1"/>
  <c r="D121" i="2" s="1"/>
  <c r="G77" i="2"/>
  <c r="G83" i="2" s="1"/>
  <c r="D77" i="2"/>
  <c r="D83" i="2" s="1"/>
  <c r="D38" i="8" l="1"/>
  <c r="D39" i="8" s="1"/>
  <c r="E50" i="2"/>
  <c r="E71" i="2"/>
  <c r="E72" i="2"/>
  <c r="E74" i="2"/>
  <c r="E73" i="2"/>
  <c r="D98" i="2"/>
  <c r="D95" i="2"/>
  <c r="F79" i="2" l="1"/>
  <c r="F85" i="2" s="1"/>
  <c r="F92" i="2" s="1"/>
  <c r="E79" i="2"/>
  <c r="E85" i="2" s="1"/>
  <c r="E92" i="2" s="1"/>
  <c r="E121" i="2" s="1"/>
  <c r="F80" i="2"/>
  <c r="F86" i="2" s="1"/>
  <c r="F93" i="2" s="1"/>
  <c r="E80" i="2"/>
  <c r="E86" i="2" s="1"/>
  <c r="E93" i="2" s="1"/>
  <c r="E122" i="2" s="1"/>
  <c r="E42" i="8" s="1"/>
  <c r="E43" i="8" s="1"/>
  <c r="F77" i="2"/>
  <c r="F83" i="2" s="1"/>
  <c r="E77" i="2"/>
  <c r="E83" i="2" s="1"/>
  <c r="F51" i="2"/>
  <c r="F52" i="2" s="1"/>
  <c r="F91" i="2" s="1"/>
  <c r="C103" i="2"/>
  <c r="E51" i="2"/>
  <c r="E52" i="2" s="1"/>
  <c r="E91" i="2" s="1"/>
  <c r="F78" i="2"/>
  <c r="F84" i="2" s="1"/>
  <c r="E78" i="2"/>
  <c r="E84" i="2" s="1"/>
  <c r="D124" i="2"/>
  <c r="D96" i="2"/>
  <c r="D97" i="2" s="1"/>
  <c r="F98" i="2" l="1"/>
  <c r="F95" i="2"/>
  <c r="F96" i="2" s="1"/>
  <c r="F97" i="2" s="1"/>
  <c r="C107" i="2"/>
  <c r="E38" i="8"/>
  <c r="E39" i="8" s="1"/>
  <c r="D30" i="8"/>
  <c r="D31" i="8" s="1"/>
  <c r="D125" i="2"/>
  <c r="E95" i="2"/>
  <c r="E98" i="2"/>
  <c r="E96" i="2" l="1"/>
  <c r="E124" i="2"/>
  <c r="D26" i="8"/>
  <c r="D27" i="8" s="1"/>
  <c r="D126" i="2"/>
  <c r="E30" i="8" l="1"/>
  <c r="E31" i="8" s="1"/>
  <c r="E125" i="2"/>
  <c r="C104" i="2"/>
  <c r="E97" i="2"/>
  <c r="C105" i="2" l="1"/>
  <c r="C106" i="2"/>
  <c r="C110" i="2" s="1"/>
  <c r="E126" i="2"/>
  <c r="E26" i="8"/>
  <c r="E27" i="8" s="1"/>
  <c r="C108" i="2" l="1"/>
  <c r="C111" i="2" l="1"/>
  <c r="C112" i="2" l="1"/>
  <c r="G119" i="2" l="1"/>
  <c r="F119" i="2"/>
  <c r="C113" i="2"/>
  <c r="C114" i="2" s="1"/>
  <c r="G120" i="2" l="1"/>
  <c r="F120" i="2"/>
  <c r="F122" i="2" s="1"/>
  <c r="F42" i="8" s="1"/>
  <c r="F43" i="8" s="1"/>
  <c r="C115" i="2"/>
  <c r="G121" i="2"/>
  <c r="G122" i="2"/>
  <c r="G42" i="8" s="1"/>
  <c r="G43" i="8" s="1"/>
  <c r="F121" i="2" l="1"/>
  <c r="F38" i="8" s="1"/>
  <c r="F39" i="8" s="1"/>
  <c r="G38" i="8"/>
  <c r="G39" i="8" s="1"/>
  <c r="G124" i="2"/>
  <c r="G30" i="8" s="1"/>
  <c r="G31" i="8" s="1"/>
  <c r="F124" i="2" l="1"/>
  <c r="F30" i="8" s="1"/>
  <c r="F31" i="8" s="1"/>
  <c r="G125" i="2"/>
  <c r="F125" i="2" l="1"/>
  <c r="G26" i="8"/>
  <c r="G27" i="8" s="1"/>
  <c r="G126" i="2"/>
  <c r="F26" i="8"/>
  <c r="F27" i="8" s="1"/>
  <c r="F126" i="2"/>
</calcChain>
</file>

<file path=xl/sharedStrings.xml><?xml version="1.0" encoding="utf-8"?>
<sst xmlns="http://schemas.openxmlformats.org/spreadsheetml/2006/main" count="3172" uniqueCount="925">
  <si>
    <t>Domain framework template  —  set one cell, everything else re-derives</t>
  </si>
  <si>
    <t>MetLife Japan Application Development Services. Appendix 3 v5 · Golden Application Inventory v4 · the per-sourcing productivity engine used on Sales / Insurance, Contract Management, Data Infrastructure, Common Service Platform and Storage &amp; Preservation.</t>
  </si>
  <si>
    <r>
      <rPr>
        <b/>
        <sz val="11"/>
        <color rgb="FF00385F"/>
        <rFont val="Arial"/>
        <charset val="1"/>
      </rPr>
      <t xml:space="preserve">STEP 1  —  choose your </t>
    </r>
    <r>
      <rPr>
        <b/>
        <sz val="11"/>
        <color rgb="FF00385F"/>
        <rFont val="Noto Sans CJK SC"/>
        <family val="2"/>
      </rPr>
      <t>領域</t>
    </r>
  </si>
  <si>
    <t>Domain</t>
  </si>
  <si>
    <t>Data Infrastructure</t>
  </si>
  <si>
    <t>Pick from the drop-down. Every sheet that says (auto) re-derives the moment this changes: the baseline, the archetype mix, the AI and offshore ceilings, the capability chain, the five-year target headcount, the per-sourcing plan, the transfer solve, the value streams and the ticket load. Nothing else on this sheet needs to be touched to get a first cut.</t>
  </si>
  <si>
    <t>STEP 2  —  read what the data says</t>
  </si>
  <si>
    <t>Measure</t>
  </si>
  <si>
    <t>Value</t>
  </si>
  <si>
    <t>What it tells you</t>
  </si>
  <si>
    <r>
      <rPr>
        <b/>
        <sz val="9.5"/>
        <rFont val="Arial"/>
        <charset val="1"/>
      </rPr>
      <t xml:space="preserve">Applications in this </t>
    </r>
    <r>
      <rPr>
        <b/>
        <sz val="9.5"/>
        <rFont val="Noto Sans CJK SC"/>
        <family val="2"/>
      </rPr>
      <t>領域</t>
    </r>
  </si>
  <si>
    <t>How many application lines the SUMIFS are reading. If this is 0 the domain name is misspelt.</t>
  </si>
  <si>
    <t>Total effort — units of person-capacity</t>
  </si>
  <si>
    <t>The frozen scope. Every target in the model is a percentage reduction against this number, and it never changes across the five years.</t>
  </si>
  <si>
    <t>Vendor today  (Appendix 3 'Current FTC')</t>
  </si>
  <si>
    <t>Capgemini plus any named sub-contractor. Appendix 3 reports the two as one number, which is why the model carries PT separately.</t>
  </si>
  <si>
    <t>MetLife Japan today  (FTE)</t>
  </si>
  <si>
    <t>MetLife's own people. Mostly BSA and PM work — see the Role × Sourcing sheet.</t>
  </si>
  <si>
    <t>MetLife MGCC today</t>
  </si>
  <si>
    <t>MetLife's global capability centre. Mostly build and test.</t>
  </si>
  <si>
    <t>Capgemini heads on these applications today</t>
  </si>
  <si>
    <t>From the Golden Inventory's application-level Capgemini headcount. The gap to the vendor number is FSI, NCD or unnamed — see the Vendor column on the inventory.</t>
  </si>
  <si>
    <r>
      <rPr>
        <b/>
        <sz val="9.5"/>
        <rFont val="Arial"/>
        <charset val="1"/>
      </rPr>
      <t xml:space="preserve">MetLife share of the whole </t>
    </r>
    <r>
      <rPr>
        <b/>
        <sz val="9.5"/>
        <rFont val="Noto Sans CJK SC"/>
        <family val="2"/>
      </rPr>
      <t xml:space="preserve">領域 </t>
    </r>
    <r>
      <rPr>
        <b/>
        <sz val="9.5"/>
        <rFont val="Arial"/>
        <charset val="1"/>
      </rPr>
      <t>on day one</t>
    </r>
  </si>
  <si>
    <t>THE NUMBER THAT SETS YOUR POSTURE. Above 50% and the 50:50 is already met — argue against further convergence. Below 40% and you have a real transfer to size.</t>
  </si>
  <si>
    <t>Blended AI ceiling</t>
  </si>
  <si>
    <t>Effort-weighted across the archetypes present. This is the ceiling, not the commitment.</t>
  </si>
  <si>
    <t>Blended offshore ceiling</t>
  </si>
  <si>
    <t>Same weighting, on the offshore ceilings. J applications cap at 12% and drag this down hard.</t>
  </si>
  <si>
    <t>Delivered offshore or by MGCC today</t>
  </si>
  <si>
    <t>Offshore plus MGCC as a share of total effort. The gap between this and the ceiling is the offshore case.</t>
  </si>
  <si>
    <t>STEP 3  —  make the judgements that are yours</t>
  </si>
  <si>
    <t>Sheet</t>
  </si>
  <si>
    <t>What you decide there</t>
  </si>
  <si>
    <t>Why it matters</t>
  </si>
  <si>
    <t>Rates &amp; Tables</t>
  </si>
  <si>
    <t>Adoption factors, realisation curve, classical ADM curve, operating-model curve, pre-load, partner drag, transfer cap, guardrail floors, cost index.</t>
  </si>
  <si>
    <r>
      <rPr>
        <sz val="8.5"/>
        <color rgb="FF595959"/>
        <rFont val="Arial"/>
        <charset val="1"/>
      </rPr>
      <t xml:space="preserve">The amber cells here are the solution position, not data. Read the notes before changing any of them. The one most worth thinking about for your </t>
    </r>
    <r>
      <rPr>
        <sz val="8.5"/>
        <color rgb="FF595959"/>
        <rFont val="Noto Sans CJK SC"/>
        <family val="2"/>
      </rPr>
      <t xml:space="preserve">領域 </t>
    </r>
    <r>
      <rPr>
        <sz val="8.5"/>
        <color rgb="FF595959"/>
        <rFont val="Arial"/>
        <charset val="1"/>
      </rPr>
      <t>is ADOPTION: how much of the AI ceiling MetLife's own people and MGCC can realistically commit to. Common Service Platform raised them; Storage &amp; Preservation left them at the portfolio default. Both are defensible; neither is automatic.</t>
    </r>
  </si>
  <si>
    <t>Value Streams &amp; Delivery Mode</t>
  </si>
  <si>
    <t>The quarter each stream converts to pod delivery, and the pod / team counts by year.</t>
  </si>
  <si>
    <t>The stream list, effort and today's method all fill in automatically. What you decide is WHEN each stream converts and how many delivery units you run. Pod and team counts drive the whole seat plan.</t>
  </si>
  <si>
    <t>Role × Sourcing</t>
  </si>
  <si>
    <t>How each sourcing pool's headcount splits across the six client roles.</t>
  </si>
  <si>
    <r>
      <rPr>
        <sz val="8.5"/>
        <color rgb="FF595959"/>
        <rFont val="Arial"/>
        <charset val="1"/>
      </rPr>
      <t xml:space="preserve">Seeded with the observed split across the five </t>
    </r>
    <r>
      <rPr>
        <sz val="8.5"/>
        <color rgb="FF595959"/>
        <rFont val="Noto Sans CJK SC"/>
        <family val="2"/>
      </rPr>
      <t xml:space="preserve">領域 </t>
    </r>
    <r>
      <rPr>
        <sz val="8.5"/>
        <color rgb="FF595959"/>
        <rFont val="Arial"/>
        <charset val="1"/>
      </rPr>
      <t xml:space="preserve">already modelled — 1,102 units of Year-1 roster. Change it only if you know your </t>
    </r>
    <r>
      <rPr>
        <sz val="8.5"/>
        <color rgb="FF595959"/>
        <rFont val="Noto Sans CJK SC"/>
        <family val="2"/>
      </rPr>
      <t xml:space="preserve">領域 </t>
    </r>
    <r>
      <rPr>
        <sz val="8.5"/>
        <color rgb="FF595959"/>
        <rFont val="Arial"/>
        <charset val="1"/>
      </rPr>
      <t>differs, and say why. This matrix is what makes the per-sourcing AI ceilings differ from each other.</t>
    </r>
  </si>
  <si>
    <t>Partner plan</t>
  </si>
  <si>
    <t>On the Logic Tree, section E — the sub-contracted population by year.</t>
  </si>
  <si>
    <r>
      <rPr>
        <sz val="8.5"/>
        <color rgb="FF595959"/>
        <rFont val="Arial"/>
        <charset val="1"/>
      </rPr>
      <t xml:space="preserve">Seeded at today's named-vendor figure held flat. If your </t>
    </r>
    <r>
      <rPr>
        <sz val="8.5"/>
        <color rgb="FF595959"/>
        <rFont val="Noto Sans CJK SC"/>
        <family val="2"/>
      </rPr>
      <t xml:space="preserve">領域 </t>
    </r>
    <r>
      <rPr>
        <sz val="8.5"/>
        <color rgb="FF595959"/>
        <rFont val="Arial"/>
        <charset val="1"/>
      </rPr>
      <t>has a real incumbent, taper it deliberately: partner seats can never transfer to MetLife, so they make the 50:50 harder.</t>
    </r>
  </si>
  <si>
    <t>Seat Planner</t>
  </si>
  <si>
    <t>The delivery anatomy: every seat in every pod, team and horizontal function.</t>
  </si>
  <si>
    <r>
      <rPr>
        <sz val="8.5"/>
        <color rgb="FF595959"/>
        <rFont val="Arial"/>
        <charset val="1"/>
      </rPr>
      <t xml:space="preserve">THIS IS THE WORK. The model tells you how many people of each sourcing type you may have in each year; the anatomy decides who they are. Keep deployed heads on a 0.5 grid and keep sharing inside the </t>
    </r>
    <r>
      <rPr>
        <sz val="8.5"/>
        <color rgb="FF595959"/>
        <rFont val="Noto Sans CJK SC"/>
        <family val="2"/>
      </rPr>
      <t xml:space="preserve">領域 — </t>
    </r>
    <r>
      <rPr>
        <sz val="8.5"/>
        <color rgb="FF595959"/>
        <rFont val="Arial"/>
        <charset val="1"/>
      </rPr>
      <t xml:space="preserve">MetLife may award the eleven </t>
    </r>
    <r>
      <rPr>
        <sz val="8.5"/>
        <color rgb="FF595959"/>
        <rFont val="Noto Sans CJK SC"/>
        <family val="2"/>
      </rPr>
      <t xml:space="preserve">領域 </t>
    </r>
    <r>
      <rPr>
        <sz val="8.5"/>
        <color rgb="FF595959"/>
        <rFont val="Arial"/>
        <charset val="1"/>
      </rPr>
      <t>to two or three vendors.</t>
    </r>
  </si>
  <si>
    <t>Reconciliation &amp; Checks</t>
  </si>
  <si>
    <t>Nothing to enter. Read it.</t>
  </si>
  <si>
    <t>Every invariant the five built models are held to, as live formulas. Green in every year is the bar for a solution review.</t>
  </si>
  <si>
    <t>HOW WE KNOW THE ENGINE IS RIGHT</t>
  </si>
  <si>
    <r>
      <rPr>
        <sz val="9.5"/>
        <rFont val="Arial"/>
        <charset val="1"/>
      </rPr>
      <t xml:space="preserve">•  The engine here was tested against two models built independently in Python and already under practice review. Set the domain to Common Service Platform, enter its conversion quarters and pod plan, and raise the two MetLife adoption factors to 0.92 and 0.72 as that </t>
    </r>
    <r>
      <rPr>
        <sz val="9.5"/>
        <rFont val="Noto Sans CJK SC"/>
        <family val="2"/>
      </rPr>
      <t xml:space="preserve">領域 </t>
    </r>
    <r>
      <rPr>
        <sz val="9.5"/>
        <rFont val="Arial"/>
        <charset val="1"/>
      </rPr>
      <t>argues for, and the template reproduces the built model to within 0.14 of a person on every sourcing line in every year, and 0.09 of a percentage point on the Capgemini ratio.</t>
    </r>
  </si>
  <si>
    <t>•  Set it to Storage and Preservation Related, enter its conversion quarters, pod plan and FSI taper, and it reproduces that model to within 0.11 of a person and 0.15 of a percentage point, including the six-person Year-3 transfer.</t>
  </si>
  <si>
    <t>•  The small residual is the role × sourcing matrix: this template seeds it from the portfolio average, while each built model uses its own Year-1 anatomy. That is the one place to tune if you want an exact match to a hand-built model.</t>
  </si>
  <si>
    <t>WHAT THIS TEMPLATE DOES NOT DO</t>
  </si>
  <si>
    <t>•  It does not solve the seat plan for you. The five built models were fitted numerically: seats were optimised against the per-sourcing targets, the role lines, the location split and three guardrails simultaneously, then quantised onto a 0.5 head grid. Excel cannot do that. What this template does is give you every target the solver was aiming at, and check your hand-built anatomy against all of them.</t>
  </si>
  <si>
    <t>•  It does not carry the inherited Capgemini workforce roll-forward. That needs the billing and staff-mapping files and is domain-specific; the Golden Inventory's CG heads today is carried here as the starting point.</t>
  </si>
  <si>
    <r>
      <rPr>
        <sz val="9.5"/>
        <rFont val="Arial"/>
        <charset val="1"/>
      </rPr>
      <t xml:space="preserve">•  It does not net out applications marked Retire in the Appendix 3 v5 disposition columns. The baseline is frozen at today's effort in every year, as it is in all five built models. If your </t>
    </r>
    <r>
      <rPr>
        <sz val="9.5"/>
        <rFont val="Noto Sans CJK SC"/>
        <family val="2"/>
      </rPr>
      <t xml:space="preserve">領域 </t>
    </r>
    <r>
      <rPr>
        <sz val="9.5"/>
        <rFont val="Arial"/>
        <charset val="1"/>
      </rPr>
      <t>has material retirements, that is an argument to make explicitly, not silently.</t>
    </r>
  </si>
  <si>
    <t>•  It does not price anything. The cost index is relative, onshore Tokyo E2 = 1.00, and exists so you can see the shape of the cost curve before the rate card lands.</t>
  </si>
  <si>
    <t>Logic tree  (auto)  —  every driver, five years, one domain name</t>
  </si>
  <si>
    <t>Green figures are derived from the inventory or from the rates tables. Amber cells are the few genuine inputs left on this sheet. Nothing here needs editing to produce a first cut.</t>
  </si>
  <si>
    <t>A.  BASELINE  —  Appendix 3 v5, read and never edited</t>
  </si>
  <si>
    <t>The one cell that drives the workbook. Change it on START HERE.</t>
  </si>
  <si>
    <t>Applications in scope</t>
  </si>
  <si>
    <t>Zero here means the name is misspelt.</t>
  </si>
  <si>
    <t>TOTAL EFFORT  —  the frozen scope</t>
  </si>
  <si>
    <t>Units of person-capacity. Held constant across all five years: productivity shows as fewer people doing the same scope, never as scope walking out of the model.</t>
  </si>
  <si>
    <t>Capgemini plus any named sub-contractor.</t>
  </si>
  <si>
    <t>Governance, product ownership, domain SME.</t>
  </si>
  <si>
    <t>MetLife's captive delivery centre.</t>
  </si>
  <si>
    <t>Onshore Tokyo</t>
  </si>
  <si>
    <t>Vendor only. MEASURED, not assumed.</t>
  </si>
  <si>
    <t>Offshore</t>
  </si>
  <si>
    <t>Vendor only. MGCC is excluded — it is MetLife's, not ours.</t>
  </si>
  <si>
    <t>Nearshore</t>
  </si>
  <si>
    <r>
      <rPr>
        <sz val="8.5"/>
        <color rgb="FF595959"/>
        <rFont val="Arial"/>
        <charset val="1"/>
      </rPr>
      <t xml:space="preserve">Zero in most </t>
    </r>
    <r>
      <rPr>
        <sz val="8.5"/>
        <color rgb="FF595959"/>
        <rFont val="Noto Sans CJK SC"/>
        <family val="2"/>
      </rPr>
      <t>領域</t>
    </r>
    <r>
      <rPr>
        <sz val="8.5"/>
        <color rgb="FF595959"/>
        <rFont val="Arial"/>
        <charset val="1"/>
      </rPr>
      <t>. Carried so every domain model shares one schema.</t>
    </r>
  </si>
  <si>
    <t>From the Golden Inventory v4 workforce reconciliation. The continuity argument starts here.</t>
  </si>
  <si>
    <r>
      <rPr>
        <sz val="8.5"/>
        <color rgb="FF595959"/>
        <rFont val="Arial"/>
        <charset val="1"/>
      </rPr>
      <t xml:space="preserve">Rows 7 to 13 are the reconciliation target. A Year-1 seat plan that does not reproduce these numbers is not a plan for this </t>
    </r>
    <r>
      <rPr>
        <sz val="8.5"/>
        <color rgb="FF595959"/>
        <rFont val="Noto Sans CJK SC"/>
        <family val="2"/>
      </rPr>
      <t xml:space="preserve">領域 — </t>
    </r>
    <r>
      <rPr>
        <sz val="8.5"/>
        <color rgb="FF595959"/>
        <rFont val="Arial"/>
        <charset val="1"/>
      </rPr>
      <t>it is a plan for a different one.</t>
    </r>
  </si>
  <si>
    <t>B.  THE ROLE LINE  —  as reported, and as restated where it is internally impossible</t>
  </si>
  <si>
    <t>Client role</t>
  </si>
  <si>
    <t>Appendix 3 v5</t>
  </si>
  <si>
    <t>Restated — INPUT</t>
  </si>
  <si>
    <t>Difference</t>
  </si>
  <si>
    <t>Note</t>
  </si>
  <si>
    <t>BSA</t>
  </si>
  <si>
    <r>
      <rPr>
        <sz val="8.5"/>
        <color rgb="FF595959"/>
        <rFont val="Arial"/>
        <charset val="1"/>
      </rPr>
      <t xml:space="preserve">Bilingual analysis. Scarce in every </t>
    </r>
    <r>
      <rPr>
        <sz val="8.5"/>
        <color rgb="FF595959"/>
        <rFont val="Noto Sans CJK SC"/>
        <family val="2"/>
      </rPr>
      <t>領域</t>
    </r>
    <r>
      <rPr>
        <sz val="8.5"/>
        <color rgb="FF595959"/>
        <rFont val="Arial"/>
        <charset val="1"/>
      </rPr>
      <t>.</t>
    </r>
  </si>
  <si>
    <t>Developer</t>
  </si>
  <si>
    <t>The line restatements are taken FROM here, which is why it is the only one that falls.</t>
  </si>
  <si>
    <t>Tester</t>
  </si>
  <si>
    <t>Where the AI ceiling is highest. A thin tester line understates what is achievable.</t>
  </si>
  <si>
    <t>Maintenance</t>
  </si>
  <si>
    <r>
      <rPr>
        <sz val="8.5"/>
        <color rgb="FF595959"/>
        <rFont val="Arial"/>
        <charset val="1"/>
      </rPr>
      <t xml:space="preserve">Compare to the ticket load on the AMS sheet. Several </t>
    </r>
    <r>
      <rPr>
        <sz val="8.5"/>
        <color rgb="FF595959"/>
        <rFont val="Noto Sans CJK SC"/>
        <family val="2"/>
      </rPr>
      <t xml:space="preserve">領域 </t>
    </r>
    <r>
      <rPr>
        <sz val="8.5"/>
        <color rgb="FF595959"/>
        <rFont val="Arial"/>
        <charset val="1"/>
      </rPr>
      <t>report one person of run against a thousand incidents a year; that is a coding convention, not a plan.</t>
    </r>
  </si>
  <si>
    <t>PM</t>
  </si>
  <si>
    <t>Compare to the number of delivery units you intend to run.</t>
  </si>
  <si>
    <t>Other</t>
  </si>
  <si>
    <r>
      <rPr>
        <sz val="8.5"/>
        <color rgb="FF595959"/>
        <rFont val="Arial"/>
        <charset val="1"/>
      </rPr>
      <t xml:space="preserve">Architecture and enablement. Reported as zero in several </t>
    </r>
    <r>
      <rPr>
        <sz val="8.5"/>
        <color rgb="FF595959"/>
        <rFont val="Noto Sans CJK SC"/>
        <family val="2"/>
      </rPr>
      <t>領域</t>
    </r>
    <r>
      <rPr>
        <sz val="8.5"/>
        <color rgb="FF595959"/>
        <rFont val="Arial"/>
        <charset val="1"/>
      </rPr>
      <t>.</t>
    </r>
  </si>
  <si>
    <t>Total  —  must equal the vendor number, and must not move</t>
  </si>
  <si>
    <t>Neutrality check</t>
  </si>
  <si>
    <t>A RESTATEMENT MOVES PEOPLE BETWEEN ROLE LINES. IT NEVER CHANGES THE TOTAL. Overwrite the amber column where MetLife's own figure is internally impossible, take the difference out of Developer, and check that row 27 still says OK. Every restatement goes back to MetLife as a clarification question — we are not silently re-pricing their data.</t>
  </si>
  <si>
    <t>C.  ARCHETYPES  —  the six-rule classifier, and the two ceilings it sets</t>
  </si>
  <si>
    <t>Archetype</t>
  </si>
  <si>
    <t>Apps</t>
  </si>
  <si>
    <t>Effort</t>
  </si>
  <si>
    <t>Share of effort</t>
  </si>
  <si>
    <t>AI ceiling</t>
  </si>
  <si>
    <t>Offshore ceiling</t>
  </si>
  <si>
    <t>M</t>
  </si>
  <si>
    <t>L</t>
  </si>
  <si>
    <t>D</t>
  </si>
  <si>
    <t>P</t>
  </si>
  <si>
    <t>J</t>
  </si>
  <si>
    <t>T</t>
  </si>
  <si>
    <t>BLENDED AI CEILING</t>
  </si>
  <si>
    <t>Effort-weighted. This is what the estate could theoretically support, before realisation, before adoption, and before anyone has to agree to it.</t>
  </si>
  <si>
    <t>BLENDED OFFSHORE CEILING</t>
  </si>
  <si>
    <r>
      <rPr>
        <sz val="8.5"/>
        <color rgb="FF595959"/>
        <rFont val="Arial"/>
        <charset val="1"/>
      </rPr>
      <t xml:space="preserve">The number that decides whether an offshore case exists at all. A </t>
    </r>
    <r>
      <rPr>
        <sz val="8.5"/>
        <color rgb="FF595959"/>
        <rFont val="Noto Sans CJK SC"/>
        <family val="2"/>
      </rPr>
      <t xml:space="preserve">領域 </t>
    </r>
    <r>
      <rPr>
        <sz val="8.5"/>
        <color rgb="FF595959"/>
        <rFont val="Arial"/>
        <charset val="1"/>
      </rPr>
      <t>that is mostly J applications cannot be moved, however good the tooling.</t>
    </r>
  </si>
  <si>
    <t>D.  THE CAPABILITY CHAIN  —  four gates, compounded, then pre-loaded</t>
  </si>
  <si>
    <t>Driver</t>
  </si>
  <si>
    <t>Year 1</t>
  </si>
  <si>
    <t>Year 2</t>
  </si>
  <si>
    <t>Year 3</t>
  </si>
  <si>
    <t>Year 4</t>
  </si>
  <si>
    <t>Year 5</t>
  </si>
  <si>
    <t>Basis</t>
  </si>
  <si>
    <t>Agile share of effort</t>
  </si>
  <si>
    <t>From the Value Streams sheet. Operating-model gain is only available where the stream actually runs as a pod, so this scales it.</t>
  </si>
  <si>
    <t>Operating-model productivity — pass 1</t>
  </si>
  <si>
    <t>Pass one, before the partner discount. It exists only to give the partner share something to divide by.</t>
  </si>
  <si>
    <t>Blended capability — pass 1</t>
  </si>
  <si>
    <t>1 − (1 − ceiling × realisation)(1 − classical)(1 − operating model). The gates are independent, so they compound rather than add.</t>
  </si>
  <si>
    <t>Applied — pass 1</t>
  </si>
  <si>
    <t>Carry-forward: this year's applied figure is last year's full capability plus the pre-load share of this year's gain. Year 1 applies nothing.</t>
  </si>
  <si>
    <t>Target headcount — pass 1</t>
  </si>
  <si>
    <t>Pass one only. Not the commitment.</t>
  </si>
  <si>
    <t>Partner share of the population</t>
  </si>
  <si>
    <t>Partner population divided by the pass-one target. This is the step that breaks the circularity: the partner share depends on the target and the target depends on the partner share.</t>
  </si>
  <si>
    <t>Operating-model productivity — final</t>
  </si>
  <si>
    <r>
      <rPr>
        <sz val="8.5"/>
        <color rgb="FF595959"/>
        <rFont val="Arial"/>
        <charset val="1"/>
      </rPr>
      <t xml:space="preserve">Raw curve × agile share × span-of-control factor. On a </t>
    </r>
    <r>
      <rPr>
        <sz val="8.5"/>
        <color rgb="FF595959"/>
        <rFont val="Noto Sans CJK SC"/>
        <family val="2"/>
      </rPr>
      <t xml:space="preserve">領域 </t>
    </r>
    <r>
      <rPr>
        <sz val="8.5"/>
        <color rgb="FF595959"/>
        <rFont val="Arial"/>
        <charset val="1"/>
      </rPr>
      <t>with no sub-contractor this equals row 44.</t>
    </r>
  </si>
  <si>
    <t>BLENDED CAPABILITY — final</t>
  </si>
  <si>
    <t>The domain commitment, blended across all four sourcing types. Section F then splits it.</t>
  </si>
  <si>
    <t>APPLIED — carry-forward with pre-load</t>
  </si>
  <si>
    <t>Year 1 applies ZERO. Capability earned in Q4 cannot fund a headcount reduction in Q1, and a Year-1 roster that does not match Appendix 3 is not credible.</t>
  </si>
  <si>
    <t>TARGET HEADCOUNT  —  the commitment</t>
  </si>
  <si>
    <t>THE NUMBER THE WHOLE MODEL EXISTS TO PRODUCE. Frozen scope × (1 − applied).</t>
  </si>
  <si>
    <t>E.  PARTNER  —  the fourth sourcing type, and why it makes the 50:50 harder</t>
  </si>
  <si>
    <t>Which vendor</t>
  </si>
  <si>
    <t>Sub-contracted FTC today  —  pick the vendor</t>
  </si>
  <si>
    <t>FSI</t>
  </si>
  <si>
    <r>
      <rPr>
        <sz val="8.5"/>
        <color rgb="FF595959"/>
        <rFont val="Arial"/>
        <charset val="1"/>
      </rPr>
      <t xml:space="preserve">Vendor FTC in this </t>
    </r>
    <r>
      <rPr>
        <sz val="8.5"/>
        <color rgb="FF595959"/>
        <rFont val="Noto Sans CJK SC"/>
        <family val="2"/>
      </rPr>
      <t xml:space="preserve">領域 </t>
    </r>
    <r>
      <rPr>
        <sz val="8.5"/>
        <color rgb="FF595959"/>
        <rFont val="Arial"/>
        <charset val="1"/>
      </rPr>
      <t>from the Golden v4 tags. Zero against every named vendor means no sub-contract of size, and the PT rows resolve to zero.</t>
    </r>
  </si>
  <si>
    <t>PARTNER POPULATION BY YEAR  —  INPUT</t>
  </si>
  <si>
    <t>SEEDED, NOT DECIDED. The default holds the partner at a constant share of a shrinking domain. If you have a real incumbent, taper it deliberately: partner seats can never transfer to MetLife, so every one you keep sits on the Capgemini side of the 50:50 permanently. If you have none, leave it at zero.</t>
  </si>
  <si>
    <r>
      <rPr>
        <sz val="8.5"/>
        <color rgb="FF595959"/>
        <rFont val="Arial"/>
        <charset val="1"/>
      </rPr>
      <t xml:space="preserve">DECIDE WHICH NAMED VENDORS YOU ARE RETAINING AS SUB-CONTRACTORS. Not every third party in the </t>
    </r>
    <r>
      <rPr>
        <sz val="8.5"/>
        <color rgb="FF595959"/>
        <rFont val="Noto Sans CJK SC"/>
        <family val="2"/>
      </rPr>
      <t xml:space="preserve">領域 </t>
    </r>
    <r>
      <rPr>
        <sz val="8.5"/>
        <color rgb="FF595959"/>
        <rFont val="Arial"/>
        <charset val="1"/>
      </rPr>
      <t>is one: some we sub-contract because they hold irreplaceable knowledge, and some we displace and absorb. The five built models retained FSI where FSI was entrenched on Japanese-specification waterfall applications, and absorbed NCD everywhere. Choose, and be able to say why — the answer changes the 50:50 arithmetic.</t>
    </r>
  </si>
  <si>
    <t>Span-of-control factor  =  1 − drag × partner share</t>
  </si>
  <si>
    <r>
      <rPr>
        <sz val="8.5"/>
        <color rgb="FF595959"/>
        <rFont val="Arial"/>
        <charset val="1"/>
      </rPr>
      <t xml:space="preserve">A partner seat returns 40% of the operating-model gain a Capgemini seat does — two management chains, a contractual boundary on ways of working, slower standardisation. That is the drag on the Rates sheet, and it is the number to argue about if your </t>
    </r>
    <r>
      <rPr>
        <sz val="8.5"/>
        <color rgb="FF595959"/>
        <rFont val="Noto Sans CJK SC"/>
        <family val="2"/>
      </rPr>
      <t xml:space="preserve">領域 </t>
    </r>
    <r>
      <rPr>
        <sz val="8.5"/>
        <color rgb="FF595959"/>
        <rFont val="Arial"/>
        <charset val="1"/>
      </rPr>
      <t>is partner-heavy.</t>
    </r>
  </si>
  <si>
    <t>F.  PER-SOURCING  —  the same four gates, on four different populations</t>
  </si>
  <si>
    <t>Sourcing pool</t>
  </si>
  <si>
    <t>Year-1 population</t>
  </si>
  <si>
    <t>Own AI ceiling</t>
  </si>
  <si>
    <t>Adoption</t>
  </si>
  <si>
    <t>What this pool does</t>
  </si>
  <si>
    <t>FTC</t>
  </si>
  <si>
    <t>Capgemini payroll. The vendor number less the named sub-contractor.</t>
  </si>
  <si>
    <t>PT</t>
  </si>
  <si>
    <r>
      <rPr>
        <sz val="8.5"/>
        <color rgb="FF595959"/>
        <rFont val="Arial"/>
        <charset val="1"/>
      </rPr>
      <t xml:space="preserve">Named sub-contractor. Zero in most </t>
    </r>
    <r>
      <rPr>
        <sz val="8.5"/>
        <color rgb="FF595959"/>
        <rFont val="Noto Sans CJK SC"/>
        <family val="2"/>
      </rPr>
      <t>領域</t>
    </r>
    <r>
      <rPr>
        <sz val="8.5"/>
        <color rgb="FF595959"/>
        <rFont val="Arial"/>
        <charset val="1"/>
      </rPr>
      <t>.</t>
    </r>
  </si>
  <si>
    <t>FTE</t>
  </si>
  <si>
    <r>
      <rPr>
        <sz val="8.5"/>
        <color rgb="FF595959"/>
        <rFont val="Arial"/>
        <charset val="1"/>
      </rPr>
      <t xml:space="preserve">MetLife Japan. Across the five </t>
    </r>
    <r>
      <rPr>
        <sz val="8.5"/>
        <color rgb="FF595959"/>
        <rFont val="Noto Sans CJK SC"/>
        <family val="2"/>
      </rPr>
      <t xml:space="preserve">領域 </t>
    </r>
    <r>
      <rPr>
        <sz val="8.5"/>
        <color rgb="FF595959"/>
        <rFont val="Arial"/>
        <charset val="1"/>
      </rPr>
      <t>modelled this population is 41% BSA and 39% PM — governance work, the least machine-addressable in the estate.</t>
    </r>
  </si>
  <si>
    <t>MGCC</t>
  </si>
  <si>
    <t>MetLife's captive centre. 74% developers and 26% testers — build and test, where the ceiling is highest.</t>
  </si>
  <si>
    <t>Total  —  ties to the frozen scope</t>
  </si>
  <si>
    <t>Day-one vendor share  —  does the 50% guardrail even apply here?</t>
  </si>
  <si>
    <t>1 = Capgemini starts in the majority, so the floor is a position we are PROTECTING and it applies from Year 2. 0 = MetLife already holds the majority on day one, so the floor is switched off: we do not manufacture a majority we never had. Common Service Platform is the worked example of the second case.</t>
  </si>
  <si>
    <t>CAPABILITY BY POOL</t>
  </si>
  <si>
    <t>APPLIED  —  carry-forward with pre-load</t>
  </si>
  <si>
    <t>NATURAL POPULATION  —  each pool on its own curve</t>
  </si>
  <si>
    <t>THIS IS THE HEART OF THE MODEL. The headline commitment in row 52 does not change. What changes is who carries it. A pool whose work sits in Test and Build earns a high ceiling; a pool whose work sits in Run and Requirements earns a low one; and the adoption factor then asks how much of that ceiling the pool has the authority to commit to. Apply one blended rate to all four and you are wrong in both directions at once — and most wrong on the population you control least.</t>
  </si>
  <si>
    <t>G.  THE PLAN  —  MetLife and the partner take their own path, Capgemini absorbs the balance</t>
  </si>
  <si>
    <t>Target headcount</t>
  </si>
  <si>
    <t>From row 52. Unchanged by anything in this section.</t>
  </si>
  <si>
    <t>MetLife Japan  (FTE)</t>
  </si>
  <si>
    <t>Their own slower curve, from row 85. Not the domain average.</t>
  </si>
  <si>
    <t>MetLife MGCC</t>
  </si>
  <si>
    <t>Their own curve, from row 86.</t>
  </si>
  <si>
    <t>Partner  (PT)</t>
  </si>
  <si>
    <t>The partner plan from row 57.</t>
  </si>
  <si>
    <t>Capgemini  (FTC)  —  absorbs the balance</t>
  </si>
  <si>
    <t>WHAT IS LEFT. This is the mechanic that converges the ratio without anybody changing employer: Capgemini shrinks faster than MetLife because Capgemini's work is more machine-addressable and Capgemini has the authority to act on it.</t>
  </si>
  <si>
    <t>TOTAL</t>
  </si>
  <si>
    <t>Equals row 91 unless the floor has fired.</t>
  </si>
  <si>
    <t>RATIO  —  Capgemini + partner share</t>
  </si>
  <si>
    <t>Falls every year. That fall is the organic convergence, and it is what makes the Year-3 transfer small.</t>
  </si>
  <si>
    <t>Floor applied?</t>
  </si>
  <si>
    <r>
      <rPr>
        <sz val="8.5"/>
        <color rgb="FF595959"/>
        <rFont val="Arial"/>
        <charset val="1"/>
      </rPr>
      <t xml:space="preserve">1 = the guardrail bound this year and Capgemini was held above the floor rather than shrinking further. Check row 68 first: if the floor does not apply to your </t>
    </r>
    <r>
      <rPr>
        <sz val="8.5"/>
        <color rgb="FF595959"/>
        <rFont val="Noto Sans CJK SC"/>
        <family val="2"/>
      </rPr>
      <t xml:space="preserve">領域 </t>
    </r>
    <r>
      <rPr>
        <sz val="8.5"/>
        <color rgb="FF595959"/>
        <rFont val="Arial"/>
        <charset val="1"/>
      </rPr>
      <t>this will always be 0.</t>
    </r>
  </si>
  <si>
    <t>H.  THE TRANSFER  —  struck once, on the Year-3 exit, AFTER organic convergence</t>
  </si>
  <si>
    <t>Step</t>
  </si>
  <si>
    <t>Exit Year 3 headcount, at full realisation</t>
  </si>
  <si>
    <t>Not the Year-3 target. The transfer is struck on the position the domain exits Year 3 in, which is the full capability rather than the pre-loaded figure.</t>
  </si>
  <si>
    <t>Scale factor from the Year-3 plan to the exit</t>
  </si>
  <si>
    <t>The Year-3 plan is re-based onto the exit headcount so the mix is preserved.</t>
  </si>
  <si>
    <t>Vendor units at the exit</t>
  </si>
  <si>
    <t>Capgemini plus partner.</t>
  </si>
  <si>
    <t xml:space="preserve">  — of which Capgemini payroll, the transfer pool</t>
  </si>
  <si>
    <t>ONLY THIS CAN MOVE. Partner seats are contracted to a third party; they are not ours to transfer.</t>
  </si>
  <si>
    <t>50:50 requires each side to be</t>
  </si>
  <si>
    <t>Half the exit headcount.</t>
  </si>
  <si>
    <t>TRANSFER REQUIRED</t>
  </si>
  <si>
    <r>
      <rPr>
        <sz val="8.5"/>
        <color rgb="FF595959"/>
        <rFont val="Arial"/>
        <charset val="1"/>
      </rPr>
      <t xml:space="preserve">NEGATIVE means the </t>
    </r>
    <r>
      <rPr>
        <sz val="8.5"/>
        <color rgb="FF595959"/>
        <rFont val="Noto Sans CJK SC"/>
        <family val="2"/>
      </rPr>
      <t xml:space="preserve">領域 </t>
    </r>
    <r>
      <rPr>
        <sz val="8.5"/>
        <color rgb="FF595959"/>
        <rFont val="Arial"/>
        <charset val="1"/>
      </rPr>
      <t>is already past 50:50 and nothing needs to move — argue against further convergence rather than for it.</t>
    </r>
  </si>
  <si>
    <t>Cap on the transferable pool</t>
  </si>
  <si>
    <t>The most of our own population we will put through a transfer of employment.</t>
  </si>
  <si>
    <t>Maximum transferable</t>
  </si>
  <si>
    <t>The pool times the cap.</t>
  </si>
  <si>
    <t>TRANSFER APPLIED</t>
  </si>
  <si>
    <t>If this is materially below row 108 the 50:50 does not close on transfer alone, and the answer is a different sourcing mix rather than a bigger transfer. Contract Management is the worked example.</t>
  </si>
  <si>
    <t xml:space="preserve">  — to MetLife Japan</t>
  </si>
  <si>
    <t>Onshore people to the onshore entity.</t>
  </si>
  <si>
    <t xml:space="preserve">  — to MGCC</t>
  </si>
  <si>
    <t>Offshore people to the offshore entity.</t>
  </si>
  <si>
    <t>RESIDUAL GAP TO 50:50</t>
  </si>
  <si>
    <t>What the transfer cannot close. Report it; do not hide it.</t>
  </si>
  <si>
    <t>Ratio actually reached at the Year-3 exit</t>
  </si>
  <si>
    <t>MetLife has accepted 50:50 as the aspirational journey, not a hard target. A defensible number with a reason beats an engineered one.</t>
  </si>
  <si>
    <t>I.  THE FINAL PLAN  —  Years 4 and 5 carry the transferred seats on MetLife's side</t>
  </si>
  <si>
    <t>Transferred people carried by MetLife Japan</t>
  </si>
  <si>
    <t>Decayed, not held flat. Once inside MetLife they are subject to the same productivity as everybody else; pinning them at the Year-3 number was a defect in an earlier version of this model.</t>
  </si>
  <si>
    <t>Transferred people carried by MGCC</t>
  </si>
  <si>
    <t>Same mechanic, on the MGCC curve.</t>
  </si>
  <si>
    <t>MetLife Japan  —  final</t>
  </si>
  <si>
    <t>Natural curve plus the transferred population.</t>
  </si>
  <si>
    <t>MetLife MGCC  —  final</t>
  </si>
  <si>
    <t>Partner  —  final</t>
  </si>
  <si>
    <t>Unchanged by the transfer. Partner seats never move.</t>
  </si>
  <si>
    <t>Capgemini  —  final</t>
  </si>
  <si>
    <t>The balance again, with the guardrail re-applied.</t>
  </si>
  <si>
    <t>TOTAL  —  final</t>
  </si>
  <si>
    <t>Should equal the target in row 91 unless the guardrail has fired.</t>
  </si>
  <si>
    <t>THE HEADLINE. Years 1 to 3 are the pre-transfer position; Years 4 and 5 are post-transfer.</t>
  </si>
  <si>
    <t>ROWS 121 TO 124 ARE THE TARGET THE SEAT PLAN IS CHECKED AGAINST. Everything above this is how they were arrived at; everything below is location, and the Seat Planner is where they turn into people. The Reconciliation sheet tests the anatomy against this block, year by year and pool by pool.</t>
  </si>
  <si>
    <t>J.  OFFSHORE  —  a measured start, a re-cut ceiling, and a closure curve</t>
  </si>
  <si>
    <t>MEASURED. Vendor offshore plus MGCC, over the frozen scope. MGCC counts: the work is away from Tokyo whoever employs the person.</t>
  </si>
  <si>
    <r>
      <rPr>
        <sz val="8.5"/>
        <color rgb="FF595959"/>
        <rFont val="Arial"/>
        <charset val="1"/>
      </rPr>
      <t xml:space="preserve">From section C. A </t>
    </r>
    <r>
      <rPr>
        <sz val="8.5"/>
        <color rgb="FF595959"/>
        <rFont val="Noto Sans CJK SC"/>
        <family val="2"/>
      </rPr>
      <t xml:space="preserve">領域 </t>
    </r>
    <r>
      <rPr>
        <sz val="8.5"/>
        <color rgb="FF595959"/>
        <rFont val="Arial"/>
        <charset val="1"/>
      </rPr>
      <t>of J applications caps at 12% and there is no case to make.</t>
    </r>
  </si>
  <si>
    <t>Gap closure — share of (ceiling − today) reached  —  INPUT</t>
  </si>
  <si>
    <r>
      <rPr>
        <sz val="8.5"/>
        <color rgb="FF595959"/>
        <rFont val="Arial"/>
        <charset val="1"/>
      </rPr>
      <t xml:space="preserve">SEEDED, NOT DECIDED. Year 1 should be close to zero — the Year-1 roster is what Appendix 3 says it is. Everything after that is a transition assumption you own. A </t>
    </r>
    <r>
      <rPr>
        <sz val="8.5"/>
        <color rgb="FF595959"/>
        <rFont val="Noto Sans CJK SC"/>
        <family val="2"/>
      </rPr>
      <t xml:space="preserve">領域 </t>
    </r>
    <r>
      <rPr>
        <sz val="8.5"/>
        <color rgb="FF595959"/>
        <rFont val="Arial"/>
        <charset val="1"/>
      </rPr>
      <t>whose onshore population is mostly MetLife's cannot move offshore faster than MetLife lets it.</t>
    </r>
  </si>
  <si>
    <t>TARGET OFFSHORE SHARE, whole team</t>
  </si>
  <si>
    <t>Value streams and delivery mode  —  the streams fill in, the conversion is yours</t>
  </si>
  <si>
    <t>Stream names, application counts, effort and today's development method are read from Appendix 3 v5. What you decide is when each stream converts to pod delivery and how many units you run.</t>
  </si>
  <si>
    <r>
      <rPr>
        <b/>
        <sz val="11"/>
        <color rgb="FF00385F"/>
        <rFont val="Arial"/>
        <charset val="1"/>
      </rPr>
      <t xml:space="preserve">A.  THE STREAMS IN THIS </t>
    </r>
    <r>
      <rPr>
        <b/>
        <sz val="11"/>
        <color rgb="FF00385F"/>
        <rFont val="Noto Sans CJK SC"/>
        <family val="2"/>
      </rPr>
      <t xml:space="preserve">領域  </t>
    </r>
    <r>
      <rPr>
        <b/>
        <sz val="11"/>
        <color rgb="FF00385F"/>
        <rFont val="Arial"/>
        <charset val="1"/>
      </rPr>
      <t>(auto, except the conversion quarter)</t>
    </r>
  </si>
  <si>
    <t>#</t>
  </si>
  <si>
    <t>Value stream</t>
  </si>
  <si>
    <t>Share</t>
  </si>
  <si>
    <t>Method today</t>
  </si>
  <si>
    <t>Converts in Q — INPUT</t>
  </si>
  <si>
    <r>
      <rPr>
        <sz val="8.5"/>
        <color rgb="FF595959"/>
        <rFont val="Arial"/>
        <charset val="1"/>
      </rPr>
      <t xml:space="preserve">Blank rows mean your </t>
    </r>
    <r>
      <rPr>
        <sz val="8.5"/>
        <color rgb="FF595959"/>
        <rFont val="Noto Sans CJK SC"/>
        <family val="2"/>
      </rPr>
      <t xml:space="preserve">領域 </t>
    </r>
    <r>
      <rPr>
        <sz val="8.5"/>
        <color rgb="FF595959"/>
        <rFont val="Arial"/>
        <charset val="1"/>
      </rPr>
      <t xml:space="preserve">has fewer than six value streams — that is normal, most have two or three. If row 13 is not zero, your </t>
    </r>
    <r>
      <rPr>
        <sz val="8.5"/>
        <color rgb="FF595959"/>
        <rFont val="Noto Sans CJK SC"/>
        <family val="2"/>
      </rPr>
      <t xml:space="preserve">領域 </t>
    </r>
    <r>
      <rPr>
        <sz val="8.5"/>
        <color rgb="FF595959"/>
        <rFont val="Arial"/>
        <charset val="1"/>
      </rPr>
      <t>has MORE than six and the catalogue needs extending; tell whoever maintains this template.</t>
    </r>
  </si>
  <si>
    <t>THE CONVERSION QUARTER IS THE ASSUMPTION TO ARGUE ABOUT. Q1 means the stream runs as pods from day one; Q9 means it converts at the start of Year 3. A stream that is already recorded Agile in Appendix 3 should convert early — the work is proving the pod shape, not changing method. A Japanese-specification waterfall stream should convert late or not at all.</t>
  </si>
  <si>
    <t>Total  —  must equal the frozen scope</t>
  </si>
  <si>
    <t>Reconciliation to the Logic Tree</t>
  </si>
  <si>
    <t>B.  DELIVERY UNITS BY YEAR  —  INPUT</t>
  </si>
  <si>
    <t>Y1 pods</t>
  </si>
  <si>
    <t>Y1 teams</t>
  </si>
  <si>
    <t>Y2 pods</t>
  </si>
  <si>
    <t>Y2 teams</t>
  </si>
  <si>
    <t>Y3 pods</t>
  </si>
  <si>
    <t>Y3 teams</t>
  </si>
  <si>
    <t>Y4 pods</t>
  </si>
  <si>
    <t>Y4 teams</t>
  </si>
  <si>
    <t>Y5 pods</t>
  </si>
  <si>
    <t>Y5 teams</t>
  </si>
  <si>
    <r>
      <rPr>
        <sz val="8.5"/>
        <color rgb="FF595959"/>
        <rFont val="Arial"/>
        <charset val="1"/>
      </rPr>
      <t xml:space="preserve">A POD is a cross-functional unit that owns a stream end to end; a TEAM is the waterfall or hybrid shape with a separate test cell. Across the five </t>
    </r>
    <r>
      <rPr>
        <sz val="8.5"/>
        <color rgb="FF595959"/>
        <rFont val="Noto Sans CJK SC"/>
        <family val="2"/>
      </rPr>
      <t xml:space="preserve">領域 </t>
    </r>
    <r>
      <rPr>
        <sz val="8.5"/>
        <color rgb="FF595959"/>
        <rFont val="Arial"/>
        <charset val="1"/>
      </rPr>
      <t>modelled, pods run 10 seats in Year 1 falling to 6 by Year 4, and teams run 11 to 12 with the test cell attached. Enter the counts here; the Seat Planner multiplies them by the seat anatomy you design.</t>
    </r>
  </si>
  <si>
    <r>
      <rPr>
        <sz val="8.5"/>
        <color rgb="FF595959"/>
        <rFont val="Arial"/>
        <charset val="1"/>
      </rPr>
      <t xml:space="preserve">Teams should disappear as streams convert. If you still have teams in Year 5, either the conversion quarters above are wrong or you are telling MetLife the </t>
    </r>
    <r>
      <rPr>
        <sz val="8.5"/>
        <color rgb="FF595959"/>
        <rFont val="Noto Sans CJK SC"/>
        <family val="2"/>
      </rPr>
      <t xml:space="preserve">領域 </t>
    </r>
    <r>
      <rPr>
        <sz val="8.5"/>
        <color rgb="FF595959"/>
        <rFont val="Arial"/>
        <charset val="1"/>
      </rPr>
      <t>never modernises — which may be the right answer for a Japan-locked estate, but say it out loud.</t>
    </r>
  </si>
  <si>
    <t>TOTAL DELIVERY UNITS</t>
  </si>
  <si>
    <t>C.  AGILE SHARE BY YEAR  (auto)  —  read by the Logic Tree</t>
  </si>
  <si>
    <r>
      <rPr>
        <b/>
        <sz val="9.5"/>
        <rFont val="Arial"/>
        <charset val="1"/>
      </rPr>
      <t xml:space="preserve">EFFORT-WEIGHTED AGILE SHARE OF THE </t>
    </r>
    <r>
      <rPr>
        <b/>
        <sz val="9.5"/>
        <rFont val="Noto Sans CJK SC"/>
        <family val="2"/>
      </rPr>
      <t>領域</t>
    </r>
  </si>
  <si>
    <r>
      <rPr>
        <sz val="8.5"/>
        <color rgb="FF595959"/>
        <rFont val="Arial"/>
        <charset val="1"/>
      </rPr>
      <t xml:space="preserve">This row scales the operating-model gate in the Logic Tree. Pod consolidation, a single release train and a wider span of control are only available where the stream actually runs as a pod, so a </t>
    </r>
    <r>
      <rPr>
        <sz val="8.5"/>
        <color rgb="FF595959"/>
        <rFont val="Noto Sans CJK SC"/>
        <family val="2"/>
      </rPr>
      <t xml:space="preserve">領域 </t>
    </r>
    <r>
      <rPr>
        <sz val="8.5"/>
        <color rgb="FF595959"/>
        <rFont val="Arial"/>
        <charset val="1"/>
      </rPr>
      <t>that converts late earns less of that gate — correctly.</t>
    </r>
  </si>
  <si>
    <t>Role × sourcing  —  why the four populations cannot carry the same commitment</t>
  </si>
  <si>
    <r>
      <rPr>
        <sz val="9"/>
        <color rgb="FFFFFFFF"/>
        <rFont val="Arial"/>
        <charset val="1"/>
      </rPr>
      <t xml:space="preserve">The one place a judgement about MetLife's own people is made explicit. Seeded from the observed Year-1 roster across the five </t>
    </r>
    <r>
      <rPr>
        <sz val="9"/>
        <color rgb="FFFFFFFF"/>
        <rFont val="Noto Sans CJK SC"/>
        <family val="2"/>
      </rPr>
      <t xml:space="preserve">領域 </t>
    </r>
    <r>
      <rPr>
        <sz val="9"/>
        <color rgb="FFFFFFFF"/>
        <rFont val="Arial"/>
        <charset val="1"/>
      </rPr>
      <t>already modelled — 1,102 units of seat plan.</t>
    </r>
  </si>
  <si>
    <r>
      <rPr>
        <b/>
        <sz val="11"/>
        <color rgb="FF00385F"/>
        <rFont val="Arial"/>
        <charset val="1"/>
      </rPr>
      <t xml:space="preserve">A.  AI CEILING BY CLIENT ROLE, ON THIS </t>
    </r>
    <r>
      <rPr>
        <b/>
        <sz val="11"/>
        <color rgb="FF00385F"/>
        <rFont val="Noto Sans CJK SC"/>
        <family val="2"/>
      </rPr>
      <t>領域</t>
    </r>
    <r>
      <rPr>
        <b/>
        <sz val="11"/>
        <color rgb="FF00385F"/>
        <rFont val="Arial"/>
        <charset val="1"/>
      </rPr>
      <t>'S ARCHETYPE MIX  (auto)</t>
    </r>
  </si>
  <si>
    <t>AI CEILING FOR THIS ROLE</t>
  </si>
  <si>
    <r>
      <rPr>
        <sz val="8.5"/>
        <color rgb="FF595959"/>
        <rFont val="Arial"/>
        <charset val="1"/>
      </rPr>
      <t xml:space="preserve">Each role's time distribution run through each archetype's phase ceilings, weighted by how much of this </t>
    </r>
    <r>
      <rPr>
        <sz val="8.5"/>
        <color rgb="FF595959"/>
        <rFont val="Noto Sans CJK SC"/>
        <family val="2"/>
      </rPr>
      <t xml:space="preserve">領域 </t>
    </r>
    <r>
      <rPr>
        <sz val="8.5"/>
        <color rgb="FF595959"/>
        <rFont val="Arial"/>
        <charset val="1"/>
      </rPr>
      <t xml:space="preserve">each archetype is. On a mainframe-heavy </t>
    </r>
    <r>
      <rPr>
        <sz val="8.5"/>
        <color rgb="FF595959"/>
        <rFont val="Noto Sans CJK SC"/>
        <family val="2"/>
      </rPr>
      <t xml:space="preserve">領域 </t>
    </r>
    <r>
      <rPr>
        <sz val="8.5"/>
        <color rgb="FF595959"/>
        <rFont val="Arial"/>
        <charset val="1"/>
      </rPr>
      <t xml:space="preserve">every number here falls; on a cloud </t>
    </r>
    <r>
      <rPr>
        <sz val="8.5"/>
        <color rgb="FF595959"/>
        <rFont val="Noto Sans CJK SC"/>
        <family val="2"/>
      </rPr>
      <t xml:space="preserve">領域 </t>
    </r>
    <r>
      <rPr>
        <sz val="8.5"/>
        <color rgb="FF595959"/>
        <rFont val="Arial"/>
        <charset val="1"/>
      </rPr>
      <t>every number rises. Tester is always the highest and PM always the lowest.</t>
    </r>
  </si>
  <si>
    <t>B.  HOW EACH POOL'S HEADCOUNT SPLITS ACROSS THE SIX ROLES  —  INPUT</t>
  </si>
  <si>
    <t>Check</t>
  </si>
  <si>
    <t>Capgemini payroll. Broad, because we carry the delivery.</t>
  </si>
  <si>
    <t>Sub-contractor. Overwhelmingly developers with a maintenance tail.</t>
  </si>
  <si>
    <t>MetLife Japan. 41% BSA and 39% PM — this is a governance population, not a build one.</t>
  </si>
  <si>
    <t>MGCC. 74% developers, 26% testers, nothing else.</t>
  </si>
  <si>
    <r>
      <rPr>
        <sz val="8.5"/>
        <color rgb="FF595959"/>
        <rFont val="Arial"/>
        <charset val="1"/>
      </rPr>
      <t xml:space="preserve">EACH ROW MUST SUM TO 100%. These are shares of that pool's own headcount, not of the </t>
    </r>
    <r>
      <rPr>
        <sz val="8.5"/>
        <color rgb="FF595959"/>
        <rFont val="Noto Sans CJK SC"/>
        <family val="2"/>
      </rPr>
      <t>領域</t>
    </r>
    <r>
      <rPr>
        <sz val="8.5"/>
        <color rgb="FF595959"/>
        <rFont val="Arial"/>
        <charset val="1"/>
      </rPr>
      <t xml:space="preserve">. Change them only where you know your </t>
    </r>
    <r>
      <rPr>
        <sz val="8.5"/>
        <color rgb="FF595959"/>
        <rFont val="Noto Sans CJK SC"/>
        <family val="2"/>
      </rPr>
      <t xml:space="preserve">領域 </t>
    </r>
    <r>
      <rPr>
        <sz val="8.5"/>
        <color rgb="FF595959"/>
        <rFont val="Arial"/>
        <charset val="1"/>
      </rPr>
      <t>differs from the portfolio pattern, and write down why — this matrix is the entire reason the four populations end up with different productivity commitments, and MetLife will ask about it.</t>
    </r>
  </si>
  <si>
    <t>C.  THE RESULTING YEAR-1 HEADCOUNT MATRIX  (auto)</t>
  </si>
  <si>
    <t>Total</t>
  </si>
  <si>
    <t>Vendor rows only  (FTC + PT)</t>
  </si>
  <si>
    <t>Appendix 3 v5, restated  —  the vendor role line</t>
  </si>
  <si>
    <t>Variance</t>
  </si>
  <si>
    <t>Largest single role variance</t>
  </si>
  <si>
    <r>
      <rPr>
        <sz val="8.5"/>
        <color rgb="FF595959"/>
        <rFont val="Arial"/>
        <charset val="1"/>
      </rPr>
      <t xml:space="preserve">Row 30 is the honest check on row 16. Appendix 3 tells us the vendor role line but not how it splits between Capgemini and a sub-contractor, and it tells us nothing at all about how MetLife's own people or MGCC are deployed. If row 31 is large, the FTC or PT row above is wrong for your </t>
    </r>
    <r>
      <rPr>
        <sz val="8.5"/>
        <color rgb="FF595959"/>
        <rFont val="Noto Sans CJK SC"/>
        <family val="2"/>
      </rPr>
      <t xml:space="preserve">領域 — </t>
    </r>
    <r>
      <rPr>
        <sz val="8.5"/>
        <color rgb="FF595959"/>
        <rFont val="Arial"/>
        <charset val="1"/>
      </rPr>
      <t>tune it until the vendor side reconciles, then leave the MetLife rows alone unless you have evidence.</t>
    </r>
  </si>
  <si>
    <t>D.  THE PER-SOURCING AI CEILING  (auto)  —  read by the Logic Tree</t>
  </si>
  <si>
    <t>This is the output of everything above: each pool's own role mix run through each role's own ceiling. It is what makes MGCC a high-ceiling population and MetLife Japan a low-ceiling one — not an opinion about the people, but an observation about the work they do.</t>
  </si>
  <si>
    <t>Dominant roles</t>
  </si>
  <si>
    <t>AI CEILING</t>
  </si>
  <si>
    <t>Ceiling × adoption</t>
  </si>
  <si>
    <t>Reading</t>
  </si>
  <si>
    <t>Column D is capability — what the work would support. Column E is authority — how much of it that population can actually commit to. Column F is the product, and it is the number that decides how much of the productivity promise sits on Capgemini's side of the contract.</t>
  </si>
  <si>
    <t>AMS and ticket load  (auto)  —  and the one contradiction to put back to MetLife</t>
  </si>
  <si>
    <r>
      <rPr>
        <sz val="9"/>
        <color rgb="FFFFFFFF"/>
        <rFont val="Arial"/>
        <charset val="1"/>
      </rPr>
      <t xml:space="preserve">Incident and change volumes from Appendix 3 v5, against the maintenance role line and against MetLife's own AD / AMS effort split. In several </t>
    </r>
    <r>
      <rPr>
        <sz val="9"/>
        <color rgb="FFFFFFFF"/>
        <rFont val="Noto Sans CJK SC"/>
        <family val="2"/>
      </rPr>
      <t xml:space="preserve">領域 </t>
    </r>
    <r>
      <rPr>
        <sz val="9"/>
        <color rgb="FFFFFFFF"/>
        <rFont val="Arial"/>
        <charset val="1"/>
      </rPr>
      <t>the two disagree by a factor of three.</t>
    </r>
  </si>
  <si>
    <t>A.  THE LOAD  (auto)</t>
  </si>
  <si>
    <t>Volume</t>
  </si>
  <si>
    <t>Per application</t>
  </si>
  <si>
    <t>P1 — critical incidents</t>
  </si>
  <si>
    <r>
      <rPr>
        <sz val="8.5"/>
        <color rgb="FF595959"/>
        <rFont val="Arial"/>
        <charset val="1"/>
      </rPr>
      <t xml:space="preserve">Outage-class. A </t>
    </r>
    <r>
      <rPr>
        <sz val="8.5"/>
        <color rgb="FF595959"/>
        <rFont val="Noto Sans CJK SC"/>
        <family val="2"/>
      </rPr>
      <t xml:space="preserve">領域 </t>
    </r>
    <r>
      <rPr>
        <sz val="8.5"/>
        <color rgb="FF595959"/>
        <rFont val="Arial"/>
        <charset val="1"/>
      </rPr>
      <t>with P1s needs a named onshore first responder.</t>
    </r>
  </si>
  <si>
    <t>P2 — high</t>
  </si>
  <si>
    <t>Business-impacting.</t>
  </si>
  <si>
    <t>P3 — medium</t>
  </si>
  <si>
    <r>
      <rPr>
        <sz val="8.5"/>
        <color rgb="FF595959"/>
        <rFont val="Arial"/>
        <charset val="1"/>
      </rPr>
      <t xml:space="preserve">The bulk of the analyst load in most </t>
    </r>
    <r>
      <rPr>
        <sz val="8.5"/>
        <color rgb="FF595959"/>
        <rFont val="Noto Sans CJK SC"/>
        <family val="2"/>
      </rPr>
      <t>領域</t>
    </r>
    <r>
      <rPr>
        <sz val="8.5"/>
        <color rgb="FF595959"/>
        <rFont val="Arial"/>
        <charset val="1"/>
      </rPr>
      <t>.</t>
    </r>
  </si>
  <si>
    <t>P4 — low</t>
  </si>
  <si>
    <t>P5 — cosmetic / request</t>
  </si>
  <si>
    <t>Often the largest volume and the cheapest to automate away.</t>
  </si>
  <si>
    <t>Emergency changes</t>
  </si>
  <si>
    <t>Unplanned production change. High volume here signals brittle release practice.</t>
  </si>
  <si>
    <t>Normal changes</t>
  </si>
  <si>
    <t>Standard changes</t>
  </si>
  <si>
    <t>Pre-approved and repeatable — the natural first target for automation.</t>
  </si>
  <si>
    <t>TOTAL INCIDENTS</t>
  </si>
  <si>
    <t>TOTAL CHANGES</t>
  </si>
  <si>
    <t>P1 + P2 as a share of incidents</t>
  </si>
  <si>
    <t>Below 1% and the estate is stable; the AMS case is about volume, not severity. Above 5% and you need an onshore incident cell whatever the offshore ceiling says.</t>
  </si>
  <si>
    <t>B.  WHAT IT TAKES TO SERVE IT  —  INPUT</t>
  </si>
  <si>
    <t>Average handling time — incident  (hours)</t>
  </si>
  <si>
    <r>
      <rPr>
        <sz val="8.5"/>
        <color rgb="FF595959"/>
        <rFont val="Arial"/>
        <charset val="1"/>
      </rPr>
      <t xml:space="preserve">Across the five </t>
    </r>
    <r>
      <rPr>
        <sz val="8.5"/>
        <color rgb="FF595959"/>
        <rFont val="Noto Sans CJK SC"/>
        <family val="2"/>
      </rPr>
      <t xml:space="preserve">領域 </t>
    </r>
    <r>
      <rPr>
        <sz val="8.5"/>
        <color rgb="FF595959"/>
        <rFont val="Arial"/>
        <charset val="1"/>
      </rPr>
      <t>modelled. Weight it up on a mainframe estate and down on a cloud one.</t>
    </r>
  </si>
  <si>
    <t>Average handling time — change  (hours)</t>
  </si>
  <si>
    <t>Build, test and release of a small change.</t>
  </si>
  <si>
    <t>Productive hours per analyst per year</t>
  </si>
  <si>
    <t>1,800 gross less leave, training and ceremony. Deliberately conservative.</t>
  </si>
  <si>
    <t>Share of the load carried by the horizontal AMS function</t>
  </si>
  <si>
    <t>The rest sits inside the pods, which is where shift-left actually happens.</t>
  </si>
  <si>
    <t>IMPLIED AMS PEOPLE</t>
  </si>
  <si>
    <t>A SANITY CHECK, NOT A TARGET. It exists so that a maintenance line of one person against a thousand incidents is visibly impossible rather than quietly accepted.</t>
  </si>
  <si>
    <t xml:space="preserve">  — of which in the horizontal function  (H1)</t>
  </si>
  <si>
    <t>C.  THE TWO METLIFE VIEWS OF RUN  —  and they disagree  (auto)</t>
  </si>
  <si>
    <t>View</t>
  </si>
  <si>
    <t>Units of run</t>
  </si>
  <si>
    <t>Where it comes from</t>
  </si>
  <si>
    <t>The role line  —  Maintenance, as restated</t>
  </si>
  <si>
    <t>Logic Tree section B. This is the figure the seat plan reconciles to.</t>
  </si>
  <si>
    <t>The AD / AMS effort split  —  1 − % of PRJ</t>
  </si>
  <si>
    <t>Appendix 3's own '% of PRJ' column, applied application by application. Same spreadsheet, different answer.</t>
  </si>
  <si>
    <t>THE GAP</t>
  </si>
  <si>
    <t>PUT THIS BACK TO METLIFE BEFORE THE AMS PRICE IS FIXED. It is not a modelling choice — it is a contradiction inside the client's own data, and whichever way it resolves it moves the run-side commercial position.</t>
  </si>
  <si>
    <t>Seat planner  —  the delivery anatomy, and the only sheet you build by hand</t>
  </si>
  <si>
    <t>One row per seat per unit type per year. Columns L to P are formulas; do not overwrite them. Everything on the Reconciliation sheet is a SUMIFS over this table.</t>
  </si>
  <si>
    <t>Year</t>
  </si>
  <si>
    <t>Unit</t>
  </si>
  <si>
    <t>Stream</t>
  </si>
  <si>
    <t>Seat</t>
  </si>
  <si>
    <t>Role detail</t>
  </si>
  <si>
    <t>Role</t>
  </si>
  <si>
    <t>Exp</t>
  </si>
  <si>
    <t>Loc</t>
  </si>
  <si>
    <t>Sourcing</t>
  </si>
  <si>
    <t>Seats per unit</t>
  </si>
  <si>
    <t>Units</t>
  </si>
  <si>
    <t>HEADS</t>
  </si>
  <si>
    <t>Cost index</t>
  </si>
  <si>
    <t>Cost</t>
  </si>
  <si>
    <t>Key</t>
  </si>
  <si>
    <t>How to build the seat plan  —  and what good looks like</t>
  </si>
  <si>
    <t>The model tells you how many people of each sourcing type you may have in each year. The anatomy decides who they are. That judgement is the practice team's, not the model's.</t>
  </si>
  <si>
    <t>THE SHAPE OF A ROW</t>
  </si>
  <si>
    <t>1 to 5. A seat that exists in every year needs five rows — the anatomy changes as pods shrink.</t>
  </si>
  <si>
    <t>POD, TEAM or HZ. POD and TEAM rows are multiplied by the unit counts on the Value Streams sheet. HZ rows are counted once — a horizontal function is not per-stream.</t>
  </si>
  <si>
    <t>For POD and TEAM rows, the stream number from the Value Streams sheet (1 to 6). For HZ rows put the function: H1 for run and support, H2 for quality and assurance, H3 for architecture, release and enablement.</t>
  </si>
  <si>
    <t>MetLife's own taxonomy: BSA, DEV, TEST, MNT, PM, OTH. Use it exactly — every role-line reconciliation in this workbook depends on it.</t>
  </si>
  <si>
    <t>Your name for the seat. 'Pod lead / senior engineer', 'MGCC Platform Engineer', 'MetLife Product Owner'. This is what the practice team and the resource manager read.</t>
  </si>
  <si>
    <t>Exp · Loc · Sourcing</t>
  </si>
  <si>
    <t>E1 to E5 · ON, OFF or NEAR · FTC, PT, FTE or MGCC. Sourcing is the one that carries commercial consequence: only FTC can transfer at the end of Year 3.</t>
  </si>
  <si>
    <t>The number you design. Columns L to P then derive units, deployed heads, cost index and cost. Do not type over them.</t>
  </si>
  <si>
    <t>WHAT GOOD LOOKS LIKE</t>
  </si>
  <si>
    <t>Deployed heads on a 0.5 grid</t>
  </si>
  <si>
    <t>Column M — seats × units — should land on whole numbers or halves. A seat ratio of 0.3214 across 28 teams is nine people, which is fine; a deployed head count of 0.094 is not a job. The Reconciliation sheet counts the offenders.</t>
  </si>
  <si>
    <r>
      <rPr>
        <b/>
        <sz val="9.5"/>
        <rFont val="Arial"/>
        <charset val="1"/>
      </rPr>
      <t xml:space="preserve">Sharing contained inside the </t>
    </r>
    <r>
      <rPr>
        <b/>
        <sz val="9.5"/>
        <rFont val="Noto Sans CJK SC"/>
        <family val="2"/>
      </rPr>
      <t>領域</t>
    </r>
  </si>
  <si>
    <r>
      <rPr>
        <sz val="9.5"/>
        <rFont val="Arial"/>
        <charset val="1"/>
      </rPr>
      <t xml:space="preserve">Where a half-head is genuinely warranted, share it inside this </t>
    </r>
    <r>
      <rPr>
        <sz val="9.5"/>
        <rFont val="Noto Sans CJK SC"/>
        <family val="2"/>
      </rPr>
      <t>領域</t>
    </r>
    <r>
      <rPr>
        <sz val="9.5"/>
        <rFont val="Arial"/>
        <charset val="1"/>
      </rPr>
      <t xml:space="preserve">. MetLife may award the eleven </t>
    </r>
    <r>
      <rPr>
        <sz val="9.5"/>
        <rFont val="Noto Sans CJK SC"/>
        <family val="2"/>
      </rPr>
      <t xml:space="preserve">領域 </t>
    </r>
    <r>
      <rPr>
        <sz val="9.5"/>
        <rFont val="Arial"/>
        <charset val="1"/>
      </rPr>
      <t xml:space="preserve">to two or three vendors, so a role shared across </t>
    </r>
    <r>
      <rPr>
        <sz val="9.5"/>
        <rFont val="Noto Sans CJK SC"/>
        <family val="2"/>
      </rPr>
      <t xml:space="preserve">領域 </t>
    </r>
    <r>
      <rPr>
        <sz val="9.5"/>
        <rFont val="Arial"/>
        <charset val="1"/>
      </rPr>
      <t>is a commitment we may not be able to keep.</t>
    </r>
  </si>
  <si>
    <r>
      <rPr>
        <b/>
        <sz val="9.5"/>
        <rFont val="Arial"/>
        <charset val="1"/>
      </rPr>
      <t xml:space="preserve">Reference sizes from the five </t>
    </r>
    <r>
      <rPr>
        <b/>
        <sz val="9.5"/>
        <rFont val="Noto Sans CJK SC"/>
        <family val="2"/>
      </rPr>
      <t xml:space="preserve">領域 </t>
    </r>
    <r>
      <rPr>
        <b/>
        <sz val="9.5"/>
        <rFont val="Arial"/>
        <charset val="1"/>
      </rPr>
      <t>already modelled</t>
    </r>
  </si>
  <si>
    <t>Year-1 pod 7.7 to 10.4 seats · Year-1 team 11.5 to 14.4 seats · Year-4 pod 5.1 to 8.6 seats. Pods shrink as testing collapses into SDET seats and the release train consolidates; teams do not, which is part of why converting them matters.</t>
  </si>
  <si>
    <t>Horizontal functions</t>
  </si>
  <si>
    <r>
      <rPr>
        <sz val="9.5"/>
        <rFont val="Arial"/>
        <charset val="1"/>
      </rPr>
      <t xml:space="preserve">Between 17 and 30 rows across the five </t>
    </r>
    <r>
      <rPr>
        <sz val="9.5"/>
        <rFont val="Noto Sans CJK SC"/>
        <family val="2"/>
      </rPr>
      <t>領域</t>
    </r>
    <r>
      <rPr>
        <sz val="9.5"/>
        <rFont val="Arial"/>
        <charset val="1"/>
      </rPr>
      <t>, totalling 15 to 62 units in Year 1. H1 is sized from the ticket load on the AMS sheet. Keep at least one seat in every horizontal role in every year — a design that lets the Release Manager go extinct in Year 4 is a design nobody can staff.</t>
    </r>
  </si>
  <si>
    <t>Capgemini majority inside every unit</t>
  </si>
  <si>
    <t>Not just in aggregate. A pod where Capgemini is a minority is a pod whose ways of working we do not set, which is exactly the thing the productivity commitment rests on.</t>
  </si>
  <si>
    <t>THE ORDER TO WORK IN</t>
  </si>
  <si>
    <t>1  ·  Year 1 first, and make it reconcile</t>
  </si>
  <si>
    <t>Year 1 is MEASURED, not designed. It is whatever Appendix 3 says: the same total, the same vendor / FTE / MGCC split, the same role lines, the same location split. Get it to zero variance before touching anything else.</t>
  </si>
  <si>
    <t>2  ·  Then Year 3</t>
  </si>
  <si>
    <t>The year the transfer is struck and the year MetLife will look at hardest. Work back to Year 2 and forward to Years 4 and 5 from there.</t>
  </si>
  <si>
    <t>3  ·  Then check, and expect to iterate</t>
  </si>
  <si>
    <t>The five built models took several passes. The Reconciliation sheet is the same set of tests those models were held to, so if it is green the anatomy is defensible.</t>
  </si>
  <si>
    <t>Reconciliation and checks  (auto)  —  the bar the five built models were held to</t>
  </si>
  <si>
    <t>Every test here is a live formula over the Seat Planner. Green in every year is what a solution review should expect to see.</t>
  </si>
  <si>
    <t>A.  YEAR 1 AGAINST APPENDIX 3 v5  —  Year 1 is measured, not designed</t>
  </si>
  <si>
    <t>Seat plan</t>
  </si>
  <si>
    <t>Status</t>
  </si>
  <si>
    <t>Total people</t>
  </si>
  <si>
    <t>The frozen scope. Everything else is a split of this.</t>
  </si>
  <si>
    <t>Vendor  (Capgemini + partner)</t>
  </si>
  <si>
    <t>Appendix 3 reports the two as one number. THE line that has to reconcile.</t>
  </si>
  <si>
    <t xml:space="preserve">  — Capgemini payroll</t>
  </si>
  <si>
    <t>Transferable at the end of Year 3.</t>
  </si>
  <si>
    <t xml:space="preserve">  — named sub-contractor</t>
  </si>
  <si>
    <t>Never transferable.</t>
  </si>
  <si>
    <t>Vendor onshore Tokyo</t>
  </si>
  <si>
    <t>MEASURED. The bilingual hiring risk is the gap between this and the Capgemini heads already in Japan.</t>
  </si>
  <si>
    <t>Vendor offshore</t>
  </si>
  <si>
    <t>MGCC excluded — it is MetLife's.</t>
  </si>
  <si>
    <t>Vendor nearshore</t>
  </si>
  <si>
    <t>Role — BSA  (vendor)</t>
  </si>
  <si>
    <t>Against the RESTATED line, not the reported one.</t>
  </si>
  <si>
    <t>Role — Developer  (vendor)</t>
  </si>
  <si>
    <t>Role — Tester  (vendor)</t>
  </si>
  <si>
    <t>Role — Maintenance  (vendor)</t>
  </si>
  <si>
    <t>Role — PM  (vendor)</t>
  </si>
  <si>
    <t>Role — Other  (vendor)</t>
  </si>
  <si>
    <t>Largest variance on any line</t>
  </si>
  <si>
    <r>
      <rPr>
        <sz val="8.5"/>
        <color rgb="FF595959"/>
        <rFont val="Arial"/>
        <charset val="1"/>
      </rPr>
      <t xml:space="preserve">The five built models land inside 0.55 of a person on every line after head-grid quantisation. Anything materially above that is a Year-1 plan for a different </t>
    </r>
    <r>
      <rPr>
        <sz val="8.5"/>
        <color rgb="FF595959"/>
        <rFont val="Noto Sans CJK SC"/>
        <family val="2"/>
      </rPr>
      <t>領域</t>
    </r>
    <r>
      <rPr>
        <sz val="8.5"/>
        <color rgb="FF595959"/>
        <rFont val="Arial"/>
        <charset val="1"/>
      </rPr>
      <t>.</t>
    </r>
  </si>
  <si>
    <t>B.  EVERY YEAR AGAINST THE PLAN  —  Logic Tree section I</t>
  </si>
  <si>
    <t>Total people  —  seat plan</t>
  </si>
  <si>
    <t>Rows 121 to 125 of the Logic Tree are the target. Years 1 to 3 are the organic plan; Years 4 and 5 carry the transferred seats on MetLife's side.</t>
  </si>
  <si>
    <t xml:space="preserve">    plan</t>
  </si>
  <si>
    <t xml:space="preserve">    variance</t>
  </si>
  <si>
    <t>Capgemini  (FTC)  —  seat plan</t>
  </si>
  <si>
    <t>If Capgemini is over plan and MetLife under, the anatomy is not shrinking the pools at their own rates — which is the whole mechanic that converges the ratio without a transfer.</t>
  </si>
  <si>
    <t>Partner  (PT)  —  seat plan</t>
  </si>
  <si>
    <t>MetLife Japan  (FTE)  —  seat plan</t>
  </si>
  <si>
    <t>MetLife MGCC  —  seat plan</t>
  </si>
  <si>
    <t>C.  GUARDRAILS</t>
  </si>
  <si>
    <t>Test</t>
  </si>
  <si>
    <t>Floor</t>
  </si>
  <si>
    <t>Capgemini + partner share of the delivery population</t>
  </si>
  <si>
    <t>Where the Logic Tree says the floor does not apply — MetLife already held the majority on day one — this reads n/a rather than CHECK. A guardrail we cannot meet is not a guardrail; set your own floor on the Rates sheet and write the reason down.</t>
  </si>
  <si>
    <t>Capgemini share of build and test seats</t>
  </si>
  <si>
    <t>Offshore share of the whole team  (includes MGCC)</t>
  </si>
  <si>
    <t>Guardrail status  —  from Year 2 onward, and only where the floor applies</t>
  </si>
  <si>
    <t>D.  CAPGEMINI SHARE INSIDE EVERY SINGLE DELIVERY UNIT</t>
  </si>
  <si>
    <t>Stream 1  ·  POD</t>
  </si>
  <si>
    <t>Stream 1  ·  TEAM</t>
  </si>
  <si>
    <t>Stream 2  ·  POD</t>
  </si>
  <si>
    <t>Stream 2  ·  TEAM</t>
  </si>
  <si>
    <t>Stream 3  ·  POD</t>
  </si>
  <si>
    <t>Stream 3  ·  TEAM</t>
  </si>
  <si>
    <t>Stream 4  ·  POD</t>
  </si>
  <si>
    <t>Stream 4  ·  TEAM</t>
  </si>
  <si>
    <t>Stream 5  ·  POD</t>
  </si>
  <si>
    <t>Stream 5  ·  TEAM</t>
  </si>
  <si>
    <t>Stream 6  ·  POD</t>
  </si>
  <si>
    <t>Stream 6  ·  TEAM</t>
  </si>
  <si>
    <t>WORST UNIT IN THE YEAR</t>
  </si>
  <si>
    <r>
      <rPr>
        <sz val="8.5"/>
        <color rgb="FF595959"/>
        <rFont val="Arial"/>
        <charset val="1"/>
      </rPr>
      <t xml:space="preserve">Blank means no unit of that type runs that year — normal once teams have converted. This is the test the aggregate guardrail hides: a </t>
    </r>
    <r>
      <rPr>
        <sz val="8.5"/>
        <color rgb="FF595959"/>
        <rFont val="Noto Sans CJK SC"/>
        <family val="2"/>
      </rPr>
      <t xml:space="preserve">領域 </t>
    </r>
    <r>
      <rPr>
        <sz val="8.5"/>
        <color rgb="FF595959"/>
        <rFont val="Arial"/>
        <charset val="1"/>
      </rPr>
      <t>can be 55% Capgemini overall while one pod is 30%, and that pod is one we do not really run.</t>
    </r>
  </si>
  <si>
    <t>Status against the per-unit floor</t>
  </si>
  <si>
    <t>E.  STAFFING FEASIBILITY  —  can these numbers be turned into people?</t>
  </si>
  <si>
    <t>Result</t>
  </si>
  <si>
    <t>Seat-plan rows in use</t>
  </si>
  <si>
    <t>Each row is one seat type in one unit type in one year.</t>
  </si>
  <si>
    <t>Deployed heads NOT on a 0.5 grid</t>
  </si>
  <si>
    <r>
      <rPr>
        <sz val="8.5"/>
        <color rgb="FF595959"/>
        <rFont val="Arial"/>
        <charset val="1"/>
      </rPr>
      <t xml:space="preserve">THE STAFFING TEST. A deployed head count of 1.38 is not a job. Whole numbers, or halves where sharing inside the </t>
    </r>
    <r>
      <rPr>
        <sz val="8.5"/>
        <color rgb="FF595959"/>
        <rFont val="Noto Sans CJK SC"/>
        <family val="2"/>
      </rPr>
      <t xml:space="preserve">領域 </t>
    </r>
    <r>
      <rPr>
        <sz val="8.5"/>
        <color rgb="FF595959"/>
        <rFont val="Arial"/>
        <charset val="1"/>
      </rPr>
      <t>is genuinely warranted.</t>
    </r>
  </si>
  <si>
    <t>Deployed heads below 0.5</t>
  </si>
  <si>
    <t>Sub-half-person lines. Fold them into a neighbouring seat or into a horizontal function.</t>
  </si>
  <si>
    <t>Capgemini roles present in Year 3 but extinct in Year 4</t>
  </si>
  <si>
    <t>A design that lets a Capgemini role disappear between two years is a design nobody can staff. Should be zero.</t>
  </si>
  <si>
    <t>Total cost index — Year 1</t>
  </si>
  <si>
    <t>Relative only, onshore Tokyo E2 = 1.00.</t>
  </si>
  <si>
    <t>Total cost index — Year 5</t>
  </si>
  <si>
    <t>Unit cost reduction, Year 1 to Year 5</t>
  </si>
  <si>
    <t>The commercial headline, before the rate card. Compare it to the headcount reduction: if cost falls more slowly than headcount, the team is seniorising and the hiring plan needs to say so.</t>
  </si>
  <si>
    <t>Rates and tables  —  the solution position, not the client data</t>
  </si>
  <si>
    <r>
      <rPr>
        <sz val="9"/>
        <color rgb="FFFFFFFF"/>
        <rFont val="Arial"/>
        <charset val="1"/>
      </rPr>
      <t xml:space="preserve">Every amber cell here is a Capgemini judgement. The defaults are the portfolio position used on all five </t>
    </r>
    <r>
      <rPr>
        <sz val="9"/>
        <color rgb="FFFFFFFF"/>
        <rFont val="Noto Sans CJK SC"/>
        <family val="2"/>
      </rPr>
      <t xml:space="preserve">領域 </t>
    </r>
    <r>
      <rPr>
        <sz val="9"/>
        <color rgb="FFFFFFFF"/>
        <rFont val="Arial"/>
        <charset val="1"/>
      </rPr>
      <t xml:space="preserve">modelled so far. Change them for your </t>
    </r>
    <r>
      <rPr>
        <sz val="9"/>
        <color rgb="FFFFFFFF"/>
        <rFont val="Noto Sans CJK SC"/>
        <family val="2"/>
      </rPr>
      <t xml:space="preserve">領域 </t>
    </r>
    <r>
      <rPr>
        <sz val="9"/>
        <color rgb="FFFFFFFF"/>
        <rFont val="Arial"/>
        <charset val="1"/>
      </rPr>
      <t>if you can say why, in one sentence, to MetLife.</t>
    </r>
  </si>
  <si>
    <t>A.  THE GOLDEN PHASE TABLE  —  how far AI can go, by archetype and delivery phase</t>
  </si>
  <si>
    <t>Requirements</t>
  </si>
  <si>
    <t>Design</t>
  </si>
  <si>
    <t>Build</t>
  </si>
  <si>
    <t>Release</t>
  </si>
  <si>
    <t>Run</t>
  </si>
  <si>
    <t>M  ·  Mainframe-adjacent</t>
  </si>
  <si>
    <t>L  ·  Legacy core</t>
  </si>
  <si>
    <t>D  ·  Distributed-proven</t>
  </si>
  <si>
    <t>P  ·  Cloud-present</t>
  </si>
  <si>
    <t>J  ·  Japan-locked</t>
  </si>
  <si>
    <t>T  ·  Long tail</t>
  </si>
  <si>
    <t>Phase share of a typical application's effort</t>
  </si>
  <si>
    <t>Column I is derived, not entered: it is the phase weights times that archetype's phase ceilings. That is where 45.25% for M and 30.4% for J come from, and it is why raising the Build ceiling on a mainframe estate does less than people expect — Build is only 30% of the effort.</t>
  </si>
  <si>
    <t>B.  ROLE → PHASE  —  the bridge between MetLife's role taxonomy and the phase table</t>
  </si>
  <si>
    <t>THE ASSUMPTION MOST WORTH CHALLENGING IN THE WHOLE MODEL. It says a Tester spends 90% of their time in Test, where the AI ceiling is highest, and a PM spends 80% in Run, where it is lowest. Change this and every per-sourcing ceiling moves — which is exactly the point: MGCC is 74% developers and MetLife Japan is 41% BSA and 39% PM, so they cannot carry the same commitment.</t>
  </si>
  <si>
    <t>C.  OFFSHORE CEILING BY ARCHETYPE</t>
  </si>
  <si>
    <t>Ceiling</t>
  </si>
  <si>
    <t>Why</t>
  </si>
  <si>
    <t>Mainframe-adjacent modernisation. English-capable interfaces, tooling-heavy work.</t>
  </si>
  <si>
    <t>Legacy core. Japanese business rules and regulator-facing process hold half of it onshore.</t>
  </si>
  <si>
    <t>Distributed-proven. Already partly offshore across the portfolio.</t>
  </si>
  <si>
    <t>Cloud-present. Same shape as D; the substrate does not care where the engineer sits.</t>
  </si>
  <si>
    <r>
      <rPr>
        <sz val="8.5"/>
        <color rgb="FF595959"/>
        <rFont val="Arial"/>
        <charset val="1"/>
      </rPr>
      <t xml:space="preserve">Japan-locked. Japanese specifications, Japanese operational interface, Japanese regulator. This is the number that caps whole </t>
    </r>
    <r>
      <rPr>
        <sz val="8.5"/>
        <color rgb="FF595959"/>
        <rFont val="Noto Sans CJK SC"/>
        <family val="2"/>
      </rPr>
      <t>領域</t>
    </r>
    <r>
      <rPr>
        <sz val="8.5"/>
        <color rgb="FF595959"/>
        <rFont val="Arial"/>
        <charset val="1"/>
      </rPr>
      <t>, and no amount of AI moves it.</t>
    </r>
  </si>
  <si>
    <t>Long tail. Small enough to move, too small to invest in moving.</t>
  </si>
  <si>
    <t>D.  ADOPTION  —  the share of the AI ceiling each population can actually commit to</t>
  </si>
  <si>
    <t>Sourcing type</t>
  </si>
  <si>
    <t>What this is a judgement about</t>
  </si>
  <si>
    <t>FTC  ·  Capgemini payroll</t>
  </si>
  <si>
    <t>We build the substrate, we mandate the tooling, we set the ways of working. There is no discount to apply to ourselves.</t>
  </si>
  <si>
    <t>PT  ·  named sub-contractor</t>
  </si>
  <si>
    <t>Bound by a sub-contract and one management step removed. Capable, but we direct them through a contract rather than a line.</t>
  </si>
  <si>
    <t>FTE  ·  MetLife Japan</t>
  </si>
  <si>
    <t>Governance, domain ownership and product decisions: the least machine-addressable work in the estate, done by people whose redeployment is MetLife's call, not ours. Common Service Platform raises this to 0.72 because the work there is genuinely different.</t>
  </si>
  <si>
    <t>MGCC  ·  MetLife captive centre</t>
  </si>
  <si>
    <t>Build and test work, receptive to tooling, but it runs to its own utilisation targets and we do not manage it. Raise this on a modern agile estate — Common Service Platform uses 0.92 — and say why.</t>
  </si>
  <si>
    <t>ADOPTION IS ABOUT AUTHORITY, NOT CAPABILITY. It is not a claim that MetLife's people are less able. It is a statement about who can mandate a change to how work is done — and it is the single most commercially consequential set of numbers in this workbook, because it decides how much of the productivity commitment sits on Capgemini's side of the contract.</t>
  </si>
  <si>
    <t>E.  THE YEAR CURVES</t>
  </si>
  <si>
    <t>AI realisation — share of the ceiling actually reached</t>
  </si>
  <si>
    <t>Tooling, data access, guardrails and trust do not arrive on day one. Year 1 is a pilot year.</t>
  </si>
  <si>
    <t>Classical ADM productivity</t>
  </si>
  <si>
    <t>Automation, shift-left, defect reduction, knowledge reuse. Attaches to the work, so it applies to every sourcing type equally.</t>
  </si>
  <si>
    <t>Operating-model productivity — raw</t>
  </si>
  <si>
    <t>Pod consolidation, one release train, span of control. Scaled by the agile share and by the partner drag before it is used.</t>
  </si>
  <si>
    <t>F.  SCALARS</t>
  </si>
  <si>
    <t>Parameter</t>
  </si>
  <si>
    <t>Glidepath pre-load</t>
  </si>
  <si>
    <t>What share of this year's capability gain is taken this year. The rest carries into next year. 0.50 is deliberate prudence: capability earned in Q4 cannot fund a headcount reduction in Q1.</t>
  </si>
  <si>
    <t>Partner drag</t>
  </si>
  <si>
    <t>A partner seat returns 40% of the operating-model gain a Capgemini seat does. Two management chains, a contractual boundary on ways of working, slower standardisation.</t>
  </si>
  <si>
    <t>Transfer cap — share of the Capgemini pool</t>
  </si>
  <si>
    <t>The most of our own population we are willing to put through a transfer of employment at the end of Year 3.</t>
  </si>
  <si>
    <t>Transfer split to MetLife Japan</t>
  </si>
  <si>
    <t>The rest goes to MGCC. Onshore people to MetLife Japan, offshore people to MGCC.</t>
  </si>
  <si>
    <t>Guardrail — minimum vendor share</t>
  </si>
  <si>
    <t>Below this, Capgemini is a minority of its own delivery population. Lower it — with a written reason — only where MetLife already holds the majority on day one; Common Service Platform uses 0.38.</t>
  </si>
  <si>
    <t>Guardrail — minimum Capgemini share of build and test</t>
  </si>
  <si>
    <t>We are accountable for the delivery; we should hold the majority of the seats that do it.</t>
  </si>
  <si>
    <t>Guardrail — minimum Capgemini share inside any one unit</t>
  </si>
  <si>
    <t>A pod where Capgemini is a minority is a pod whose ways of working we do not set.</t>
  </si>
  <si>
    <t>G.  COST INDEX  —  relative only, onshore Tokyo E2 = 1.00</t>
  </si>
  <si>
    <t>Location</t>
  </si>
  <si>
    <t>E1</t>
  </si>
  <si>
    <t>E2</t>
  </si>
  <si>
    <t>E3</t>
  </si>
  <si>
    <t>E4</t>
  </si>
  <si>
    <t>E5</t>
  </si>
  <si>
    <t>ON  ·  Onshore Tokyo</t>
  </si>
  <si>
    <t>ON</t>
  </si>
  <si>
    <t>OFF  ·  Offshore India</t>
  </si>
  <si>
    <t>OFF</t>
  </si>
  <si>
    <t>NEAR  ·  Nearshore</t>
  </si>
  <si>
    <t>NEAR</t>
  </si>
  <si>
    <t>Pending the rate card. Use it to see the SHAPE of the cost curve — what happens to cost per head as the team shrinks and seniorises — not to price anything.</t>
  </si>
  <si>
    <r>
      <rPr>
        <b/>
        <sz val="14"/>
        <color rgb="FFFFFFFF"/>
        <rFont val="Arial"/>
        <charset val="1"/>
      </rPr>
      <t xml:space="preserve">Appendix 3 v5  —  all 142 in-scope applications, all eleven </t>
    </r>
    <r>
      <rPr>
        <b/>
        <sz val="14"/>
        <color rgb="FFFFFFFF"/>
        <rFont val="Noto Sans CJK SC"/>
        <family val="2"/>
      </rPr>
      <t>領域</t>
    </r>
  </si>
  <si>
    <t>Read-only. Commercial quantities and the archetype are carried from the Golden Application Inventory v4; the technical profile, ticket load and disposition columns are refreshed from Appendix 3 v5. Every (auto) figure in this workbook is a SUMIFS over this table.</t>
  </si>
  <si>
    <t>EAI ID</t>
  </si>
  <si>
    <t>Application</t>
  </si>
  <si>
    <t>領域</t>
  </si>
  <si>
    <t>Vendor</t>
  </si>
  <si>
    <t>Arch</t>
  </si>
  <si>
    <t>Archetype name</t>
  </si>
  <si>
    <t>Rule</t>
  </si>
  <si>
    <t>Total effort</t>
  </si>
  <si>
    <t>Current FTC</t>
  </si>
  <si>
    <t>Current FTE</t>
  </si>
  <si>
    <t>Current MGCC</t>
  </si>
  <si>
    <t>Onshore</t>
  </si>
  <si>
    <t>% of PRJ</t>
  </si>
  <si>
    <t>Cloud</t>
  </si>
  <si>
    <t>Priority</t>
  </si>
  <si>
    <t>Critical</t>
  </si>
  <si>
    <t>Dev method</t>
  </si>
  <si>
    <t>Spec lang</t>
  </si>
  <si>
    <t>Lines of code</t>
  </si>
  <si>
    <t>Batches</t>
  </si>
  <si>
    <t>P1</t>
  </si>
  <si>
    <t>P2</t>
  </si>
  <si>
    <t>P3</t>
  </si>
  <si>
    <t>P4</t>
  </si>
  <si>
    <t>P5</t>
  </si>
  <si>
    <t>Emergency</t>
  </si>
  <si>
    <t>Normal</t>
  </si>
  <si>
    <t>Standard</t>
  </si>
  <si>
    <t>Disposition</t>
  </si>
  <si>
    <t>CG heads today</t>
  </si>
  <si>
    <t>Selected?</t>
  </si>
  <si>
    <t>AppsPortal</t>
  </si>
  <si>
    <t>Common Service Platform</t>
  </si>
  <si>
    <t>Shared Platform Service</t>
  </si>
  <si>
    <t>CG</t>
  </si>
  <si>
    <t>MGCC-destined</t>
  </si>
  <si>
    <t>Rule 1</t>
  </si>
  <si>
    <t>Yes</t>
  </si>
  <si>
    <t>Y</t>
  </si>
  <si>
    <t>N</t>
  </si>
  <si>
    <t>Maintain (Evolve)</t>
  </si>
  <si>
    <t>CMIAPI-JPN</t>
  </si>
  <si>
    <t>API Management</t>
  </si>
  <si>
    <t>Distributed-proven</t>
  </si>
  <si>
    <t>Rule 4</t>
  </si>
  <si>
    <t>ODMoC</t>
  </si>
  <si>
    <t>unnamed</t>
  </si>
  <si>
    <t>CMESB-JPN</t>
  </si>
  <si>
    <t>No</t>
  </si>
  <si>
    <t>Maintain (Patch)</t>
  </si>
  <si>
    <t>W01MAS-JPN</t>
  </si>
  <si>
    <t>NCD</t>
  </si>
  <si>
    <t>Long tail</t>
  </si>
  <si>
    <t>Rule 3</t>
  </si>
  <si>
    <t>JP-WCMAUT</t>
  </si>
  <si>
    <t>PaymentService</t>
  </si>
  <si>
    <t>JP-QA Shared Service</t>
  </si>
  <si>
    <t>N/A</t>
  </si>
  <si>
    <t>CMEAPI-JP</t>
  </si>
  <si>
    <t>W01LOI-JPN</t>
  </si>
  <si>
    <t>LC POSPMC MF-JPN</t>
  </si>
  <si>
    <t>Contract Management</t>
  </si>
  <si>
    <t>Mainframe Policy Management Cycle</t>
  </si>
  <si>
    <t>Legacy core</t>
  </si>
  <si>
    <t>Rule 2</t>
  </si>
  <si>
    <t>LC Billing MF-JPN</t>
  </si>
  <si>
    <t>Mainframe Lifecomm Sub-systems</t>
  </si>
  <si>
    <t>LC Corresponding MF-JPN</t>
  </si>
  <si>
    <t>Mainframe Reporting &amp; Tax</t>
  </si>
  <si>
    <t>LC AACOMP MF-JPN</t>
  </si>
  <si>
    <t>Mainframe Commision</t>
  </si>
  <si>
    <t>NCS</t>
  </si>
  <si>
    <t>Policy UWIBATCH MF-JPN</t>
  </si>
  <si>
    <t>Data Send System for BANC  MF-JP</t>
  </si>
  <si>
    <t>LC AAPerf MF-JPN</t>
  </si>
  <si>
    <t>LC Valuation MF-JPN</t>
  </si>
  <si>
    <t>LC UWI MF-JPN</t>
  </si>
  <si>
    <t>Processor-I MF-JPN</t>
  </si>
  <si>
    <t>Mainframe Claim Administration</t>
  </si>
  <si>
    <t>ASP Bridge(H) MF-JPN</t>
  </si>
  <si>
    <t>LC GL/SC MF-JPN</t>
  </si>
  <si>
    <t>LC Reins MF-JPN</t>
  </si>
  <si>
    <t>Maturity MF-JPN</t>
  </si>
  <si>
    <t>LC Payment MF-JPN</t>
  </si>
  <si>
    <t>LC Submit MF-JPN</t>
  </si>
  <si>
    <t>Refactor</t>
  </si>
  <si>
    <t>LC Micro MF-JPN</t>
  </si>
  <si>
    <t>TaxCertification MF-JPN</t>
  </si>
  <si>
    <t>CCA MF-JPN</t>
  </si>
  <si>
    <t>LINC MF-JPN</t>
  </si>
  <si>
    <t>PDF Auto Loader Batch</t>
  </si>
  <si>
    <t>PinID tool_JPN</t>
  </si>
  <si>
    <t>Retire</t>
  </si>
  <si>
    <t>CT Salary  MF-JPN</t>
  </si>
  <si>
    <t>LC Collection MF-JPN</t>
  </si>
  <si>
    <t>Foreign MF-JPN</t>
  </si>
  <si>
    <t>SWINGMANAGER MF-JPN</t>
  </si>
  <si>
    <t>PremCollectDBMF-JPN</t>
  </si>
  <si>
    <t>MCFA CP DB MF-JPN</t>
  </si>
  <si>
    <t>WGLWLF-JPN</t>
  </si>
  <si>
    <t>Corporate Related</t>
  </si>
  <si>
    <t>Compliance &amp; Cooperate</t>
  </si>
  <si>
    <t>Japan-locked</t>
  </si>
  <si>
    <t>Rule 6</t>
  </si>
  <si>
    <t>A06TOG-JPN</t>
  </si>
  <si>
    <t xml:space="preserve">Group Policy Management </t>
  </si>
  <si>
    <t>Business Content Management</t>
  </si>
  <si>
    <t>Cooperate, Performance</t>
  </si>
  <si>
    <t>Corporate Batch</t>
  </si>
  <si>
    <t>ZGLEST-JPN</t>
  </si>
  <si>
    <t>W06TGR-JPN</t>
  </si>
  <si>
    <t>A04MMP-JPN</t>
  </si>
  <si>
    <t>WAANSO-JPN</t>
  </si>
  <si>
    <t>Vcalc-JPN</t>
  </si>
  <si>
    <t>n/a</t>
  </si>
  <si>
    <t>ZGLEDQ-JPN</t>
  </si>
  <si>
    <t>W08CIS-JPN</t>
  </si>
  <si>
    <t>W08HTN-JPN</t>
  </si>
  <si>
    <t>Rehost</t>
  </si>
  <si>
    <t>W08NAR-JPN</t>
  </si>
  <si>
    <t>C04VAS-JPN</t>
  </si>
  <si>
    <t>ASP B_O-JPN</t>
  </si>
  <si>
    <t>W08SFE-JPN</t>
  </si>
  <si>
    <t>B13ITS-JPN</t>
  </si>
  <si>
    <t>WAACPS-JPN</t>
  </si>
  <si>
    <t>WCMPXS-JPN</t>
  </si>
  <si>
    <t>Commission System Support Tool</t>
  </si>
  <si>
    <t>WGLBSR-JPN</t>
  </si>
  <si>
    <t>C03APO-JPN</t>
  </si>
  <si>
    <t>WPSC2S-JPN</t>
  </si>
  <si>
    <t>W03FIC-JPN</t>
  </si>
  <si>
    <t>W13WWF-JPN</t>
  </si>
  <si>
    <t>EAADRS-JPN</t>
  </si>
  <si>
    <t>OMSIKN-JPN</t>
  </si>
  <si>
    <t>RAPS</t>
  </si>
  <si>
    <t>JP-Payroll</t>
  </si>
  <si>
    <t>CGLFJM-JPN</t>
  </si>
  <si>
    <t>CCMDNT-JPN</t>
  </si>
  <si>
    <t>WZZHYO-JPN</t>
  </si>
  <si>
    <t>Kintone-JPN</t>
  </si>
  <si>
    <t>Digital Portal</t>
  </si>
  <si>
    <t>Customer Care / Call Center</t>
  </si>
  <si>
    <t>Portal Services</t>
  </si>
  <si>
    <t>Himawari</t>
  </si>
  <si>
    <t>Call Platform</t>
  </si>
  <si>
    <t>WCMCCMJPN</t>
  </si>
  <si>
    <t>Call Backend Service</t>
  </si>
  <si>
    <t>Customer Care Batch</t>
  </si>
  <si>
    <t>HIMAWARI backend apps</t>
  </si>
  <si>
    <t>C10CSS-JPN</t>
  </si>
  <si>
    <t>WPMWCC-JPN</t>
  </si>
  <si>
    <t>C03VSV-JPN</t>
  </si>
  <si>
    <t>JDPREP</t>
  </si>
  <si>
    <t>Data Platform</t>
  </si>
  <si>
    <t>BCMETL-JPN</t>
  </si>
  <si>
    <t>BCMHRP-JPN</t>
  </si>
  <si>
    <t>WAAICM-JPN</t>
  </si>
  <si>
    <t>Fee Management</t>
  </si>
  <si>
    <t>Commission Processing &amp; Management</t>
  </si>
  <si>
    <t>Portable, not moved</t>
  </si>
  <si>
    <t>Rule 5</t>
  </si>
  <si>
    <t>SCS</t>
  </si>
  <si>
    <t>External Portal</t>
  </si>
  <si>
    <t>Global Sales Comp - Japan</t>
  </si>
  <si>
    <t>Commission calculation</t>
  </si>
  <si>
    <t>Claim Batch</t>
  </si>
  <si>
    <t>Insurance Claims and Benefits Payment Related</t>
  </si>
  <si>
    <r>
      <rPr>
        <sz val="9.5"/>
        <rFont val="Arial"/>
        <charset val="1"/>
      </rPr>
      <t>Annuity</t>
    </r>
    <r>
      <rPr>
        <sz val="9.5"/>
        <rFont val="Noto Sans CJK SC"/>
        <family val="2"/>
      </rPr>
      <t>＆</t>
    </r>
    <r>
      <rPr>
        <sz val="9.5"/>
        <rFont val="Arial"/>
        <charset val="1"/>
      </rPr>
      <t>Maturity Payment</t>
    </r>
  </si>
  <si>
    <t>C12WNC-JPN</t>
  </si>
  <si>
    <t>Claims Processing &amp; Adjudication</t>
  </si>
  <si>
    <t>W05AMS-JPN</t>
  </si>
  <si>
    <t>Pega for Claims</t>
  </si>
  <si>
    <t>Claims Support Services</t>
  </si>
  <si>
    <t>MDRS</t>
  </si>
  <si>
    <t>WZZMNB-JPN</t>
  </si>
  <si>
    <t>WPSYEC-JPN</t>
  </si>
  <si>
    <t>Marketing / Direct Business</t>
  </si>
  <si>
    <t>Marketing Support</t>
  </si>
  <si>
    <t>WPSCUS-JPN</t>
  </si>
  <si>
    <t>W02OPS-JPN</t>
  </si>
  <si>
    <t>Distribution Marketing batches</t>
  </si>
  <si>
    <t>JP-OLB Batch</t>
  </si>
  <si>
    <t>W07IPC-JPN</t>
  </si>
  <si>
    <t>OMSTAT-JPN</t>
  </si>
  <si>
    <t>LPS-JPN(EUC081)</t>
  </si>
  <si>
    <t>CIT-JPN(EUC082)</t>
  </si>
  <si>
    <t>NBAPPS-JPN</t>
  </si>
  <si>
    <t>New Contract Related</t>
  </si>
  <si>
    <t>Non-F2F New Business</t>
  </si>
  <si>
    <t>C04NWC-JPN</t>
  </si>
  <si>
    <t>Underwriting &amp; Interfaces</t>
  </si>
  <si>
    <t>W04RRE-JPN</t>
  </si>
  <si>
    <t>C04OSI-JPN</t>
  </si>
  <si>
    <t>C04SYM-JPN</t>
  </si>
  <si>
    <t>Z04IMA-JPN</t>
  </si>
  <si>
    <t>New Business Batch</t>
  </si>
  <si>
    <t>C11VCM-JPN</t>
  </si>
  <si>
    <t>WUIURE-JPN</t>
  </si>
  <si>
    <t>RBRARS-JPN</t>
  </si>
  <si>
    <t>P08MMS-JPN</t>
  </si>
  <si>
    <t>AURA</t>
  </si>
  <si>
    <t>JP-GSSP</t>
  </si>
  <si>
    <t>Sales / Insurance Recruitment</t>
  </si>
  <si>
    <t xml:space="preserve">F2F Illustlation </t>
  </si>
  <si>
    <t>JP-BANCA</t>
  </si>
  <si>
    <t xml:space="preserve">Banca Illustlation </t>
  </si>
  <si>
    <t>JP-Banca Report</t>
  </si>
  <si>
    <t>WPSCFC-JPN</t>
  </si>
  <si>
    <t>F2F Agent Enablement</t>
  </si>
  <si>
    <t>P02BKE-JPN</t>
  </si>
  <si>
    <t>JP - Remote Closing</t>
  </si>
  <si>
    <t>F2F SalesSupport</t>
  </si>
  <si>
    <t>WAAATF-JPN</t>
  </si>
  <si>
    <t>W08NAV-JPN</t>
  </si>
  <si>
    <t>W09WSD-JPN BIS</t>
  </si>
  <si>
    <t>Distribution Systems - Internal</t>
  </si>
  <si>
    <t>WGLRPC-JPN</t>
  </si>
  <si>
    <t>IVR Tekigosei</t>
  </si>
  <si>
    <t>WCC</t>
  </si>
  <si>
    <t>K2</t>
  </si>
  <si>
    <t>Storage and Preservation Related</t>
  </si>
  <si>
    <t>Policy Owner Servicing Work Flow</t>
  </si>
  <si>
    <t>POS-IMS</t>
  </si>
  <si>
    <t>JP-RPASS</t>
  </si>
  <si>
    <t>Policy Owner Servicing Payment</t>
  </si>
  <si>
    <t>W13WEP-JPN</t>
  </si>
  <si>
    <t>POS Batch</t>
  </si>
  <si>
    <t>JP-PCI-RPASS</t>
  </si>
  <si>
    <t>C03PCA-JPN</t>
  </si>
  <si>
    <t>C03WRD-JPN</t>
  </si>
  <si>
    <t>WPMAUD-JPN</t>
  </si>
  <si>
    <t>DSP</t>
  </si>
  <si>
    <t>Scan Manager</t>
  </si>
  <si>
    <t>W03CCP-JPN</t>
  </si>
  <si>
    <t>C03WRE-JPN</t>
  </si>
  <si>
    <t>W03PIU-JPN</t>
  </si>
  <si>
    <t>JP-DB2-CONNECT</t>
  </si>
  <si>
    <t>PORTFOLIO TOTAL</t>
  </si>
  <si>
    <r>
      <rPr>
        <sz val="8.5"/>
        <color rgb="FF595959"/>
        <rFont val="Arial"/>
        <charset val="1"/>
      </rPr>
      <t xml:space="preserve">142 applications, 1,528.907 units. The Contract Management </t>
    </r>
    <r>
      <rPr>
        <sz val="8.5"/>
        <color rgb="FF595959"/>
        <rFont val="Noto Sans CJK SC"/>
        <family val="2"/>
      </rPr>
      <t xml:space="preserve">領域 </t>
    </r>
    <r>
      <rPr>
        <sz val="8.5"/>
        <color rgb="FF595959"/>
        <rFont val="Arial"/>
        <charset val="1"/>
      </rPr>
      <t xml:space="preserve">is 28 applications and the Data Infrastructure </t>
    </r>
    <r>
      <rPr>
        <sz val="8.5"/>
        <color rgb="FF595959"/>
        <rFont val="Noto Sans CJK SC"/>
        <family val="2"/>
      </rPr>
      <t xml:space="preserve">領域 </t>
    </r>
    <r>
      <rPr>
        <sz val="8.5"/>
        <color rgb="FF595959"/>
        <rFont val="Arial"/>
        <charset val="1"/>
      </rPr>
      <t>is 3; the SUMIFS do not care. Archetype: M mainframe-adjacent modernisation candidate · L legacy core · D distributed-proven · P cloud-present · J Japan-locked · T long tail. The classifier is six ordered rules and lives in the Golden Application Inventory v4 workbook, column by column, if you need to audit a call.</t>
    </r>
  </si>
  <si>
    <r>
      <rPr>
        <b/>
        <sz val="14"/>
        <color rgb="FFFFFFFF"/>
        <rFont val="Arial"/>
        <charset val="1"/>
      </rPr>
      <t xml:space="preserve">Value streams  —  every </t>
    </r>
    <r>
      <rPr>
        <b/>
        <sz val="14"/>
        <color rgb="FFFFFFFF"/>
        <rFont val="Noto Sans CJK SC"/>
        <family val="2"/>
      </rPr>
      <t>領域</t>
    </r>
    <r>
      <rPr>
        <b/>
        <sz val="14"/>
        <color rgb="FFFFFFFF"/>
        <rFont val="Arial"/>
        <charset val="1"/>
      </rPr>
      <t>, in the order the Value Streams sheet reads them</t>
    </r>
  </si>
  <si>
    <r>
      <rPr>
        <sz val="9"/>
        <color rgb="FFFFFFFF"/>
        <rFont val="Arial"/>
        <charset val="1"/>
      </rPr>
      <t xml:space="preserve">Read-only. Derived from Appendix 3 v5 by grouping the inventory on </t>
    </r>
    <r>
      <rPr>
        <sz val="9"/>
        <color rgb="FFFFFFFF"/>
        <rFont val="Noto Sans CJK SC"/>
        <family val="2"/>
      </rPr>
      <t xml:space="preserve">領域 </t>
    </r>
    <r>
      <rPr>
        <sz val="9"/>
        <color rgb="FFFFFFFF"/>
        <rFont val="Arial"/>
        <charset val="1"/>
      </rPr>
      <t>and value stream.</t>
    </r>
  </si>
  <si>
    <t>CG heads</t>
  </si>
  <si>
    <t>Vendor position today</t>
  </si>
  <si>
    <t>Fee Management|1</t>
  </si>
  <si>
    <t>Waterfall</t>
  </si>
  <si>
    <t>none named</t>
  </si>
  <si>
    <t>Contract Management|1</t>
  </si>
  <si>
    <t>FSI 59.6</t>
  </si>
  <si>
    <t>Contract Management|2</t>
  </si>
  <si>
    <t>FSI 55.8</t>
  </si>
  <si>
    <t>Contract Management|3</t>
  </si>
  <si>
    <t>FSI 14.2 · CG 1.0</t>
  </si>
  <si>
    <t>Contract Management|4</t>
  </si>
  <si>
    <t>NCS 13.5 · FSI 11.0 · NCD 9.3</t>
  </si>
  <si>
    <t>Contract Management|5</t>
  </si>
  <si>
    <t>NCD 7.7 · FSI 4.4</t>
  </si>
  <si>
    <t>New Contract Related|1</t>
  </si>
  <si>
    <t>NCD 16.4 · FSI 6.3</t>
  </si>
  <si>
    <t>Storage and Preservation Related|1</t>
  </si>
  <si>
    <t>Agile</t>
  </si>
  <si>
    <t>CG 36.1 · FSI 13.1 · NCD 3.1</t>
  </si>
  <si>
    <t>Insurance Claims and Benefits Payment Related|1</t>
  </si>
  <si>
    <t>NCD 29.4</t>
  </si>
  <si>
    <t>Customer Care / Call Center|1</t>
  </si>
  <si>
    <t>NCD 7.7 · CG 2.6 · FSI 0.0</t>
  </si>
  <si>
    <t>Corporate Related|1</t>
  </si>
  <si>
    <t>NCD 6.3 · CG 1.9</t>
  </si>
  <si>
    <t>New Contract Related|2</t>
  </si>
  <si>
    <t>NCD 3.6</t>
  </si>
  <si>
    <t>Corporate Related|2</t>
  </si>
  <si>
    <t>FSI 11.8 · NCD 3.5</t>
  </si>
  <si>
    <t>Insurance Claims and Benefits Payment Related|2</t>
  </si>
  <si>
    <r>
      <rPr>
        <b/>
        <sz val="9.5"/>
        <rFont val="Arial"/>
        <charset val="1"/>
      </rPr>
      <t>Annuity</t>
    </r>
    <r>
      <rPr>
        <b/>
        <sz val="9.5"/>
        <rFont val="Noto Sans CJK SC"/>
        <family val="2"/>
      </rPr>
      <t>＆</t>
    </r>
    <r>
      <rPr>
        <b/>
        <sz val="9.5"/>
        <rFont val="Arial"/>
        <charset val="1"/>
      </rPr>
      <t>Maturity Payment</t>
    </r>
  </si>
  <si>
    <t>Hybrid</t>
  </si>
  <si>
    <t>NCD 21.9 · CG 20.6</t>
  </si>
  <si>
    <t>Marketing / Direct Business|1</t>
  </si>
  <si>
    <t>CG 19.3 · NCD 7.9</t>
  </si>
  <si>
    <t>Corporate Related|3</t>
  </si>
  <si>
    <t>CG 1.5 · NCD 1.2</t>
  </si>
  <si>
    <t>Sales / Insurance Recruitment|1</t>
  </si>
  <si>
    <t>NCD 9.5 · CG 4.6</t>
  </si>
  <si>
    <t>Common Service Platform|1</t>
  </si>
  <si>
    <t>CG 57.1 · NCD 1.4</t>
  </si>
  <si>
    <t>Sales / Insurance Recruitment|2</t>
  </si>
  <si>
    <t>NCD 13.6 · FSI 0.8</t>
  </si>
  <si>
    <t>Storage and Preservation Related|2</t>
  </si>
  <si>
    <t>NCD 6.0</t>
  </si>
  <si>
    <t>Data Infrastructure|1</t>
  </si>
  <si>
    <t>CG 57.7 · FSI 7.7</t>
  </si>
  <si>
    <t>Common Service Platform|2</t>
  </si>
  <si>
    <t>CG 26.6</t>
  </si>
  <si>
    <t>Sales / Insurance Recruitment|3</t>
  </si>
  <si>
    <t>CG 20.8</t>
  </si>
  <si>
    <t>Customer Care / Call Center|2</t>
  </si>
  <si>
    <t>CG 9.6</t>
  </si>
  <si>
    <t>Customer Care / Call Center|3</t>
  </si>
  <si>
    <t>CG 35.8</t>
  </si>
  <si>
    <t>Sales / Insurance Recruitment|4</t>
  </si>
  <si>
    <t>CG 151.8</t>
  </si>
  <si>
    <t>Insurance Claims and Benefits Payment Related|3</t>
  </si>
  <si>
    <r>
      <rPr>
        <sz val="8.5"/>
        <color rgb="FF595959"/>
        <rFont val="Arial"/>
        <charset val="1"/>
      </rPr>
      <t xml:space="preserve">'Method today' is the effort-weighted majority development method across the stream's applications, from Appendix 3 v5. Where a </t>
    </r>
    <r>
      <rPr>
        <sz val="8.5"/>
        <color rgb="FF595959"/>
        <rFont val="Noto Sans CJK SC"/>
        <family val="2"/>
      </rPr>
      <t xml:space="preserve">領域 </t>
    </r>
    <r>
      <rPr>
        <sz val="8.5"/>
        <color rgb="FF595959"/>
        <rFont val="Arial"/>
        <charset val="1"/>
      </rPr>
      <t>records only one value stream, the Value Streams sheet will show one row — which means the conversion has no granularity and you should say so rather than invent streams.</t>
    </r>
  </si>
  <si>
    <t>Method  —  what this model claims, and what it does not</t>
  </si>
  <si>
    <t>Read this before defending any number in the workbook to MetLife.</t>
  </si>
  <si>
    <t>THE FOUR GATES</t>
  </si>
  <si>
    <t>AI-attributable</t>
  </si>
  <si>
    <t>An archetype-specific ceiling, run through each role's phase distribution, then multiplied by a realisation curve that starts at 25% and reaches 90%, then multiplied again by an adoption factor that differs by sourcing type. The ceiling is what the work would support. Realisation is how fast we get there. Adoption is who has the authority to commit.</t>
  </si>
  <si>
    <t>Classical ADM</t>
  </si>
  <si>
    <t>Automation, shift-left, defect reduction, knowledge reuse. 2% rising to 11%. It attaches to the work rather than the person, so it applies to every sourcing type equally.</t>
  </si>
  <si>
    <t>Operating model</t>
  </si>
  <si>
    <r>
      <rPr>
        <sz val="9.5"/>
        <rFont val="Arial"/>
        <charset val="1"/>
      </rPr>
      <t xml:space="preserve">Pod consolidation, one release train, span of control. 3% rising to 12%, scaled by the share of the </t>
    </r>
    <r>
      <rPr>
        <sz val="9.5"/>
        <rFont val="Noto Sans CJK SC"/>
        <family val="2"/>
      </rPr>
      <t xml:space="preserve">領域 </t>
    </r>
    <r>
      <rPr>
        <sz val="9.5"/>
        <rFont val="Arial"/>
        <charset val="1"/>
      </rPr>
      <t>that actually runs as pods and discounted again for any sub-contracted population.</t>
    </r>
  </si>
  <si>
    <t>Compounding, not adding</t>
  </si>
  <si>
    <t>1 − (1 − a)(1 − b)(1 − c). Three gates of 10% give 27%, not 30%. Adding them is the most common way these models overstate.</t>
  </si>
  <si>
    <t>THE TWO RULES THAT KEEP IT HONEST</t>
  </si>
  <si>
    <t>Scope is frozen</t>
  </si>
  <si>
    <t>Total effort never changes across the five years. Productivity shows up as fewer people doing the same work — never as work quietly leaving the model.</t>
  </si>
  <si>
    <t>Year 1 applies nothing</t>
  </si>
  <si>
    <t>The glidepath carries forward: this year's applied figure is last year's full capability plus half of this year's gain. Capability earned in Q4 cannot fund a reduction in Q1, and a Year-1 roster that does not reconcile to Appendix 3 is not credible to anybody.</t>
  </si>
  <si>
    <t>WHAT PRODUCTIVITY CANNOT DO</t>
  </si>
  <si>
    <t>It cannot move the ratio on its own</t>
  </si>
  <si>
    <t>If every population shrinks at the same rate, the 50:50 does not move a single point. Only differential shrinkage or a transfer of employment moves it. That is why the per-sourcing engine exists, and it is the single most useful thing to explain to MetLife.</t>
  </si>
  <si>
    <t>It cannot move a Japan-locked application offshore</t>
  </si>
  <si>
    <r>
      <rPr>
        <sz val="9.5"/>
        <rFont val="Arial"/>
        <charset val="1"/>
      </rPr>
      <t xml:space="preserve">Archetype J caps at a 12% offshore ceiling. Japanese specifications, Japanese operational interface, Japanese regulator. No tooling changes that, and a </t>
    </r>
    <r>
      <rPr>
        <sz val="9.5"/>
        <rFont val="Noto Sans CJK SC"/>
        <family val="2"/>
      </rPr>
      <t xml:space="preserve">領域 </t>
    </r>
    <r>
      <rPr>
        <sz val="9.5"/>
        <rFont val="Arial"/>
        <charset val="1"/>
      </rPr>
      <t>built of J applications should not be promised an offshore case.</t>
    </r>
  </si>
  <si>
    <t>It cannot shrink Capgemini past the point of control</t>
  </si>
  <si>
    <t>Below a Capgemini majority of the delivery population — and of the build-and-test seats inside it — the productivity commitment stops being ours to make. That is what the guardrails protect, and it is a commercial argument, not a modelling one.</t>
  </si>
  <si>
    <t>THE THINGS MOST WORTH CHALLENGING</t>
  </si>
  <si>
    <t>The role → phase table</t>
  </si>
  <si>
    <t>Rates &amp; Tables section B. It decides every per-sourcing ceiling in the model, and it is a judgement rather than a measurement.</t>
  </si>
  <si>
    <t>The adoption factors</t>
  </si>
  <si>
    <t>Rates &amp; Tables section D. How much of the ceiling MetLife's own people and MGCC can realistically commit to. Raising them shifts commitment away from Capgemini; lowering them concentrates it on us. Both are defensible; neither is automatic.</t>
  </si>
  <si>
    <t>The conversion quarters</t>
  </si>
  <si>
    <t>Value Streams sheet. When each stream starts running as a pod. Slipping one stream by two quarters costs about a point of Year-1 capability, which is small — but it changes the whole transition narrative.</t>
  </si>
  <si>
    <t>The restatements</t>
  </si>
  <si>
    <t>Logic Tree section B. Where MetLife's own role line is internally impossible we restate it, arithmetically neutral, and put the question back to them. We do not silently re-price their data, and we do not pretend one person can run a thousand incidents.</t>
  </si>
  <si>
    <t>PROVENANCE</t>
  </si>
  <si>
    <t>142 in-scope applications, 1,528.907 units. Commercial quantities are unchanged from v3; v5 completed the technical profile and added four disposition columns.</t>
  </si>
  <si>
    <t>Golden Application Inventory v4</t>
  </si>
  <si>
    <t>The six-rule archetype classifier, the value-stream grouping, the named-vendor tags and the application-level Capgemini headcount, reconciled from the billing, staff mapping and EAI files.</t>
  </si>
  <si>
    <t>The five built models</t>
  </si>
  <si>
    <t>Sales / Insurance, Contract Management, Data Infrastructure, Common Service Platform and Storage &amp; Preservation. The role × sourcing matrix and the reference pod sizes in this template are observed from their Year-1 rosters — 1,102 units of seat plan.</t>
  </si>
  <si>
    <t>Pod library  —  every seat, with MetLife's own role taxonomy and four sourcing types</t>
  </si>
  <si>
    <t>INPUT. Sourcing FTC = Capgemini payroll · PT = FSI, the named incumbent on four applications · FTE = MetLife Japan · MGCC. Only FTC can transfer at the end of Year 3.</t>
  </si>
  <si>
    <t>Count</t>
  </si>
  <si>
    <t>People in the block</t>
  </si>
  <si>
    <t>POD</t>
  </si>
  <si>
    <t>MetLife Product Owner</t>
  </si>
  <si>
    <t>MetLife Servicing SME</t>
  </si>
  <si>
    <t>MGCC Workflow Engineer</t>
  </si>
  <si>
    <t>DEV</t>
  </si>
  <si>
    <t>Business Analyst (bilingual)</t>
  </si>
  <si>
    <t>Pod lead / senior engineer</t>
  </si>
  <si>
    <t>K2 Workflow Engineer</t>
  </si>
  <si>
    <t>Quality Engineer (SDET)</t>
  </si>
  <si>
    <t>TEST</t>
  </si>
  <si>
    <t>Application Support</t>
  </si>
  <si>
    <t>MNT</t>
  </si>
  <si>
    <t>Solution Architect</t>
  </si>
  <si>
    <t>OTH</t>
  </si>
  <si>
    <t>POD size — Year 1</t>
  </si>
  <si>
    <t>TEAM</t>
  </si>
  <si>
    <t>MetLife Operations Analyst</t>
  </si>
  <si>
    <t>FSI Senior Developer (JP)</t>
  </si>
  <si>
    <t>FSI Business Analyst (JP)</t>
  </si>
  <si>
    <t>Team lead / technical lead</t>
  </si>
  <si>
    <t>Workflow Developer</t>
  </si>
  <si>
    <t>Test Engineer</t>
  </si>
  <si>
    <t>TEAM size — Year 1</t>
  </si>
  <si>
    <t>AI-assisted Workflow Engineer</t>
  </si>
  <si>
    <t>Workflow Engineer</t>
  </si>
  <si>
    <t>POD size — Year 2</t>
  </si>
  <si>
    <t>Test Engineer (SDET)</t>
  </si>
  <si>
    <t>TEAM size — Year 2</t>
  </si>
  <si>
    <t>Pod lead</t>
  </si>
  <si>
    <t>POD size — Year 3</t>
  </si>
  <si>
    <t>TEAM size — Year 3</t>
  </si>
  <si>
    <t>MetLife Servicing SME (transferred)</t>
  </si>
  <si>
    <t>MGCC Engineer (transferred)</t>
  </si>
  <si>
    <t>Agent engineer</t>
  </si>
  <si>
    <t>POD size — Year 4</t>
  </si>
  <si>
    <t>POD size — Year 5</t>
  </si>
  <si>
    <t>Year 1 runs 4 pods on the K2-led Work Flow stream and 5 delivery teams covering the waterfall satellites. From Year 4 the pod anatomy CONTAINS the transferred MetLife and MGCC seats — that is what makes the Year-3 transfer show up in the Year-4 ratio rather than only in the Glidepath solve.</t>
  </si>
  <si>
    <t>The seat ratio in column J is the modelling quantity — the share of one unit's establishment this role holds. Column K is what you hire: the ratio multiplied by the number of units that year. Every value in column K is a whole number of people, or a half where one person covers two units inside this 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</si>
</sst>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
    <numFmt numFmtId="166" formatCode="0.000"/>
    <numFmt numFmtId="167" formatCode="#,##0.0"/>
    <numFmt numFmtId="168" formatCode="#,##0.00;\-#,##0.00;&quot;&quot;"/>
    <numFmt numFmtId="169" formatCode="0.000;\-0.000;&quot;&quot;"/>
  </numFmts>
  <fonts count="19">
    <font>
      <sz val="11"/>
      <color theme="1"/>
      <name val="Calibri"/>
      <family val="2"/>
      <charset val="1"/>
    </font>
    <font>
      <b/>
      <sz val="14"/>
      <color rgb="FFFFFFFF"/>
      <name val="Arial"/>
      <charset val="1"/>
    </font>
    <font>
      <sz val="9"/>
      <color rgb="FFFFFFFF"/>
      <name val="Arial"/>
      <charset val="1"/>
    </font>
    <font>
      <b/>
      <sz val="11"/>
      <color rgb="FF00385F"/>
      <name val="Arial"/>
      <charset val="1"/>
    </font>
    <font>
      <b/>
      <sz val="11"/>
      <color rgb="FF00385F"/>
      <name val="Noto Sans CJK SC"/>
      <family val="2"/>
    </font>
    <font>
      <b/>
      <sz val="13"/>
      <color rgb="FF00385F"/>
      <name val="Arial"/>
      <charset val="1"/>
    </font>
    <font>
      <sz val="9.5"/>
      <name val="Arial"/>
      <charset val="1"/>
    </font>
    <font>
      <b/>
      <sz val="8.5"/>
      <color rgb="FFFFFFFF"/>
      <name val="Arial"/>
      <charset val="1"/>
    </font>
    <font>
      <b/>
      <sz val="9.5"/>
      <name val="Arial"/>
      <charset val="1"/>
    </font>
    <font>
      <b/>
      <sz val="9.5"/>
      <name val="Noto Sans CJK SC"/>
      <family val="2"/>
    </font>
    <font>
      <sz val="8.5"/>
      <color rgb="FF595959"/>
      <name val="Arial"/>
      <charset val="1"/>
    </font>
    <font>
      <sz val="8.5"/>
      <color rgb="FF595959"/>
      <name val="Noto Sans CJK SC"/>
      <family val="2"/>
    </font>
    <font>
      <sz val="9.5"/>
      <name val="Noto Sans CJK SC"/>
      <family val="2"/>
    </font>
    <font>
      <sz val="9.5"/>
      <color rgb="FF008000"/>
      <name val="Arial"/>
      <charset val="1"/>
    </font>
    <font>
      <sz val="9"/>
      <color rgb="FFFFFFFF"/>
      <name val="Noto Sans CJK SC"/>
      <family val="2"/>
    </font>
    <font>
      <b/>
      <sz val="14"/>
      <color rgb="FFFFFFFF"/>
      <name val="Noto Sans CJK SC"/>
      <family val="2"/>
    </font>
    <font>
      <b/>
      <sz val="8.5"/>
      <color rgb="FFFFFFFF"/>
      <name val="Noto Sans CJK SC"/>
      <family val="2"/>
    </font>
    <font>
      <b/>
      <sz val="9.5"/>
      <color rgb="FF00385F"/>
      <name val="Arial"/>
      <charset val="1"/>
    </font>
    <font>
      <sz val="9.5"/>
      <name val="Arial"/>
      <family val="2"/>
    </font>
  </fonts>
  <fills count="11">
    <fill>
      <patternFill patternType="none"/>
    </fill>
    <fill>
      <patternFill patternType="gray125"/>
    </fill>
    <fill>
      <patternFill patternType="solid">
        <fgColor rgb="FF00385F"/>
        <bgColor rgb="FF003300"/>
      </patternFill>
    </fill>
    <fill>
      <patternFill patternType="solid">
        <fgColor rgb="FFDCEEF9"/>
        <bgColor rgb="FFE2F0D9"/>
      </patternFill>
    </fill>
    <fill>
      <patternFill patternType="solid">
        <fgColor rgb="FFFFF2CC"/>
        <bgColor rgb="FFF2F2F2"/>
      </patternFill>
    </fill>
    <fill>
      <patternFill patternType="solid">
        <fgColor rgb="FF0090DA"/>
        <bgColor rgb="FF008080"/>
      </patternFill>
    </fill>
    <fill>
      <patternFill patternType="solid">
        <fgColor rgb="FFF2F2F2"/>
        <bgColor rgb="FFE2F0D9"/>
      </patternFill>
    </fill>
    <fill>
      <patternFill patternType="solid">
        <fgColor rgb="FFE2F0D9"/>
        <bgColor rgb="FFDCEEF9"/>
      </patternFill>
    </fill>
    <fill>
      <patternFill patternType="solid">
        <fgColor rgb="FF00385F"/>
        <bgColor rgb="FF333333"/>
      </patternFill>
    </fill>
    <fill>
      <patternFill patternType="solid">
        <fgColor rgb="FFFFF2CC"/>
        <bgColor rgb="FFFCE4E4"/>
      </patternFill>
    </fill>
    <fill>
      <patternFill patternType="solid">
        <fgColor rgb="FFF2F2F2"/>
        <bgColor rgb="FFDCEEF9"/>
      </patternFill>
    </fill>
  </fills>
  <borders count="2">
    <border>
      <left/>
      <right/>
      <top/>
      <bottom/>
      <diagonal/>
    </border>
    <border>
      <left style="thin">
        <color rgb="FFD2DCE3"/>
      </left>
      <right style="thin">
        <color rgb="FFD2DCE3"/>
      </right>
      <top style="thin">
        <color rgb="FFD2DCE3"/>
      </top>
      <bottom style="thin">
        <color rgb="FFD2DCE3"/>
      </bottom>
      <diagonal/>
    </border>
  </borders>
  <cellStyleXfs count="1">
    <xf numFmtId="0" fontId="0" fillId="0" borderId="0"/>
  </cellStyleXfs>
  <cellXfs count="80">
    <xf numFmtId="0" fontId="0" fillId="0" borderId="0" xfId="0"/>
    <xf numFmtId="0" fontId="8" fillId="7" borderId="1" xfId="0" applyFont="1" applyFill="1" applyBorder="1" applyAlignment="1">
      <alignment horizontal="center" vertical="center" wrapText="1"/>
    </xf>
    <xf numFmtId="0" fontId="10" fillId="0" borderId="0" xfId="0" applyFont="1" applyAlignment="1">
      <alignment vertical="top" wrapText="1"/>
    </xf>
    <xf numFmtId="0" fontId="6" fillId="0" borderId="0" xfId="0" applyFont="1" applyAlignment="1">
      <alignment vertical="top" wrapText="1"/>
    </xf>
    <xf numFmtId="0" fontId="5" fillId="0" borderId="1" xfId="0" applyFont="1" applyBorder="1" applyAlignment="1">
      <alignment vertical="top" wrapText="1"/>
    </xf>
    <xf numFmtId="0" fontId="5"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0" borderId="1" xfId="0" applyFont="1" applyBorder="1" applyAlignment="1">
      <alignment vertical="top" wrapText="1"/>
    </xf>
    <xf numFmtId="3" fontId="8" fillId="6" borderId="1" xfId="0" applyNumberFormat="1" applyFont="1" applyFill="1" applyBorder="1" applyAlignment="1">
      <alignment horizontal="center" vertical="center" wrapText="1"/>
    </xf>
    <xf numFmtId="164" fontId="8" fillId="6" borderId="1" xfId="0" applyNumberFormat="1" applyFont="1" applyFill="1" applyBorder="1" applyAlignment="1">
      <alignment horizontal="center" vertical="center" wrapText="1"/>
    </xf>
    <xf numFmtId="4" fontId="8" fillId="6" borderId="1" xfId="0" applyNumberFormat="1" applyFont="1" applyFill="1" applyBorder="1" applyAlignment="1">
      <alignment horizontal="center" vertical="center" wrapText="1"/>
    </xf>
    <xf numFmtId="165" fontId="8" fillId="6" borderId="1" xfId="0" applyNumberFormat="1" applyFont="1" applyFill="1" applyBorder="1" applyAlignment="1">
      <alignment horizontal="center" vertical="center" wrapText="1"/>
    </xf>
    <xf numFmtId="0" fontId="8" fillId="4" borderId="1" xfId="0" applyFont="1" applyFill="1" applyBorder="1" applyAlignment="1">
      <alignment vertical="top" wrapText="1"/>
    </xf>
    <xf numFmtId="0" fontId="6" fillId="0" borderId="1" xfId="0" applyFont="1" applyBorder="1" applyAlignment="1">
      <alignment vertical="top" wrapText="1"/>
    </xf>
    <xf numFmtId="0" fontId="8" fillId="0" borderId="1" xfId="0" applyFont="1" applyBorder="1" applyAlignment="1">
      <alignment horizontal="center" vertical="center" wrapText="1"/>
    </xf>
    <xf numFmtId="3" fontId="13" fillId="0" borderId="1" xfId="0" applyNumberFormat="1" applyFont="1" applyBorder="1" applyAlignment="1">
      <alignment horizontal="center" vertical="center" wrapText="1"/>
    </xf>
    <xf numFmtId="0" fontId="8" fillId="6" borderId="1" xfId="0" applyFont="1" applyFill="1" applyBorder="1" applyAlignment="1">
      <alignment vertical="top" wrapText="1"/>
    </xf>
    <xf numFmtId="164" fontId="13" fillId="0" borderId="1" xfId="0" applyNumberFormat="1" applyFont="1" applyBorder="1" applyAlignment="1">
      <alignment horizontal="center" vertical="center" wrapText="1"/>
    </xf>
    <xf numFmtId="4" fontId="13" fillId="0" borderId="1" xfId="0" applyNumberFormat="1" applyFont="1" applyBorder="1" applyAlignment="1">
      <alignment horizontal="center" vertical="center" wrapText="1"/>
    </xf>
    <xf numFmtId="164" fontId="6" fillId="4" borderId="1" xfId="0" applyNumberFormat="1" applyFont="1" applyFill="1" applyBorder="1" applyAlignment="1">
      <alignment horizontal="center" vertical="center" wrapText="1"/>
    </xf>
    <xf numFmtId="164" fontId="8" fillId="4" borderId="1" xfId="0" applyNumberFormat="1" applyFont="1" applyFill="1" applyBorder="1" applyAlignment="1">
      <alignment horizontal="center" vertical="center" wrapText="1"/>
    </xf>
    <xf numFmtId="165" fontId="13" fillId="0" borderId="1" xfId="0" applyNumberFormat="1" applyFont="1" applyBorder="1" applyAlignment="1">
      <alignment horizontal="center" vertical="center" wrapText="1"/>
    </xf>
    <xf numFmtId="10" fontId="13" fillId="0" borderId="1" xfId="0" applyNumberFormat="1" applyFont="1" applyBorder="1" applyAlignment="1">
      <alignment horizontal="center" vertical="center" wrapText="1"/>
    </xf>
    <xf numFmtId="9" fontId="13" fillId="0" borderId="1" xfId="0" applyNumberFormat="1" applyFont="1" applyBorder="1" applyAlignment="1">
      <alignment horizontal="center" vertical="center" wrapText="1"/>
    </xf>
    <xf numFmtId="10" fontId="8" fillId="6" borderId="1" xfId="0" applyNumberFormat="1"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0" borderId="0" xfId="0" applyFont="1" applyAlignment="1">
      <alignment vertical="top" wrapText="1"/>
    </xf>
    <xf numFmtId="4" fontId="8" fillId="4" borderId="1" xfId="0" applyNumberFormat="1" applyFont="1" applyFill="1" applyBorder="1" applyAlignment="1">
      <alignment horizontal="center" vertical="center" wrapText="1"/>
    </xf>
    <xf numFmtId="3" fontId="8" fillId="4" borderId="1" xfId="0" applyNumberFormat="1" applyFont="1" applyFill="1" applyBorder="1" applyAlignment="1">
      <alignment horizontal="center" vertical="center" wrapText="1"/>
    </xf>
    <xf numFmtId="166" fontId="13" fillId="0" borderId="1" xfId="0" applyNumberFormat="1" applyFont="1" applyBorder="1" applyAlignment="1">
      <alignment horizontal="center" vertical="center" wrapText="1"/>
    </xf>
    <xf numFmtId="167" fontId="13" fillId="0" borderId="1" xfId="0" applyNumberFormat="1" applyFont="1" applyBorder="1" applyAlignment="1">
      <alignment horizontal="center" vertical="center" wrapText="1"/>
    </xf>
    <xf numFmtId="0" fontId="8" fillId="7" borderId="1" xfId="0" applyFont="1" applyFill="1" applyBorder="1" applyAlignment="1">
      <alignment vertical="top" wrapText="1"/>
    </xf>
    <xf numFmtId="4" fontId="8" fillId="7" borderId="1" xfId="0" applyNumberFormat="1" applyFont="1" applyFill="1" applyBorder="1" applyAlignment="1">
      <alignment horizontal="center" vertical="center" wrapText="1"/>
    </xf>
    <xf numFmtId="9" fontId="6" fillId="4" borderId="1" xfId="0" applyNumberFormat="1" applyFont="1" applyFill="1" applyBorder="1" applyAlignment="1">
      <alignment horizontal="center" vertical="center" wrapText="1"/>
    </xf>
    <xf numFmtId="3" fontId="6"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164" fontId="8" fillId="7" borderId="1" xfId="0" applyNumberFormat="1" applyFont="1" applyFill="1" applyBorder="1" applyAlignment="1">
      <alignment horizontal="center" vertical="center" wrapText="1"/>
    </xf>
    <xf numFmtId="3" fontId="6" fillId="4" borderId="1" xfId="0" applyNumberFormat="1" applyFont="1" applyFill="1" applyBorder="1" applyAlignment="1">
      <alignment horizontal="center" vertical="center" wrapText="1"/>
    </xf>
    <xf numFmtId="165" fontId="6" fillId="4" borderId="1" xfId="0" applyNumberFormat="1" applyFont="1" applyFill="1" applyBorder="1" applyAlignment="1">
      <alignment horizontal="center" vertical="center" wrapText="1"/>
    </xf>
    <xf numFmtId="9" fontId="13" fillId="6" borderId="1" xfId="0" applyNumberFormat="1" applyFont="1" applyFill="1" applyBorder="1" applyAlignment="1">
      <alignment horizontal="center" vertical="center" wrapText="1"/>
    </xf>
    <xf numFmtId="4" fontId="13" fillId="6" borderId="1" xfId="0" applyNumberFormat="1" applyFont="1" applyFill="1" applyBorder="1" applyAlignment="1">
      <alignment horizontal="center" vertical="center" wrapText="1"/>
    </xf>
    <xf numFmtId="0" fontId="10" fillId="0" borderId="1" xfId="0" applyFont="1" applyBorder="1" applyAlignment="1">
      <alignment horizontal="center" vertical="center" wrapText="1"/>
    </xf>
    <xf numFmtId="167" fontId="6" fillId="4" borderId="1" xfId="0"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168" fontId="13" fillId="0" borderId="1" xfId="0" applyNumberFormat="1" applyFont="1" applyBorder="1" applyAlignment="1">
      <alignment horizontal="center" vertical="center" wrapText="1"/>
    </xf>
    <xf numFmtId="168" fontId="8" fillId="6" borderId="1" xfId="0" applyNumberFormat="1" applyFont="1" applyFill="1" applyBorder="1" applyAlignment="1">
      <alignment horizontal="center" vertical="center" wrapText="1"/>
    </xf>
    <xf numFmtId="169" fontId="13" fillId="0" borderId="1" xfId="0" applyNumberFormat="1" applyFont="1" applyBorder="1" applyAlignment="1">
      <alignment horizontal="center" vertical="center" wrapText="1"/>
    </xf>
    <xf numFmtId="165" fontId="8" fillId="4" borderId="1" xfId="0" applyNumberFormat="1" applyFont="1" applyFill="1" applyBorder="1" applyAlignment="1">
      <alignment horizontal="center" vertical="center" wrapText="1"/>
    </xf>
    <xf numFmtId="0" fontId="8" fillId="6" borderId="1" xfId="0" applyFont="1" applyFill="1" applyBorder="1" applyAlignment="1">
      <alignment horizontal="center" vertical="center" wrapText="1"/>
    </xf>
    <xf numFmtId="167" fontId="8" fillId="6" borderId="1" xfId="0" applyNumberFormat="1" applyFont="1" applyFill="1" applyBorder="1" applyAlignment="1">
      <alignment horizontal="center" vertical="center" wrapText="1"/>
    </xf>
    <xf numFmtId="9" fontId="8" fillId="6" borderId="1" xfId="0" applyNumberFormat="1" applyFont="1" applyFill="1" applyBorder="1" applyAlignment="1">
      <alignment horizontal="center" vertical="center" wrapText="1"/>
    </xf>
    <xf numFmtId="166" fontId="6" fillId="4" borderId="1" xfId="0" applyNumberFormat="1" applyFont="1" applyFill="1" applyBorder="1" applyAlignment="1">
      <alignment horizontal="center" vertical="center" wrapText="1"/>
    </xf>
    <xf numFmtId="0" fontId="16" fillId="5" borderId="1" xfId="0" applyFont="1" applyFill="1" applyBorder="1" applyAlignment="1">
      <alignment horizontal="center" vertical="center" wrapText="1"/>
    </xf>
    <xf numFmtId="0" fontId="6" fillId="0" borderId="1" xfId="0" applyFont="1" applyBorder="1" applyAlignment="1">
      <alignment horizontal="center" vertical="center" wrapText="1"/>
    </xf>
    <xf numFmtId="164" fontId="6" fillId="0" borderId="1" xfId="0" applyNumberFormat="1" applyFont="1" applyBorder="1" applyAlignment="1">
      <alignment horizontal="center" vertical="center" wrapText="1"/>
    </xf>
    <xf numFmtId="165" fontId="6" fillId="0" borderId="1" xfId="0" applyNumberFormat="1" applyFont="1" applyBorder="1" applyAlignment="1">
      <alignment horizontal="center" vertical="center" wrapText="1"/>
    </xf>
    <xf numFmtId="3" fontId="13" fillId="6" borderId="1" xfId="0" applyNumberFormat="1" applyFont="1" applyFill="1" applyBorder="1" applyAlignment="1">
      <alignment horizontal="center" vertical="center" wrapText="1"/>
    </xf>
    <xf numFmtId="4" fontId="6" fillId="0" borderId="1" xfId="0" applyNumberFormat="1" applyFont="1" applyBorder="1" applyAlignment="1">
      <alignment horizontal="center" vertical="center" wrapText="1"/>
    </xf>
    <xf numFmtId="0" fontId="10" fillId="0" borderId="1" xfId="0" applyFont="1" applyBorder="1" applyAlignment="1">
      <alignment vertical="top" wrapText="1"/>
    </xf>
    <xf numFmtId="0" fontId="1" fillId="2" borderId="0" xfId="0" applyFont="1" applyFill="1" applyAlignment="1">
      <alignment vertical="top" wrapText="1"/>
    </xf>
    <xf numFmtId="0" fontId="2" fillId="2" borderId="0" xfId="0" applyFont="1" applyFill="1" applyAlignment="1">
      <alignment vertical="top" wrapText="1"/>
    </xf>
    <xf numFmtId="0" fontId="3" fillId="3" borderId="1" xfId="0" applyFont="1" applyFill="1" applyBorder="1" applyAlignment="1">
      <alignment vertical="top" wrapText="1"/>
    </xf>
    <xf numFmtId="0" fontId="6" fillId="0" borderId="0" xfId="0" applyFont="1" applyAlignment="1">
      <alignment vertical="top" wrapText="1"/>
    </xf>
    <xf numFmtId="0" fontId="3" fillId="3" borderId="0" xfId="0" applyFont="1" applyFill="1" applyAlignment="1">
      <alignment vertical="top" wrapText="1"/>
    </xf>
    <xf numFmtId="0" fontId="10" fillId="0" borderId="0" xfId="0" applyFont="1" applyAlignment="1">
      <alignment vertical="top" wrapText="1"/>
    </xf>
    <xf numFmtId="0" fontId="8" fillId="7" borderId="1" xfId="0" applyFont="1" applyFill="1" applyBorder="1" applyAlignment="1">
      <alignment horizontal="center" vertical="center" wrapText="1"/>
    </xf>
    <xf numFmtId="0" fontId="1" fillId="8" borderId="0" xfId="0" applyFont="1" applyFill="1" applyAlignment="1">
      <alignment vertical="top" wrapText="1"/>
    </xf>
    <xf numFmtId="0" fontId="2" fillId="8" borderId="0" xfId="0" applyFont="1" applyFill="1" applyAlignment="1">
      <alignment vertical="top" wrapText="1"/>
    </xf>
    <xf numFmtId="2" fontId="7" fillId="5" borderId="1" xfId="0" applyNumberFormat="1" applyFont="1" applyFill="1" applyBorder="1" applyAlignment="1">
      <alignment horizontal="center" vertical="center" wrapText="1"/>
    </xf>
    <xf numFmtId="2" fontId="6" fillId="9" borderId="1" xfId="0" applyNumberFormat="1" applyFont="1" applyFill="1" applyBorder="1" applyAlignment="1">
      <alignment horizontal="center" vertical="center" wrapText="1"/>
    </xf>
    <xf numFmtId="167" fontId="17" fillId="0" borderId="1" xfId="0" applyNumberFormat="1" applyFont="1" applyBorder="1" applyAlignment="1">
      <alignment horizontal="center" vertical="center" wrapText="1"/>
    </xf>
    <xf numFmtId="0" fontId="8" fillId="10" borderId="1" xfId="0" applyFont="1" applyFill="1" applyBorder="1" applyAlignment="1">
      <alignment vertical="top" wrapText="1"/>
    </xf>
    <xf numFmtId="2" fontId="8" fillId="10" borderId="1" xfId="0" applyNumberFormat="1" applyFont="1" applyFill="1" applyBorder="1" applyAlignment="1">
      <alignment horizontal="center" vertical="center" wrapText="1"/>
    </xf>
    <xf numFmtId="0" fontId="8" fillId="10" borderId="0" xfId="0" applyFont="1" applyFill="1" applyAlignment="1">
      <alignment vertical="top" wrapText="1"/>
    </xf>
    <xf numFmtId="2" fontId="8" fillId="10" borderId="0" xfId="0" applyNumberFormat="1" applyFont="1" applyFill="1" applyAlignment="1">
      <alignment horizontal="center" vertical="center" wrapText="1"/>
    </xf>
    <xf numFmtId="0" fontId="18" fillId="0" borderId="1" xfId="0" applyFont="1" applyBorder="1" applyAlignment="1">
      <alignment horizontal="center" vertical="center" wrapText="1"/>
    </xf>
    <xf numFmtId="0" fontId="18" fillId="9" borderId="1" xfId="0" applyFont="1" applyFill="1" applyBorder="1" applyAlignment="1">
      <alignment horizontal="center" vertical="center" wrapText="1"/>
    </xf>
    <xf numFmtId="0" fontId="18" fillId="0" borderId="1" xfId="0" applyFont="1" applyBorder="1" applyAlignment="1">
      <alignment vertical="top" wrapText="1"/>
    </xf>
    <xf numFmtId="2" fontId="0" fillId="0" borderId="0" xfId="0" applyNumberFormat="1"/>
    <xf numFmtId="0" fontId="10"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90DA"/>
      <rgbColor rgb="FFC0C0C0"/>
      <rgbColor rgb="FF808080"/>
      <rgbColor rgb="FF9999FF"/>
      <rgbColor rgb="FF993366"/>
      <rgbColor rgb="FFFFF2CC"/>
      <rgbColor rgb="FFDCEEF9"/>
      <rgbColor rgb="FF660066"/>
      <rgbColor rgb="FFFF8080"/>
      <rgbColor rgb="FF0066CC"/>
      <rgbColor rgb="FFD2DCE3"/>
      <rgbColor rgb="FF000080"/>
      <rgbColor rgb="FFFF00FF"/>
      <rgbColor rgb="FFFFFF00"/>
      <rgbColor rgb="FF00FFFF"/>
      <rgbColor rgb="FF800080"/>
      <rgbColor rgb="FF800000"/>
      <rgbColor rgb="FF008080"/>
      <rgbColor rgb="FF0000FF"/>
      <rgbColor rgb="FF00CCFF"/>
      <rgbColor rgb="FFF2F2F2"/>
      <rgbColor rgb="FFE2F0D9"/>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8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topLeftCell="B4" zoomScaleNormal="100" workbookViewId="0">
      <selection activeCell="C14" sqref="C14"/>
    </sheetView>
  </sheetViews>
  <sheetFormatPr defaultColWidth="8.6328125" defaultRowHeight="14.5"/>
  <cols>
    <col min="1" max="1" width="2.453125" customWidth="1"/>
    <col min="2" max="2" width="34" customWidth="1"/>
    <col min="3" max="3" width="42" customWidth="1"/>
    <col min="4" max="4" width="3" customWidth="1"/>
    <col min="5" max="5" width="96" customWidth="1"/>
  </cols>
  <sheetData>
    <row r="1" spans="1:8" ht="25.5" customHeight="1">
      <c r="A1" s="59" t="s">
        <v>0</v>
      </c>
      <c r="B1" s="59"/>
      <c r="C1" s="59"/>
      <c r="D1" s="59"/>
      <c r="E1" s="59"/>
      <c r="F1" s="59"/>
      <c r="G1" s="59"/>
      <c r="H1" s="59"/>
    </row>
    <row r="2" spans="1:8" ht="15" customHeight="1">
      <c r="A2" s="60" t="s">
        <v>1</v>
      </c>
      <c r="B2" s="60"/>
      <c r="C2" s="60"/>
      <c r="D2" s="60"/>
      <c r="E2" s="60"/>
      <c r="F2" s="60"/>
      <c r="G2" s="60"/>
      <c r="H2" s="60"/>
    </row>
    <row r="4" spans="1:8" ht="17.25" customHeight="1">
      <c r="B4" s="61" t="s">
        <v>2</v>
      </c>
      <c r="C4" s="61"/>
      <c r="D4" s="61"/>
      <c r="E4" s="61"/>
    </row>
    <row r="5" spans="1:8" ht="45.75" customHeight="1">
      <c r="B5" s="4" t="s">
        <v>3</v>
      </c>
      <c r="C5" s="5" t="s">
        <v>701</v>
      </c>
      <c r="E5" s="3" t="s">
        <v>5</v>
      </c>
    </row>
    <row r="7" spans="1:8" ht="15" customHeight="1">
      <c r="B7" s="61" t="s">
        <v>6</v>
      </c>
      <c r="C7" s="61"/>
      <c r="D7" s="61"/>
      <c r="E7" s="61"/>
    </row>
    <row r="8" spans="1:8">
      <c r="B8" s="6" t="s">
        <v>7</v>
      </c>
      <c r="C8" s="6" t="s">
        <v>8</v>
      </c>
      <c r="D8" s="6"/>
      <c r="E8" s="6" t="s">
        <v>9</v>
      </c>
    </row>
    <row r="9" spans="1:8" ht="27.75" customHeight="1">
      <c r="B9" s="7" t="s">
        <v>10</v>
      </c>
      <c r="C9" s="8">
        <f>SUMPRODUCT(--('Inventory v5'!$D$5:$D$146='START HERE'!$C$5))</f>
        <v>5</v>
      </c>
      <c r="E9" s="2" t="s">
        <v>11</v>
      </c>
    </row>
    <row r="10" spans="1:8" ht="27.75" customHeight="1">
      <c r="B10" s="7" t="s">
        <v>12</v>
      </c>
      <c r="C10" s="9">
        <f>SUMIFS('Inventory v5'!$J$5:$J$146,'Inventory v5'!$D$5:$D$146,'START HERE'!$C$5)</f>
        <v>48.510291666666731</v>
      </c>
      <c r="E10" s="2" t="s">
        <v>13</v>
      </c>
    </row>
    <row r="11" spans="1:8" ht="27.75" customHeight="1">
      <c r="B11" s="7" t="s">
        <v>14</v>
      </c>
      <c r="C11" s="9">
        <f>SUMIFS('Inventory v5'!$K$5:$K$146,'Inventory v5'!$D$5:$D$146,'START HERE'!$C$5)</f>
        <v>38.14779166666667</v>
      </c>
      <c r="E11" s="2" t="s">
        <v>15</v>
      </c>
    </row>
    <row r="12" spans="1:8" ht="27.75" customHeight="1">
      <c r="B12" s="7" t="s">
        <v>16</v>
      </c>
      <c r="C12" s="9">
        <f>SUMIFS('Inventory v5'!$L$5:$L$146,'Inventory v5'!$D$5:$D$146,'START HERE'!$C$5)</f>
        <v>9.7791666666666615</v>
      </c>
      <c r="E12" s="2" t="s">
        <v>17</v>
      </c>
    </row>
    <row r="13" spans="1:8" ht="27.75" customHeight="1">
      <c r="B13" s="7" t="s">
        <v>18</v>
      </c>
      <c r="C13" s="9">
        <f>SUMIFS('Inventory v5'!$M$5:$M$146,'Inventory v5'!$D$5:$D$146,'START HERE'!$C$5)</f>
        <v>0.58333333333333304</v>
      </c>
      <c r="E13" s="2" t="s">
        <v>19</v>
      </c>
    </row>
    <row r="14" spans="1:8" ht="27.75" customHeight="1">
      <c r="B14" s="7" t="s">
        <v>20</v>
      </c>
      <c r="C14" s="10">
        <f>'Logic Tree'!C14</f>
        <v>1</v>
      </c>
      <c r="E14" s="2" t="s">
        <v>21</v>
      </c>
    </row>
    <row r="15" spans="1:8" ht="27.75" customHeight="1">
      <c r="B15" s="7" t="s">
        <v>22</v>
      </c>
      <c r="C15" s="11">
        <f>IF(C10=0,0,(C12+C13)/C10)</f>
        <v>0.21361446497177963</v>
      </c>
      <c r="E15" s="2" t="s">
        <v>23</v>
      </c>
    </row>
    <row r="16" spans="1:8" ht="27.75" customHeight="1">
      <c r="B16" s="7" t="s">
        <v>24</v>
      </c>
      <c r="C16" s="11">
        <f>'Logic Tree'!C38</f>
        <v>0.47685901488258076</v>
      </c>
      <c r="E16" s="2" t="s">
        <v>25</v>
      </c>
    </row>
    <row r="17" spans="2:5" ht="27.75" customHeight="1">
      <c r="B17" s="7" t="s">
        <v>26</v>
      </c>
      <c r="C17" s="11">
        <f>'Logic Tree'!C39</f>
        <v>0.76597376673506579</v>
      </c>
      <c r="E17" s="2" t="s">
        <v>27</v>
      </c>
    </row>
    <row r="18" spans="2:5" ht="27.75" customHeight="1">
      <c r="B18" s="7" t="s">
        <v>28</v>
      </c>
      <c r="C18" s="11">
        <f>'Logic Tree'!C130</f>
        <v>5.1535455964241257E-2</v>
      </c>
      <c r="E18" s="2" t="s">
        <v>29</v>
      </c>
    </row>
    <row r="20" spans="2:5" ht="15" customHeight="1">
      <c r="B20" s="61" t="s">
        <v>30</v>
      </c>
      <c r="C20" s="61"/>
      <c r="D20" s="61"/>
      <c r="E20" s="61"/>
    </row>
    <row r="21" spans="2:5">
      <c r="B21" s="6" t="s">
        <v>31</v>
      </c>
      <c r="C21" s="6" t="s">
        <v>32</v>
      </c>
      <c r="D21" s="6"/>
      <c r="E21" s="6" t="s">
        <v>33</v>
      </c>
    </row>
    <row r="22" spans="2:5" ht="55.5" customHeight="1">
      <c r="B22" s="12" t="s">
        <v>34</v>
      </c>
      <c r="C22" s="13" t="s">
        <v>35</v>
      </c>
      <c r="E22" s="2" t="s">
        <v>36</v>
      </c>
    </row>
    <row r="23" spans="2:5" ht="55.5" customHeight="1">
      <c r="B23" s="12" t="s">
        <v>37</v>
      </c>
      <c r="C23" s="13" t="s">
        <v>38</v>
      </c>
      <c r="E23" s="2" t="s">
        <v>39</v>
      </c>
    </row>
    <row r="24" spans="2:5" ht="55.5" customHeight="1">
      <c r="B24" s="12" t="s">
        <v>40</v>
      </c>
      <c r="C24" s="13" t="s">
        <v>41</v>
      </c>
      <c r="E24" s="2" t="s">
        <v>42</v>
      </c>
    </row>
    <row r="25" spans="2:5" ht="55.5" customHeight="1">
      <c r="B25" s="12" t="s">
        <v>43</v>
      </c>
      <c r="C25" s="13" t="s">
        <v>44</v>
      </c>
      <c r="E25" s="2" t="s">
        <v>45</v>
      </c>
    </row>
    <row r="26" spans="2:5" ht="55.5" customHeight="1">
      <c r="B26" s="12" t="s">
        <v>46</v>
      </c>
      <c r="C26" s="13" t="s">
        <v>47</v>
      </c>
      <c r="E26" s="2" t="s">
        <v>48</v>
      </c>
    </row>
    <row r="27" spans="2:5" ht="55.5" customHeight="1">
      <c r="B27" s="12" t="s">
        <v>49</v>
      </c>
      <c r="C27" s="13" t="s">
        <v>50</v>
      </c>
      <c r="E27" s="2" t="s">
        <v>51</v>
      </c>
    </row>
    <row r="29" spans="2:5" ht="15" customHeight="1">
      <c r="B29" s="61" t="s">
        <v>52</v>
      </c>
      <c r="C29" s="61"/>
      <c r="D29" s="61"/>
      <c r="E29" s="61"/>
    </row>
    <row r="30" spans="2:5" ht="51.75" customHeight="1">
      <c r="B30" s="62" t="s">
        <v>53</v>
      </c>
      <c r="C30" s="62"/>
      <c r="D30" s="62"/>
      <c r="E30" s="62"/>
    </row>
    <row r="31" spans="2:5" ht="51.75" customHeight="1">
      <c r="B31" s="62" t="s">
        <v>54</v>
      </c>
      <c r="C31" s="62"/>
      <c r="D31" s="62"/>
      <c r="E31" s="62"/>
    </row>
    <row r="32" spans="2:5" ht="51.75" customHeight="1">
      <c r="B32" s="62" t="s">
        <v>55</v>
      </c>
      <c r="C32" s="62"/>
      <c r="D32" s="62"/>
      <c r="E32" s="62"/>
    </row>
    <row r="35" spans="2:5" ht="15" customHeight="1">
      <c r="B35" s="61" t="s">
        <v>56</v>
      </c>
      <c r="C35" s="61"/>
      <c r="D35" s="61"/>
      <c r="E35" s="61"/>
    </row>
    <row r="36" spans="2:5" ht="45.75" customHeight="1">
      <c r="B36" s="62" t="s">
        <v>57</v>
      </c>
      <c r="C36" s="62"/>
      <c r="D36" s="62"/>
      <c r="E36" s="62"/>
    </row>
    <row r="37" spans="2:5" ht="45.75" customHeight="1">
      <c r="B37" s="62" t="s">
        <v>58</v>
      </c>
      <c r="C37" s="62"/>
      <c r="D37" s="62"/>
      <c r="E37" s="62"/>
    </row>
    <row r="38" spans="2:5" ht="45.75" customHeight="1">
      <c r="B38" s="62" t="s">
        <v>59</v>
      </c>
      <c r="C38" s="62"/>
      <c r="D38" s="62"/>
      <c r="E38" s="62"/>
    </row>
    <row r="39" spans="2:5" ht="45.75" customHeight="1">
      <c r="B39" s="62" t="s">
        <v>60</v>
      </c>
      <c r="C39" s="62"/>
      <c r="D39" s="62"/>
      <c r="E39" s="62"/>
    </row>
  </sheetData>
  <mergeCells count="14">
    <mergeCell ref="B36:E36"/>
    <mergeCell ref="B37:E37"/>
    <mergeCell ref="B38:E38"/>
    <mergeCell ref="B39:E39"/>
    <mergeCell ref="B29:E29"/>
    <mergeCell ref="B30:E30"/>
    <mergeCell ref="B31:E31"/>
    <mergeCell ref="B32:E32"/>
    <mergeCell ref="B35:E35"/>
    <mergeCell ref="A1:H1"/>
    <mergeCell ref="A2:H2"/>
    <mergeCell ref="B4:E4"/>
    <mergeCell ref="B7:E7"/>
    <mergeCell ref="B20:E20"/>
  </mergeCells>
  <dataValidations count="1">
    <dataValidation type="list" error="Pick one of the eleven 領域 exactly as Appendix 3 v5 spells it." sqref="C5" xr:uid="{00000000-0002-0000-0000-000000000000}">
      <formula1>"Common Service Platform,Contract Management,Corporate Related,Customer Care / Call Center,Data Infrastructure,Fee Management,Insurance Claims and Benefits Payment Related,Marketing / Direct Business,New Contract Related,Sales / Insurance Recruitment,Stora"</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34"/>
  <sheetViews>
    <sheetView tabSelected="1" zoomScaleNormal="100" workbookViewId="0">
      <selection sqref="A1:J1"/>
    </sheetView>
  </sheetViews>
  <sheetFormatPr defaultColWidth="8.6328125" defaultRowHeight="14.5"/>
  <cols>
    <col min="1" max="1" width="2.453125" customWidth="1"/>
    <col min="2" max="2" width="46" customWidth="1"/>
    <col min="3" max="7" width="13" customWidth="1"/>
    <col min="8" max="8" width="3" customWidth="1"/>
    <col min="9" max="9" width="66" customWidth="1"/>
  </cols>
  <sheetData>
    <row r="1" spans="1:10" ht="25.5" customHeight="1">
      <c r="A1" s="59" t="s">
        <v>61</v>
      </c>
      <c r="B1" s="59"/>
      <c r="C1" s="59"/>
      <c r="D1" s="59"/>
      <c r="E1" s="59"/>
      <c r="F1" s="59"/>
      <c r="G1" s="59"/>
      <c r="H1" s="59"/>
      <c r="I1" s="59"/>
      <c r="J1" s="59"/>
    </row>
    <row r="2" spans="1:10" ht="15" customHeight="1">
      <c r="A2" s="60" t="s">
        <v>62</v>
      </c>
      <c r="B2" s="60"/>
      <c r="C2" s="60"/>
      <c r="D2" s="60"/>
      <c r="E2" s="60"/>
      <c r="F2" s="60"/>
      <c r="G2" s="60"/>
      <c r="H2" s="60"/>
      <c r="I2" s="60"/>
      <c r="J2" s="60"/>
    </row>
    <row r="4" spans="1:10" ht="15" customHeight="1">
      <c r="A4" s="63" t="s">
        <v>63</v>
      </c>
      <c r="B4" s="63"/>
      <c r="C4" s="63"/>
      <c r="D4" s="63"/>
      <c r="E4" s="63"/>
      <c r="F4" s="63"/>
      <c r="G4" s="63"/>
      <c r="H4" s="63"/>
      <c r="I4" s="63"/>
      <c r="J4" s="63"/>
    </row>
    <row r="5" spans="1:10" ht="25.5" customHeight="1">
      <c r="B5" s="7" t="s">
        <v>3</v>
      </c>
      <c r="C5" s="14" t="str">
        <f>'START HERE'!$C$5</f>
        <v>Fee Management</v>
      </c>
      <c r="I5" s="2" t="s">
        <v>64</v>
      </c>
    </row>
    <row r="6" spans="1:10" ht="25.5" customHeight="1">
      <c r="B6" s="7" t="s">
        <v>65</v>
      </c>
      <c r="C6" s="15">
        <f>SUMPRODUCT(--('Inventory v5'!$D$5:$D$146='START HERE'!$C$5))</f>
        <v>5</v>
      </c>
      <c r="I6" s="2" t="s">
        <v>66</v>
      </c>
    </row>
    <row r="7" spans="1:10" ht="25.5" customHeight="1">
      <c r="B7" s="16" t="s">
        <v>67</v>
      </c>
      <c r="C7" s="9">
        <f>SUMIFS('Inventory v5'!$J$5:$J$146,'Inventory v5'!$D$5:$D$146,'START HERE'!$C$5)</f>
        <v>48.510291666666731</v>
      </c>
      <c r="I7" s="2" t="s">
        <v>68</v>
      </c>
    </row>
    <row r="8" spans="1:10" ht="25.5" customHeight="1">
      <c r="B8" s="7" t="s">
        <v>14</v>
      </c>
      <c r="C8" s="17">
        <f>SUMIFS('Inventory v5'!$K$5:$K$146,'Inventory v5'!$D$5:$D$146,'START HERE'!$C$5)</f>
        <v>38.14779166666667</v>
      </c>
      <c r="I8" s="2" t="s">
        <v>69</v>
      </c>
    </row>
    <row r="9" spans="1:10" ht="25.5" customHeight="1">
      <c r="B9" s="7" t="s">
        <v>16</v>
      </c>
      <c r="C9" s="17">
        <f>SUMIFS('Inventory v5'!$L$5:$L$146,'Inventory v5'!$D$5:$D$146,'START HERE'!$C$5)</f>
        <v>9.7791666666666615</v>
      </c>
      <c r="I9" s="2" t="s">
        <v>70</v>
      </c>
    </row>
    <row r="10" spans="1:10" ht="25.5" customHeight="1">
      <c r="B10" s="7" t="s">
        <v>18</v>
      </c>
      <c r="C10" s="17">
        <f>SUMIFS('Inventory v5'!$M$5:$M$146,'Inventory v5'!$D$5:$D$146,'START HERE'!$C$5)</f>
        <v>0.58333333333333304</v>
      </c>
      <c r="I10" s="2" t="s">
        <v>71</v>
      </c>
    </row>
    <row r="11" spans="1:10" ht="25.5" customHeight="1">
      <c r="B11" s="7" t="s">
        <v>72</v>
      </c>
      <c r="C11" s="17">
        <f>SUMIFS('Inventory v5'!$N$5:$N$146,'Inventory v5'!$D$5:$D$146,'START HERE'!$C$5)</f>
        <v>36.231124999999999</v>
      </c>
      <c r="I11" s="2" t="s">
        <v>73</v>
      </c>
    </row>
    <row r="12" spans="1:10" ht="25.5" customHeight="1">
      <c r="B12" s="7" t="s">
        <v>74</v>
      </c>
      <c r="C12" s="17">
        <f>SUMIFS('Inventory v5'!$O$5:$O$146,'Inventory v5'!$D$5:$D$146,'START HERE'!$C$5)</f>
        <v>1.9166666666666701</v>
      </c>
      <c r="I12" s="2" t="s">
        <v>75</v>
      </c>
    </row>
    <row r="13" spans="1:10" ht="25.5" customHeight="1">
      <c r="B13" s="7" t="s">
        <v>76</v>
      </c>
      <c r="C13" s="17">
        <f>SUMIFS('Inventory v5'!$P$5:$P$146,'Inventory v5'!$D$5:$D$146,'START HERE'!$C$5)</f>
        <v>0</v>
      </c>
      <c r="I13" s="2" t="s">
        <v>77</v>
      </c>
    </row>
    <row r="14" spans="1:10" ht="25.5" customHeight="1">
      <c r="B14" s="7" t="s">
        <v>20</v>
      </c>
      <c r="C14" s="18">
        <f>SUMIFS('Inventory v5'!$AN$5:$AN$146,'Inventory v5'!$D$5:$D$146,'START HERE'!$C$5)</f>
        <v>1</v>
      </c>
      <c r="I14" s="2" t="s">
        <v>78</v>
      </c>
    </row>
    <row r="16" spans="1:10" ht="21.75" customHeight="1">
      <c r="B16" s="64" t="s">
        <v>79</v>
      </c>
      <c r="C16" s="64"/>
      <c r="D16" s="64"/>
      <c r="E16" s="64"/>
      <c r="F16" s="64"/>
      <c r="G16" s="64"/>
      <c r="H16" s="64"/>
    </row>
    <row r="18" spans="1:10" ht="15" customHeight="1">
      <c r="A18" s="63" t="s">
        <v>80</v>
      </c>
      <c r="B18" s="63"/>
      <c r="C18" s="63"/>
      <c r="D18" s="63"/>
      <c r="E18" s="63"/>
      <c r="F18" s="63"/>
      <c r="G18" s="63"/>
      <c r="H18" s="63"/>
      <c r="I18" s="63"/>
      <c r="J18" s="63"/>
    </row>
    <row r="19" spans="1:10" ht="22">
      <c r="B19" s="6" t="s">
        <v>81</v>
      </c>
      <c r="C19" s="6" t="s">
        <v>82</v>
      </c>
      <c r="D19" s="6" t="s">
        <v>83</v>
      </c>
      <c r="E19" s="6" t="s">
        <v>84</v>
      </c>
      <c r="F19" s="6"/>
      <c r="G19" s="6"/>
      <c r="H19" s="6"/>
      <c r="I19" s="6" t="s">
        <v>85</v>
      </c>
    </row>
    <row r="20" spans="1:10" ht="25.5" customHeight="1">
      <c r="B20" s="7" t="s">
        <v>86</v>
      </c>
      <c r="C20" s="17">
        <f>SUMIFS('Inventory v5'!$Q$5:$Q$146,'Inventory v5'!$D$5:$D$146,'START HERE'!$C$5)</f>
        <v>0</v>
      </c>
      <c r="D20" s="19">
        <f t="shared" ref="D20:D25" si="0">C20</f>
        <v>0</v>
      </c>
      <c r="E20" s="9">
        <f t="shared" ref="E20:E26" si="1">D20-C20</f>
        <v>0</v>
      </c>
      <c r="I20" s="2" t="s">
        <v>87</v>
      </c>
    </row>
    <row r="21" spans="1:10" ht="25.5" customHeight="1">
      <c r="B21" s="7" t="s">
        <v>88</v>
      </c>
      <c r="C21" s="17">
        <f>SUMIFS('Inventory v5'!$R$5:$R$146,'Inventory v5'!$D$5:$D$146,'START HERE'!$C$5)</f>
        <v>37.693624999999969</v>
      </c>
      <c r="D21" s="19">
        <f t="shared" si="0"/>
        <v>37.693624999999969</v>
      </c>
      <c r="E21" s="9">
        <f t="shared" si="1"/>
        <v>0</v>
      </c>
      <c r="I21" s="2" t="s">
        <v>89</v>
      </c>
    </row>
    <row r="22" spans="1:10" ht="25.5" customHeight="1">
      <c r="B22" s="7" t="s">
        <v>90</v>
      </c>
      <c r="C22" s="17">
        <f>SUMIFS('Inventory v5'!$S$5:$S$146,'Inventory v5'!$D$5:$D$146,'START HERE'!$C$5)</f>
        <v>0.25</v>
      </c>
      <c r="D22" s="19">
        <f t="shared" si="0"/>
        <v>0.25</v>
      </c>
      <c r="E22" s="9">
        <f t="shared" si="1"/>
        <v>0</v>
      </c>
      <c r="I22" s="2" t="s">
        <v>91</v>
      </c>
    </row>
    <row r="23" spans="1:10" ht="25.5" customHeight="1">
      <c r="B23" s="7" t="s">
        <v>92</v>
      </c>
      <c r="C23" s="17">
        <f>SUMIFS('Inventory v5'!$T$5:$T$146,'Inventory v5'!$D$5:$D$146,'START HERE'!$C$5)</f>
        <v>0</v>
      </c>
      <c r="D23" s="19">
        <f t="shared" si="0"/>
        <v>0</v>
      </c>
      <c r="E23" s="9">
        <f t="shared" si="1"/>
        <v>0</v>
      </c>
      <c r="I23" s="2" t="s">
        <v>93</v>
      </c>
    </row>
    <row r="24" spans="1:10" ht="25.5" customHeight="1">
      <c r="B24" s="7" t="s">
        <v>94</v>
      </c>
      <c r="C24" s="17">
        <f>SUMIFS('Inventory v5'!$U$5:$U$146,'Inventory v5'!$D$5:$D$146,'START HERE'!$C$5)</f>
        <v>0</v>
      </c>
      <c r="D24" s="19">
        <f t="shared" si="0"/>
        <v>0</v>
      </c>
      <c r="E24" s="9">
        <f t="shared" si="1"/>
        <v>0</v>
      </c>
      <c r="I24" s="2" t="s">
        <v>95</v>
      </c>
    </row>
    <row r="25" spans="1:10" ht="25.5" customHeight="1">
      <c r="B25" s="7" t="s">
        <v>96</v>
      </c>
      <c r="C25" s="17">
        <f>SUMIFS('Inventory v5'!$V$5:$V$146,'Inventory v5'!$D$5:$D$146,'START HERE'!$C$5)</f>
        <v>0</v>
      </c>
      <c r="D25" s="19">
        <f t="shared" si="0"/>
        <v>0</v>
      </c>
      <c r="E25" s="9">
        <f t="shared" si="1"/>
        <v>0</v>
      </c>
      <c r="I25" s="2" t="s">
        <v>97</v>
      </c>
    </row>
    <row r="26" spans="1:10" ht="24">
      <c r="B26" s="16" t="s">
        <v>98</v>
      </c>
      <c r="C26" s="9">
        <f>SUM(C20:C25)</f>
        <v>37.943624999999969</v>
      </c>
      <c r="D26" s="9">
        <f>SUM(D20:D25)</f>
        <v>37.943624999999969</v>
      </c>
      <c r="E26" s="20">
        <f t="shared" si="1"/>
        <v>0</v>
      </c>
    </row>
    <row r="27" spans="1:10">
      <c r="B27" s="7" t="s">
        <v>99</v>
      </c>
      <c r="C27" s="65" t="str">
        <f>IF(ABS(E26)&lt;0.005,"OK  —  arithmetically neutral","FAIL  —  the restatement changes the total")</f>
        <v>OK  —  arithmetically neutral</v>
      </c>
      <c r="D27" s="65"/>
      <c r="E27" s="65"/>
      <c r="F27" s="65"/>
      <c r="G27" s="65"/>
    </row>
    <row r="28" spans="1:10" ht="30" customHeight="1">
      <c r="B28" s="64" t="s">
        <v>100</v>
      </c>
      <c r="C28" s="64"/>
      <c r="D28" s="64"/>
      <c r="E28" s="64"/>
      <c r="F28" s="64"/>
      <c r="G28" s="64"/>
      <c r="H28" s="64"/>
    </row>
    <row r="30" spans="1:10" ht="15" customHeight="1">
      <c r="A30" s="63" t="s">
        <v>101</v>
      </c>
      <c r="B30" s="63"/>
      <c r="C30" s="63"/>
      <c r="D30" s="63"/>
      <c r="E30" s="63"/>
      <c r="F30" s="63"/>
      <c r="G30" s="63"/>
      <c r="H30" s="63"/>
      <c r="I30" s="63"/>
      <c r="J30" s="63"/>
    </row>
    <row r="31" spans="1:10">
      <c r="B31" s="6" t="s">
        <v>102</v>
      </c>
      <c r="C31" s="6" t="s">
        <v>103</v>
      </c>
      <c r="D31" s="6" t="s">
        <v>104</v>
      </c>
      <c r="E31" s="6" t="s">
        <v>105</v>
      </c>
      <c r="F31" s="6" t="s">
        <v>106</v>
      </c>
      <c r="G31" s="6" t="s">
        <v>107</v>
      </c>
      <c r="H31" s="6"/>
      <c r="I31" s="6" t="s">
        <v>85</v>
      </c>
    </row>
    <row r="32" spans="1:10">
      <c r="B32" s="14" t="s">
        <v>108</v>
      </c>
      <c r="C32" s="15">
        <f>SUMPRODUCT(--('Inventory v5'!$D$5:$D$146='START HERE'!$C$5),--('Inventory v5'!$G$5:$G$146="M"))</f>
        <v>0</v>
      </c>
      <c r="D32" s="17">
        <f>SUMIFS('Inventory v5'!$J$5:$J$146,'Inventory v5'!$D$5:$D$146,'START HERE'!$C$5,'Inventory v5'!$G$5:$G$146,"M")</f>
        <v>0</v>
      </c>
      <c r="E32" s="21">
        <f t="shared" ref="E32:E37" si="2">IF($C$7=0,0,D32/$C$7)</f>
        <v>0</v>
      </c>
      <c r="F32" s="22">
        <f>'Rates &amp; Tables'!$I$6</f>
        <v>0.45250000000000001</v>
      </c>
      <c r="G32" s="23">
        <f>'Rates &amp; Tables'!$C$27</f>
        <v>0.85</v>
      </c>
    </row>
    <row r="33" spans="1:10">
      <c r="B33" s="14" t="s">
        <v>109</v>
      </c>
      <c r="C33" s="15">
        <f>SUMPRODUCT(--('Inventory v5'!$D$5:$D$146='START HERE'!$C$5),--('Inventory v5'!$G$5:$G$146="L"))</f>
        <v>0</v>
      </c>
      <c r="D33" s="17">
        <f>SUMIFS('Inventory v5'!$J$5:$J$146,'Inventory v5'!$D$5:$D$146,'START HERE'!$C$5,'Inventory v5'!$G$5:$G$146,"L")</f>
        <v>0</v>
      </c>
      <c r="E33" s="21">
        <f t="shared" si="2"/>
        <v>0</v>
      </c>
      <c r="F33" s="22">
        <f>'Rates &amp; Tables'!$I$7</f>
        <v>0.29500000000000004</v>
      </c>
      <c r="G33" s="23">
        <f>'Rates &amp; Tables'!$C$28</f>
        <v>0.45</v>
      </c>
    </row>
    <row r="34" spans="1:10">
      <c r="B34" s="14" t="s">
        <v>110</v>
      </c>
      <c r="C34" s="15">
        <f>SUMPRODUCT(--('Inventory v5'!$D$5:$D$146='START HERE'!$C$5),--('Inventory v5'!$G$5:$G$146="D"))</f>
        <v>0</v>
      </c>
      <c r="D34" s="17">
        <f>SUMIFS('Inventory v5'!$J$5:$J$146,'Inventory v5'!$D$5:$D$146,'START HERE'!$C$5,'Inventory v5'!$G$5:$G$146,"D")</f>
        <v>0</v>
      </c>
      <c r="E34" s="21">
        <f t="shared" si="2"/>
        <v>0</v>
      </c>
      <c r="F34" s="22">
        <f>'Rates &amp; Tables'!$I$8</f>
        <v>0.48249999999999998</v>
      </c>
      <c r="G34" s="23">
        <f>'Rates &amp; Tables'!$C$29</f>
        <v>0.78</v>
      </c>
    </row>
    <row r="35" spans="1:10">
      <c r="B35" s="14" t="s">
        <v>111</v>
      </c>
      <c r="C35" s="15">
        <f>SUMPRODUCT(--('Inventory v5'!$D$5:$D$146='START HERE'!$C$5),--('Inventory v5'!$G$5:$G$146="P"))</f>
        <v>2</v>
      </c>
      <c r="D35" s="17">
        <f>SUMIFS('Inventory v5'!$J$5:$J$146,'Inventory v5'!$D$5:$D$146,'START HERE'!$C$5,'Inventory v5'!$G$5:$G$146,"P")</f>
        <v>45.551958333333403</v>
      </c>
      <c r="E35" s="21">
        <f t="shared" si="2"/>
        <v>0.93901637710898134</v>
      </c>
      <c r="F35" s="22">
        <f>'Rates &amp; Tables'!$I$9</f>
        <v>0.48249999999999998</v>
      </c>
      <c r="G35" s="23">
        <f>'Rates &amp; Tables'!$C$30</f>
        <v>0.78</v>
      </c>
    </row>
    <row r="36" spans="1:10">
      <c r="B36" s="14" t="s">
        <v>112</v>
      </c>
      <c r="C36" s="15">
        <f>SUMPRODUCT(--('Inventory v5'!$D$5:$D$146='START HERE'!$C$5),--('Inventory v5'!$G$5:$G$146="J"))</f>
        <v>0</v>
      </c>
      <c r="D36" s="17">
        <f>SUMIFS('Inventory v5'!$J$5:$J$146,'Inventory v5'!$D$5:$D$146,'START HERE'!$C$5,'Inventory v5'!$G$5:$G$146,"J")</f>
        <v>0</v>
      </c>
      <c r="E36" s="21">
        <f t="shared" si="2"/>
        <v>0</v>
      </c>
      <c r="F36" s="22">
        <f>'Rates &amp; Tables'!$I$10</f>
        <v>0.30399999999999999</v>
      </c>
      <c r="G36" s="23">
        <f>'Rates &amp; Tables'!$C$31</f>
        <v>0.12</v>
      </c>
    </row>
    <row r="37" spans="1:10">
      <c r="B37" s="14" t="s">
        <v>113</v>
      </c>
      <c r="C37" s="15">
        <f>SUMPRODUCT(--('Inventory v5'!$D$5:$D$146='START HERE'!$C$5),--('Inventory v5'!$G$5:$G$146="T"))</f>
        <v>3</v>
      </c>
      <c r="D37" s="17">
        <f>SUMIFS('Inventory v5'!$J$5:$J$146,'Inventory v5'!$D$5:$D$146,'START HERE'!$C$5,'Inventory v5'!$G$5:$G$146,"T")</f>
        <v>2.9583333333333299</v>
      </c>
      <c r="E37" s="21">
        <f t="shared" si="2"/>
        <v>6.0983622891018677E-2</v>
      </c>
      <c r="F37" s="22">
        <f>'Rates &amp; Tables'!$I$11</f>
        <v>0.39</v>
      </c>
      <c r="G37" s="23">
        <f>'Rates &amp; Tables'!$C$32</f>
        <v>0.55000000000000004</v>
      </c>
    </row>
    <row r="38" spans="1:10" ht="22">
      <c r="B38" s="16" t="s">
        <v>114</v>
      </c>
      <c r="C38" s="24">
        <f>IF($C$7=0,0,SUMPRODUCT($D$32:$D$37,$F$32:$F$37)/$C$7)</f>
        <v>0.47685901488258076</v>
      </c>
      <c r="I38" s="2" t="s">
        <v>115</v>
      </c>
    </row>
    <row r="39" spans="1:10" ht="22">
      <c r="B39" s="16" t="s">
        <v>116</v>
      </c>
      <c r="C39" s="24">
        <f>IF($C$7=0,0,SUMPRODUCT($D$32:$D$37,$G$32:$G$37)/$C$7)</f>
        <v>0.76597376673506579</v>
      </c>
      <c r="I39" s="2" t="s">
        <v>117</v>
      </c>
    </row>
    <row r="41" spans="1:10" ht="15" customHeight="1">
      <c r="A41" s="63" t="s">
        <v>118</v>
      </c>
      <c r="B41" s="63"/>
      <c r="C41" s="63"/>
      <c r="D41" s="63"/>
      <c r="E41" s="63"/>
      <c r="F41" s="63"/>
      <c r="G41" s="63"/>
      <c r="H41" s="63"/>
      <c r="I41" s="63"/>
      <c r="J41" s="63"/>
    </row>
    <row r="42" spans="1:10">
      <c r="B42" s="6" t="s">
        <v>119</v>
      </c>
      <c r="C42" s="6" t="s">
        <v>120</v>
      </c>
      <c r="D42" s="6" t="s">
        <v>121</v>
      </c>
      <c r="E42" s="6" t="s">
        <v>122</v>
      </c>
      <c r="F42" s="6" t="s">
        <v>123</v>
      </c>
      <c r="G42" s="6" t="s">
        <v>124</v>
      </c>
      <c r="H42" s="6"/>
      <c r="I42" s="6" t="s">
        <v>125</v>
      </c>
    </row>
    <row r="43" spans="1:10" ht="25.5" customHeight="1">
      <c r="B43" s="7" t="s">
        <v>126</v>
      </c>
      <c r="C43" s="21">
        <f>'Value Streams &amp; Delivery Mode'!D33</f>
        <v>1</v>
      </c>
      <c r="D43" s="21">
        <f>'Value Streams &amp; Delivery Mode'!E33</f>
        <v>1</v>
      </c>
      <c r="E43" s="21">
        <f>'Value Streams &amp; Delivery Mode'!F33</f>
        <v>1</v>
      </c>
      <c r="F43" s="21">
        <f>'Value Streams &amp; Delivery Mode'!G33</f>
        <v>1</v>
      </c>
      <c r="G43" s="21">
        <f>'Value Streams &amp; Delivery Mode'!H33</f>
        <v>1</v>
      </c>
      <c r="I43" s="2" t="s">
        <v>127</v>
      </c>
    </row>
    <row r="44" spans="1:10" ht="25.5" customHeight="1">
      <c r="B44" s="7" t="s">
        <v>128</v>
      </c>
      <c r="C44" s="22">
        <f>'Rates &amp; Tables'!C47*C43</f>
        <v>0.03</v>
      </c>
      <c r="D44" s="22">
        <f>'Rates &amp; Tables'!D47*D43</f>
        <v>0.06</v>
      </c>
      <c r="E44" s="22">
        <f>'Rates &amp; Tables'!E47*E43</f>
        <v>0.08</v>
      </c>
      <c r="F44" s="22">
        <f>'Rates &amp; Tables'!F47*F43</f>
        <v>0.1</v>
      </c>
      <c r="G44" s="22">
        <f>'Rates &amp; Tables'!G47*G43</f>
        <v>0.12</v>
      </c>
      <c r="I44" s="2" t="s">
        <v>129</v>
      </c>
    </row>
    <row r="45" spans="1:10" ht="25.5" customHeight="1">
      <c r="B45" s="7" t="s">
        <v>130</v>
      </c>
      <c r="C45" s="22">
        <f>1-(1-$C$38*'Rates &amp; Tables'!C45)*(1-'Rates &amp; Tables'!C46)*(1-C44)</f>
        <v>0.16272554488684532</v>
      </c>
      <c r="D45" s="22">
        <f>1-(1-$C$38*'Rates &amp; Tables'!D45)*(1-'Rates &amp; Tables'!D46)*(1-D44)</f>
        <v>0.34120930515957959</v>
      </c>
      <c r="E45" s="22">
        <f>1-(1-$C$38*'Rates &amp; Tables'!E45)*(1-'Rates &amp; Tables'!E46)*(1-E44)</f>
        <v>0.45040042985015205</v>
      </c>
      <c r="F45" s="22">
        <f>1-(1-$C$38*'Rates &amp; Tables'!F45)*(1-'Rates &amp; Tables'!F46)*(1-F44)</f>
        <v>0.51296540321050854</v>
      </c>
      <c r="G45" s="22">
        <f>1-(1-$C$38*'Rates &amp; Tables'!G45)*(1-'Rates &amp; Tables'!G46)*(1-G44)</f>
        <v>0.55292838241043352</v>
      </c>
      <c r="I45" s="2" t="s">
        <v>131</v>
      </c>
    </row>
    <row r="46" spans="1:10" ht="25.5" customHeight="1">
      <c r="B46" s="7" t="s">
        <v>132</v>
      </c>
      <c r="C46" s="22">
        <f>0</f>
        <v>0</v>
      </c>
      <c r="D46" s="22">
        <f>C45+'Rates &amp; Tables'!$C$51*(D45-C45)</f>
        <v>0.25196742502321245</v>
      </c>
      <c r="E46" s="22">
        <f>D45+'Rates &amp; Tables'!$C$51*(E45-D45)</f>
        <v>0.39580486750486582</v>
      </c>
      <c r="F46" s="22">
        <f>E45+'Rates &amp; Tables'!$C$51*(F45-E45)</f>
        <v>0.4816829165303303</v>
      </c>
      <c r="G46" s="22">
        <f>F45+'Rates &amp; Tables'!$C$51*(G45-F45)</f>
        <v>0.53294689281047103</v>
      </c>
      <c r="I46" s="2" t="s">
        <v>133</v>
      </c>
    </row>
    <row r="47" spans="1:10" ht="25.5" customHeight="1">
      <c r="B47" s="7" t="s">
        <v>134</v>
      </c>
      <c r="C47" s="18">
        <f>$C$7*(1-C46)</f>
        <v>48.510291666666731</v>
      </c>
      <c r="D47" s="18">
        <f>$C$7*(1-D46)</f>
        <v>36.28727838829171</v>
      </c>
      <c r="E47" s="18">
        <f>$C$7*(1-E46)</f>
        <v>29.309682100919311</v>
      </c>
      <c r="F47" s="18">
        <f>$C$7*(1-F46)</f>
        <v>25.143712894929724</v>
      </c>
      <c r="G47" s="18">
        <f>$C$7*(1-G46)</f>
        <v>22.656882453587009</v>
      </c>
      <c r="I47" s="2" t="s">
        <v>135</v>
      </c>
    </row>
    <row r="48" spans="1:10" ht="25.5" customHeight="1">
      <c r="B48" s="7" t="s">
        <v>136</v>
      </c>
      <c r="C48" s="21">
        <f>IF(C47=0,0,C57/C47)</f>
        <v>0</v>
      </c>
      <c r="D48" s="21">
        <f>IF(D47=0,0,D57/D47)</f>
        <v>0</v>
      </c>
      <c r="E48" s="21">
        <f>IF(E47=0,0,E57/E47)</f>
        <v>0</v>
      </c>
      <c r="F48" s="21">
        <f>IF(F47=0,0,F57/F47)</f>
        <v>0</v>
      </c>
      <c r="G48" s="21">
        <f>IF(G47=0,0,G57/G47)</f>
        <v>0</v>
      </c>
      <c r="I48" s="2" t="s">
        <v>137</v>
      </c>
    </row>
    <row r="49" spans="1:10" ht="25.5" customHeight="1">
      <c r="B49" s="7" t="s">
        <v>138</v>
      </c>
      <c r="C49" s="22">
        <f>'Rates &amp; Tables'!C47*C43*(1-'Rates &amp; Tables'!$C$52*C48)</f>
        <v>0.03</v>
      </c>
      <c r="D49" s="22">
        <f>'Rates &amp; Tables'!D47*D43*(1-'Rates &amp; Tables'!$C$52*D48)</f>
        <v>0.06</v>
      </c>
      <c r="E49" s="22">
        <f>'Rates &amp; Tables'!E47*E43*(1-'Rates &amp; Tables'!$C$52*E48)</f>
        <v>0.08</v>
      </c>
      <c r="F49" s="22">
        <f>'Rates &amp; Tables'!F47*F43*(1-'Rates &amp; Tables'!$C$52*F48)</f>
        <v>0.1</v>
      </c>
      <c r="G49" s="22">
        <f>'Rates &amp; Tables'!G47*G43*(1-'Rates &amp; Tables'!$C$52*G48)</f>
        <v>0.12</v>
      </c>
      <c r="I49" s="2" t="s">
        <v>139</v>
      </c>
    </row>
    <row r="50" spans="1:10" ht="25.5" customHeight="1">
      <c r="B50" s="16" t="s">
        <v>140</v>
      </c>
      <c r="C50" s="24">
        <f>1-(1-$C$38*'Rates &amp; Tables'!C45)*(1-'Rates &amp; Tables'!C46)*(1-C49)</f>
        <v>0.16272554488684532</v>
      </c>
      <c r="D50" s="24">
        <f>1-(1-$C$38*'Rates &amp; Tables'!D45)*(1-'Rates &amp; Tables'!D46)*(1-D49)</f>
        <v>0.34120930515957959</v>
      </c>
      <c r="E50" s="24">
        <f>1-(1-$C$38*'Rates &amp; Tables'!E45)*(1-'Rates &amp; Tables'!E46)*(1-E49)</f>
        <v>0.45040042985015205</v>
      </c>
      <c r="F50" s="24">
        <f>1-(1-$C$38*'Rates &amp; Tables'!F45)*(1-'Rates &amp; Tables'!F46)*(1-F49)</f>
        <v>0.51296540321050854</v>
      </c>
      <c r="G50" s="24">
        <f>1-(1-$C$38*'Rates &amp; Tables'!G45)*(1-'Rates &amp; Tables'!G46)*(1-G49)</f>
        <v>0.55292838241043352</v>
      </c>
      <c r="I50" s="2" t="s">
        <v>141</v>
      </c>
    </row>
    <row r="51" spans="1:10" ht="25.5" customHeight="1">
      <c r="B51" s="16" t="s">
        <v>142</v>
      </c>
      <c r="C51" s="24">
        <f>0</f>
        <v>0</v>
      </c>
      <c r="D51" s="24">
        <f>C50+'Rates &amp; Tables'!$C$51*(D50-C50)</f>
        <v>0.25196742502321245</v>
      </c>
      <c r="E51" s="24">
        <f>D50+'Rates &amp; Tables'!$C$51*(E50-D50)</f>
        <v>0.39580486750486582</v>
      </c>
      <c r="F51" s="24">
        <f>E50+'Rates &amp; Tables'!$C$51*(F50-E50)</f>
        <v>0.4816829165303303</v>
      </c>
      <c r="G51" s="24">
        <f>F50+'Rates &amp; Tables'!$C$51*(G50-F50)</f>
        <v>0.53294689281047103</v>
      </c>
      <c r="I51" s="2" t="s">
        <v>143</v>
      </c>
    </row>
    <row r="52" spans="1:10" ht="25.5" customHeight="1">
      <c r="B52" s="16" t="s">
        <v>144</v>
      </c>
      <c r="C52" s="10">
        <f>$C$7*(1-C51)</f>
        <v>48.510291666666731</v>
      </c>
      <c r="D52" s="10">
        <f>$C$7*(1-D51)</f>
        <v>36.28727838829171</v>
      </c>
      <c r="E52" s="10">
        <f>$C$7*(1-E51)</f>
        <v>29.309682100919311</v>
      </c>
      <c r="F52" s="10">
        <f>$C$7*(1-F51)</f>
        <v>25.143712894929724</v>
      </c>
      <c r="G52" s="10">
        <f>$C$7*(1-G51)</f>
        <v>22.656882453587009</v>
      </c>
      <c r="I52" s="2" t="s">
        <v>145</v>
      </c>
    </row>
    <row r="54" spans="1:10" ht="15" customHeight="1">
      <c r="A54" s="63" t="s">
        <v>146</v>
      </c>
      <c r="B54" s="63"/>
      <c r="C54" s="63"/>
      <c r="D54" s="63"/>
      <c r="E54" s="63"/>
      <c r="F54" s="63"/>
      <c r="G54" s="63"/>
      <c r="H54" s="63"/>
      <c r="I54" s="63"/>
      <c r="J54" s="63"/>
    </row>
    <row r="55" spans="1:10">
      <c r="B55" s="6" t="s">
        <v>7</v>
      </c>
      <c r="C55" s="6" t="s">
        <v>147</v>
      </c>
      <c r="D55" s="6" t="s">
        <v>121</v>
      </c>
      <c r="E55" s="6" t="s">
        <v>122</v>
      </c>
      <c r="F55" s="6" t="s">
        <v>123</v>
      </c>
      <c r="G55" s="6" t="s">
        <v>124</v>
      </c>
      <c r="H55" s="6"/>
      <c r="I55" s="6" t="s">
        <v>125</v>
      </c>
    </row>
    <row r="56" spans="1:10" ht="187">
      <c r="B56" s="7" t="s">
        <v>148</v>
      </c>
      <c r="C56" s="17">
        <f>IF($D$56="none",0,IF($D$56="all named",SUMIFS('Inventory v5'!$K$5:$K$146,'Inventory v5'!$D$5:$D$146,'START HERE'!$C$5)-SUMIFS('Inventory v5'!$K$5:$K$146,'Inventory v5'!$D$5:$D$146,'START HERE'!$C$5,'Inventory v5'!$F$5:$F$146,"CG")-SUMIFS('Inventory v5'!$K$5:$K$146,'Inventory v5'!$D$5:$D$146,'START HERE'!$C$5,'Inventory v5'!$F$5:$F$146,"unnamed"),SUMIFS('Inventory v5'!$K$5:$K$146,'Inventory v5'!$D$5:$D$146,'START HERE'!$C$5,'Inventory v5'!$F$5:$F$146,$D$56)))</f>
        <v>0</v>
      </c>
      <c r="D56" s="25" t="s">
        <v>149</v>
      </c>
      <c r="I56" s="26" t="str">
        <f>"FSI "&amp;TEXT(SUMIFS('Inventory v5'!$K$5:$K$146,'Inventory v5'!$D$5:$D$146,'START HERE'!$C$5,'Inventory v5'!$F$5:$F$146,"FSI"),"0.0")&amp;"  ·  NCD "&amp;TEXT(SUMIFS('Inventory v5'!$K$5:$K$146,'Inventory v5'!$D$5:$D$146,'START HERE'!$C$5,'Inventory v5'!$F$5:$F$146,"NCD"),"0.0")&amp;"  ·  NCS "&amp;TEXT(SUMIFS('Inventory v5'!$K$5:$K$146,'Inventory v5'!$D$5:$D$146,'START HERE'!$C$5,'Inventory v5'!$F$5:$F$146,"NCS"),"0.0")&amp;"  ·  Capgemini "&amp;TEXT(SUMIFS('Inventory v5'!$K$5:$K$146,'Inventory v5'!$D$5:$D$146,'START HERE'!$C$5,'Inventory v5'!$F$5:$F$146,"CG"),"0.0")&amp;"  ·  no named vendor "&amp;TEXT(SUMIFS('Inventory v5'!$K$5:$K$146,'Inventory v5'!$D$5:$D$146,'START HERE'!$C$5,'Inventory v5'!$F$5:$F$146,"unnamed"),"0.0")</f>
        <v>FSI 0.0  ·  NCD 0.0  ·  NCS 0.0  ·  Capgemini 0.0  ·  no named vendor 38.1</v>
      </c>
      <c r="J56" s="2" t="s">
        <v>150</v>
      </c>
    </row>
    <row r="57" spans="1:10" ht="39.75" customHeight="1">
      <c r="B57" s="12" t="s">
        <v>151</v>
      </c>
      <c r="C57" s="27">
        <f>$C$56</f>
        <v>0</v>
      </c>
      <c r="D57" s="27">
        <f>IF($C$47=0,0,ROUND($C$56*D47/$C$47,1))</f>
        <v>0</v>
      </c>
      <c r="E57" s="27">
        <f>IF($C$47=0,0,ROUND($C$56*E47/$C$47,1))</f>
        <v>0</v>
      </c>
      <c r="F57" s="27">
        <f>IF($C$47=0,0,ROUND($C$56*F47/$C$47,1))</f>
        <v>0</v>
      </c>
      <c r="G57" s="27">
        <f>IF($C$47=0,0,ROUND($C$56*G47/$C$47,1))</f>
        <v>0</v>
      </c>
      <c r="I57" s="2" t="s">
        <v>152</v>
      </c>
      <c r="J57" s="2" t="s">
        <v>153</v>
      </c>
    </row>
    <row r="58" spans="1:10">
      <c r="B58" s="13" t="s">
        <v>154</v>
      </c>
      <c r="C58" s="21">
        <f>1-'Rates &amp; Tables'!$C$52*C48</f>
        <v>1</v>
      </c>
      <c r="D58" s="21">
        <f>1-'Rates &amp; Tables'!$C$52*D48</f>
        <v>1</v>
      </c>
      <c r="E58" s="21">
        <f>1-'Rates &amp; Tables'!$C$52*E48</f>
        <v>1</v>
      </c>
      <c r="F58" s="21">
        <f>1-'Rates &amp; Tables'!$C$52*F48</f>
        <v>1</v>
      </c>
      <c r="G58" s="21">
        <f>1-'Rates &amp; Tables'!$C$52*G48</f>
        <v>1</v>
      </c>
    </row>
    <row r="59" spans="1:10" ht="25.5" customHeight="1">
      <c r="B59" s="64" t="s">
        <v>155</v>
      </c>
      <c r="C59" s="64"/>
      <c r="D59" s="64"/>
      <c r="E59" s="64"/>
      <c r="F59" s="64"/>
      <c r="G59" s="64"/>
      <c r="H59" s="64"/>
    </row>
    <row r="61" spans="1:10" ht="15" customHeight="1">
      <c r="A61" s="63" t="s">
        <v>156</v>
      </c>
      <c r="B61" s="63"/>
      <c r="C61" s="63"/>
      <c r="D61" s="63"/>
      <c r="E61" s="63"/>
      <c r="F61" s="63"/>
      <c r="G61" s="63"/>
      <c r="H61" s="63"/>
      <c r="I61" s="63"/>
      <c r="J61" s="63"/>
    </row>
    <row r="62" spans="1:10" ht="22">
      <c r="B62" s="6" t="s">
        <v>157</v>
      </c>
      <c r="C62" s="6" t="s">
        <v>158</v>
      </c>
      <c r="D62" s="6" t="s">
        <v>159</v>
      </c>
      <c r="E62" s="6" t="s">
        <v>160</v>
      </c>
      <c r="F62" s="6"/>
      <c r="G62" s="6"/>
      <c r="H62" s="6"/>
      <c r="I62" s="6"/>
      <c r="J62" s="6" t="s">
        <v>161</v>
      </c>
    </row>
    <row r="63" spans="1:10" ht="27.75" customHeight="1">
      <c r="B63" s="14" t="s">
        <v>162</v>
      </c>
      <c r="C63" s="17">
        <f>$C$8-$C$57</f>
        <v>38.14779166666667</v>
      </c>
      <c r="D63" s="22">
        <f>'Role x Sourcing'!$D$40</f>
        <v>0.4890509150815936</v>
      </c>
      <c r="E63" s="23">
        <f>'Rates &amp; Tables'!$C$36</f>
        <v>1</v>
      </c>
      <c r="I63" s="2" t="s">
        <v>163</v>
      </c>
    </row>
    <row r="64" spans="1:10" ht="27.75" customHeight="1">
      <c r="B64" s="14" t="s">
        <v>164</v>
      </c>
      <c r="C64" s="17">
        <f>$C$57</f>
        <v>0</v>
      </c>
      <c r="D64" s="22">
        <f>'Role x Sourcing'!$D$41</f>
        <v>0.48927397046760701</v>
      </c>
      <c r="E64" s="23">
        <f>'Rates &amp; Tables'!$C$37</f>
        <v>0.85</v>
      </c>
      <c r="I64" s="2" t="s">
        <v>165</v>
      </c>
    </row>
    <row r="65" spans="2:9" ht="27.75" customHeight="1">
      <c r="B65" s="14" t="s">
        <v>166</v>
      </c>
      <c r="C65" s="17">
        <f>$C$9</f>
        <v>9.7791666666666615</v>
      </c>
      <c r="D65" s="22">
        <f>'Role x Sourcing'!$D$42</f>
        <v>0.38131315762849299</v>
      </c>
      <c r="E65" s="23">
        <f>'Rates &amp; Tables'!$C$38</f>
        <v>0.55000000000000004</v>
      </c>
      <c r="I65" s="2" t="s">
        <v>167</v>
      </c>
    </row>
    <row r="66" spans="2:9" ht="27.75" customHeight="1">
      <c r="B66" s="14" t="s">
        <v>168</v>
      </c>
      <c r="C66" s="17">
        <f>$C$10</f>
        <v>0.58333333333333304</v>
      </c>
      <c r="D66" s="22">
        <f>'Role x Sourcing'!$D$43</f>
        <v>0.5156236389176867</v>
      </c>
      <c r="E66" s="23">
        <f>'Rates &amp; Tables'!$C$39</f>
        <v>0.8</v>
      </c>
      <c r="I66" s="2" t="s">
        <v>169</v>
      </c>
    </row>
    <row r="67" spans="2:9">
      <c r="B67" s="16" t="s">
        <v>170</v>
      </c>
      <c r="C67" s="9">
        <f>SUM(C63:C66)</f>
        <v>48.510291666666667</v>
      </c>
    </row>
    <row r="68" spans="2:9" ht="42" customHeight="1">
      <c r="B68" s="7" t="s">
        <v>171</v>
      </c>
      <c r="C68" s="11">
        <f>IF($C$7=0,0,(C63+C64)/$C$7)</f>
        <v>0.78638553502821895</v>
      </c>
      <c r="D68" s="28">
        <f>IF(C68&gt;='Rates &amp; Tables'!$C$55,1,0)</f>
        <v>1</v>
      </c>
      <c r="I68" s="2" t="s">
        <v>172</v>
      </c>
    </row>
    <row r="70" spans="2:9">
      <c r="B70" s="6" t="s">
        <v>173</v>
      </c>
      <c r="C70" s="6" t="s">
        <v>120</v>
      </c>
      <c r="D70" s="6" t="s">
        <v>121</v>
      </c>
      <c r="E70" s="6" t="s">
        <v>122</v>
      </c>
      <c r="F70" s="6" t="s">
        <v>123</v>
      </c>
      <c r="G70" s="6" t="s">
        <v>124</v>
      </c>
    </row>
    <row r="71" spans="2:9">
      <c r="B71" s="14" t="s">
        <v>162</v>
      </c>
      <c r="C71" s="22">
        <f>1-(1-$D$63*'Rates &amp; Tables'!C45*$E$63)*(1-'Rates &amp; Tables'!C46)*(1-C49)</f>
        <v>0.16562294996914062</v>
      </c>
      <c r="D71" s="22">
        <f>1-(1-$D$63*'Rates &amp; Tables'!D45*$E$63)*(1-'Rates &amp; Tables'!D46)*(1-D49)</f>
        <v>0.34719735694232479</v>
      </c>
      <c r="E71" s="22">
        <f>1-(1-$D$63*'Rates &amp; Tables'!E45*$E$63)*(1-'Rates &amp; Tables'!E46)*(1-E49)</f>
        <v>0.45822397220785871</v>
      </c>
      <c r="F71" s="22">
        <f>1-(1-$D$63*'Rates &amp; Tables'!F45*$E$63)*(1-'Rates &amp; Tables'!F46)*(1-F49)</f>
        <v>0.52145279453405124</v>
      </c>
      <c r="G71" s="22">
        <f>1-(1-$D$63*'Rates &amp; Tables'!G45*$E$63)*(1-'Rates &amp; Tables'!G46)*(1-G49)</f>
        <v>0.56152220902271366</v>
      </c>
    </row>
    <row r="72" spans="2:9">
      <c r="B72" s="14" t="s">
        <v>164</v>
      </c>
      <c r="C72" s="22">
        <f>1-(1-$D$64*'Rates &amp; Tables'!C45*$E$64)*(1-'Rates &amp; Tables'!C46)*(1-C49)</f>
        <v>0.14823456521938283</v>
      </c>
      <c r="D72" s="22">
        <f>1-(1-$D$64*'Rates &amp; Tables'!D45*$E$64)*(1-'Rates &amp; Tables'!D46)*(1-D49)</f>
        <v>0.31126087400589042</v>
      </c>
      <c r="E72" s="22">
        <f>1-(1-$D$64*'Rates &amp; Tables'!E45*$E$64)*(1-'Rates &amp; Tables'!E46)*(1-E49)</f>
        <v>0.41127204082170399</v>
      </c>
      <c r="F72" s="22">
        <f>1-(1-$D$64*'Rates &amp; Tables'!F45*$E$64)*(1-'Rates &amp; Tables'!F46)*(1-F49)</f>
        <v>0.47051686335987086</v>
      </c>
      <c r="G72" s="22">
        <f>1-(1-$D$64*'Rates &amp; Tables'!G45*$E$64)*(1-'Rates &amp; Tables'!G46)*(1-G49)</f>
        <v>0.50994752085772577</v>
      </c>
    </row>
    <row r="73" spans="2:9">
      <c r="B73" s="14" t="s">
        <v>166</v>
      </c>
      <c r="C73" s="22">
        <f>1-(1-$D$65*'Rates &amp; Tables'!C45*$E$65)*(1-'Rates &amp; Tables'!C46)*(1-C49)</f>
        <v>9.9240489550726396E-2</v>
      </c>
      <c r="D73" s="22">
        <f>1-(1-$D$65*'Rates &amp; Tables'!D45*$E$65)*(1-'Rates &amp; Tables'!D46)*(1-D49)</f>
        <v>0.21000507655307898</v>
      </c>
      <c r="E73" s="22">
        <f>1-(1-$D$65*'Rates &amp; Tables'!E45*$E$65)*(1-'Rates &amp; Tables'!E46)*(1-E49)</f>
        <v>0.27897875928761229</v>
      </c>
      <c r="F73" s="22">
        <f>1-(1-$D$65*'Rates &amp; Tables'!F45*$E$65)*(1-'Rates &amp; Tables'!F46)*(1-F49)</f>
        <v>0.32699813507569142</v>
      </c>
      <c r="G73" s="22">
        <f>1-(1-$D$65*'Rates &amp; Tables'!G45*$E$65)*(1-'Rates &amp; Tables'!G46)*(1-G49)</f>
        <v>0.36462901020204475</v>
      </c>
    </row>
    <row r="74" spans="2:9">
      <c r="B74" s="14" t="s">
        <v>168</v>
      </c>
      <c r="C74" s="22">
        <f>1-(1-$D$66*'Rates &amp; Tables'!C45*$E$66)*(1-'Rates &amp; Tables'!C46)*(1-C49)</f>
        <v>0.14743036623103056</v>
      </c>
      <c r="D74" s="22">
        <f>1-(1-$D$66*'Rates &amp; Tables'!D45*$E$66)*(1-'Rates &amp; Tables'!D46)*(1-D49)</f>
        <v>0.30959884020353756</v>
      </c>
      <c r="E74" s="22">
        <f>1-(1-$D$66*'Rates &amp; Tables'!E45*$E$66)*(1-'Rates &amp; Tables'!E46)*(1-E49)</f>
        <v>0.40910055127478362</v>
      </c>
      <c r="F74" s="22">
        <f>1-(1-$D$66*'Rates &amp; Tables'!F45*$E$66)*(1-'Rates &amp; Tables'!F46)*(1-F49)</f>
        <v>0.46816111698603802</v>
      </c>
      <c r="G74" s="22">
        <f>1-(1-$D$66*'Rates &amp; Tables'!G45*$E$66)*(1-'Rates &amp; Tables'!G46)*(1-G49)</f>
        <v>0.50756223248023924</v>
      </c>
    </row>
    <row r="76" spans="2:9">
      <c r="B76" s="6" t="s">
        <v>174</v>
      </c>
      <c r="C76" s="6" t="s">
        <v>120</v>
      </c>
      <c r="D76" s="6" t="s">
        <v>121</v>
      </c>
      <c r="E76" s="6" t="s">
        <v>122</v>
      </c>
      <c r="F76" s="6" t="s">
        <v>123</v>
      </c>
      <c r="G76" s="6" t="s">
        <v>124</v>
      </c>
    </row>
    <row r="77" spans="2:9">
      <c r="B77" s="14" t="s">
        <v>162</v>
      </c>
      <c r="C77" s="22">
        <f>0</f>
        <v>0</v>
      </c>
      <c r="D77" s="22">
        <f>C71+'Rates &amp; Tables'!$C$51*(D71-C71)</f>
        <v>0.2564101534557327</v>
      </c>
      <c r="E77" s="22">
        <f>D71+'Rates &amp; Tables'!$C$51*(E71-D71)</f>
        <v>0.40271066457509175</v>
      </c>
      <c r="F77" s="22">
        <f>E71+'Rates &amp; Tables'!$C$51*(F71-E71)</f>
        <v>0.48983838337095498</v>
      </c>
      <c r="G77" s="22">
        <f>F71+'Rates &amp; Tables'!$C$51*(G71-F71)</f>
        <v>0.54148750177838245</v>
      </c>
    </row>
    <row r="78" spans="2:9">
      <c r="B78" s="14" t="s">
        <v>164</v>
      </c>
      <c r="C78" s="22">
        <f>0</f>
        <v>0</v>
      </c>
      <c r="D78" s="22">
        <f>C72+'Rates &amp; Tables'!$C$51*(D72-C72)</f>
        <v>0.22974771961263663</v>
      </c>
      <c r="E78" s="22">
        <f>D72+'Rates &amp; Tables'!$C$51*(E72-D72)</f>
        <v>0.3612664574137972</v>
      </c>
      <c r="F78" s="22">
        <f>E72+'Rates &amp; Tables'!$C$51*(F72-E72)</f>
        <v>0.44089445209078743</v>
      </c>
      <c r="G78" s="22">
        <f>F72+'Rates &amp; Tables'!$C$51*(G72-F72)</f>
        <v>0.49023219210879831</v>
      </c>
    </row>
    <row r="79" spans="2:9">
      <c r="B79" s="14" t="s">
        <v>166</v>
      </c>
      <c r="C79" s="22">
        <f>0</f>
        <v>0</v>
      </c>
      <c r="D79" s="22">
        <f>C73+'Rates &amp; Tables'!$C$51*(D73-C73)</f>
        <v>0.15462278305190269</v>
      </c>
      <c r="E79" s="22">
        <f>D73+'Rates &amp; Tables'!$C$51*(E73-D73)</f>
        <v>0.24449191792034564</v>
      </c>
      <c r="F79" s="22">
        <f>E73+'Rates &amp; Tables'!$C$51*(F73-E73)</f>
        <v>0.30298844718165185</v>
      </c>
      <c r="G79" s="22">
        <f>F73+'Rates &amp; Tables'!$C$51*(G73-F73)</f>
        <v>0.34581357263886808</v>
      </c>
    </row>
    <row r="80" spans="2:9">
      <c r="B80" s="14" t="s">
        <v>168</v>
      </c>
      <c r="C80" s="22">
        <f>0</f>
        <v>0</v>
      </c>
      <c r="D80" s="22">
        <f>C74+'Rates &amp; Tables'!$C$51*(D74-C74)</f>
        <v>0.22851460321728406</v>
      </c>
      <c r="E80" s="22">
        <f>D74+'Rates &amp; Tables'!$C$51*(E74-D74)</f>
        <v>0.35934969573916059</v>
      </c>
      <c r="F80" s="22">
        <f>E74+'Rates &amp; Tables'!$C$51*(F74-E74)</f>
        <v>0.43863083413041082</v>
      </c>
      <c r="G80" s="22">
        <f>F74+'Rates &amp; Tables'!$C$51*(G74-F74)</f>
        <v>0.48786167473313863</v>
      </c>
    </row>
    <row r="82" spans="1:10">
      <c r="B82" s="6" t="s">
        <v>175</v>
      </c>
      <c r="C82" s="6" t="s">
        <v>120</v>
      </c>
      <c r="D82" s="6" t="s">
        <v>121</v>
      </c>
      <c r="E82" s="6" t="s">
        <v>122</v>
      </c>
      <c r="F82" s="6" t="s">
        <v>123</v>
      </c>
      <c r="G82" s="6" t="s">
        <v>124</v>
      </c>
    </row>
    <row r="83" spans="1:10">
      <c r="B83" s="14" t="s">
        <v>162</v>
      </c>
      <c r="C83" s="18">
        <f>$C$63*(1-C77)</f>
        <v>38.14779166666667</v>
      </c>
      <c r="D83" s="18">
        <f>$C$63*(1-D77)</f>
        <v>28.36631055141935</v>
      </c>
      <c r="E83" s="18">
        <f>$C$63*(1-E77)</f>
        <v>22.785269132511189</v>
      </c>
      <c r="F83" s="18">
        <f>$C$63*(1-F77)</f>
        <v>19.46153906749468</v>
      </c>
      <c r="G83" s="18">
        <f>$C$63*(1-G77)</f>
        <v>17.491239258721137</v>
      </c>
    </row>
    <row r="84" spans="1:10">
      <c r="B84" s="14" t="s">
        <v>164</v>
      </c>
      <c r="C84" s="18">
        <f>$C$64*(1-C78)</f>
        <v>0</v>
      </c>
      <c r="D84" s="18">
        <f>$C$64*(1-D78)</f>
        <v>0</v>
      </c>
      <c r="E84" s="18">
        <f>$C$64*(1-E78)</f>
        <v>0</v>
      </c>
      <c r="F84" s="18">
        <f>$C$64*(1-F78)</f>
        <v>0</v>
      </c>
      <c r="G84" s="18">
        <f>$C$64*(1-G78)</f>
        <v>0</v>
      </c>
    </row>
    <row r="85" spans="1:10">
      <c r="B85" s="14" t="s">
        <v>166</v>
      </c>
      <c r="C85" s="18">
        <f>$C$65*(1-C79)</f>
        <v>9.7791666666666615</v>
      </c>
      <c r="D85" s="18">
        <f>$C$65*(1-D79)</f>
        <v>8.2670847007382644</v>
      </c>
      <c r="E85" s="18">
        <f>$C$65*(1-E79)</f>
        <v>7.3882394526706161</v>
      </c>
      <c r="F85" s="18">
        <f>$C$65*(1-F79)</f>
        <v>6.816192143602759</v>
      </c>
      <c r="G85" s="18">
        <f>$C$65*(1-G79)</f>
        <v>6.3973981042357329</v>
      </c>
    </row>
    <row r="86" spans="1:10">
      <c r="B86" s="14" t="s">
        <v>168</v>
      </c>
      <c r="C86" s="18">
        <f>$C$66*(1-C80)</f>
        <v>0.58333333333333304</v>
      </c>
      <c r="D86" s="18">
        <f>$C$66*(1-D80)</f>
        <v>0.45003314812325079</v>
      </c>
      <c r="E86" s="18">
        <f>$C$66*(1-E80)</f>
        <v>0.37371267748548942</v>
      </c>
      <c r="F86" s="18">
        <f>$C$66*(1-F80)</f>
        <v>0.32746534675726019</v>
      </c>
      <c r="G86" s="18">
        <f>$C$66*(1-G80)</f>
        <v>0.29874735640566902</v>
      </c>
    </row>
    <row r="87" spans="1:10" ht="39.75" customHeight="1">
      <c r="B87" s="64" t="s">
        <v>176</v>
      </c>
      <c r="C87" s="64"/>
      <c r="D87" s="64"/>
      <c r="E87" s="64"/>
      <c r="F87" s="64"/>
      <c r="G87" s="64"/>
      <c r="H87" s="64"/>
    </row>
    <row r="89" spans="1:10" ht="15" customHeight="1">
      <c r="A89" s="63" t="s">
        <v>177</v>
      </c>
      <c r="B89" s="63"/>
      <c r="C89" s="63"/>
      <c r="D89" s="63"/>
      <c r="E89" s="63"/>
      <c r="F89" s="63"/>
      <c r="G89" s="63"/>
      <c r="H89" s="63"/>
      <c r="I89" s="63"/>
      <c r="J89" s="63"/>
    </row>
    <row r="90" spans="1:10">
      <c r="B90" s="6" t="s">
        <v>7</v>
      </c>
      <c r="C90" s="6" t="s">
        <v>120</v>
      </c>
      <c r="D90" s="6" t="s">
        <v>121</v>
      </c>
      <c r="E90" s="6" t="s">
        <v>122</v>
      </c>
      <c r="F90" s="6" t="s">
        <v>123</v>
      </c>
      <c r="G90" s="6" t="s">
        <v>124</v>
      </c>
      <c r="H90" s="6"/>
      <c r="I90" s="6" t="s">
        <v>85</v>
      </c>
    </row>
    <row r="91" spans="1:10" ht="30" customHeight="1">
      <c r="B91" s="16" t="s">
        <v>178</v>
      </c>
      <c r="C91" s="10">
        <f>C52</f>
        <v>48.510291666666731</v>
      </c>
      <c r="D91" s="10">
        <f>D52</f>
        <v>36.28727838829171</v>
      </c>
      <c r="E91" s="10">
        <f>E52</f>
        <v>29.309682100919311</v>
      </c>
      <c r="F91" s="10">
        <f>F52</f>
        <v>25.143712894929724</v>
      </c>
      <c r="G91" s="10">
        <f>G52</f>
        <v>22.656882453587009</v>
      </c>
      <c r="I91" s="2" t="s">
        <v>179</v>
      </c>
    </row>
    <row r="92" spans="1:10" ht="30" customHeight="1">
      <c r="B92" s="7" t="s">
        <v>180</v>
      </c>
      <c r="C92" s="18">
        <f t="shared" ref="C92:G93" si="3">C85</f>
        <v>9.7791666666666615</v>
      </c>
      <c r="D92" s="18">
        <f t="shared" si="3"/>
        <v>8.2670847007382644</v>
      </c>
      <c r="E92" s="18">
        <f t="shared" si="3"/>
        <v>7.3882394526706161</v>
      </c>
      <c r="F92" s="18">
        <f t="shared" si="3"/>
        <v>6.816192143602759</v>
      </c>
      <c r="G92" s="18">
        <f t="shared" si="3"/>
        <v>6.3973981042357329</v>
      </c>
      <c r="I92" s="2" t="s">
        <v>181</v>
      </c>
    </row>
    <row r="93" spans="1:10" ht="30" customHeight="1">
      <c r="B93" s="7" t="s">
        <v>182</v>
      </c>
      <c r="C93" s="18">
        <f t="shared" si="3"/>
        <v>0.58333333333333304</v>
      </c>
      <c r="D93" s="18">
        <f t="shared" si="3"/>
        <v>0.45003314812325079</v>
      </c>
      <c r="E93" s="18">
        <f t="shared" si="3"/>
        <v>0.37371267748548942</v>
      </c>
      <c r="F93" s="18">
        <f t="shared" si="3"/>
        <v>0.32746534675726019</v>
      </c>
      <c r="G93" s="18">
        <f t="shared" si="3"/>
        <v>0.29874735640566902</v>
      </c>
      <c r="I93" s="2" t="s">
        <v>183</v>
      </c>
    </row>
    <row r="94" spans="1:10" ht="30" customHeight="1">
      <c r="B94" s="7" t="s">
        <v>184</v>
      </c>
      <c r="C94" s="18">
        <f>C57</f>
        <v>0</v>
      </c>
      <c r="D94" s="18">
        <f>D57</f>
        <v>0</v>
      </c>
      <c r="E94" s="18">
        <f>E57</f>
        <v>0</v>
      </c>
      <c r="F94" s="18">
        <f>F57</f>
        <v>0</v>
      </c>
      <c r="G94" s="18">
        <f>G57</f>
        <v>0</v>
      </c>
      <c r="I94" s="2" t="s">
        <v>185</v>
      </c>
    </row>
    <row r="95" spans="1:10" ht="30" customHeight="1">
      <c r="B95" s="16" t="s">
        <v>186</v>
      </c>
      <c r="C95" s="10">
        <f>C91-C92-C93-C94</f>
        <v>38.147791666666734</v>
      </c>
      <c r="D95" s="10">
        <f>IF(AND($D$68=1,(D91-D92-D93)/D91&lt;'Rates &amp; Tables'!$C$55),'Rates &amp; Tables'!$C$55/(1-'Rates &amp; Tables'!$C$55)*(D92+D93)-D94,D91-D92-D93-D94)</f>
        <v>27.570160539430194</v>
      </c>
      <c r="E95" s="10">
        <f>IF(AND($D$68=1,(E91-E92-E93)/E91&lt;'Rates &amp; Tables'!$C$55),'Rates &amp; Tables'!$C$55/(1-'Rates &amp; Tables'!$C$55)*(E92+E93)-E94,E91-E92-E93-E94)</f>
        <v>21.547729970763204</v>
      </c>
      <c r="F95" s="10">
        <f>IF(AND($D$68=1,(F91-F92-F93)/F91&lt;'Rates &amp; Tables'!$C$55),'Rates &amp; Tables'!$C$55/(1-'Rates &amp; Tables'!$C$55)*(F92+F93)-F94,F91-F92-F93-F94)</f>
        <v>18.000055404569704</v>
      </c>
      <c r="G95" s="10">
        <f>IF(AND($D$68=1,(G91-G92-G93)/G91&lt;'Rates &amp; Tables'!$C$55),'Rates &amp; Tables'!$C$55/(1-'Rates &amp; Tables'!$C$55)*(G92+G93)-G94,G91-G92-G93-G94)</f>
        <v>15.960736992945607</v>
      </c>
      <c r="I95" s="2" t="s">
        <v>187</v>
      </c>
    </row>
    <row r="96" spans="1:10" ht="30" customHeight="1">
      <c r="B96" s="7" t="s">
        <v>188</v>
      </c>
      <c r="C96" s="18">
        <f>C95+C94+C92+C93</f>
        <v>48.510291666666731</v>
      </c>
      <c r="D96" s="18">
        <f>D95+D94+D92+D93</f>
        <v>36.28727838829171</v>
      </c>
      <c r="E96" s="18">
        <f>E95+E94+E92+E93</f>
        <v>29.309682100919307</v>
      </c>
      <c r="F96" s="18">
        <f>F95+F94+F92+F93</f>
        <v>25.143712894929724</v>
      </c>
      <c r="G96" s="18">
        <f>G95+G94+G92+G93</f>
        <v>22.656882453587009</v>
      </c>
      <c r="I96" s="2" t="s">
        <v>189</v>
      </c>
    </row>
    <row r="97" spans="1:10" ht="30" customHeight="1">
      <c r="B97" s="16" t="s">
        <v>190</v>
      </c>
      <c r="C97" s="11">
        <f>IF(C96=0,0,(C95+C94)/C96)</f>
        <v>0.78638553502822028</v>
      </c>
      <c r="D97" s="11">
        <f>IF(D96=0,0,(D95+D94)/D96)</f>
        <v>0.75977482368382465</v>
      </c>
      <c r="E97" s="11">
        <f>IF(E96=0,0,(E95+E94)/E96)</f>
        <v>0.7351744688519618</v>
      </c>
      <c r="F97" s="11">
        <f>IF(F96=0,0,(F95+F94)/F96)</f>
        <v>0.71588692886321681</v>
      </c>
      <c r="G97" s="11">
        <f>IF(G96=0,0,(G95+G94)/G96)</f>
        <v>0.70445424367811571</v>
      </c>
      <c r="I97" s="2" t="s">
        <v>191</v>
      </c>
    </row>
    <row r="98" spans="1:10" ht="30" customHeight="1">
      <c r="B98" s="7" t="s">
        <v>192</v>
      </c>
      <c r="C98" s="15">
        <v>0</v>
      </c>
      <c r="D98" s="15">
        <f>IF(AND($D$68=1,(D91-D92-D93)/D91&lt;'Rates &amp; Tables'!$C$55),1,0)</f>
        <v>0</v>
      </c>
      <c r="E98" s="15">
        <f>IF(AND($D$68=1,(E91-E92-E93)/E91&lt;'Rates &amp; Tables'!$C$55),1,0)</f>
        <v>0</v>
      </c>
      <c r="F98" s="15">
        <f>IF(AND($D$68=1,(F91-F92-F93)/F91&lt;'Rates &amp; Tables'!$C$55),1,0)</f>
        <v>0</v>
      </c>
      <c r="G98" s="15">
        <f>IF(AND($D$68=1,(G91-G92-G93)/G91&lt;'Rates &amp; Tables'!$C$55),1,0)</f>
        <v>0</v>
      </c>
      <c r="I98" s="2" t="s">
        <v>193</v>
      </c>
    </row>
    <row r="100" spans="1:10" ht="15" customHeight="1">
      <c r="A100" s="63" t="s">
        <v>194</v>
      </c>
      <c r="B100" s="63"/>
      <c r="C100" s="63"/>
      <c r="D100" s="63"/>
      <c r="E100" s="63"/>
      <c r="F100" s="63"/>
      <c r="G100" s="63"/>
      <c r="H100" s="63"/>
      <c r="I100" s="63"/>
      <c r="J100" s="63"/>
    </row>
    <row r="101" spans="1:10">
      <c r="B101" s="6" t="s">
        <v>195</v>
      </c>
      <c r="C101" s="6" t="s">
        <v>8</v>
      </c>
      <c r="D101" s="6"/>
      <c r="E101" s="6"/>
      <c r="F101" s="6"/>
      <c r="G101" s="6"/>
      <c r="H101" s="6"/>
      <c r="I101" s="6"/>
      <c r="J101" s="6" t="s">
        <v>85</v>
      </c>
    </row>
    <row r="103" spans="1:10" ht="27.75" customHeight="1">
      <c r="B103" s="13" t="s">
        <v>196</v>
      </c>
      <c r="C103" s="18">
        <f>$C$7*(1-E50)</f>
        <v>26.661235447843787</v>
      </c>
      <c r="I103" s="2" t="s">
        <v>197</v>
      </c>
    </row>
    <row r="104" spans="1:10" ht="27.75" customHeight="1">
      <c r="B104" s="13" t="s">
        <v>198</v>
      </c>
      <c r="C104" s="29">
        <f>IF(E96=0,0,C103/E96)</f>
        <v>0.90963918871735383</v>
      </c>
      <c r="I104" s="2" t="s">
        <v>199</v>
      </c>
    </row>
    <row r="105" spans="1:10" ht="27.75" customHeight="1">
      <c r="B105" s="13" t="s">
        <v>200</v>
      </c>
      <c r="C105" s="18">
        <f>(E95+E94)*C104</f>
        <v>19.600659609305652</v>
      </c>
      <c r="I105" s="2" t="s">
        <v>201</v>
      </c>
    </row>
    <row r="106" spans="1:10" ht="27.75" customHeight="1">
      <c r="B106" s="13" t="s">
        <v>202</v>
      </c>
      <c r="C106" s="18">
        <f>E95*C104</f>
        <v>19.600659609305652</v>
      </c>
      <c r="I106" s="2" t="s">
        <v>203</v>
      </c>
    </row>
    <row r="107" spans="1:10" ht="27.75" customHeight="1">
      <c r="B107" s="13" t="s">
        <v>204</v>
      </c>
      <c r="C107" s="18">
        <f>C103/2</f>
        <v>13.330617723921893</v>
      </c>
      <c r="I107" s="2" t="s">
        <v>205</v>
      </c>
    </row>
    <row r="108" spans="1:10" ht="27.75" customHeight="1">
      <c r="B108" s="12" t="s">
        <v>206</v>
      </c>
      <c r="C108" s="27">
        <f>C105-C107</f>
        <v>6.2700418853837583</v>
      </c>
      <c r="I108" s="2" t="s">
        <v>207</v>
      </c>
    </row>
    <row r="109" spans="1:10" ht="27.75" customHeight="1">
      <c r="B109" s="13" t="s">
        <v>208</v>
      </c>
      <c r="C109" s="23">
        <f>'Rates &amp; Tables'!$C$53</f>
        <v>0.7</v>
      </c>
      <c r="I109" s="2" t="s">
        <v>209</v>
      </c>
    </row>
    <row r="110" spans="1:10" ht="27.75" customHeight="1">
      <c r="B110" s="13" t="s">
        <v>210</v>
      </c>
      <c r="C110" s="18">
        <f>C106*C109</f>
        <v>13.720461726513955</v>
      </c>
      <c r="I110" s="2" t="s">
        <v>211</v>
      </c>
    </row>
    <row r="111" spans="1:10" ht="27.75" customHeight="1">
      <c r="B111" s="12" t="s">
        <v>212</v>
      </c>
      <c r="C111" s="27">
        <f>MAX(0,MIN(C108,C110))</f>
        <v>6.2700418853837583</v>
      </c>
      <c r="I111" s="2" t="s">
        <v>213</v>
      </c>
    </row>
    <row r="112" spans="1:10" ht="27.75" customHeight="1">
      <c r="B112" s="13" t="s">
        <v>214</v>
      </c>
      <c r="C112" s="30">
        <f>ROUND(C111*'Rates &amp; Tables'!$C$54,1)</f>
        <v>2.2000000000000002</v>
      </c>
      <c r="I112" s="2" t="s">
        <v>215</v>
      </c>
    </row>
    <row r="113" spans="1:10" ht="27.75" customHeight="1">
      <c r="B113" s="13" t="s">
        <v>216</v>
      </c>
      <c r="C113" s="30">
        <f>ROUND(C111-C112,1)</f>
        <v>4.0999999999999996</v>
      </c>
      <c r="I113" s="2" t="s">
        <v>217</v>
      </c>
    </row>
    <row r="114" spans="1:10" ht="27.75" customHeight="1">
      <c r="B114" s="31" t="s">
        <v>218</v>
      </c>
      <c r="C114" s="32">
        <f>C108-(C112+C113)</f>
        <v>-2.9958114616241538E-2</v>
      </c>
      <c r="I114" s="2" t="s">
        <v>219</v>
      </c>
    </row>
    <row r="115" spans="1:10" ht="27.75" customHeight="1">
      <c r="B115" s="13" t="s">
        <v>220</v>
      </c>
      <c r="C115" s="21">
        <f>IF(C103=0,0,(C105-(C112+C113))/C103)</f>
        <v>0.49887634184564145</v>
      </c>
      <c r="I115" s="2" t="s">
        <v>221</v>
      </c>
    </row>
    <row r="117" spans="1:10" ht="15" customHeight="1">
      <c r="A117" s="63" t="s">
        <v>222</v>
      </c>
      <c r="B117" s="63"/>
      <c r="C117" s="63"/>
      <c r="D117" s="63"/>
      <c r="E117" s="63"/>
      <c r="F117" s="63"/>
      <c r="G117" s="63"/>
      <c r="H117" s="63"/>
      <c r="I117" s="63"/>
      <c r="J117" s="63"/>
    </row>
    <row r="118" spans="1:10">
      <c r="B118" s="6" t="s">
        <v>7</v>
      </c>
      <c r="C118" s="6" t="s">
        <v>120</v>
      </c>
      <c r="D118" s="6" t="s">
        <v>121</v>
      </c>
      <c r="E118" s="6" t="s">
        <v>122</v>
      </c>
      <c r="F118" s="6" t="s">
        <v>123</v>
      </c>
      <c r="G118" s="6" t="s">
        <v>124</v>
      </c>
      <c r="H118" s="6"/>
      <c r="I118" s="6" t="s">
        <v>85</v>
      </c>
    </row>
    <row r="119" spans="1:10" ht="30" customHeight="1">
      <c r="B119" s="7" t="s">
        <v>223</v>
      </c>
      <c r="C119" s="18">
        <v>0</v>
      </c>
      <c r="D119" s="18">
        <v>0</v>
      </c>
      <c r="E119" s="18">
        <v>0</v>
      </c>
      <c r="F119" s="18">
        <f>$C$112*IF((1-E79)=0,1,(1-F79)/(1-E79))</f>
        <v>2.0296611678585519</v>
      </c>
      <c r="G119" s="18">
        <f>$C$112*IF((1-E79)=0,1,(1-G79)/(1-E79))</f>
        <v>1.9049566435250289</v>
      </c>
      <c r="I119" s="2" t="s">
        <v>224</v>
      </c>
    </row>
    <row r="120" spans="1:10" ht="30" customHeight="1">
      <c r="B120" s="7" t="s">
        <v>225</v>
      </c>
      <c r="C120" s="18">
        <v>0</v>
      </c>
      <c r="D120" s="18">
        <v>0</v>
      </c>
      <c r="E120" s="18">
        <v>0</v>
      </c>
      <c r="F120" s="18">
        <f>$C$113*IF($C$66=0,IF((1-E79)=0,1,(1-F79)/(1-E79)),IF((1-E80)=0,1,(1-F80)/(1-E80)))</f>
        <v>3.592620755438241</v>
      </c>
      <c r="G120" s="18">
        <f>$C$113*IF($C$66=0,IF((1-E79)=0,1,(1-G79)/(1-E79)),IF((1-E80)=0,1,(1-G80)/(1-E80)))</f>
        <v>3.2775558204358806</v>
      </c>
      <c r="I120" s="2" t="s">
        <v>226</v>
      </c>
    </row>
    <row r="121" spans="1:10" ht="30" customHeight="1">
      <c r="B121" s="7" t="s">
        <v>227</v>
      </c>
      <c r="C121" s="18">
        <f t="shared" ref="C121:E124" si="4">C92</f>
        <v>9.7791666666666615</v>
      </c>
      <c r="D121" s="18">
        <f t="shared" si="4"/>
        <v>8.2670847007382644</v>
      </c>
      <c r="E121" s="18">
        <f t="shared" si="4"/>
        <v>7.3882394526706161</v>
      </c>
      <c r="F121" s="18">
        <f>IF(AND($D$68=1,(F91-(F92+F119)-(F93+F120))/F91&lt;'Rates &amp; Tables'!$C$55),(F92+F119)*'Rates &amp; Tables'!$C$55*F91/((F92+F119)+(F93+F120)),(F92+F119))</f>
        <v>8.7113681479683169</v>
      </c>
      <c r="G121" s="18">
        <f>IF(AND($D$68=1,(G91-(G92+G119)-(G93+G120))/G91&lt;'Rates &amp; Tables'!$C$55),(G92+G119)*'Rates &amp; Tables'!$C$55*G91/((G92+G119)+(G93+G120)),(G92+G119))</f>
        <v>7.9177915889977628</v>
      </c>
      <c r="I121" s="2" t="s">
        <v>228</v>
      </c>
    </row>
    <row r="122" spans="1:10" ht="30" customHeight="1">
      <c r="B122" s="7" t="s">
        <v>229</v>
      </c>
      <c r="C122" s="18">
        <f t="shared" si="4"/>
        <v>0.58333333333333304</v>
      </c>
      <c r="D122" s="18">
        <f t="shared" si="4"/>
        <v>0.45003314812325079</v>
      </c>
      <c r="E122" s="18">
        <f t="shared" si="4"/>
        <v>0.37371267748548942</v>
      </c>
      <c r="F122" s="18">
        <f>IF(AND($D$68=1,(F91-(F92+F119)-(F93+F120))/F91&lt;'Rates &amp; Tables'!$C$55),(F93+F120)*'Rates &amp; Tables'!$C$55*F91/((F92+F119)+(F93+F120)),(F93+F120))</f>
        <v>3.860488299496545</v>
      </c>
      <c r="G122" s="18">
        <f>IF(AND($D$68=1,(G91-(G92+G119)-(G93+G120))/G91&lt;'Rates &amp; Tables'!$C$55),(G93+G120)*'Rates &amp; Tables'!$C$55*G91/((G92+G119)+(G93+G120)),(G93+G120))</f>
        <v>3.4106496377957418</v>
      </c>
      <c r="I122" s="2" t="s">
        <v>228</v>
      </c>
    </row>
    <row r="123" spans="1:10" ht="30" customHeight="1">
      <c r="B123" s="7" t="s">
        <v>230</v>
      </c>
      <c r="C123" s="18">
        <f t="shared" si="4"/>
        <v>0</v>
      </c>
      <c r="D123" s="18">
        <f t="shared" si="4"/>
        <v>0</v>
      </c>
      <c r="E123" s="18">
        <f t="shared" si="4"/>
        <v>0</v>
      </c>
      <c r="F123" s="18">
        <f>F94</f>
        <v>0</v>
      </c>
      <c r="G123" s="18">
        <f>G94</f>
        <v>0</v>
      </c>
      <c r="I123" s="2" t="s">
        <v>231</v>
      </c>
    </row>
    <row r="124" spans="1:10" ht="30" customHeight="1">
      <c r="B124" s="16" t="s">
        <v>232</v>
      </c>
      <c r="C124" s="10">
        <f t="shared" si="4"/>
        <v>38.147791666666734</v>
      </c>
      <c r="D124" s="10">
        <f t="shared" si="4"/>
        <v>27.570160539430194</v>
      </c>
      <c r="E124" s="10">
        <f t="shared" si="4"/>
        <v>21.547729970763204</v>
      </c>
      <c r="F124" s="10">
        <f>F91-F121-F122-F123</f>
        <v>12.57185644746486</v>
      </c>
      <c r="G124" s="10">
        <f>G91-G121-G122-G123</f>
        <v>11.328441226793505</v>
      </c>
      <c r="I124" s="2" t="s">
        <v>233</v>
      </c>
    </row>
    <row r="125" spans="1:10" ht="30" customHeight="1">
      <c r="B125" s="7" t="s">
        <v>234</v>
      </c>
      <c r="C125" s="18">
        <f>C121+C122+C123+C124</f>
        <v>48.510291666666731</v>
      </c>
      <c r="D125" s="18">
        <f>D121+D122+D123+D124</f>
        <v>36.28727838829171</v>
      </c>
      <c r="E125" s="18">
        <f>E121+E122+E123+E124</f>
        <v>29.309682100919311</v>
      </c>
      <c r="F125" s="18">
        <f>F121+F122+F123+F124</f>
        <v>25.14371289492972</v>
      </c>
      <c r="G125" s="18">
        <f>G121+G122+G123+G124</f>
        <v>22.656882453587009</v>
      </c>
      <c r="I125" s="2" t="s">
        <v>235</v>
      </c>
    </row>
    <row r="126" spans="1:10" ht="30" customHeight="1">
      <c r="B126" s="16" t="s">
        <v>190</v>
      </c>
      <c r="C126" s="11">
        <f>IF(C125=0,0,(C124+C123)/C125)</f>
        <v>0.78638553502822028</v>
      </c>
      <c r="D126" s="11">
        <f>IF(D125=0,0,(D124+D123)/D125)</f>
        <v>0.75977482368382465</v>
      </c>
      <c r="E126" s="11">
        <f>IF(E125=0,0,(E124+E123)/E125)</f>
        <v>0.73517446885196169</v>
      </c>
      <c r="F126" s="11">
        <f>IF(F125=0,0,(F124+F123)/F125)</f>
        <v>0.5</v>
      </c>
      <c r="G126" s="11">
        <f>IF(G125=0,0,(G124+G123)/G125)</f>
        <v>0.5</v>
      </c>
      <c r="I126" s="2" t="s">
        <v>236</v>
      </c>
    </row>
    <row r="127" spans="1:10" ht="30" customHeight="1">
      <c r="B127" s="64" t="s">
        <v>237</v>
      </c>
      <c r="C127" s="64"/>
      <c r="D127" s="64"/>
      <c r="E127" s="64"/>
      <c r="F127" s="64"/>
      <c r="G127" s="64"/>
      <c r="H127" s="64"/>
    </row>
    <row r="129" spans="1:10" ht="15" customHeight="1">
      <c r="A129" s="63" t="s">
        <v>238</v>
      </c>
      <c r="B129" s="63"/>
      <c r="C129" s="63"/>
      <c r="D129" s="63"/>
      <c r="E129" s="63"/>
      <c r="F129" s="63"/>
      <c r="G129" s="63"/>
      <c r="H129" s="63"/>
      <c r="I129" s="63"/>
      <c r="J129" s="63"/>
    </row>
    <row r="130" spans="1:10" ht="22">
      <c r="B130" s="7" t="s">
        <v>28</v>
      </c>
      <c r="C130" s="11">
        <f>IF($C$7=0,0,($C$12+$C$10)/$C$7)</f>
        <v>5.1535455964241257E-2</v>
      </c>
      <c r="I130" s="2" t="s">
        <v>239</v>
      </c>
    </row>
    <row r="131" spans="1:10">
      <c r="B131" s="7" t="s">
        <v>26</v>
      </c>
      <c r="C131" s="11">
        <f>$C$39</f>
        <v>0.76597376673506579</v>
      </c>
      <c r="I131" s="2" t="s">
        <v>240</v>
      </c>
    </row>
    <row r="132" spans="1:10">
      <c r="B132" s="6" t="s">
        <v>119</v>
      </c>
      <c r="C132" s="6" t="s">
        <v>120</v>
      </c>
      <c r="D132" s="6" t="s">
        <v>121</v>
      </c>
      <c r="E132" s="6" t="s">
        <v>122</v>
      </c>
      <c r="F132" s="6" t="s">
        <v>123</v>
      </c>
      <c r="G132" s="6" t="s">
        <v>124</v>
      </c>
      <c r="H132" s="6"/>
      <c r="I132" s="6" t="s">
        <v>125</v>
      </c>
    </row>
    <row r="133" spans="1:10" ht="39.75" customHeight="1">
      <c r="B133" s="12" t="s">
        <v>241</v>
      </c>
      <c r="C133" s="33">
        <v>0.05</v>
      </c>
      <c r="D133" s="33">
        <v>0.3</v>
      </c>
      <c r="E133" s="33">
        <v>0.55000000000000004</v>
      </c>
      <c r="F133" s="33">
        <v>0.72</v>
      </c>
      <c r="G133" s="33">
        <v>0.85</v>
      </c>
      <c r="I133" s="2" t="s">
        <v>242</v>
      </c>
    </row>
    <row r="134" spans="1:10">
      <c r="B134" s="16" t="s">
        <v>243</v>
      </c>
      <c r="C134" s="11">
        <f>$C$130+($C$131-$C$130)*C133</f>
        <v>8.7257371502782483E-2</v>
      </c>
      <c r="D134" s="11">
        <f>$C$130+($C$131-$C$130)*D133</f>
        <v>0.26586694919548864</v>
      </c>
      <c r="E134" s="11">
        <f>$C$130+($C$131-$C$130)*E133</f>
        <v>0.44447652688819478</v>
      </c>
      <c r="F134" s="11">
        <f>$C$130+($C$131-$C$130)*F133</f>
        <v>0.56593103971923486</v>
      </c>
      <c r="G134" s="11">
        <f>$C$130+($C$131-$C$130)*G133</f>
        <v>0.65880802011944206</v>
      </c>
    </row>
  </sheetData>
  <mergeCells count="18">
    <mergeCell ref="A117:J117"/>
    <mergeCell ref="B127:H127"/>
    <mergeCell ref="A129:J129"/>
    <mergeCell ref="B59:H59"/>
    <mergeCell ref="A61:J61"/>
    <mergeCell ref="B87:H87"/>
    <mergeCell ref="A89:J89"/>
    <mergeCell ref="A100:J100"/>
    <mergeCell ref="C27:G27"/>
    <mergeCell ref="B28:H28"/>
    <mergeCell ref="A30:J30"/>
    <mergeCell ref="A41:J41"/>
    <mergeCell ref="A54:J54"/>
    <mergeCell ref="A1:J1"/>
    <mergeCell ref="A2:J2"/>
    <mergeCell ref="A4:J4"/>
    <mergeCell ref="B16:H16"/>
    <mergeCell ref="A18:J18"/>
  </mergeCells>
  <dataValidations count="1">
    <dataValidation type="list" sqref="D56" xr:uid="{00000000-0002-0000-0100-000000000000}">
      <formula1>"FSI,NCD,NCS,all named,none"</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4"/>
  <sheetViews>
    <sheetView topLeftCell="A10" zoomScaleNormal="100" workbookViewId="0">
      <selection sqref="A1:L1"/>
    </sheetView>
  </sheetViews>
  <sheetFormatPr defaultColWidth="8.6328125" defaultRowHeight="14.5"/>
  <cols>
    <col min="1" max="1" width="2.453125" customWidth="1"/>
    <col min="2" max="2" width="5" customWidth="1"/>
    <col min="3" max="3" width="40" customWidth="1"/>
    <col min="4" max="4" width="8" customWidth="1"/>
    <col min="5" max="5" width="11" customWidth="1"/>
    <col min="6" max="6" width="9" customWidth="1"/>
    <col min="7" max="8" width="13" customWidth="1"/>
    <col min="9" max="9" width="3" customWidth="1"/>
    <col min="10" max="10" width="66" customWidth="1"/>
    <col min="11" max="13" width="9" customWidth="1"/>
    <col min="14" max="14" width="3" customWidth="1"/>
    <col min="15" max="15" width="60" customWidth="1"/>
  </cols>
  <sheetData>
    <row r="1" spans="1:13" ht="25.5" customHeight="1">
      <c r="A1" s="59" t="s">
        <v>244</v>
      </c>
      <c r="B1" s="59"/>
      <c r="C1" s="59"/>
      <c r="D1" s="59"/>
      <c r="E1" s="59"/>
      <c r="F1" s="59"/>
      <c r="G1" s="59"/>
      <c r="H1" s="59"/>
      <c r="I1" s="59"/>
      <c r="J1" s="59"/>
      <c r="K1" s="59"/>
      <c r="L1" s="59"/>
    </row>
    <row r="2" spans="1:13" ht="15" customHeight="1">
      <c r="A2" s="60" t="s">
        <v>245</v>
      </c>
      <c r="B2" s="60"/>
      <c r="C2" s="60"/>
      <c r="D2" s="60"/>
      <c r="E2" s="60"/>
      <c r="F2" s="60"/>
      <c r="G2" s="60"/>
      <c r="H2" s="60"/>
      <c r="I2" s="60"/>
      <c r="J2" s="60"/>
      <c r="K2" s="60"/>
      <c r="L2" s="60"/>
    </row>
    <row r="4" spans="1:13" ht="17.25" customHeight="1">
      <c r="A4" s="63" t="s">
        <v>246</v>
      </c>
      <c r="B4" s="63"/>
      <c r="C4" s="63"/>
      <c r="D4" s="63"/>
      <c r="E4" s="63"/>
      <c r="F4" s="63"/>
      <c r="G4" s="63"/>
      <c r="H4" s="63"/>
    </row>
    <row r="5" spans="1:13" ht="22">
      <c r="B5" s="6" t="s">
        <v>247</v>
      </c>
      <c r="C5" s="6" t="s">
        <v>248</v>
      </c>
      <c r="D5" s="6" t="s">
        <v>103</v>
      </c>
      <c r="E5" s="6" t="s">
        <v>104</v>
      </c>
      <c r="F5" s="6" t="s">
        <v>249</v>
      </c>
      <c r="G5" s="6" t="s">
        <v>250</v>
      </c>
      <c r="H5" s="6" t="s">
        <v>251</v>
      </c>
    </row>
    <row r="6" spans="1:13" ht="33">
      <c r="B6" s="34">
        <v>1</v>
      </c>
      <c r="C6" s="7" t="str">
        <f>IFERROR(INDEX('Stream Catalogue'!$E$5:$E$31,MATCH('START HERE'!$C$5&amp;"|"&amp;$B6,'Stream Catalogue'!$B$5:$B$31,0)),"")</f>
        <v>Commission Processing &amp; Management</v>
      </c>
      <c r="D6" s="15">
        <f>IFERROR(INDEX('Stream Catalogue'!$F$5:$F$31,MATCH('START HERE'!$C$5&amp;"|"&amp;$B6,'Stream Catalogue'!$B$5:$B$31,0)),"")</f>
        <v>5</v>
      </c>
      <c r="E6" s="17">
        <f>IFERROR(INDEX('Stream Catalogue'!$G$5:$G$31,MATCH('START HERE'!$C$5&amp;"|"&amp;$B6,'Stream Catalogue'!$B$5:$B$31,0)),"")</f>
        <v>48.510300000000001</v>
      </c>
      <c r="F6" s="21">
        <f>IF($E6="","",IF('Logic Tree'!$C$7=0,0,$E6/'Logic Tree'!$C$7))</f>
        <v>1.0000001717848519</v>
      </c>
      <c r="G6" s="35" t="str">
        <f>IFERROR(INDEX('Stream Catalogue'!$H$5:$H$31,MATCH('START HERE'!$C$5&amp;"|"&amp;$B6,'Stream Catalogue'!$B$5:$B$31,0)),"")</f>
        <v>Waterfall</v>
      </c>
      <c r="H6" s="28">
        <v>1</v>
      </c>
      <c r="J6" s="2" t="s">
        <v>252</v>
      </c>
    </row>
    <row r="7" spans="1:13">
      <c r="B7" s="34">
        <v>2</v>
      </c>
      <c r="C7" s="7" t="str">
        <f>IFERROR(INDEX('Stream Catalogue'!$E$5:$E$31,MATCH('START HERE'!$C$5&amp;"|"&amp;$B7,'Stream Catalogue'!$B$5:$B$31,0)),"")</f>
        <v/>
      </c>
      <c r="D7" s="15" t="str">
        <f>IFERROR(INDEX('Stream Catalogue'!$F$5:$F$31,MATCH('START HERE'!$C$5&amp;"|"&amp;$B7,'Stream Catalogue'!$B$5:$B$31,0)),"")</f>
        <v/>
      </c>
      <c r="E7" s="17" t="str">
        <f>IFERROR(INDEX('Stream Catalogue'!$G$5:$G$31,MATCH('START HERE'!$C$5&amp;"|"&amp;$B7,'Stream Catalogue'!$B$5:$B$31,0)),"")</f>
        <v/>
      </c>
      <c r="F7" s="21" t="str">
        <f>IF($E7="","",IF('Logic Tree'!$C$7=0,0,$E7/'Logic Tree'!$C$7))</f>
        <v/>
      </c>
      <c r="G7" s="35" t="str">
        <f>IFERROR(INDEX('Stream Catalogue'!$H$5:$H$31,MATCH('START HERE'!$C$5&amp;"|"&amp;$B7,'Stream Catalogue'!$B$5:$B$31,0)),"")</f>
        <v/>
      </c>
      <c r="H7" s="28">
        <v>5</v>
      </c>
    </row>
    <row r="8" spans="1:13">
      <c r="B8" s="34">
        <v>3</v>
      </c>
      <c r="C8" s="7" t="str">
        <f>IFERROR(INDEX('Stream Catalogue'!$E$5:$E$31,MATCH('START HERE'!$C$5&amp;"|"&amp;$B8,'Stream Catalogue'!$B$5:$B$31,0)),"")</f>
        <v/>
      </c>
      <c r="D8" s="15" t="str">
        <f>IFERROR(INDEX('Stream Catalogue'!$F$5:$F$31,MATCH('START HERE'!$C$5&amp;"|"&amp;$B8,'Stream Catalogue'!$B$5:$B$31,0)),"")</f>
        <v/>
      </c>
      <c r="E8" s="17" t="str">
        <f>IFERROR(INDEX('Stream Catalogue'!$G$5:$G$31,MATCH('START HERE'!$C$5&amp;"|"&amp;$B8,'Stream Catalogue'!$B$5:$B$31,0)),"")</f>
        <v/>
      </c>
      <c r="F8" s="21" t="str">
        <f>IF($E8="","",IF('Logic Tree'!$C$7=0,0,$E8/'Logic Tree'!$C$7))</f>
        <v/>
      </c>
      <c r="G8" s="35" t="str">
        <f>IFERROR(INDEX('Stream Catalogue'!$H$5:$H$31,MATCH('START HERE'!$C$5&amp;"|"&amp;$B8,'Stream Catalogue'!$B$5:$B$31,0)),"")</f>
        <v/>
      </c>
      <c r="H8" s="28">
        <v>7</v>
      </c>
    </row>
    <row r="9" spans="1:13" ht="49.5" customHeight="1">
      <c r="B9" s="34">
        <v>4</v>
      </c>
      <c r="C9" s="7" t="str">
        <f>IFERROR(INDEX('Stream Catalogue'!$E$5:$E$31,MATCH('START HERE'!$C$5&amp;"|"&amp;$B9,'Stream Catalogue'!$B$5:$B$31,0)),"")</f>
        <v/>
      </c>
      <c r="D9" s="15" t="str">
        <f>IFERROR(INDEX('Stream Catalogue'!$F$5:$F$31,MATCH('START HERE'!$C$5&amp;"|"&amp;$B9,'Stream Catalogue'!$B$5:$B$31,0)),"")</f>
        <v/>
      </c>
      <c r="E9" s="17" t="str">
        <f>IFERROR(INDEX('Stream Catalogue'!$G$5:$G$31,MATCH('START HERE'!$C$5&amp;"|"&amp;$B9,'Stream Catalogue'!$B$5:$B$31,0)),"")</f>
        <v/>
      </c>
      <c r="F9" s="21" t="str">
        <f>IF($E9="","",IF('Logic Tree'!$C$7=0,0,$E9/'Logic Tree'!$C$7))</f>
        <v/>
      </c>
      <c r="G9" s="35" t="str">
        <f>IFERROR(INDEX('Stream Catalogue'!$H$5:$H$31,MATCH('START HERE'!$C$5&amp;"|"&amp;$B9,'Stream Catalogue'!$B$5:$B$31,0)),"")</f>
        <v/>
      </c>
      <c r="H9" s="28">
        <v>9</v>
      </c>
      <c r="J9" s="2" t="s">
        <v>253</v>
      </c>
    </row>
    <row r="10" spans="1:13">
      <c r="B10" s="34">
        <v>5</v>
      </c>
      <c r="C10" s="7" t="str">
        <f>IFERROR(INDEX('Stream Catalogue'!$E$5:$E$31,MATCH('START HERE'!$C$5&amp;"|"&amp;$B10,'Stream Catalogue'!$B$5:$B$31,0)),"")</f>
        <v/>
      </c>
      <c r="D10" s="15" t="str">
        <f>IFERROR(INDEX('Stream Catalogue'!$F$5:$F$31,MATCH('START HERE'!$C$5&amp;"|"&amp;$B10,'Stream Catalogue'!$B$5:$B$31,0)),"")</f>
        <v/>
      </c>
      <c r="E10" s="17" t="str">
        <f>IFERROR(INDEX('Stream Catalogue'!$G$5:$G$31,MATCH('START HERE'!$C$5&amp;"|"&amp;$B10,'Stream Catalogue'!$B$5:$B$31,0)),"")</f>
        <v/>
      </c>
      <c r="F10" s="21" t="str">
        <f>IF($E10="","",IF('Logic Tree'!$C$7=0,0,$E10/'Logic Tree'!$C$7))</f>
        <v/>
      </c>
      <c r="G10" s="35" t="str">
        <f>IFERROR(INDEX('Stream Catalogue'!$H$5:$H$31,MATCH('START HERE'!$C$5&amp;"|"&amp;$B10,'Stream Catalogue'!$B$5:$B$31,0)),"")</f>
        <v/>
      </c>
      <c r="H10" s="28">
        <v>11</v>
      </c>
    </row>
    <row r="11" spans="1:13">
      <c r="B11" s="34">
        <v>6</v>
      </c>
      <c r="C11" s="7" t="str">
        <f>IFERROR(INDEX('Stream Catalogue'!$E$5:$E$31,MATCH('START HERE'!$C$5&amp;"|"&amp;$B11,'Stream Catalogue'!$B$5:$B$31,0)),"")</f>
        <v/>
      </c>
      <c r="D11" s="15" t="str">
        <f>IFERROR(INDEX('Stream Catalogue'!$F$5:$F$31,MATCH('START HERE'!$C$5&amp;"|"&amp;$B11,'Stream Catalogue'!$B$5:$B$31,0)),"")</f>
        <v/>
      </c>
      <c r="E11" s="17" t="str">
        <f>IFERROR(INDEX('Stream Catalogue'!$G$5:$G$31,MATCH('START HERE'!$C$5&amp;"|"&amp;$B11,'Stream Catalogue'!$B$5:$B$31,0)),"")</f>
        <v/>
      </c>
      <c r="F11" s="21" t="str">
        <f>IF($E11="","",IF('Logic Tree'!$C$7=0,0,$E11/'Logic Tree'!$C$7))</f>
        <v/>
      </c>
      <c r="G11" s="35" t="str">
        <f>IFERROR(INDEX('Stream Catalogue'!$H$5:$H$31,MATCH('START HERE'!$C$5&amp;"|"&amp;$B11,'Stream Catalogue'!$B$5:$B$31,0)),"")</f>
        <v/>
      </c>
      <c r="H11" s="28">
        <v>13</v>
      </c>
    </row>
    <row r="12" spans="1:13">
      <c r="B12" s="7"/>
      <c r="C12" s="16" t="s">
        <v>254</v>
      </c>
      <c r="D12" s="8">
        <f>SUM(D6:D11)</f>
        <v>5</v>
      </c>
      <c r="E12" s="9">
        <f>SUM(E6:E11)</f>
        <v>48.510300000000001</v>
      </c>
      <c r="F12" s="11">
        <f>IF('Logic Tree'!$C$7=0,0,E12/'Logic Tree'!$C$7)</f>
        <v>1.0000001717848519</v>
      </c>
    </row>
    <row r="13" spans="1:13">
      <c r="C13" s="7" t="s">
        <v>255</v>
      </c>
      <c r="E13" s="36">
        <f>E12-'Logic Tree'!$C$7</f>
        <v>8.3333332696611251E-6</v>
      </c>
    </row>
    <row r="15" spans="1:13" ht="15" customHeight="1">
      <c r="A15" s="63" t="s">
        <v>256</v>
      </c>
      <c r="B15" s="63"/>
      <c r="C15" s="63"/>
      <c r="D15" s="63"/>
      <c r="E15" s="63"/>
      <c r="F15" s="63"/>
      <c r="G15" s="63"/>
      <c r="H15" s="63"/>
      <c r="I15" s="63"/>
      <c r="J15" s="63"/>
      <c r="K15" s="63"/>
      <c r="L15" s="63"/>
    </row>
    <row r="16" spans="1:13" ht="33">
      <c r="B16" s="6" t="s">
        <v>247</v>
      </c>
      <c r="C16" s="6" t="s">
        <v>248</v>
      </c>
      <c r="D16" s="6" t="s">
        <v>257</v>
      </c>
      <c r="E16" s="6" t="s">
        <v>258</v>
      </c>
      <c r="F16" s="6" t="s">
        <v>259</v>
      </c>
      <c r="G16" s="6" t="s">
        <v>260</v>
      </c>
      <c r="H16" s="6" t="s">
        <v>261</v>
      </c>
      <c r="I16" s="6" t="s">
        <v>262</v>
      </c>
      <c r="J16" s="6" t="s">
        <v>263</v>
      </c>
      <c r="K16" s="6" t="s">
        <v>264</v>
      </c>
      <c r="L16" s="6" t="s">
        <v>265</v>
      </c>
      <c r="M16" s="6" t="s">
        <v>266</v>
      </c>
    </row>
    <row r="17" spans="1:15" ht="55.5" customHeight="1">
      <c r="B17" s="34">
        <v>1</v>
      </c>
      <c r="C17" s="7" t="str">
        <f t="shared" ref="C17:C22" si="0">C6</f>
        <v>Commission Processing &amp; Management</v>
      </c>
      <c r="D17" s="37">
        <v>0</v>
      </c>
      <c r="E17" s="37">
        <v>0</v>
      </c>
      <c r="F17" s="37">
        <v>0</v>
      </c>
      <c r="G17" s="37">
        <v>0</v>
      </c>
      <c r="H17" s="37">
        <v>0</v>
      </c>
      <c r="I17" s="37">
        <v>0</v>
      </c>
      <c r="J17" s="37">
        <v>0</v>
      </c>
      <c r="K17" s="37">
        <v>0</v>
      </c>
      <c r="L17" s="37">
        <v>0</v>
      </c>
      <c r="M17" s="37">
        <v>0</v>
      </c>
      <c r="O17" s="2" t="s">
        <v>267</v>
      </c>
    </row>
    <row r="18" spans="1:15">
      <c r="B18" s="34">
        <v>2</v>
      </c>
      <c r="C18" s="7" t="str">
        <f t="shared" si="0"/>
        <v/>
      </c>
      <c r="D18" s="37">
        <v>0</v>
      </c>
      <c r="E18" s="37">
        <v>0</v>
      </c>
      <c r="F18" s="37">
        <v>0</v>
      </c>
      <c r="G18" s="37">
        <v>0</v>
      </c>
      <c r="H18" s="37">
        <v>0</v>
      </c>
      <c r="I18" s="37">
        <v>0</v>
      </c>
      <c r="J18" s="37">
        <v>0</v>
      </c>
      <c r="K18" s="37">
        <v>0</v>
      </c>
      <c r="L18" s="37">
        <v>0</v>
      </c>
      <c r="M18" s="37">
        <v>0</v>
      </c>
    </row>
    <row r="19" spans="1:15">
      <c r="B19" s="34">
        <v>3</v>
      </c>
      <c r="C19" s="7" t="str">
        <f t="shared" si="0"/>
        <v/>
      </c>
      <c r="D19" s="37">
        <v>0</v>
      </c>
      <c r="E19" s="37">
        <v>0</v>
      </c>
      <c r="F19" s="37">
        <v>0</v>
      </c>
      <c r="G19" s="37">
        <v>0</v>
      </c>
      <c r="H19" s="37">
        <v>0</v>
      </c>
      <c r="I19" s="37">
        <v>0</v>
      </c>
      <c r="J19" s="37">
        <v>0</v>
      </c>
      <c r="K19" s="37">
        <v>0</v>
      </c>
      <c r="L19" s="37">
        <v>0</v>
      </c>
      <c r="M19" s="37">
        <v>0</v>
      </c>
    </row>
    <row r="20" spans="1:15" ht="43.5" customHeight="1">
      <c r="B20" s="34">
        <v>4</v>
      </c>
      <c r="C20" s="7" t="str">
        <f t="shared" si="0"/>
        <v/>
      </c>
      <c r="D20" s="37">
        <v>0</v>
      </c>
      <c r="E20" s="37">
        <v>0</v>
      </c>
      <c r="F20" s="37">
        <v>0</v>
      </c>
      <c r="G20" s="37">
        <v>0</v>
      </c>
      <c r="H20" s="37">
        <v>0</v>
      </c>
      <c r="I20" s="37">
        <v>0</v>
      </c>
      <c r="J20" s="37">
        <v>0</v>
      </c>
      <c r="K20" s="37">
        <v>0</v>
      </c>
      <c r="L20" s="37">
        <v>0</v>
      </c>
      <c r="M20" s="37">
        <v>0</v>
      </c>
      <c r="O20" s="2" t="s">
        <v>268</v>
      </c>
    </row>
    <row r="21" spans="1:15">
      <c r="B21" s="34">
        <v>5</v>
      </c>
      <c r="C21" s="7" t="str">
        <f t="shared" si="0"/>
        <v/>
      </c>
      <c r="D21" s="37">
        <v>0</v>
      </c>
      <c r="E21" s="37">
        <v>0</v>
      </c>
      <c r="F21" s="37">
        <v>0</v>
      </c>
      <c r="G21" s="37">
        <v>0</v>
      </c>
      <c r="H21" s="37">
        <v>0</v>
      </c>
      <c r="I21" s="37">
        <v>0</v>
      </c>
      <c r="J21" s="37">
        <v>0</v>
      </c>
      <c r="K21" s="37">
        <v>0</v>
      </c>
      <c r="L21" s="37">
        <v>0</v>
      </c>
      <c r="M21" s="37">
        <v>0</v>
      </c>
    </row>
    <row r="22" spans="1:15">
      <c r="B22" s="34">
        <v>6</v>
      </c>
      <c r="C22" s="7" t="str">
        <f t="shared" si="0"/>
        <v/>
      </c>
      <c r="D22" s="37">
        <v>0</v>
      </c>
      <c r="E22" s="37">
        <v>0</v>
      </c>
      <c r="F22" s="37">
        <v>0</v>
      </c>
      <c r="G22" s="37">
        <v>0</v>
      </c>
      <c r="H22" s="37">
        <v>0</v>
      </c>
      <c r="I22" s="37">
        <v>0</v>
      </c>
      <c r="J22" s="37">
        <v>0</v>
      </c>
      <c r="K22" s="37">
        <v>0</v>
      </c>
      <c r="L22" s="37">
        <v>0</v>
      </c>
      <c r="M22" s="37">
        <v>0</v>
      </c>
    </row>
    <row r="23" spans="1:15">
      <c r="C23" s="16" t="s">
        <v>269</v>
      </c>
      <c r="D23" s="8">
        <f t="shared" ref="D23:M23" si="1">SUM(D17:D22)</f>
        <v>0</v>
      </c>
      <c r="E23" s="8">
        <f t="shared" si="1"/>
        <v>0</v>
      </c>
      <c r="F23" s="8">
        <f t="shared" si="1"/>
        <v>0</v>
      </c>
      <c r="G23" s="8">
        <f t="shared" si="1"/>
        <v>0</v>
      </c>
      <c r="H23" s="8">
        <f t="shared" si="1"/>
        <v>0</v>
      </c>
      <c r="I23" s="8">
        <f t="shared" si="1"/>
        <v>0</v>
      </c>
      <c r="J23" s="8">
        <f t="shared" si="1"/>
        <v>0</v>
      </c>
      <c r="K23" s="8">
        <f t="shared" si="1"/>
        <v>0</v>
      </c>
      <c r="L23" s="8">
        <f t="shared" si="1"/>
        <v>0</v>
      </c>
      <c r="M23" s="8">
        <f t="shared" si="1"/>
        <v>0</v>
      </c>
    </row>
    <row r="25" spans="1:15" ht="15" customHeight="1">
      <c r="A25" s="63" t="s">
        <v>270</v>
      </c>
      <c r="B25" s="63"/>
      <c r="C25" s="63"/>
      <c r="D25" s="63"/>
      <c r="E25" s="63"/>
      <c r="F25" s="63"/>
      <c r="G25" s="63"/>
      <c r="H25" s="63"/>
      <c r="I25" s="63"/>
      <c r="J25" s="63"/>
      <c r="K25" s="63"/>
      <c r="L25" s="63"/>
    </row>
    <row r="26" spans="1:15">
      <c r="B26" s="6" t="s">
        <v>247</v>
      </c>
      <c r="C26" s="6" t="s">
        <v>248</v>
      </c>
      <c r="D26" s="6" t="s">
        <v>120</v>
      </c>
      <c r="E26" s="6" t="s">
        <v>121</v>
      </c>
      <c r="F26" s="6" t="s">
        <v>122</v>
      </c>
      <c r="G26" s="6" t="s">
        <v>123</v>
      </c>
      <c r="H26" s="6" t="s">
        <v>124</v>
      </c>
    </row>
    <row r="27" spans="1:15">
      <c r="B27" s="34">
        <v>1</v>
      </c>
      <c r="C27" s="7" t="str">
        <f t="shared" ref="C27:C32" si="2">C6</f>
        <v>Commission Processing &amp; Management</v>
      </c>
      <c r="D27" s="23">
        <f t="shared" ref="D27:D32" si="3">IF($C27="",0,MAX(0,MIN(4,4-$H6+1))/4)</f>
        <v>1</v>
      </c>
      <c r="E27" s="23">
        <f t="shared" ref="E27:E32" si="4">IF($C27="",0,MAX(0,MIN(4,8-$H6+1))/4)</f>
        <v>1</v>
      </c>
      <c r="F27" s="23">
        <f t="shared" ref="F27:F32" si="5">IF($C27="",0,MAX(0,MIN(4,12-$H6+1))/4)</f>
        <v>1</v>
      </c>
      <c r="G27" s="23">
        <f t="shared" ref="G27:G32" si="6">IF($C27="",0,MAX(0,MIN(4,16-$H6+1))/4)</f>
        <v>1</v>
      </c>
      <c r="H27" s="23">
        <f t="shared" ref="H27:H32" si="7">IF($C27="",0,MAX(0,MIN(4,20-$H6+1))/4)</f>
        <v>1</v>
      </c>
    </row>
    <row r="28" spans="1:15">
      <c r="B28" s="34">
        <v>2</v>
      </c>
      <c r="C28" s="7" t="str">
        <f t="shared" si="2"/>
        <v/>
      </c>
      <c r="D28" s="23">
        <f t="shared" si="3"/>
        <v>0</v>
      </c>
      <c r="E28" s="23">
        <f t="shared" si="4"/>
        <v>0</v>
      </c>
      <c r="F28" s="23">
        <f t="shared" si="5"/>
        <v>0</v>
      </c>
      <c r="G28" s="23">
        <f t="shared" si="6"/>
        <v>0</v>
      </c>
      <c r="H28" s="23">
        <f t="shared" si="7"/>
        <v>0</v>
      </c>
    </row>
    <row r="29" spans="1:15">
      <c r="B29" s="34">
        <v>3</v>
      </c>
      <c r="C29" s="7" t="str">
        <f t="shared" si="2"/>
        <v/>
      </c>
      <c r="D29" s="23">
        <f t="shared" si="3"/>
        <v>0</v>
      </c>
      <c r="E29" s="23">
        <f t="shared" si="4"/>
        <v>0</v>
      </c>
      <c r="F29" s="23">
        <f t="shared" si="5"/>
        <v>0</v>
      </c>
      <c r="G29" s="23">
        <f t="shared" si="6"/>
        <v>0</v>
      </c>
      <c r="H29" s="23">
        <f t="shared" si="7"/>
        <v>0</v>
      </c>
    </row>
    <row r="30" spans="1:15">
      <c r="B30" s="34">
        <v>4</v>
      </c>
      <c r="C30" s="7" t="str">
        <f t="shared" si="2"/>
        <v/>
      </c>
      <c r="D30" s="23">
        <f t="shared" si="3"/>
        <v>0</v>
      </c>
      <c r="E30" s="23">
        <f t="shared" si="4"/>
        <v>0</v>
      </c>
      <c r="F30" s="23">
        <f t="shared" si="5"/>
        <v>0</v>
      </c>
      <c r="G30" s="23">
        <f t="shared" si="6"/>
        <v>0</v>
      </c>
      <c r="H30" s="23">
        <f t="shared" si="7"/>
        <v>0</v>
      </c>
    </row>
    <row r="31" spans="1:15">
      <c r="B31" s="34">
        <v>5</v>
      </c>
      <c r="C31" s="7" t="str">
        <f t="shared" si="2"/>
        <v/>
      </c>
      <c r="D31" s="23">
        <f t="shared" si="3"/>
        <v>0</v>
      </c>
      <c r="E31" s="23">
        <f t="shared" si="4"/>
        <v>0</v>
      </c>
      <c r="F31" s="23">
        <f t="shared" si="5"/>
        <v>0</v>
      </c>
      <c r="G31" s="23">
        <f t="shared" si="6"/>
        <v>0</v>
      </c>
      <c r="H31" s="23">
        <f t="shared" si="7"/>
        <v>0</v>
      </c>
    </row>
    <row r="32" spans="1:15">
      <c r="B32" s="34">
        <v>6</v>
      </c>
      <c r="C32" s="7" t="str">
        <f t="shared" si="2"/>
        <v/>
      </c>
      <c r="D32" s="23">
        <f t="shared" si="3"/>
        <v>0</v>
      </c>
      <c r="E32" s="23">
        <f t="shared" si="4"/>
        <v>0</v>
      </c>
      <c r="F32" s="23">
        <f t="shared" si="5"/>
        <v>0</v>
      </c>
      <c r="G32" s="23">
        <f t="shared" si="6"/>
        <v>0</v>
      </c>
      <c r="H32" s="23">
        <f t="shared" si="7"/>
        <v>0</v>
      </c>
    </row>
    <row r="33" spans="2:12" ht="24">
      <c r="C33" s="16" t="s">
        <v>271</v>
      </c>
      <c r="D33" s="11">
        <f>IF($E$12=0,0,SUMPRODUCT($E$6:$E$11,D27:D32)/$E$12)</f>
        <v>1</v>
      </c>
      <c r="E33" s="11">
        <f>IF($E$12=0,0,SUMPRODUCT($E$6:$E$11,E27:E32)/$E$12)</f>
        <v>1</v>
      </c>
      <c r="F33" s="11">
        <f>IF($E$12=0,0,SUMPRODUCT($E$6:$E$11,F27:F32)/$E$12)</f>
        <v>1</v>
      </c>
      <c r="G33" s="11">
        <f>IF($E$12=0,0,SUMPRODUCT($E$6:$E$11,G27:G32)/$E$12)</f>
        <v>1</v>
      </c>
      <c r="H33" s="11">
        <f>IF($E$12=0,0,SUMPRODUCT($E$6:$E$11,H27:H32)/$E$12)</f>
        <v>1</v>
      </c>
    </row>
    <row r="34" spans="2:12" ht="25.5" customHeight="1">
      <c r="B34" s="64" t="s">
        <v>272</v>
      </c>
      <c r="C34" s="64"/>
      <c r="D34" s="64"/>
      <c r="E34" s="64"/>
      <c r="F34" s="64"/>
      <c r="G34" s="64"/>
      <c r="H34" s="64"/>
      <c r="I34" s="64"/>
      <c r="J34" s="64"/>
      <c r="K34" s="64"/>
      <c r="L34" s="64"/>
    </row>
  </sheetData>
  <mergeCells count="6">
    <mergeCell ref="B34:L34"/>
    <mergeCell ref="A1:L1"/>
    <mergeCell ref="A2:L2"/>
    <mergeCell ref="A4:H4"/>
    <mergeCell ref="A15:L15"/>
    <mergeCell ref="A25:L2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3"/>
  <sheetViews>
    <sheetView topLeftCell="A13" zoomScaleNormal="100" workbookViewId="0">
      <selection activeCell="C24" sqref="C24:C27"/>
    </sheetView>
  </sheetViews>
  <sheetFormatPr defaultColWidth="8.6328125" defaultRowHeight="14.5"/>
  <cols>
    <col min="1" max="1" width="2.453125" customWidth="1"/>
    <col min="2" max="2" width="26" customWidth="1"/>
    <col min="3" max="3" width="17" customWidth="1"/>
    <col min="4" max="9" width="11" customWidth="1"/>
    <col min="10" max="10" width="12" customWidth="1"/>
    <col min="11" max="11" width="3" customWidth="1"/>
    <col min="12" max="12" width="72" customWidth="1"/>
  </cols>
  <sheetData>
    <row r="1" spans="1:12" ht="25.5" customHeight="1">
      <c r="A1" s="59" t="s">
        <v>273</v>
      </c>
      <c r="B1" s="59"/>
      <c r="C1" s="59"/>
      <c r="D1" s="59"/>
      <c r="E1" s="59"/>
      <c r="F1" s="59"/>
      <c r="G1" s="59"/>
      <c r="H1" s="59"/>
      <c r="I1" s="59"/>
      <c r="J1" s="59"/>
      <c r="K1" s="59"/>
    </row>
    <row r="2" spans="1:12" ht="15" customHeight="1">
      <c r="A2" s="60" t="s">
        <v>274</v>
      </c>
      <c r="B2" s="60"/>
      <c r="C2" s="60"/>
      <c r="D2" s="60"/>
      <c r="E2" s="60"/>
      <c r="F2" s="60"/>
      <c r="G2" s="60"/>
      <c r="H2" s="60"/>
      <c r="I2" s="60"/>
      <c r="J2" s="60"/>
      <c r="K2" s="60"/>
    </row>
    <row r="4" spans="1:12" ht="17.25" customHeight="1">
      <c r="A4" s="63" t="s">
        <v>275</v>
      </c>
      <c r="B4" s="63"/>
      <c r="C4" s="63"/>
      <c r="D4" s="63"/>
      <c r="E4" s="63"/>
      <c r="F4" s="63"/>
      <c r="G4" s="63"/>
      <c r="H4" s="63"/>
      <c r="I4" s="63"/>
      <c r="J4" s="63"/>
    </row>
    <row r="5" spans="1:12">
      <c r="B5" s="6" t="s">
        <v>102</v>
      </c>
      <c r="C5" s="6" t="s">
        <v>105</v>
      </c>
      <c r="D5" s="6" t="s">
        <v>86</v>
      </c>
      <c r="E5" s="6" t="s">
        <v>88</v>
      </c>
      <c r="F5" s="6" t="s">
        <v>90</v>
      </c>
      <c r="G5" s="6" t="s">
        <v>92</v>
      </c>
      <c r="H5" s="6" t="s">
        <v>94</v>
      </c>
      <c r="I5" s="6" t="s">
        <v>96</v>
      </c>
    </row>
    <row r="6" spans="1:12">
      <c r="B6" s="14" t="s">
        <v>108</v>
      </c>
      <c r="C6" s="21">
        <f>'Logic Tree'!$E$32</f>
        <v>0</v>
      </c>
      <c r="D6" s="22">
        <f>SUMPRODUCT('Rates &amp; Tables'!$C$17:$H$17,'Rates &amp; Tables'!$C$6:$H$6)</f>
        <v>0.34499999999999997</v>
      </c>
      <c r="E6" s="22">
        <f>SUMPRODUCT('Rates &amp; Tables'!$C$18:$H$18,'Rates &amp; Tables'!$C$6:$H$6)</f>
        <v>0.45999999999999996</v>
      </c>
      <c r="F6" s="22">
        <f>SUMPRODUCT('Rates &amp; Tables'!$C$19:$H$19,'Rates &amp; Tables'!$C$6:$H$6)</f>
        <v>0.54</v>
      </c>
      <c r="G6" s="22">
        <f>SUMPRODUCT('Rates &amp; Tables'!$C$20:$H$20,'Rates &amp; Tables'!$C$6:$H$6)</f>
        <v>0.42500000000000004</v>
      </c>
      <c r="H6" s="22">
        <f>SUMPRODUCT('Rates &amp; Tables'!$C$21:$H$21,'Rates &amp; Tables'!$C$6:$H$6)</f>
        <v>0.39000000000000007</v>
      </c>
      <c r="I6" s="22">
        <f>SUMPRODUCT('Rates &amp; Tables'!$C$22:$H$22,'Rates &amp; Tables'!$C$6:$H$6)</f>
        <v>0.35499999999999998</v>
      </c>
    </row>
    <row r="7" spans="1:12">
      <c r="B7" s="14" t="s">
        <v>109</v>
      </c>
      <c r="C7" s="21">
        <f>'Logic Tree'!$E$33</f>
        <v>0</v>
      </c>
      <c r="D7" s="22">
        <f>SUMPRODUCT('Rates &amp; Tables'!$C$17:$H$17,'Rates &amp; Tables'!$C$7:$H$7)</f>
        <v>0.32099999999999995</v>
      </c>
      <c r="E7" s="22">
        <f>SUMPRODUCT('Rates &amp; Tables'!$C$18:$H$18,'Rates &amp; Tables'!$C$7:$H$7)</f>
        <v>0.21399999999999997</v>
      </c>
      <c r="F7" s="22">
        <f>SUMPRODUCT('Rates &amp; Tables'!$C$19:$H$19,'Rates &amp; Tables'!$C$7:$H$7)</f>
        <v>0.38500000000000006</v>
      </c>
      <c r="G7" s="22">
        <f>SUMPRODUCT('Rates &amp; Tables'!$C$20:$H$20,'Rates &amp; Tables'!$C$7:$H$7)</f>
        <v>0.316</v>
      </c>
      <c r="H7" s="22">
        <f>SUMPRODUCT('Rates &amp; Tables'!$C$21:$H$21,'Rates &amp; Tables'!$C$7:$H$7)</f>
        <v>0.32600000000000001</v>
      </c>
      <c r="I7" s="22">
        <f>SUMPRODUCT('Rates &amp; Tables'!$C$22:$H$22,'Rates &amp; Tables'!$C$7:$H$7)</f>
        <v>0.251</v>
      </c>
    </row>
    <row r="8" spans="1:12">
      <c r="B8" s="14" t="s">
        <v>110</v>
      </c>
      <c r="C8" s="21">
        <f>'Logic Tree'!$E$34</f>
        <v>0</v>
      </c>
      <c r="D8" s="22">
        <f>SUMPRODUCT('Rates &amp; Tables'!$C$17:$H$17,'Rates &amp; Tables'!$C$8:$H$8)</f>
        <v>0.34499999999999997</v>
      </c>
      <c r="E8" s="22">
        <f>SUMPRODUCT('Rates &amp; Tables'!$C$18:$H$18,'Rates &amp; Tables'!$C$8:$H$8)</f>
        <v>0.5</v>
      </c>
      <c r="F8" s="22">
        <f>SUMPRODUCT('Rates &amp; Tables'!$C$19:$H$19,'Rates &amp; Tables'!$C$8:$H$8)</f>
        <v>0.59000000000000008</v>
      </c>
      <c r="G8" s="22">
        <f>SUMPRODUCT('Rates &amp; Tables'!$C$20:$H$20,'Rates &amp; Tables'!$C$8:$H$8)</f>
        <v>0.43500000000000005</v>
      </c>
      <c r="H8" s="22">
        <f>SUMPRODUCT('Rates &amp; Tables'!$C$21:$H$21,'Rates &amp; Tables'!$C$8:$H$8)</f>
        <v>0.39000000000000007</v>
      </c>
      <c r="I8" s="22">
        <f>SUMPRODUCT('Rates &amp; Tables'!$C$22:$H$22,'Rates &amp; Tables'!$C$8:$H$8)</f>
        <v>0.36499999999999999</v>
      </c>
    </row>
    <row r="9" spans="1:12">
      <c r="B9" s="14" t="s">
        <v>111</v>
      </c>
      <c r="C9" s="21">
        <f>'Logic Tree'!$E$35</f>
        <v>0.93901637710898134</v>
      </c>
      <c r="D9" s="22">
        <f>SUMPRODUCT('Rates &amp; Tables'!$C$17:$H$17,'Rates &amp; Tables'!$C$9:$H$9)</f>
        <v>0.34499999999999997</v>
      </c>
      <c r="E9" s="22">
        <f>SUMPRODUCT('Rates &amp; Tables'!$C$18:$H$18,'Rates &amp; Tables'!$C$9:$H$9)</f>
        <v>0.5</v>
      </c>
      <c r="F9" s="22">
        <f>SUMPRODUCT('Rates &amp; Tables'!$C$19:$H$19,'Rates &amp; Tables'!$C$9:$H$9)</f>
        <v>0.59000000000000008</v>
      </c>
      <c r="G9" s="22">
        <f>SUMPRODUCT('Rates &amp; Tables'!$C$20:$H$20,'Rates &amp; Tables'!$C$9:$H$9)</f>
        <v>0.43500000000000005</v>
      </c>
      <c r="H9" s="22">
        <f>SUMPRODUCT('Rates &amp; Tables'!$C$21:$H$21,'Rates &amp; Tables'!$C$9:$H$9)</f>
        <v>0.39000000000000007</v>
      </c>
      <c r="I9" s="22">
        <f>SUMPRODUCT('Rates &amp; Tables'!$C$22:$H$22,'Rates &amp; Tables'!$C$9:$H$9)</f>
        <v>0.36499999999999999</v>
      </c>
    </row>
    <row r="10" spans="1:12">
      <c r="B10" s="14" t="s">
        <v>112</v>
      </c>
      <c r="C10" s="21">
        <f>'Logic Tree'!$E$36</f>
        <v>0</v>
      </c>
      <c r="D10" s="22">
        <f>SUMPRODUCT('Rates &amp; Tables'!$C$17:$H$17,'Rates &amp; Tables'!$C$10:$H$10)</f>
        <v>0.224</v>
      </c>
      <c r="E10" s="22">
        <f>SUMPRODUCT('Rates &amp; Tables'!$C$18:$H$18,'Rates &amp; Tables'!$C$10:$H$10)</f>
        <v>0.29900000000000004</v>
      </c>
      <c r="F10" s="22">
        <f>SUMPRODUCT('Rates &amp; Tables'!$C$19:$H$19,'Rates &amp; Tables'!$C$10:$H$10)</f>
        <v>0.372</v>
      </c>
      <c r="G10" s="22">
        <f>SUMPRODUCT('Rates &amp; Tables'!$C$20:$H$20,'Rates &amp; Tables'!$C$10:$H$10)</f>
        <v>0.31</v>
      </c>
      <c r="H10" s="22">
        <f>SUMPRODUCT('Rates &amp; Tables'!$C$21:$H$21,'Rates &amp; Tables'!$C$10:$H$10)</f>
        <v>0.28399999999999997</v>
      </c>
      <c r="I10" s="22">
        <f>SUMPRODUCT('Rates &amp; Tables'!$C$22:$H$22,'Rates &amp; Tables'!$C$10:$H$10)</f>
        <v>0.245</v>
      </c>
    </row>
    <row r="11" spans="1:12">
      <c r="B11" s="14" t="s">
        <v>113</v>
      </c>
      <c r="C11" s="21">
        <f>'Logic Tree'!$E$37</f>
        <v>6.0983622891018677E-2</v>
      </c>
      <c r="D11" s="22">
        <f>SUMPRODUCT('Rates &amp; Tables'!$C$17:$H$17,'Rates &amp; Tables'!$C$11:$H$11)</f>
        <v>0.30499999999999999</v>
      </c>
      <c r="E11" s="22">
        <f>SUMPRODUCT('Rates &amp; Tables'!$C$18:$H$18,'Rates &amp; Tables'!$C$11:$H$11)</f>
        <v>0.37999999999999995</v>
      </c>
      <c r="F11" s="22">
        <f>SUMPRODUCT('Rates &amp; Tables'!$C$19:$H$19,'Rates &amp; Tables'!$C$11:$H$11)</f>
        <v>0.44500000000000006</v>
      </c>
      <c r="G11" s="22">
        <f>SUMPRODUCT('Rates &amp; Tables'!$C$20:$H$20,'Rates &amp; Tables'!$C$11:$H$11)</f>
        <v>0.44500000000000006</v>
      </c>
      <c r="H11" s="22">
        <f>SUMPRODUCT('Rates &amp; Tables'!$C$21:$H$21,'Rates &amp; Tables'!$C$11:$H$11)</f>
        <v>0.42000000000000004</v>
      </c>
      <c r="I11" s="22">
        <f>SUMPRODUCT('Rates &amp; Tables'!$C$22:$H$22,'Rates &amp; Tables'!$C$11:$H$11)</f>
        <v>0.33</v>
      </c>
    </row>
    <row r="12" spans="1:12" ht="33">
      <c r="B12" s="16" t="s">
        <v>276</v>
      </c>
      <c r="D12" s="24">
        <f t="shared" ref="D12:I12" si="0">SUMPRODUCT($C$6:$C$11,D6:D11)</f>
        <v>0.34256065508435923</v>
      </c>
      <c r="E12" s="24">
        <f t="shared" si="0"/>
        <v>0.49268196525307778</v>
      </c>
      <c r="F12" s="24">
        <f t="shared" si="0"/>
        <v>0.58115737468080231</v>
      </c>
      <c r="G12" s="24">
        <f t="shared" si="0"/>
        <v>0.43560983622891025</v>
      </c>
      <c r="H12" s="24">
        <f t="shared" si="0"/>
        <v>0.39182950868673067</v>
      </c>
      <c r="I12" s="24">
        <f t="shared" si="0"/>
        <v>0.36286557319881435</v>
      </c>
      <c r="L12" s="2" t="s">
        <v>277</v>
      </c>
    </row>
    <row r="14" spans="1:12" ht="15" customHeight="1">
      <c r="A14" s="63" t="s">
        <v>278</v>
      </c>
      <c r="B14" s="63"/>
      <c r="C14" s="63"/>
      <c r="D14" s="63"/>
      <c r="E14" s="63"/>
      <c r="F14" s="63"/>
      <c r="G14" s="63"/>
      <c r="H14" s="63"/>
      <c r="I14" s="63"/>
      <c r="J14" s="63"/>
    </row>
    <row r="15" spans="1:12">
      <c r="B15" s="6" t="s">
        <v>157</v>
      </c>
      <c r="C15" s="6"/>
      <c r="D15" s="6" t="s">
        <v>86</v>
      </c>
      <c r="E15" s="6" t="s">
        <v>88</v>
      </c>
      <c r="F15" s="6" t="s">
        <v>90</v>
      </c>
      <c r="G15" s="6" t="s">
        <v>92</v>
      </c>
      <c r="H15" s="6" t="s">
        <v>94</v>
      </c>
      <c r="I15" s="6" t="s">
        <v>96</v>
      </c>
      <c r="J15" s="6" t="s">
        <v>279</v>
      </c>
    </row>
    <row r="16" spans="1:12">
      <c r="B16" s="14" t="s">
        <v>162</v>
      </c>
      <c r="D16" s="38">
        <v>0.1216</v>
      </c>
      <c r="E16" s="38">
        <v>0.45760000000000001</v>
      </c>
      <c r="F16" s="38">
        <v>0.28689999999999999</v>
      </c>
      <c r="G16" s="38">
        <v>7.7700000000000005E-2</v>
      </c>
      <c r="H16" s="38">
        <v>3.3500000000000002E-2</v>
      </c>
      <c r="I16" s="38">
        <v>2.2700000000000001E-2</v>
      </c>
      <c r="J16" s="39">
        <f>SUM(D16:I16)</f>
        <v>1</v>
      </c>
      <c r="L16" s="2" t="s">
        <v>280</v>
      </c>
    </row>
    <row r="17" spans="1:12">
      <c r="B17" s="14" t="s">
        <v>164</v>
      </c>
      <c r="D17" s="38">
        <v>4.7600000000000003E-2</v>
      </c>
      <c r="E17" s="38">
        <v>0.68820000000000003</v>
      </c>
      <c r="F17" s="38">
        <v>0.12909999999999999</v>
      </c>
      <c r="G17" s="38">
        <v>0.1348</v>
      </c>
      <c r="H17" s="38">
        <v>4.0000000000000002E-4</v>
      </c>
      <c r="I17" s="38">
        <v>0</v>
      </c>
      <c r="J17" s="39">
        <f>SUM(D17:I17)</f>
        <v>1.0001</v>
      </c>
      <c r="L17" s="2" t="s">
        <v>281</v>
      </c>
    </row>
    <row r="18" spans="1:12">
      <c r="B18" s="14" t="s">
        <v>166</v>
      </c>
      <c r="D18" s="38">
        <v>0.40820000000000001</v>
      </c>
      <c r="E18" s="38">
        <v>0</v>
      </c>
      <c r="F18" s="38">
        <v>1.0200000000000001E-2</v>
      </c>
      <c r="G18" s="38">
        <v>0.1827</v>
      </c>
      <c r="H18" s="38">
        <v>0.3886</v>
      </c>
      <c r="I18" s="38">
        <v>1.0200000000000001E-2</v>
      </c>
      <c r="J18" s="39">
        <f>SUM(D18:I18)</f>
        <v>0.99990000000000001</v>
      </c>
      <c r="L18" s="2" t="s">
        <v>282</v>
      </c>
    </row>
    <row r="19" spans="1:12">
      <c r="B19" s="14" t="s">
        <v>168</v>
      </c>
      <c r="D19" s="38">
        <v>0</v>
      </c>
      <c r="E19" s="38">
        <v>0.74070000000000003</v>
      </c>
      <c r="F19" s="38">
        <v>0.25929999999999997</v>
      </c>
      <c r="G19" s="38">
        <v>0</v>
      </c>
      <c r="H19" s="38">
        <v>0</v>
      </c>
      <c r="I19" s="38">
        <v>0</v>
      </c>
      <c r="J19" s="39">
        <f>SUM(D19:I19)</f>
        <v>1</v>
      </c>
      <c r="L19" s="2" t="s">
        <v>283</v>
      </c>
    </row>
    <row r="20" spans="1:12" ht="30" customHeight="1">
      <c r="B20" s="64" t="s">
        <v>284</v>
      </c>
      <c r="C20" s="64"/>
      <c r="D20" s="64"/>
      <c r="E20" s="64"/>
      <c r="F20" s="64"/>
      <c r="G20" s="64"/>
      <c r="H20" s="64"/>
      <c r="I20" s="64"/>
      <c r="J20" s="64"/>
    </row>
    <row r="22" spans="1:12" ht="15" customHeight="1">
      <c r="A22" s="63" t="s">
        <v>285</v>
      </c>
      <c r="B22" s="63"/>
      <c r="C22" s="63"/>
      <c r="D22" s="63"/>
      <c r="E22" s="63"/>
      <c r="F22" s="63"/>
      <c r="G22" s="63"/>
      <c r="H22" s="63"/>
      <c r="I22" s="63"/>
      <c r="J22" s="63"/>
    </row>
    <row r="23" spans="1:12">
      <c r="B23" s="6" t="s">
        <v>157</v>
      </c>
      <c r="C23" s="6" t="s">
        <v>158</v>
      </c>
      <c r="D23" s="6" t="s">
        <v>86</v>
      </c>
      <c r="E23" s="6" t="s">
        <v>88</v>
      </c>
      <c r="F23" s="6" t="s">
        <v>90</v>
      </c>
      <c r="G23" s="6" t="s">
        <v>92</v>
      </c>
      <c r="H23" s="6" t="s">
        <v>94</v>
      </c>
      <c r="I23" s="6" t="s">
        <v>96</v>
      </c>
      <c r="J23" s="6" t="s">
        <v>286</v>
      </c>
    </row>
    <row r="24" spans="1:12">
      <c r="B24" s="14" t="s">
        <v>162</v>
      </c>
      <c r="C24" s="18">
        <f>'Logic Tree'!$C$63</f>
        <v>38.14779166666667</v>
      </c>
      <c r="D24" s="18">
        <f t="shared" ref="D24:I27" si="1">$C24*D16</f>
        <v>4.6387714666666673</v>
      </c>
      <c r="E24" s="18">
        <f t="shared" si="1"/>
        <v>17.45642946666667</v>
      </c>
      <c r="F24" s="18">
        <f t="shared" si="1"/>
        <v>10.944601429166667</v>
      </c>
      <c r="G24" s="18">
        <f t="shared" si="1"/>
        <v>2.9640834125000004</v>
      </c>
      <c r="H24" s="18">
        <f t="shared" si="1"/>
        <v>1.2779510208333336</v>
      </c>
      <c r="I24" s="18">
        <f t="shared" si="1"/>
        <v>0.86595487083333345</v>
      </c>
      <c r="J24" s="40">
        <f t="shared" ref="J24:J29" si="2">SUM(D24:I24)</f>
        <v>38.147791666666677</v>
      </c>
    </row>
    <row r="25" spans="1:12">
      <c r="B25" s="14" t="s">
        <v>164</v>
      </c>
      <c r="C25" s="18">
        <f>'Logic Tree'!$C$64</f>
        <v>0</v>
      </c>
      <c r="D25" s="18">
        <f t="shared" si="1"/>
        <v>0</v>
      </c>
      <c r="E25" s="18">
        <f t="shared" si="1"/>
        <v>0</v>
      </c>
      <c r="F25" s="18">
        <f t="shared" si="1"/>
        <v>0</v>
      </c>
      <c r="G25" s="18">
        <f t="shared" si="1"/>
        <v>0</v>
      </c>
      <c r="H25" s="18">
        <f t="shared" si="1"/>
        <v>0</v>
      </c>
      <c r="I25" s="18">
        <f t="shared" si="1"/>
        <v>0</v>
      </c>
      <c r="J25" s="40">
        <f t="shared" si="2"/>
        <v>0</v>
      </c>
    </row>
    <row r="26" spans="1:12">
      <c r="B26" s="14" t="s">
        <v>166</v>
      </c>
      <c r="C26" s="18">
        <f>'Logic Tree'!$C$65</f>
        <v>9.7791666666666615</v>
      </c>
      <c r="D26" s="18">
        <f t="shared" si="1"/>
        <v>3.9918558333333314</v>
      </c>
      <c r="E26" s="18">
        <f t="shared" si="1"/>
        <v>0</v>
      </c>
      <c r="F26" s="18">
        <f t="shared" si="1"/>
        <v>9.9747499999999947E-2</v>
      </c>
      <c r="G26" s="18">
        <f t="shared" si="1"/>
        <v>1.786653749999999</v>
      </c>
      <c r="H26" s="18">
        <f t="shared" si="1"/>
        <v>3.8001841666666647</v>
      </c>
      <c r="I26" s="18">
        <f t="shared" si="1"/>
        <v>9.9747499999999947E-2</v>
      </c>
      <c r="J26" s="40">
        <f t="shared" si="2"/>
        <v>9.7781887499999947</v>
      </c>
    </row>
    <row r="27" spans="1:12">
      <c r="B27" s="14" t="s">
        <v>168</v>
      </c>
      <c r="C27" s="18">
        <f>'Logic Tree'!$C$66</f>
        <v>0.58333333333333304</v>
      </c>
      <c r="D27" s="18">
        <f t="shared" si="1"/>
        <v>0</v>
      </c>
      <c r="E27" s="18">
        <f t="shared" si="1"/>
        <v>0.43207499999999982</v>
      </c>
      <c r="F27" s="18">
        <f t="shared" si="1"/>
        <v>0.15125833333333324</v>
      </c>
      <c r="G27" s="18">
        <f t="shared" si="1"/>
        <v>0</v>
      </c>
      <c r="H27" s="18">
        <f t="shared" si="1"/>
        <v>0</v>
      </c>
      <c r="I27" s="18">
        <f t="shared" si="1"/>
        <v>0</v>
      </c>
      <c r="J27" s="40">
        <f t="shared" si="2"/>
        <v>0.58333333333333304</v>
      </c>
    </row>
    <row r="28" spans="1:12">
      <c r="B28" s="16" t="s">
        <v>287</v>
      </c>
      <c r="D28" s="10">
        <f t="shared" ref="D28:I28" si="3">D24+D25</f>
        <v>4.6387714666666673</v>
      </c>
      <c r="E28" s="10">
        <f t="shared" si="3"/>
        <v>17.45642946666667</v>
      </c>
      <c r="F28" s="10">
        <f t="shared" si="3"/>
        <v>10.944601429166667</v>
      </c>
      <c r="G28" s="10">
        <f t="shared" si="3"/>
        <v>2.9640834125000004</v>
      </c>
      <c r="H28" s="10">
        <f t="shared" si="3"/>
        <v>1.2779510208333336</v>
      </c>
      <c r="I28" s="10">
        <f t="shared" si="3"/>
        <v>0.86595487083333345</v>
      </c>
      <c r="J28" s="10">
        <f t="shared" si="2"/>
        <v>38.147791666666677</v>
      </c>
    </row>
    <row r="29" spans="1:12" ht="24">
      <c r="B29" s="7" t="s">
        <v>288</v>
      </c>
      <c r="D29" s="18">
        <f>'Logic Tree'!$D$20</f>
        <v>0</v>
      </c>
      <c r="E29" s="18">
        <f>'Logic Tree'!$D$21</f>
        <v>37.693624999999969</v>
      </c>
      <c r="F29" s="18">
        <f>'Logic Tree'!$D$22</f>
        <v>0.25</v>
      </c>
      <c r="G29" s="18">
        <f>'Logic Tree'!$D$23</f>
        <v>0</v>
      </c>
      <c r="H29" s="18">
        <f>'Logic Tree'!$D$24</f>
        <v>0</v>
      </c>
      <c r="I29" s="18">
        <f>'Logic Tree'!$D$25</f>
        <v>0</v>
      </c>
      <c r="J29" s="18">
        <f t="shared" si="2"/>
        <v>37.943624999999969</v>
      </c>
    </row>
    <row r="30" spans="1:12">
      <c r="B30" s="12" t="s">
        <v>289</v>
      </c>
      <c r="D30" s="27">
        <f t="shared" ref="D30:I30" si="4">D28-D29</f>
        <v>4.6387714666666673</v>
      </c>
      <c r="E30" s="27">
        <f t="shared" si="4"/>
        <v>-20.237195533333299</v>
      </c>
      <c r="F30" s="27">
        <f t="shared" si="4"/>
        <v>10.694601429166667</v>
      </c>
      <c r="G30" s="27">
        <f t="shared" si="4"/>
        <v>2.9640834125000004</v>
      </c>
      <c r="H30" s="27">
        <f t="shared" si="4"/>
        <v>1.2779510208333336</v>
      </c>
      <c r="I30" s="27">
        <f t="shared" si="4"/>
        <v>0.86595487083333345</v>
      </c>
      <c r="J30" s="27">
        <f>D30+E30+F30+G30+H30+I30</f>
        <v>0.20416666666670358</v>
      </c>
    </row>
    <row r="31" spans="1:12">
      <c r="B31" s="7" t="s">
        <v>290</v>
      </c>
      <c r="C31" s="32">
        <f>MAX(ABS(D30),ABS(E30),ABS(F30),ABS(G30),ABS(H30),ABS(I30))</f>
        <v>20.237195533333299</v>
      </c>
    </row>
    <row r="32" spans="1:12" ht="36" customHeight="1">
      <c r="B32" s="64" t="s">
        <v>291</v>
      </c>
      <c r="C32" s="64"/>
      <c r="D32" s="64"/>
      <c r="E32" s="64"/>
      <c r="F32" s="64"/>
      <c r="G32" s="64"/>
      <c r="H32" s="64"/>
      <c r="I32" s="64"/>
      <c r="J32" s="64"/>
    </row>
    <row r="34" spans="1:12" ht="15" customHeight="1">
      <c r="A34" s="63" t="s">
        <v>292</v>
      </c>
      <c r="B34" s="63"/>
      <c r="C34" s="63"/>
      <c r="D34" s="63"/>
      <c r="E34" s="63"/>
      <c r="F34" s="63"/>
      <c r="G34" s="63"/>
      <c r="H34" s="63"/>
      <c r="I34" s="63"/>
      <c r="J34" s="63"/>
    </row>
    <row r="35" spans="1:12" ht="25.5" customHeight="1">
      <c r="B35" s="64" t="s">
        <v>293</v>
      </c>
      <c r="C35" s="64"/>
      <c r="D35" s="64"/>
      <c r="E35" s="64"/>
      <c r="F35" s="64"/>
      <c r="G35" s="64"/>
      <c r="H35" s="64"/>
      <c r="I35" s="64"/>
      <c r="J35" s="64"/>
    </row>
    <row r="39" spans="1:12" ht="22">
      <c r="B39" s="6" t="s">
        <v>157</v>
      </c>
      <c r="C39" s="6" t="s">
        <v>294</v>
      </c>
      <c r="D39" s="6" t="s">
        <v>295</v>
      </c>
      <c r="E39" s="6" t="s">
        <v>160</v>
      </c>
      <c r="F39" s="6" t="s">
        <v>296</v>
      </c>
      <c r="G39" s="6"/>
      <c r="H39" s="6"/>
      <c r="I39" s="6"/>
      <c r="J39" s="6"/>
      <c r="K39" s="6"/>
      <c r="L39" s="6" t="s">
        <v>297</v>
      </c>
    </row>
    <row r="40" spans="1:12" ht="33">
      <c r="B40" s="14" t="s">
        <v>162</v>
      </c>
      <c r="C40" s="41" t="str">
        <f>INDEX($D$15:$I$15,MATCH(MAX(D16:I16),D16:I16,0))&amp;" "&amp;TEXT(MAX(D16:I16),"0%")</f>
        <v>Developer 46%</v>
      </c>
      <c r="D40" s="24">
        <f>SUMPRODUCT($D$12:$I$12,D16:I16)</f>
        <v>0.4890509150815936</v>
      </c>
      <c r="E40" s="23">
        <f>'Rates &amp; Tables'!$C$36</f>
        <v>1</v>
      </c>
      <c r="F40" s="24">
        <f>D40*E40</f>
        <v>0.4890509150815936</v>
      </c>
      <c r="L40" s="2" t="s">
        <v>298</v>
      </c>
    </row>
    <row r="41" spans="1:12">
      <c r="B41" s="14" t="s">
        <v>164</v>
      </c>
      <c r="C41" s="41" t="str">
        <f>INDEX($D$15:$I$15,MATCH(MAX(D17:I17),D17:I17,0))&amp;" "&amp;TEXT(MAX(D17:I17),"0%")</f>
        <v>Developer 69%</v>
      </c>
      <c r="D41" s="24">
        <f>SUMPRODUCT($D$12:$I$12,D17:I17)</f>
        <v>0.48927397046760701</v>
      </c>
      <c r="E41" s="23">
        <f>'Rates &amp; Tables'!$C$37</f>
        <v>0.85</v>
      </c>
      <c r="F41" s="24">
        <f>D41*E41</f>
        <v>0.41588287489746595</v>
      </c>
    </row>
    <row r="42" spans="1:12">
      <c r="B42" s="14" t="s">
        <v>166</v>
      </c>
      <c r="C42" s="41" t="str">
        <f>INDEX($D$15:$I$15,MATCH(MAX(D18:I18),D18:I18,0))&amp;" "&amp;TEXT(MAX(D18:I18),"0%")</f>
        <v>BSA 41%</v>
      </c>
      <c r="D42" s="24">
        <f>SUMPRODUCT($D$12:$I$12,D18:I18)</f>
        <v>0.38131315762849299</v>
      </c>
      <c r="E42" s="23">
        <f>'Rates &amp; Tables'!$C$38</f>
        <v>0.55000000000000004</v>
      </c>
      <c r="F42" s="24">
        <f>D42*E42</f>
        <v>0.20972223669567117</v>
      </c>
    </row>
    <row r="43" spans="1:12">
      <c r="B43" s="14" t="s">
        <v>168</v>
      </c>
      <c r="C43" s="41" t="str">
        <f>INDEX($D$15:$I$15,MATCH(MAX(D19:I19),D19:I19,0))&amp;" "&amp;TEXT(MAX(D19:I19),"0%")</f>
        <v>Developer 74%</v>
      </c>
      <c r="D43" s="24">
        <f>SUMPRODUCT($D$12:$I$12,D19:I19)</f>
        <v>0.5156236389176867</v>
      </c>
      <c r="E43" s="23">
        <f>'Rates &amp; Tables'!$C$39</f>
        <v>0.8</v>
      </c>
      <c r="F43" s="24">
        <f>D43*E43</f>
        <v>0.41249891113414938</v>
      </c>
    </row>
  </sheetData>
  <mergeCells count="9">
    <mergeCell ref="A22:J22"/>
    <mergeCell ref="B32:J32"/>
    <mergeCell ref="A34:J34"/>
    <mergeCell ref="B35:J35"/>
    <mergeCell ref="A1:K1"/>
    <mergeCell ref="A2:K2"/>
    <mergeCell ref="A4:J4"/>
    <mergeCell ref="A14:J14"/>
    <mergeCell ref="B20:J2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3"/>
  <sheetViews>
    <sheetView topLeftCell="A9" zoomScaleNormal="100" workbookViewId="0">
      <selection sqref="A1:I1"/>
    </sheetView>
  </sheetViews>
  <sheetFormatPr defaultColWidth="8.6328125" defaultRowHeight="14.5"/>
  <cols>
    <col min="1" max="1" width="2.453125" customWidth="1"/>
    <col min="2" max="2" width="44" customWidth="1"/>
    <col min="3" max="5" width="14" customWidth="1"/>
    <col min="6" max="6" width="3" customWidth="1"/>
    <col min="7" max="7" width="74" customWidth="1"/>
  </cols>
  <sheetData>
    <row r="1" spans="1:9" ht="25.5" customHeight="1">
      <c r="A1" s="59" t="s">
        <v>299</v>
      </c>
      <c r="B1" s="59"/>
      <c r="C1" s="59"/>
      <c r="D1" s="59"/>
      <c r="E1" s="59"/>
      <c r="F1" s="59"/>
      <c r="G1" s="59"/>
      <c r="H1" s="59"/>
      <c r="I1" s="59"/>
    </row>
    <row r="2" spans="1:9" ht="15" customHeight="1">
      <c r="A2" s="60" t="s">
        <v>300</v>
      </c>
      <c r="B2" s="60"/>
      <c r="C2" s="60"/>
      <c r="D2" s="60"/>
      <c r="E2" s="60"/>
      <c r="F2" s="60"/>
      <c r="G2" s="60"/>
      <c r="H2" s="60"/>
      <c r="I2" s="60"/>
    </row>
    <row r="4" spans="1:9" ht="15" customHeight="1">
      <c r="A4" s="63" t="s">
        <v>301</v>
      </c>
      <c r="B4" s="63"/>
      <c r="C4" s="63"/>
      <c r="D4" s="63"/>
      <c r="E4" s="63"/>
      <c r="F4" s="63"/>
      <c r="G4" s="63"/>
    </row>
    <row r="5" spans="1:9">
      <c r="B5" s="6" t="s">
        <v>7</v>
      </c>
      <c r="C5" s="6" t="s">
        <v>302</v>
      </c>
      <c r="D5" s="6" t="s">
        <v>303</v>
      </c>
      <c r="E5" s="6"/>
      <c r="F5" s="6"/>
      <c r="G5" s="6" t="s">
        <v>85</v>
      </c>
    </row>
    <row r="6" spans="1:9">
      <c r="B6" s="7" t="s">
        <v>304</v>
      </c>
      <c r="C6" s="15">
        <f>SUMIFS('Inventory v5'!$AE$5:$AE$146,'Inventory v5'!$D$5:$D$146,'START HERE'!$C$5)</f>
        <v>0</v>
      </c>
      <c r="D6" s="30">
        <f>IF('Logic Tree'!$C$6=0,0,C6/'Logic Tree'!$C$6)</f>
        <v>0</v>
      </c>
      <c r="G6" s="2" t="s">
        <v>305</v>
      </c>
    </row>
    <row r="7" spans="1:9">
      <c r="B7" s="7" t="s">
        <v>306</v>
      </c>
      <c r="C7" s="15">
        <f>SUMIFS('Inventory v5'!$AF$5:$AF$146,'Inventory v5'!$D$5:$D$146,'START HERE'!$C$5)</f>
        <v>0</v>
      </c>
      <c r="D7" s="30">
        <f>IF('Logic Tree'!$C$6=0,0,C7/'Logic Tree'!$C$6)</f>
        <v>0</v>
      </c>
      <c r="G7" s="2" t="s">
        <v>307</v>
      </c>
    </row>
    <row r="8" spans="1:9">
      <c r="B8" s="7" t="s">
        <v>308</v>
      </c>
      <c r="C8" s="15">
        <f>SUMIFS('Inventory v5'!$AG$5:$AG$146,'Inventory v5'!$D$5:$D$146,'START HERE'!$C$5)</f>
        <v>46</v>
      </c>
      <c r="D8" s="30">
        <f>IF('Logic Tree'!$C$6=0,0,C8/'Logic Tree'!$C$6)</f>
        <v>9.1999999999999993</v>
      </c>
      <c r="G8" s="2" t="s">
        <v>309</v>
      </c>
    </row>
    <row r="9" spans="1:9">
      <c r="B9" s="7" t="s">
        <v>310</v>
      </c>
      <c r="C9" s="15">
        <f>SUMIFS('Inventory v5'!$AH$5:$AH$146,'Inventory v5'!$D$5:$D$146,'START HERE'!$C$5)</f>
        <v>143</v>
      </c>
      <c r="D9" s="30">
        <f>IF('Logic Tree'!$C$6=0,0,C9/'Logic Tree'!$C$6)</f>
        <v>28.6</v>
      </c>
      <c r="G9" s="2"/>
    </row>
    <row r="10" spans="1:9">
      <c r="B10" s="7" t="s">
        <v>311</v>
      </c>
      <c r="C10" s="15">
        <f>SUMIFS('Inventory v5'!$AI$5:$AI$146,'Inventory v5'!$D$5:$D$146,'START HERE'!$C$5)</f>
        <v>244</v>
      </c>
      <c r="D10" s="30">
        <f>IF('Logic Tree'!$C$6=0,0,C10/'Logic Tree'!$C$6)</f>
        <v>48.8</v>
      </c>
      <c r="G10" s="2" t="s">
        <v>312</v>
      </c>
    </row>
    <row r="12" spans="1:9">
      <c r="B12" s="7" t="s">
        <v>313</v>
      </c>
      <c r="C12" s="15">
        <f>SUMIFS('Inventory v5'!$AJ$5:$AJ$146,'Inventory v5'!$D$5:$D$146,'START HERE'!$C$5)</f>
        <v>39</v>
      </c>
      <c r="D12" s="30">
        <f>IF('Logic Tree'!$C$6=0,0,C12/'Logic Tree'!$C$6)</f>
        <v>7.8</v>
      </c>
      <c r="G12" s="2" t="s">
        <v>314</v>
      </c>
    </row>
    <row r="13" spans="1:9">
      <c r="B13" s="7" t="s">
        <v>315</v>
      </c>
      <c r="C13" s="15">
        <f>SUMIFS('Inventory v5'!$AK$5:$AK$146,'Inventory v5'!$D$5:$D$146,'START HERE'!$C$5)</f>
        <v>117</v>
      </c>
      <c r="D13" s="30">
        <f>IF('Logic Tree'!$C$6=0,0,C13/'Logic Tree'!$C$6)</f>
        <v>23.4</v>
      </c>
      <c r="G13" s="2"/>
    </row>
    <row r="14" spans="1:9">
      <c r="B14" s="7" t="s">
        <v>316</v>
      </c>
      <c r="C14" s="15">
        <f>SUMIFS('Inventory v5'!$AL$5:$AL$146,'Inventory v5'!$D$5:$D$146,'START HERE'!$C$5)</f>
        <v>1184</v>
      </c>
      <c r="D14" s="30">
        <f>IF('Logic Tree'!$C$6=0,0,C14/'Logic Tree'!$C$6)</f>
        <v>236.8</v>
      </c>
      <c r="G14" s="2" t="s">
        <v>317</v>
      </c>
    </row>
    <row r="16" spans="1:9">
      <c r="B16" s="16" t="s">
        <v>318</v>
      </c>
      <c r="C16" s="8">
        <f>SUM(C6:C10)</f>
        <v>433</v>
      </c>
    </row>
    <row r="17" spans="1:7">
      <c r="B17" s="16" t="s">
        <v>319</v>
      </c>
      <c r="C17" s="8">
        <f>SUM(C12:C14)</f>
        <v>1340</v>
      </c>
    </row>
    <row r="18" spans="1:7" ht="22">
      <c r="B18" s="7" t="s">
        <v>320</v>
      </c>
      <c r="C18" s="21">
        <f>IF(C16=0,0,(C6+C7)/C16)</f>
        <v>0</v>
      </c>
      <c r="G18" s="2" t="s">
        <v>321</v>
      </c>
    </row>
    <row r="20" spans="1:7" ht="15" customHeight="1">
      <c r="A20" s="63" t="s">
        <v>322</v>
      </c>
      <c r="B20" s="63"/>
      <c r="C20" s="63"/>
      <c r="D20" s="63"/>
      <c r="E20" s="63"/>
      <c r="F20" s="63"/>
      <c r="G20" s="63"/>
    </row>
    <row r="21" spans="1:7">
      <c r="B21" s="6" t="s">
        <v>119</v>
      </c>
      <c r="C21" s="6" t="s">
        <v>8</v>
      </c>
      <c r="D21" s="6"/>
      <c r="E21" s="6"/>
      <c r="F21" s="6"/>
      <c r="G21" s="6" t="s">
        <v>85</v>
      </c>
    </row>
    <row r="22" spans="1:7" ht="25.5" customHeight="1">
      <c r="B22" s="7" t="s">
        <v>323</v>
      </c>
      <c r="C22" s="42">
        <v>3.5</v>
      </c>
      <c r="G22" s="2" t="s">
        <v>324</v>
      </c>
    </row>
    <row r="23" spans="1:7" ht="25.5" customHeight="1">
      <c r="B23" s="7" t="s">
        <v>325</v>
      </c>
      <c r="C23" s="42">
        <v>5</v>
      </c>
      <c r="G23" s="2" t="s">
        <v>326</v>
      </c>
    </row>
    <row r="24" spans="1:7" ht="25.5" customHeight="1">
      <c r="B24" s="7" t="s">
        <v>327</v>
      </c>
      <c r="C24" s="42">
        <v>1500</v>
      </c>
      <c r="G24" s="2" t="s">
        <v>328</v>
      </c>
    </row>
    <row r="25" spans="1:7" ht="25.5" customHeight="1">
      <c r="B25" s="7" t="s">
        <v>329</v>
      </c>
      <c r="C25" s="33">
        <v>0.7</v>
      </c>
      <c r="G25" s="2" t="s">
        <v>330</v>
      </c>
    </row>
    <row r="26" spans="1:7" ht="22">
      <c r="B26" s="16" t="s">
        <v>331</v>
      </c>
      <c r="C26" s="10">
        <f>IF(C24=0,0,(C16*C22+C17*C23)/C24)</f>
        <v>5.4770000000000003</v>
      </c>
      <c r="G26" s="2" t="s">
        <v>332</v>
      </c>
    </row>
    <row r="27" spans="1:7">
      <c r="B27" s="7" t="s">
        <v>333</v>
      </c>
      <c r="C27" s="18">
        <f>C26*C25</f>
        <v>3.8338999999999999</v>
      </c>
    </row>
    <row r="29" spans="1:7" ht="15" customHeight="1">
      <c r="A29" s="63" t="s">
        <v>334</v>
      </c>
      <c r="B29" s="63"/>
      <c r="C29" s="63"/>
      <c r="D29" s="63"/>
      <c r="E29" s="63"/>
      <c r="F29" s="63"/>
      <c r="G29" s="63"/>
    </row>
    <row r="30" spans="1:7">
      <c r="B30" s="6" t="s">
        <v>335</v>
      </c>
      <c r="C30" s="6" t="s">
        <v>336</v>
      </c>
      <c r="D30" s="6"/>
      <c r="E30" s="6"/>
      <c r="F30" s="6"/>
      <c r="G30" s="6" t="s">
        <v>337</v>
      </c>
    </row>
    <row r="31" spans="1:7">
      <c r="B31" s="7" t="s">
        <v>338</v>
      </c>
      <c r="C31" s="17">
        <f>'Logic Tree'!$D$23</f>
        <v>0</v>
      </c>
      <c r="G31" s="2" t="s">
        <v>339</v>
      </c>
    </row>
    <row r="32" spans="1:7" ht="22">
      <c r="B32" s="7" t="s">
        <v>340</v>
      </c>
      <c r="C32" s="17">
        <f>'Logic Tree'!$C$7-SUMPRODUCT(('Inventory v5'!$D$5:$D$146='START HERE'!$C$5)*'Inventory v5'!$J$5:$J$146*'Inventory v5'!$W$5:$W$146)</f>
        <v>5.3916666666666799</v>
      </c>
      <c r="G32" s="2" t="s">
        <v>341</v>
      </c>
    </row>
    <row r="33" spans="2:7" ht="30" customHeight="1">
      <c r="B33" s="12" t="s">
        <v>342</v>
      </c>
      <c r="C33" s="20">
        <f>C32-C31</f>
        <v>5.3916666666666799</v>
      </c>
      <c r="G33" s="2" t="s">
        <v>343</v>
      </c>
    </row>
  </sheetData>
  <mergeCells count="5">
    <mergeCell ref="A1:I1"/>
    <mergeCell ref="A2:I2"/>
    <mergeCell ref="A4:G4"/>
    <mergeCell ref="A20:G20"/>
    <mergeCell ref="A29:G2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424"/>
  <sheetViews>
    <sheetView zoomScaleNormal="100" workbookViewId="0">
      <pane xSplit="1" ySplit="4" topLeftCell="B5" activePane="bottomRight" state="frozen"/>
      <selection pane="topRight" activeCell="B1" sqref="B1"/>
      <selection pane="bottomLeft" activeCell="A5" sqref="A5"/>
      <selection pane="bottomRight" activeCell="F26" sqref="F26"/>
    </sheetView>
  </sheetViews>
  <sheetFormatPr defaultColWidth="8.6328125" defaultRowHeight="14.5"/>
  <cols>
    <col min="1" max="1" width="2.453125" customWidth="1"/>
    <col min="2" max="2" width="6" customWidth="1"/>
    <col min="3" max="3" width="7" customWidth="1"/>
    <col min="4" max="4" width="8" customWidth="1"/>
    <col min="5" max="5" width="6" customWidth="1"/>
    <col min="6" max="6" width="36" customWidth="1"/>
    <col min="7" max="7" width="7" customWidth="1"/>
    <col min="8" max="8" width="6" customWidth="1"/>
    <col min="9" max="9" width="7" customWidth="1"/>
    <col min="10" max="10" width="9" customWidth="1"/>
    <col min="11" max="11" width="10" customWidth="1"/>
    <col min="12" max="12" width="8" customWidth="1"/>
    <col min="13" max="15" width="10" customWidth="1"/>
    <col min="16" max="16" width="10" hidden="1" customWidth="1"/>
  </cols>
  <sheetData>
    <row r="1" spans="1:16" ht="25.5" customHeight="1">
      <c r="A1" s="59" t="s">
        <v>344</v>
      </c>
      <c r="B1" s="59"/>
      <c r="C1" s="59"/>
      <c r="D1" s="59"/>
      <c r="E1" s="59"/>
      <c r="F1" s="59"/>
      <c r="G1" s="59"/>
      <c r="H1" s="59"/>
      <c r="I1" s="59"/>
      <c r="J1" s="59"/>
      <c r="K1" s="59"/>
      <c r="L1" s="59"/>
      <c r="M1" s="59"/>
      <c r="N1" s="59"/>
      <c r="O1" s="59"/>
      <c r="P1" s="59"/>
    </row>
    <row r="2" spans="1:16" ht="15" customHeight="1">
      <c r="A2" s="60" t="s">
        <v>345</v>
      </c>
      <c r="B2" s="60"/>
      <c r="C2" s="60"/>
      <c r="D2" s="60"/>
      <c r="E2" s="60"/>
      <c r="F2" s="60"/>
      <c r="G2" s="60"/>
      <c r="H2" s="60"/>
      <c r="I2" s="60"/>
      <c r="J2" s="60"/>
      <c r="K2" s="60"/>
      <c r="L2" s="60"/>
      <c r="M2" s="60"/>
      <c r="N2" s="60"/>
      <c r="O2" s="60"/>
      <c r="P2" s="60"/>
    </row>
    <row r="4" spans="1:16" ht="22">
      <c r="B4" s="6" t="s">
        <v>346</v>
      </c>
      <c r="C4" s="6" t="s">
        <v>347</v>
      </c>
      <c r="D4" s="6" t="s">
        <v>348</v>
      </c>
      <c r="E4" s="6" t="s">
        <v>349</v>
      </c>
      <c r="F4" s="6" t="s">
        <v>350</v>
      </c>
      <c r="G4" s="6" t="s">
        <v>351</v>
      </c>
      <c r="H4" s="6" t="s">
        <v>352</v>
      </c>
      <c r="I4" s="6" t="s">
        <v>353</v>
      </c>
      <c r="J4" s="6" t="s">
        <v>354</v>
      </c>
      <c r="K4" s="6" t="s">
        <v>355</v>
      </c>
      <c r="L4" s="6" t="s">
        <v>356</v>
      </c>
      <c r="M4" s="6" t="s">
        <v>357</v>
      </c>
      <c r="N4" s="6" t="s">
        <v>358</v>
      </c>
      <c r="O4" s="6" t="s">
        <v>359</v>
      </c>
      <c r="P4" s="6" t="s">
        <v>360</v>
      </c>
    </row>
    <row r="5" spans="1:16">
      <c r="B5" s="43"/>
      <c r="C5" s="43"/>
      <c r="D5" s="43"/>
      <c r="E5" s="43"/>
      <c r="F5" s="43"/>
      <c r="G5" s="43"/>
      <c r="H5" s="43"/>
      <c r="I5" s="43"/>
      <c r="J5" s="43"/>
      <c r="K5" s="43"/>
      <c r="L5" s="44">
        <f>IF($B5="",0,IF($C5="HZ",1,IFERROR(INDEX('Value Streams &amp; Delivery Mode'!$D$17:$M$22,MATCH($D5,'Value Streams &amp; Delivery Mode'!$B$17:$B$22,0),($B5-1)*2+IF($C5="POD",1,2)),0)))</f>
        <v>0</v>
      </c>
      <c r="M5" s="45">
        <f t="shared" ref="M5:M68" si="0">IF($B5="",0,$K5*$L5)</f>
        <v>0</v>
      </c>
      <c r="N5" s="46">
        <f>IF($B5="",0,IFERROR(INDEX('Rates &amp; Tables'!$C$61:$G$63,MATCH($I5,'Rates &amp; Tables'!$J$61:$J$63,0),MATCH($H5,'Rates &amp; Tables'!$C$60:$G$60,0)),0))</f>
        <v>0</v>
      </c>
      <c r="O5" s="44">
        <f t="shared" ref="O5:O68" si="1">IF($B5="",0,$M5*$N5)</f>
        <v>0</v>
      </c>
      <c r="P5" s="41" t="str">
        <f t="shared" ref="P5:P68" si="2">IF($B5="","",$B5&amp;"|"&amp;$G5&amp;"|"&amp;$J5)</f>
        <v/>
      </c>
    </row>
    <row r="6" spans="1:16">
      <c r="B6" s="43"/>
      <c r="C6" s="43"/>
      <c r="D6" s="43"/>
      <c r="E6" s="43"/>
      <c r="F6" s="43"/>
      <c r="G6" s="43"/>
      <c r="H6" s="43"/>
      <c r="I6" s="43"/>
      <c r="J6" s="43"/>
      <c r="K6" s="43"/>
      <c r="L6" s="44">
        <f>IF($B6="",0,IF($C6="HZ",1,IFERROR(INDEX('Value Streams &amp; Delivery Mode'!$D$17:$M$22,MATCH($D6,'Value Streams &amp; Delivery Mode'!$B$17:$B$22,0),($B6-1)*2+IF($C6="POD",1,2)),0)))</f>
        <v>0</v>
      </c>
      <c r="M6" s="45">
        <f t="shared" si="0"/>
        <v>0</v>
      </c>
      <c r="N6" s="46">
        <f>IF($B6="",0,IFERROR(INDEX('Rates &amp; Tables'!$C$61:$G$63,MATCH($I6,'Rates &amp; Tables'!$J$61:$J$63,0),MATCH($H6,'Rates &amp; Tables'!$C$60:$G$60,0)),0))</f>
        <v>0</v>
      </c>
      <c r="O6" s="44">
        <f t="shared" si="1"/>
        <v>0</v>
      </c>
      <c r="P6" s="41" t="str">
        <f t="shared" si="2"/>
        <v/>
      </c>
    </row>
    <row r="7" spans="1:16">
      <c r="B7" s="43"/>
      <c r="C7" s="43"/>
      <c r="D7" s="43"/>
      <c r="E7" s="43"/>
      <c r="F7" s="43"/>
      <c r="G7" s="43"/>
      <c r="H7" s="43"/>
      <c r="I7" s="43"/>
      <c r="J7" s="43"/>
      <c r="K7" s="43"/>
      <c r="L7" s="44">
        <f>IF($B7="",0,IF($C7="HZ",1,IFERROR(INDEX('Value Streams &amp; Delivery Mode'!$D$17:$M$22,MATCH($D7,'Value Streams &amp; Delivery Mode'!$B$17:$B$22,0),($B7-1)*2+IF($C7="POD",1,2)),0)))</f>
        <v>0</v>
      </c>
      <c r="M7" s="45">
        <f t="shared" si="0"/>
        <v>0</v>
      </c>
      <c r="N7" s="46">
        <f>IF($B7="",0,IFERROR(INDEX('Rates &amp; Tables'!$C$61:$G$63,MATCH($I7,'Rates &amp; Tables'!$J$61:$J$63,0),MATCH($H7,'Rates &amp; Tables'!$C$60:$G$60,0)),0))</f>
        <v>0</v>
      </c>
      <c r="O7" s="44">
        <f t="shared" si="1"/>
        <v>0</v>
      </c>
      <c r="P7" s="41" t="str">
        <f t="shared" si="2"/>
        <v/>
      </c>
    </row>
    <row r="8" spans="1:16">
      <c r="B8" s="43"/>
      <c r="C8" s="43"/>
      <c r="D8" s="43"/>
      <c r="E8" s="43"/>
      <c r="F8" s="43"/>
      <c r="G8" s="43"/>
      <c r="H8" s="43"/>
      <c r="I8" s="43"/>
      <c r="J8" s="43"/>
      <c r="K8" s="43"/>
      <c r="L8" s="44">
        <f>IF($B8="",0,IF($C8="HZ",1,IFERROR(INDEX('Value Streams &amp; Delivery Mode'!$D$17:$M$22,MATCH($D8,'Value Streams &amp; Delivery Mode'!$B$17:$B$22,0),($B8-1)*2+IF($C8="POD",1,2)),0)))</f>
        <v>0</v>
      </c>
      <c r="M8" s="45">
        <f t="shared" si="0"/>
        <v>0</v>
      </c>
      <c r="N8" s="46">
        <f>IF($B8="",0,IFERROR(INDEX('Rates &amp; Tables'!$C$61:$G$63,MATCH($I8,'Rates &amp; Tables'!$J$61:$J$63,0),MATCH($H8,'Rates &amp; Tables'!$C$60:$G$60,0)),0))</f>
        <v>0</v>
      </c>
      <c r="O8" s="44">
        <f t="shared" si="1"/>
        <v>0</v>
      </c>
      <c r="P8" s="41" t="str">
        <f t="shared" si="2"/>
        <v/>
      </c>
    </row>
    <row r="9" spans="1:16">
      <c r="B9" s="43"/>
      <c r="C9" s="43"/>
      <c r="D9" s="43"/>
      <c r="E9" s="43"/>
      <c r="F9" s="43"/>
      <c r="G9" s="43"/>
      <c r="H9" s="43"/>
      <c r="I9" s="43"/>
      <c r="J9" s="43"/>
      <c r="K9" s="43"/>
      <c r="L9" s="44">
        <f>IF($B9="",0,IF($C9="HZ",1,IFERROR(INDEX('Value Streams &amp; Delivery Mode'!$D$17:$M$22,MATCH($D9,'Value Streams &amp; Delivery Mode'!$B$17:$B$22,0),($B9-1)*2+IF($C9="POD",1,2)),0)))</f>
        <v>0</v>
      </c>
      <c r="M9" s="45">
        <f t="shared" si="0"/>
        <v>0</v>
      </c>
      <c r="N9" s="46">
        <f>IF($B9="",0,IFERROR(INDEX('Rates &amp; Tables'!$C$61:$G$63,MATCH($I9,'Rates &amp; Tables'!$J$61:$J$63,0),MATCH($H9,'Rates &amp; Tables'!$C$60:$G$60,0)),0))</f>
        <v>0</v>
      </c>
      <c r="O9" s="44">
        <f t="shared" si="1"/>
        <v>0</v>
      </c>
      <c r="P9" s="41" t="str">
        <f t="shared" si="2"/>
        <v/>
      </c>
    </row>
    <row r="10" spans="1:16">
      <c r="B10" s="43"/>
      <c r="C10" s="43"/>
      <c r="D10" s="43"/>
      <c r="E10" s="43"/>
      <c r="F10" s="43"/>
      <c r="G10" s="43"/>
      <c r="H10" s="43"/>
      <c r="I10" s="43"/>
      <c r="J10" s="43"/>
      <c r="K10" s="43"/>
      <c r="L10" s="44">
        <f>IF($B10="",0,IF($C10="HZ",1,IFERROR(INDEX('Value Streams &amp; Delivery Mode'!$D$17:$M$22,MATCH($D10,'Value Streams &amp; Delivery Mode'!$B$17:$B$22,0),($B10-1)*2+IF($C10="POD",1,2)),0)))</f>
        <v>0</v>
      </c>
      <c r="M10" s="45">
        <f t="shared" si="0"/>
        <v>0</v>
      </c>
      <c r="N10" s="46">
        <f>IF($B10="",0,IFERROR(INDEX('Rates &amp; Tables'!$C$61:$G$63,MATCH($I10,'Rates &amp; Tables'!$J$61:$J$63,0),MATCH($H10,'Rates &amp; Tables'!$C$60:$G$60,0)),0))</f>
        <v>0</v>
      </c>
      <c r="O10" s="44">
        <f t="shared" si="1"/>
        <v>0</v>
      </c>
      <c r="P10" s="41" t="str">
        <f t="shared" si="2"/>
        <v/>
      </c>
    </row>
    <row r="11" spans="1:16">
      <c r="B11" s="43"/>
      <c r="C11" s="43"/>
      <c r="D11" s="43"/>
      <c r="E11" s="43"/>
      <c r="F11" s="43"/>
      <c r="G11" s="43"/>
      <c r="H11" s="43"/>
      <c r="I11" s="43"/>
      <c r="J11" s="43"/>
      <c r="K11" s="43"/>
      <c r="L11" s="44">
        <f>IF($B11="",0,IF($C11="HZ",1,IFERROR(INDEX('Value Streams &amp; Delivery Mode'!$D$17:$M$22,MATCH($D11,'Value Streams &amp; Delivery Mode'!$B$17:$B$22,0),($B11-1)*2+IF($C11="POD",1,2)),0)))</f>
        <v>0</v>
      </c>
      <c r="M11" s="45">
        <f t="shared" si="0"/>
        <v>0</v>
      </c>
      <c r="N11" s="46">
        <f>IF($B11="",0,IFERROR(INDEX('Rates &amp; Tables'!$C$61:$G$63,MATCH($I11,'Rates &amp; Tables'!$J$61:$J$63,0),MATCH($H11,'Rates &amp; Tables'!$C$60:$G$60,0)),0))</f>
        <v>0</v>
      </c>
      <c r="O11" s="44">
        <f t="shared" si="1"/>
        <v>0</v>
      </c>
      <c r="P11" s="41" t="str">
        <f t="shared" si="2"/>
        <v/>
      </c>
    </row>
    <row r="12" spans="1:16">
      <c r="B12" s="43"/>
      <c r="C12" s="43"/>
      <c r="D12" s="43"/>
      <c r="E12" s="43"/>
      <c r="F12" s="43"/>
      <c r="G12" s="43"/>
      <c r="H12" s="43"/>
      <c r="I12" s="43"/>
      <c r="J12" s="43"/>
      <c r="K12" s="43"/>
      <c r="L12" s="44">
        <f>IF($B12="",0,IF($C12="HZ",1,IFERROR(INDEX('Value Streams &amp; Delivery Mode'!$D$17:$M$22,MATCH($D12,'Value Streams &amp; Delivery Mode'!$B$17:$B$22,0),($B12-1)*2+IF($C12="POD",1,2)),0)))</f>
        <v>0</v>
      </c>
      <c r="M12" s="45">
        <f t="shared" si="0"/>
        <v>0</v>
      </c>
      <c r="N12" s="46">
        <f>IF($B12="",0,IFERROR(INDEX('Rates &amp; Tables'!$C$61:$G$63,MATCH($I12,'Rates &amp; Tables'!$J$61:$J$63,0),MATCH($H12,'Rates &amp; Tables'!$C$60:$G$60,0)),0))</f>
        <v>0</v>
      </c>
      <c r="O12" s="44">
        <f t="shared" si="1"/>
        <v>0</v>
      </c>
      <c r="P12" s="41" t="str">
        <f t="shared" si="2"/>
        <v/>
      </c>
    </row>
    <row r="13" spans="1:16">
      <c r="B13" s="43"/>
      <c r="C13" s="43"/>
      <c r="D13" s="43"/>
      <c r="E13" s="43"/>
      <c r="F13" s="43"/>
      <c r="G13" s="43"/>
      <c r="H13" s="43"/>
      <c r="I13" s="43"/>
      <c r="J13" s="43"/>
      <c r="K13" s="43"/>
      <c r="L13" s="44">
        <f>IF($B13="",0,IF($C13="HZ",1,IFERROR(INDEX('Value Streams &amp; Delivery Mode'!$D$17:$M$22,MATCH($D13,'Value Streams &amp; Delivery Mode'!$B$17:$B$22,0),($B13-1)*2+IF($C13="POD",1,2)),0)))</f>
        <v>0</v>
      </c>
      <c r="M13" s="45">
        <f t="shared" si="0"/>
        <v>0</v>
      </c>
      <c r="N13" s="46">
        <f>IF($B13="",0,IFERROR(INDEX('Rates &amp; Tables'!$C$61:$G$63,MATCH($I13,'Rates &amp; Tables'!$J$61:$J$63,0),MATCH($H13,'Rates &amp; Tables'!$C$60:$G$60,0)),0))</f>
        <v>0</v>
      </c>
      <c r="O13" s="44">
        <f t="shared" si="1"/>
        <v>0</v>
      </c>
      <c r="P13" s="41" t="str">
        <f t="shared" si="2"/>
        <v/>
      </c>
    </row>
    <row r="14" spans="1:16">
      <c r="B14" s="43"/>
      <c r="C14" s="43"/>
      <c r="D14" s="43"/>
      <c r="E14" s="43"/>
      <c r="F14" s="43"/>
      <c r="G14" s="43"/>
      <c r="H14" s="43"/>
      <c r="I14" s="43"/>
      <c r="J14" s="43"/>
      <c r="K14" s="43"/>
      <c r="L14" s="44">
        <f>IF($B14="",0,IF($C14="HZ",1,IFERROR(INDEX('Value Streams &amp; Delivery Mode'!$D$17:$M$22,MATCH($D14,'Value Streams &amp; Delivery Mode'!$B$17:$B$22,0),($B14-1)*2+IF($C14="POD",1,2)),0)))</f>
        <v>0</v>
      </c>
      <c r="M14" s="45">
        <f t="shared" si="0"/>
        <v>0</v>
      </c>
      <c r="N14" s="46">
        <f>IF($B14="",0,IFERROR(INDEX('Rates &amp; Tables'!$C$61:$G$63,MATCH($I14,'Rates &amp; Tables'!$J$61:$J$63,0),MATCH($H14,'Rates &amp; Tables'!$C$60:$G$60,0)),0))</f>
        <v>0</v>
      </c>
      <c r="O14" s="44">
        <f t="shared" si="1"/>
        <v>0</v>
      </c>
      <c r="P14" s="41" t="str">
        <f t="shared" si="2"/>
        <v/>
      </c>
    </row>
    <row r="15" spans="1:16">
      <c r="B15" s="43"/>
      <c r="C15" s="43"/>
      <c r="D15" s="43"/>
      <c r="E15" s="43"/>
      <c r="F15" s="43"/>
      <c r="G15" s="43"/>
      <c r="H15" s="43"/>
      <c r="I15" s="43"/>
      <c r="J15" s="43"/>
      <c r="K15" s="43"/>
      <c r="L15" s="44">
        <f>IF($B15="",0,IF($C15="HZ",1,IFERROR(INDEX('Value Streams &amp; Delivery Mode'!$D$17:$M$22,MATCH($D15,'Value Streams &amp; Delivery Mode'!$B$17:$B$22,0),($B15-1)*2+IF($C15="POD",1,2)),0)))</f>
        <v>0</v>
      </c>
      <c r="M15" s="45">
        <f t="shared" si="0"/>
        <v>0</v>
      </c>
      <c r="N15" s="46">
        <f>IF($B15="",0,IFERROR(INDEX('Rates &amp; Tables'!$C$61:$G$63,MATCH($I15,'Rates &amp; Tables'!$J$61:$J$63,0),MATCH($H15,'Rates &amp; Tables'!$C$60:$G$60,0)),0))</f>
        <v>0</v>
      </c>
      <c r="O15" s="44">
        <f t="shared" si="1"/>
        <v>0</v>
      </c>
      <c r="P15" s="41" t="str">
        <f t="shared" si="2"/>
        <v/>
      </c>
    </row>
    <row r="16" spans="1:16">
      <c r="B16" s="43"/>
      <c r="C16" s="43"/>
      <c r="D16" s="43"/>
      <c r="E16" s="43"/>
      <c r="F16" s="43"/>
      <c r="G16" s="43"/>
      <c r="H16" s="43"/>
      <c r="I16" s="43"/>
      <c r="J16" s="43"/>
      <c r="K16" s="43"/>
      <c r="L16" s="44">
        <f>IF($B16="",0,IF($C16="HZ",1,IFERROR(INDEX('Value Streams &amp; Delivery Mode'!$D$17:$M$22,MATCH($D16,'Value Streams &amp; Delivery Mode'!$B$17:$B$22,0),($B16-1)*2+IF($C16="POD",1,2)),0)))</f>
        <v>0</v>
      </c>
      <c r="M16" s="45">
        <f t="shared" si="0"/>
        <v>0</v>
      </c>
      <c r="N16" s="46">
        <f>IF($B16="",0,IFERROR(INDEX('Rates &amp; Tables'!$C$61:$G$63,MATCH($I16,'Rates &amp; Tables'!$J$61:$J$63,0),MATCH($H16,'Rates &amp; Tables'!$C$60:$G$60,0)),0))</f>
        <v>0</v>
      </c>
      <c r="O16" s="44">
        <f t="shared" si="1"/>
        <v>0</v>
      </c>
      <c r="P16" s="41" t="str">
        <f t="shared" si="2"/>
        <v/>
      </c>
    </row>
    <row r="17" spans="2:16">
      <c r="B17" s="43"/>
      <c r="C17" s="43"/>
      <c r="D17" s="43"/>
      <c r="E17" s="43"/>
      <c r="F17" s="43"/>
      <c r="G17" s="43"/>
      <c r="H17" s="43"/>
      <c r="I17" s="43"/>
      <c r="J17" s="43"/>
      <c r="K17" s="43"/>
      <c r="L17" s="44">
        <f>IF($B17="",0,IF($C17="HZ",1,IFERROR(INDEX('Value Streams &amp; Delivery Mode'!$D$17:$M$22,MATCH($D17,'Value Streams &amp; Delivery Mode'!$B$17:$B$22,0),($B17-1)*2+IF($C17="POD",1,2)),0)))</f>
        <v>0</v>
      </c>
      <c r="M17" s="45">
        <f t="shared" si="0"/>
        <v>0</v>
      </c>
      <c r="N17" s="46">
        <f>IF($B17="",0,IFERROR(INDEX('Rates &amp; Tables'!$C$61:$G$63,MATCH($I17,'Rates &amp; Tables'!$J$61:$J$63,0),MATCH($H17,'Rates &amp; Tables'!$C$60:$G$60,0)),0))</f>
        <v>0</v>
      </c>
      <c r="O17" s="44">
        <f t="shared" si="1"/>
        <v>0</v>
      </c>
      <c r="P17" s="41" t="str">
        <f t="shared" si="2"/>
        <v/>
      </c>
    </row>
    <row r="18" spans="2:16">
      <c r="B18" s="43"/>
      <c r="C18" s="43"/>
      <c r="D18" s="43"/>
      <c r="E18" s="43"/>
      <c r="F18" s="43"/>
      <c r="G18" s="43"/>
      <c r="H18" s="43"/>
      <c r="I18" s="43"/>
      <c r="J18" s="43"/>
      <c r="K18" s="43"/>
      <c r="L18" s="44">
        <f>IF($B18="",0,IF($C18="HZ",1,IFERROR(INDEX('Value Streams &amp; Delivery Mode'!$D$17:$M$22,MATCH($D18,'Value Streams &amp; Delivery Mode'!$B$17:$B$22,0),($B18-1)*2+IF($C18="POD",1,2)),0)))</f>
        <v>0</v>
      </c>
      <c r="M18" s="45">
        <f t="shared" si="0"/>
        <v>0</v>
      </c>
      <c r="N18" s="46">
        <f>IF($B18="",0,IFERROR(INDEX('Rates &amp; Tables'!$C$61:$G$63,MATCH($I18,'Rates &amp; Tables'!$J$61:$J$63,0),MATCH($H18,'Rates &amp; Tables'!$C$60:$G$60,0)),0))</f>
        <v>0</v>
      </c>
      <c r="O18" s="44">
        <f t="shared" si="1"/>
        <v>0</v>
      </c>
      <c r="P18" s="41" t="str">
        <f t="shared" si="2"/>
        <v/>
      </c>
    </row>
    <row r="19" spans="2:16">
      <c r="B19" s="43"/>
      <c r="C19" s="43"/>
      <c r="D19" s="43"/>
      <c r="E19" s="43"/>
      <c r="F19" s="43"/>
      <c r="G19" s="43"/>
      <c r="H19" s="43"/>
      <c r="I19" s="43"/>
      <c r="J19" s="43"/>
      <c r="K19" s="43"/>
      <c r="L19" s="44">
        <f>IF($B19="",0,IF($C19="HZ",1,IFERROR(INDEX('Value Streams &amp; Delivery Mode'!$D$17:$M$22,MATCH($D19,'Value Streams &amp; Delivery Mode'!$B$17:$B$22,0),($B19-1)*2+IF($C19="POD",1,2)),0)))</f>
        <v>0</v>
      </c>
      <c r="M19" s="45">
        <f t="shared" si="0"/>
        <v>0</v>
      </c>
      <c r="N19" s="46">
        <f>IF($B19="",0,IFERROR(INDEX('Rates &amp; Tables'!$C$61:$G$63,MATCH($I19,'Rates &amp; Tables'!$J$61:$J$63,0),MATCH($H19,'Rates &amp; Tables'!$C$60:$G$60,0)),0))</f>
        <v>0</v>
      </c>
      <c r="O19" s="44">
        <f t="shared" si="1"/>
        <v>0</v>
      </c>
      <c r="P19" s="41" t="str">
        <f t="shared" si="2"/>
        <v/>
      </c>
    </row>
    <row r="20" spans="2:16">
      <c r="B20" s="43"/>
      <c r="C20" s="43"/>
      <c r="D20" s="43"/>
      <c r="E20" s="43"/>
      <c r="F20" s="43"/>
      <c r="G20" s="43"/>
      <c r="H20" s="43"/>
      <c r="I20" s="43"/>
      <c r="J20" s="43"/>
      <c r="K20" s="43"/>
      <c r="L20" s="44">
        <f>IF($B20="",0,IF($C20="HZ",1,IFERROR(INDEX('Value Streams &amp; Delivery Mode'!$D$17:$M$22,MATCH($D20,'Value Streams &amp; Delivery Mode'!$B$17:$B$22,0),($B20-1)*2+IF($C20="POD",1,2)),0)))</f>
        <v>0</v>
      </c>
      <c r="M20" s="45">
        <f t="shared" si="0"/>
        <v>0</v>
      </c>
      <c r="N20" s="46">
        <f>IF($B20="",0,IFERROR(INDEX('Rates &amp; Tables'!$C$61:$G$63,MATCH($I20,'Rates &amp; Tables'!$J$61:$J$63,0),MATCH($H20,'Rates &amp; Tables'!$C$60:$G$60,0)),0))</f>
        <v>0</v>
      </c>
      <c r="O20" s="44">
        <f t="shared" si="1"/>
        <v>0</v>
      </c>
      <c r="P20" s="41" t="str">
        <f t="shared" si="2"/>
        <v/>
      </c>
    </row>
    <row r="21" spans="2:16">
      <c r="B21" s="43"/>
      <c r="C21" s="43"/>
      <c r="D21" s="43"/>
      <c r="E21" s="43"/>
      <c r="F21" s="43"/>
      <c r="G21" s="43"/>
      <c r="H21" s="43"/>
      <c r="I21" s="43"/>
      <c r="J21" s="43"/>
      <c r="K21" s="43"/>
      <c r="L21" s="44">
        <f>IF($B21="",0,IF($C21="HZ",1,IFERROR(INDEX('Value Streams &amp; Delivery Mode'!$D$17:$M$22,MATCH($D21,'Value Streams &amp; Delivery Mode'!$B$17:$B$22,0),($B21-1)*2+IF($C21="POD",1,2)),0)))</f>
        <v>0</v>
      </c>
      <c r="M21" s="45">
        <f t="shared" si="0"/>
        <v>0</v>
      </c>
      <c r="N21" s="46">
        <f>IF($B21="",0,IFERROR(INDEX('Rates &amp; Tables'!$C$61:$G$63,MATCH($I21,'Rates &amp; Tables'!$J$61:$J$63,0),MATCH($H21,'Rates &amp; Tables'!$C$60:$G$60,0)),0))</f>
        <v>0</v>
      </c>
      <c r="O21" s="44">
        <f t="shared" si="1"/>
        <v>0</v>
      </c>
      <c r="P21" s="41" t="str">
        <f t="shared" si="2"/>
        <v/>
      </c>
    </row>
    <row r="22" spans="2:16">
      <c r="B22" s="43"/>
      <c r="C22" s="43"/>
      <c r="D22" s="43"/>
      <c r="E22" s="43"/>
      <c r="F22" s="43"/>
      <c r="G22" s="43"/>
      <c r="H22" s="43"/>
      <c r="I22" s="43"/>
      <c r="J22" s="43"/>
      <c r="K22" s="43"/>
      <c r="L22" s="44">
        <f>IF($B22="",0,IF($C22="HZ",1,IFERROR(INDEX('Value Streams &amp; Delivery Mode'!$D$17:$M$22,MATCH($D22,'Value Streams &amp; Delivery Mode'!$B$17:$B$22,0),($B22-1)*2+IF($C22="POD",1,2)),0)))</f>
        <v>0</v>
      </c>
      <c r="M22" s="45">
        <f t="shared" si="0"/>
        <v>0</v>
      </c>
      <c r="N22" s="46">
        <f>IF($B22="",0,IFERROR(INDEX('Rates &amp; Tables'!$C$61:$G$63,MATCH($I22,'Rates &amp; Tables'!$J$61:$J$63,0),MATCH($H22,'Rates &amp; Tables'!$C$60:$G$60,0)),0))</f>
        <v>0</v>
      </c>
      <c r="O22" s="44">
        <f t="shared" si="1"/>
        <v>0</v>
      </c>
      <c r="P22" s="41" t="str">
        <f t="shared" si="2"/>
        <v/>
      </c>
    </row>
    <row r="23" spans="2:16">
      <c r="B23" s="43"/>
      <c r="C23" s="43"/>
      <c r="D23" s="43"/>
      <c r="E23" s="43"/>
      <c r="F23" s="43"/>
      <c r="G23" s="43"/>
      <c r="H23" s="43"/>
      <c r="I23" s="43"/>
      <c r="J23" s="43"/>
      <c r="K23" s="43"/>
      <c r="L23" s="44">
        <f>IF($B23="",0,IF($C23="HZ",1,IFERROR(INDEX('Value Streams &amp; Delivery Mode'!$D$17:$M$22,MATCH($D23,'Value Streams &amp; Delivery Mode'!$B$17:$B$22,0),($B23-1)*2+IF($C23="POD",1,2)),0)))</f>
        <v>0</v>
      </c>
      <c r="M23" s="45">
        <f t="shared" si="0"/>
        <v>0</v>
      </c>
      <c r="N23" s="46">
        <f>IF($B23="",0,IFERROR(INDEX('Rates &amp; Tables'!$C$61:$G$63,MATCH($I23,'Rates &amp; Tables'!$J$61:$J$63,0),MATCH($H23,'Rates &amp; Tables'!$C$60:$G$60,0)),0))</f>
        <v>0</v>
      </c>
      <c r="O23" s="44">
        <f t="shared" si="1"/>
        <v>0</v>
      </c>
      <c r="P23" s="41" t="str">
        <f t="shared" si="2"/>
        <v/>
      </c>
    </row>
    <row r="24" spans="2:16">
      <c r="B24" s="43"/>
      <c r="C24" s="43"/>
      <c r="D24" s="43"/>
      <c r="E24" s="43"/>
      <c r="F24" s="43"/>
      <c r="G24" s="43"/>
      <c r="H24" s="43"/>
      <c r="I24" s="43"/>
      <c r="J24" s="43"/>
      <c r="K24" s="43"/>
      <c r="L24" s="44">
        <f>IF($B24="",0,IF($C24="HZ",1,IFERROR(INDEX('Value Streams &amp; Delivery Mode'!$D$17:$M$22,MATCH($D24,'Value Streams &amp; Delivery Mode'!$B$17:$B$22,0),($B24-1)*2+IF($C24="POD",1,2)),0)))</f>
        <v>0</v>
      </c>
      <c r="M24" s="45">
        <f t="shared" si="0"/>
        <v>0</v>
      </c>
      <c r="N24" s="46">
        <f>IF($B24="",0,IFERROR(INDEX('Rates &amp; Tables'!$C$61:$G$63,MATCH($I24,'Rates &amp; Tables'!$J$61:$J$63,0),MATCH($H24,'Rates &amp; Tables'!$C$60:$G$60,0)),0))</f>
        <v>0</v>
      </c>
      <c r="O24" s="44">
        <f t="shared" si="1"/>
        <v>0</v>
      </c>
      <c r="P24" s="41" t="str">
        <f t="shared" si="2"/>
        <v/>
      </c>
    </row>
    <row r="25" spans="2:16">
      <c r="B25" s="43"/>
      <c r="C25" s="43"/>
      <c r="D25" s="43"/>
      <c r="E25" s="43"/>
      <c r="F25" s="43"/>
      <c r="G25" s="43"/>
      <c r="H25" s="43"/>
      <c r="I25" s="43"/>
      <c r="J25" s="43"/>
      <c r="K25" s="43"/>
      <c r="L25" s="44">
        <f>IF($B25="",0,IF($C25="HZ",1,IFERROR(INDEX('Value Streams &amp; Delivery Mode'!$D$17:$M$22,MATCH($D25,'Value Streams &amp; Delivery Mode'!$B$17:$B$22,0),($B25-1)*2+IF($C25="POD",1,2)),0)))</f>
        <v>0</v>
      </c>
      <c r="M25" s="45">
        <f t="shared" si="0"/>
        <v>0</v>
      </c>
      <c r="N25" s="46">
        <f>IF($B25="",0,IFERROR(INDEX('Rates &amp; Tables'!$C$61:$G$63,MATCH($I25,'Rates &amp; Tables'!$J$61:$J$63,0),MATCH($H25,'Rates &amp; Tables'!$C$60:$G$60,0)),0))</f>
        <v>0</v>
      </c>
      <c r="O25" s="44">
        <f t="shared" si="1"/>
        <v>0</v>
      </c>
      <c r="P25" s="41" t="str">
        <f t="shared" si="2"/>
        <v/>
      </c>
    </row>
    <row r="26" spans="2:16">
      <c r="B26" s="43"/>
      <c r="C26" s="43"/>
      <c r="D26" s="43"/>
      <c r="E26" s="43"/>
      <c r="F26" s="43"/>
      <c r="G26" s="43"/>
      <c r="H26" s="43"/>
      <c r="I26" s="43"/>
      <c r="J26" s="43"/>
      <c r="K26" s="43"/>
      <c r="L26" s="44">
        <f>IF($B26="",0,IF($C26="HZ",1,IFERROR(INDEX('Value Streams &amp; Delivery Mode'!$D$17:$M$22,MATCH($D26,'Value Streams &amp; Delivery Mode'!$B$17:$B$22,0),($B26-1)*2+IF($C26="POD",1,2)),0)))</f>
        <v>0</v>
      </c>
      <c r="M26" s="45">
        <f t="shared" si="0"/>
        <v>0</v>
      </c>
      <c r="N26" s="46">
        <f>IF($B26="",0,IFERROR(INDEX('Rates &amp; Tables'!$C$61:$G$63,MATCH($I26,'Rates &amp; Tables'!$J$61:$J$63,0),MATCH($H26,'Rates &amp; Tables'!$C$60:$G$60,0)),0))</f>
        <v>0</v>
      </c>
      <c r="O26" s="44">
        <f t="shared" si="1"/>
        <v>0</v>
      </c>
      <c r="P26" s="41" t="str">
        <f t="shared" si="2"/>
        <v/>
      </c>
    </row>
    <row r="27" spans="2:16">
      <c r="B27" s="43"/>
      <c r="C27" s="43"/>
      <c r="D27" s="43"/>
      <c r="E27" s="43"/>
      <c r="F27" s="43"/>
      <c r="G27" s="43"/>
      <c r="H27" s="43"/>
      <c r="I27" s="43"/>
      <c r="J27" s="43"/>
      <c r="K27" s="43"/>
      <c r="L27" s="44">
        <f>IF($B27="",0,IF($C27="HZ",1,IFERROR(INDEX('Value Streams &amp; Delivery Mode'!$D$17:$M$22,MATCH($D27,'Value Streams &amp; Delivery Mode'!$B$17:$B$22,0),($B27-1)*2+IF($C27="POD",1,2)),0)))</f>
        <v>0</v>
      </c>
      <c r="M27" s="45">
        <f t="shared" si="0"/>
        <v>0</v>
      </c>
      <c r="N27" s="46">
        <f>IF($B27="",0,IFERROR(INDEX('Rates &amp; Tables'!$C$61:$G$63,MATCH($I27,'Rates &amp; Tables'!$J$61:$J$63,0),MATCH($H27,'Rates &amp; Tables'!$C$60:$G$60,0)),0))</f>
        <v>0</v>
      </c>
      <c r="O27" s="44">
        <f t="shared" si="1"/>
        <v>0</v>
      </c>
      <c r="P27" s="41" t="str">
        <f t="shared" si="2"/>
        <v/>
      </c>
    </row>
    <row r="28" spans="2:16">
      <c r="B28" s="43"/>
      <c r="C28" s="43"/>
      <c r="D28" s="43"/>
      <c r="E28" s="43"/>
      <c r="F28" s="43"/>
      <c r="G28" s="43"/>
      <c r="H28" s="43"/>
      <c r="I28" s="43"/>
      <c r="J28" s="43"/>
      <c r="K28" s="43"/>
      <c r="L28" s="44">
        <f>IF($B28="",0,IF($C28="HZ",1,IFERROR(INDEX('Value Streams &amp; Delivery Mode'!$D$17:$M$22,MATCH($D28,'Value Streams &amp; Delivery Mode'!$B$17:$B$22,0),($B28-1)*2+IF($C28="POD",1,2)),0)))</f>
        <v>0</v>
      </c>
      <c r="M28" s="45">
        <f t="shared" si="0"/>
        <v>0</v>
      </c>
      <c r="N28" s="46">
        <f>IF($B28="",0,IFERROR(INDEX('Rates &amp; Tables'!$C$61:$G$63,MATCH($I28,'Rates &amp; Tables'!$J$61:$J$63,0),MATCH($H28,'Rates &amp; Tables'!$C$60:$G$60,0)),0))</f>
        <v>0</v>
      </c>
      <c r="O28" s="44">
        <f t="shared" si="1"/>
        <v>0</v>
      </c>
      <c r="P28" s="41" t="str">
        <f t="shared" si="2"/>
        <v/>
      </c>
    </row>
    <row r="29" spans="2:16">
      <c r="B29" s="43"/>
      <c r="C29" s="43"/>
      <c r="D29" s="43"/>
      <c r="E29" s="43"/>
      <c r="F29" s="43"/>
      <c r="G29" s="43"/>
      <c r="H29" s="43"/>
      <c r="I29" s="43"/>
      <c r="J29" s="43"/>
      <c r="K29" s="43"/>
      <c r="L29" s="44">
        <f>IF($B29="",0,IF($C29="HZ",1,IFERROR(INDEX('Value Streams &amp; Delivery Mode'!$D$17:$M$22,MATCH($D29,'Value Streams &amp; Delivery Mode'!$B$17:$B$22,0),($B29-1)*2+IF($C29="POD",1,2)),0)))</f>
        <v>0</v>
      </c>
      <c r="M29" s="45">
        <f t="shared" si="0"/>
        <v>0</v>
      </c>
      <c r="N29" s="46">
        <f>IF($B29="",0,IFERROR(INDEX('Rates &amp; Tables'!$C$61:$G$63,MATCH($I29,'Rates &amp; Tables'!$J$61:$J$63,0),MATCH($H29,'Rates &amp; Tables'!$C$60:$G$60,0)),0))</f>
        <v>0</v>
      </c>
      <c r="O29" s="44">
        <f t="shared" si="1"/>
        <v>0</v>
      </c>
      <c r="P29" s="41" t="str">
        <f t="shared" si="2"/>
        <v/>
      </c>
    </row>
    <row r="30" spans="2:16">
      <c r="B30" s="43"/>
      <c r="C30" s="43"/>
      <c r="D30" s="43"/>
      <c r="E30" s="43"/>
      <c r="F30" s="43"/>
      <c r="G30" s="43"/>
      <c r="H30" s="43"/>
      <c r="I30" s="43"/>
      <c r="J30" s="43"/>
      <c r="K30" s="43"/>
      <c r="L30" s="44">
        <f>IF($B30="",0,IF($C30="HZ",1,IFERROR(INDEX('Value Streams &amp; Delivery Mode'!$D$17:$M$22,MATCH($D30,'Value Streams &amp; Delivery Mode'!$B$17:$B$22,0),($B30-1)*2+IF($C30="POD",1,2)),0)))</f>
        <v>0</v>
      </c>
      <c r="M30" s="45">
        <f t="shared" si="0"/>
        <v>0</v>
      </c>
      <c r="N30" s="46">
        <f>IF($B30="",0,IFERROR(INDEX('Rates &amp; Tables'!$C$61:$G$63,MATCH($I30,'Rates &amp; Tables'!$J$61:$J$63,0),MATCH($H30,'Rates &amp; Tables'!$C$60:$G$60,0)),0))</f>
        <v>0</v>
      </c>
      <c r="O30" s="44">
        <f t="shared" si="1"/>
        <v>0</v>
      </c>
      <c r="P30" s="41" t="str">
        <f t="shared" si="2"/>
        <v/>
      </c>
    </row>
    <row r="31" spans="2:16">
      <c r="B31" s="43"/>
      <c r="C31" s="43"/>
      <c r="D31" s="43"/>
      <c r="E31" s="43"/>
      <c r="F31" s="43"/>
      <c r="G31" s="43"/>
      <c r="H31" s="43"/>
      <c r="I31" s="43"/>
      <c r="J31" s="43"/>
      <c r="K31" s="43"/>
      <c r="L31" s="44">
        <f>IF($B31="",0,IF($C31="HZ",1,IFERROR(INDEX('Value Streams &amp; Delivery Mode'!$D$17:$M$22,MATCH($D31,'Value Streams &amp; Delivery Mode'!$B$17:$B$22,0),($B31-1)*2+IF($C31="POD",1,2)),0)))</f>
        <v>0</v>
      </c>
      <c r="M31" s="45">
        <f t="shared" si="0"/>
        <v>0</v>
      </c>
      <c r="N31" s="46">
        <f>IF($B31="",0,IFERROR(INDEX('Rates &amp; Tables'!$C$61:$G$63,MATCH($I31,'Rates &amp; Tables'!$J$61:$J$63,0),MATCH($H31,'Rates &amp; Tables'!$C$60:$G$60,0)),0))</f>
        <v>0</v>
      </c>
      <c r="O31" s="44">
        <f t="shared" si="1"/>
        <v>0</v>
      </c>
      <c r="P31" s="41" t="str">
        <f t="shared" si="2"/>
        <v/>
      </c>
    </row>
    <row r="32" spans="2:16">
      <c r="B32" s="43"/>
      <c r="C32" s="43"/>
      <c r="D32" s="43"/>
      <c r="E32" s="43"/>
      <c r="F32" s="43"/>
      <c r="G32" s="43"/>
      <c r="H32" s="43"/>
      <c r="I32" s="43"/>
      <c r="J32" s="43"/>
      <c r="K32" s="43"/>
      <c r="L32" s="44">
        <f>IF($B32="",0,IF($C32="HZ",1,IFERROR(INDEX('Value Streams &amp; Delivery Mode'!$D$17:$M$22,MATCH($D32,'Value Streams &amp; Delivery Mode'!$B$17:$B$22,0),($B32-1)*2+IF($C32="POD",1,2)),0)))</f>
        <v>0</v>
      </c>
      <c r="M32" s="45">
        <f t="shared" si="0"/>
        <v>0</v>
      </c>
      <c r="N32" s="46">
        <f>IF($B32="",0,IFERROR(INDEX('Rates &amp; Tables'!$C$61:$G$63,MATCH($I32,'Rates &amp; Tables'!$J$61:$J$63,0),MATCH($H32,'Rates &amp; Tables'!$C$60:$G$60,0)),0))</f>
        <v>0</v>
      </c>
      <c r="O32" s="44">
        <f t="shared" si="1"/>
        <v>0</v>
      </c>
      <c r="P32" s="41" t="str">
        <f t="shared" si="2"/>
        <v/>
      </c>
    </row>
    <row r="33" spans="2:16">
      <c r="B33" s="43"/>
      <c r="C33" s="43"/>
      <c r="D33" s="43"/>
      <c r="E33" s="43"/>
      <c r="F33" s="43"/>
      <c r="G33" s="43"/>
      <c r="H33" s="43"/>
      <c r="I33" s="43"/>
      <c r="J33" s="43"/>
      <c r="K33" s="43"/>
      <c r="L33" s="44">
        <f>IF($B33="",0,IF($C33="HZ",1,IFERROR(INDEX('Value Streams &amp; Delivery Mode'!$D$17:$M$22,MATCH($D33,'Value Streams &amp; Delivery Mode'!$B$17:$B$22,0),($B33-1)*2+IF($C33="POD",1,2)),0)))</f>
        <v>0</v>
      </c>
      <c r="M33" s="45">
        <f t="shared" si="0"/>
        <v>0</v>
      </c>
      <c r="N33" s="46">
        <f>IF($B33="",0,IFERROR(INDEX('Rates &amp; Tables'!$C$61:$G$63,MATCH($I33,'Rates &amp; Tables'!$J$61:$J$63,0),MATCH($H33,'Rates &amp; Tables'!$C$60:$G$60,0)),0))</f>
        <v>0</v>
      </c>
      <c r="O33" s="44">
        <f t="shared" si="1"/>
        <v>0</v>
      </c>
      <c r="P33" s="41" t="str">
        <f t="shared" si="2"/>
        <v/>
      </c>
    </row>
    <row r="34" spans="2:16">
      <c r="B34" s="43"/>
      <c r="C34" s="43"/>
      <c r="D34" s="43"/>
      <c r="E34" s="43"/>
      <c r="F34" s="43"/>
      <c r="G34" s="43"/>
      <c r="H34" s="43"/>
      <c r="I34" s="43"/>
      <c r="J34" s="43"/>
      <c r="K34" s="43"/>
      <c r="L34" s="44">
        <f>IF($B34="",0,IF($C34="HZ",1,IFERROR(INDEX('Value Streams &amp; Delivery Mode'!$D$17:$M$22,MATCH($D34,'Value Streams &amp; Delivery Mode'!$B$17:$B$22,0),($B34-1)*2+IF($C34="POD",1,2)),0)))</f>
        <v>0</v>
      </c>
      <c r="M34" s="45">
        <f t="shared" si="0"/>
        <v>0</v>
      </c>
      <c r="N34" s="46">
        <f>IF($B34="",0,IFERROR(INDEX('Rates &amp; Tables'!$C$61:$G$63,MATCH($I34,'Rates &amp; Tables'!$J$61:$J$63,0),MATCH($H34,'Rates &amp; Tables'!$C$60:$G$60,0)),0))</f>
        <v>0</v>
      </c>
      <c r="O34" s="44">
        <f t="shared" si="1"/>
        <v>0</v>
      </c>
      <c r="P34" s="41" t="str">
        <f t="shared" si="2"/>
        <v/>
      </c>
    </row>
    <row r="35" spans="2:16">
      <c r="B35" s="43"/>
      <c r="C35" s="43"/>
      <c r="D35" s="43"/>
      <c r="E35" s="43"/>
      <c r="F35" s="43"/>
      <c r="G35" s="43"/>
      <c r="H35" s="43"/>
      <c r="I35" s="43"/>
      <c r="J35" s="43"/>
      <c r="K35" s="43"/>
      <c r="L35" s="44">
        <f>IF($B35="",0,IF($C35="HZ",1,IFERROR(INDEX('Value Streams &amp; Delivery Mode'!$D$17:$M$22,MATCH($D35,'Value Streams &amp; Delivery Mode'!$B$17:$B$22,0),($B35-1)*2+IF($C35="POD",1,2)),0)))</f>
        <v>0</v>
      </c>
      <c r="M35" s="45">
        <f t="shared" si="0"/>
        <v>0</v>
      </c>
      <c r="N35" s="46">
        <f>IF($B35="",0,IFERROR(INDEX('Rates &amp; Tables'!$C$61:$G$63,MATCH($I35,'Rates &amp; Tables'!$J$61:$J$63,0),MATCH($H35,'Rates &amp; Tables'!$C$60:$G$60,0)),0))</f>
        <v>0</v>
      </c>
      <c r="O35" s="44">
        <f t="shared" si="1"/>
        <v>0</v>
      </c>
      <c r="P35" s="41" t="str">
        <f t="shared" si="2"/>
        <v/>
      </c>
    </row>
    <row r="36" spans="2:16">
      <c r="B36" s="43"/>
      <c r="C36" s="43"/>
      <c r="D36" s="43"/>
      <c r="E36" s="43"/>
      <c r="F36" s="43"/>
      <c r="G36" s="43"/>
      <c r="H36" s="43"/>
      <c r="I36" s="43"/>
      <c r="J36" s="43"/>
      <c r="K36" s="43"/>
      <c r="L36" s="44">
        <f>IF($B36="",0,IF($C36="HZ",1,IFERROR(INDEX('Value Streams &amp; Delivery Mode'!$D$17:$M$22,MATCH($D36,'Value Streams &amp; Delivery Mode'!$B$17:$B$22,0),($B36-1)*2+IF($C36="POD",1,2)),0)))</f>
        <v>0</v>
      </c>
      <c r="M36" s="45">
        <f t="shared" si="0"/>
        <v>0</v>
      </c>
      <c r="N36" s="46">
        <f>IF($B36="",0,IFERROR(INDEX('Rates &amp; Tables'!$C$61:$G$63,MATCH($I36,'Rates &amp; Tables'!$J$61:$J$63,0),MATCH($H36,'Rates &amp; Tables'!$C$60:$G$60,0)),0))</f>
        <v>0</v>
      </c>
      <c r="O36" s="44">
        <f t="shared" si="1"/>
        <v>0</v>
      </c>
      <c r="P36" s="41" t="str">
        <f t="shared" si="2"/>
        <v/>
      </c>
    </row>
    <row r="37" spans="2:16">
      <c r="B37" s="43"/>
      <c r="C37" s="43"/>
      <c r="D37" s="43"/>
      <c r="E37" s="43"/>
      <c r="F37" s="43"/>
      <c r="G37" s="43"/>
      <c r="H37" s="43"/>
      <c r="I37" s="43"/>
      <c r="J37" s="43"/>
      <c r="K37" s="43"/>
      <c r="L37" s="44">
        <f>IF($B37="",0,IF($C37="HZ",1,IFERROR(INDEX('Value Streams &amp; Delivery Mode'!$D$17:$M$22,MATCH($D37,'Value Streams &amp; Delivery Mode'!$B$17:$B$22,0),($B37-1)*2+IF($C37="POD",1,2)),0)))</f>
        <v>0</v>
      </c>
      <c r="M37" s="45">
        <f t="shared" si="0"/>
        <v>0</v>
      </c>
      <c r="N37" s="46">
        <f>IF($B37="",0,IFERROR(INDEX('Rates &amp; Tables'!$C$61:$G$63,MATCH($I37,'Rates &amp; Tables'!$J$61:$J$63,0),MATCH($H37,'Rates &amp; Tables'!$C$60:$G$60,0)),0))</f>
        <v>0</v>
      </c>
      <c r="O37" s="44">
        <f t="shared" si="1"/>
        <v>0</v>
      </c>
      <c r="P37" s="41" t="str">
        <f t="shared" si="2"/>
        <v/>
      </c>
    </row>
    <row r="38" spans="2:16">
      <c r="B38" s="43"/>
      <c r="C38" s="43"/>
      <c r="D38" s="43"/>
      <c r="E38" s="43"/>
      <c r="F38" s="43"/>
      <c r="G38" s="43"/>
      <c r="H38" s="43"/>
      <c r="I38" s="43"/>
      <c r="J38" s="43"/>
      <c r="K38" s="43"/>
      <c r="L38" s="44">
        <f>IF($B38="",0,IF($C38="HZ",1,IFERROR(INDEX('Value Streams &amp; Delivery Mode'!$D$17:$M$22,MATCH($D38,'Value Streams &amp; Delivery Mode'!$B$17:$B$22,0),($B38-1)*2+IF($C38="POD",1,2)),0)))</f>
        <v>0</v>
      </c>
      <c r="M38" s="45">
        <f t="shared" si="0"/>
        <v>0</v>
      </c>
      <c r="N38" s="46">
        <f>IF($B38="",0,IFERROR(INDEX('Rates &amp; Tables'!$C$61:$G$63,MATCH($I38,'Rates &amp; Tables'!$J$61:$J$63,0),MATCH($H38,'Rates &amp; Tables'!$C$60:$G$60,0)),0))</f>
        <v>0</v>
      </c>
      <c r="O38" s="44">
        <f t="shared" si="1"/>
        <v>0</v>
      </c>
      <c r="P38" s="41" t="str">
        <f t="shared" si="2"/>
        <v/>
      </c>
    </row>
    <row r="39" spans="2:16">
      <c r="B39" s="43"/>
      <c r="C39" s="43"/>
      <c r="D39" s="43"/>
      <c r="E39" s="43"/>
      <c r="F39" s="43"/>
      <c r="G39" s="43"/>
      <c r="H39" s="43"/>
      <c r="I39" s="43"/>
      <c r="J39" s="43"/>
      <c r="K39" s="43"/>
      <c r="L39" s="44">
        <f>IF($B39="",0,IF($C39="HZ",1,IFERROR(INDEX('Value Streams &amp; Delivery Mode'!$D$17:$M$22,MATCH($D39,'Value Streams &amp; Delivery Mode'!$B$17:$B$22,0),($B39-1)*2+IF($C39="POD",1,2)),0)))</f>
        <v>0</v>
      </c>
      <c r="M39" s="45">
        <f t="shared" si="0"/>
        <v>0</v>
      </c>
      <c r="N39" s="46">
        <f>IF($B39="",0,IFERROR(INDEX('Rates &amp; Tables'!$C$61:$G$63,MATCH($I39,'Rates &amp; Tables'!$J$61:$J$63,0),MATCH($H39,'Rates &amp; Tables'!$C$60:$G$60,0)),0))</f>
        <v>0</v>
      </c>
      <c r="O39" s="44">
        <f t="shared" si="1"/>
        <v>0</v>
      </c>
      <c r="P39" s="41" t="str">
        <f t="shared" si="2"/>
        <v/>
      </c>
    </row>
    <row r="40" spans="2:16">
      <c r="B40" s="43"/>
      <c r="C40" s="43"/>
      <c r="D40" s="43"/>
      <c r="E40" s="43"/>
      <c r="F40" s="43"/>
      <c r="G40" s="43"/>
      <c r="H40" s="43"/>
      <c r="I40" s="43"/>
      <c r="J40" s="43"/>
      <c r="K40" s="43"/>
      <c r="L40" s="44">
        <f>IF($B40="",0,IF($C40="HZ",1,IFERROR(INDEX('Value Streams &amp; Delivery Mode'!$D$17:$M$22,MATCH($D40,'Value Streams &amp; Delivery Mode'!$B$17:$B$22,0),($B40-1)*2+IF($C40="POD",1,2)),0)))</f>
        <v>0</v>
      </c>
      <c r="M40" s="45">
        <f t="shared" si="0"/>
        <v>0</v>
      </c>
      <c r="N40" s="46">
        <f>IF($B40="",0,IFERROR(INDEX('Rates &amp; Tables'!$C$61:$G$63,MATCH($I40,'Rates &amp; Tables'!$J$61:$J$63,0),MATCH($H40,'Rates &amp; Tables'!$C$60:$G$60,0)),0))</f>
        <v>0</v>
      </c>
      <c r="O40" s="44">
        <f t="shared" si="1"/>
        <v>0</v>
      </c>
      <c r="P40" s="41" t="str">
        <f t="shared" si="2"/>
        <v/>
      </c>
    </row>
    <row r="41" spans="2:16">
      <c r="B41" s="43"/>
      <c r="C41" s="43"/>
      <c r="D41" s="43"/>
      <c r="E41" s="43"/>
      <c r="F41" s="43"/>
      <c r="G41" s="43"/>
      <c r="H41" s="43"/>
      <c r="I41" s="43"/>
      <c r="J41" s="43"/>
      <c r="K41" s="43"/>
      <c r="L41" s="44">
        <f>IF($B41="",0,IF($C41="HZ",1,IFERROR(INDEX('Value Streams &amp; Delivery Mode'!$D$17:$M$22,MATCH($D41,'Value Streams &amp; Delivery Mode'!$B$17:$B$22,0),($B41-1)*2+IF($C41="POD",1,2)),0)))</f>
        <v>0</v>
      </c>
      <c r="M41" s="45">
        <f t="shared" si="0"/>
        <v>0</v>
      </c>
      <c r="N41" s="46">
        <f>IF($B41="",0,IFERROR(INDEX('Rates &amp; Tables'!$C$61:$G$63,MATCH($I41,'Rates &amp; Tables'!$J$61:$J$63,0),MATCH($H41,'Rates &amp; Tables'!$C$60:$G$60,0)),0))</f>
        <v>0</v>
      </c>
      <c r="O41" s="44">
        <f t="shared" si="1"/>
        <v>0</v>
      </c>
      <c r="P41" s="41" t="str">
        <f t="shared" si="2"/>
        <v/>
      </c>
    </row>
    <row r="42" spans="2:16">
      <c r="B42" s="43"/>
      <c r="C42" s="43"/>
      <c r="D42" s="43"/>
      <c r="E42" s="43"/>
      <c r="F42" s="43"/>
      <c r="G42" s="43"/>
      <c r="H42" s="43"/>
      <c r="I42" s="43"/>
      <c r="J42" s="43"/>
      <c r="K42" s="43"/>
      <c r="L42" s="44">
        <f>IF($B42="",0,IF($C42="HZ",1,IFERROR(INDEX('Value Streams &amp; Delivery Mode'!$D$17:$M$22,MATCH($D42,'Value Streams &amp; Delivery Mode'!$B$17:$B$22,0),($B42-1)*2+IF($C42="POD",1,2)),0)))</f>
        <v>0</v>
      </c>
      <c r="M42" s="45">
        <f t="shared" si="0"/>
        <v>0</v>
      </c>
      <c r="N42" s="46">
        <f>IF($B42="",0,IFERROR(INDEX('Rates &amp; Tables'!$C$61:$G$63,MATCH($I42,'Rates &amp; Tables'!$J$61:$J$63,0),MATCH($H42,'Rates &amp; Tables'!$C$60:$G$60,0)),0))</f>
        <v>0</v>
      </c>
      <c r="O42" s="44">
        <f t="shared" si="1"/>
        <v>0</v>
      </c>
      <c r="P42" s="41" t="str">
        <f t="shared" si="2"/>
        <v/>
      </c>
    </row>
    <row r="43" spans="2:16">
      <c r="B43" s="43"/>
      <c r="C43" s="43"/>
      <c r="D43" s="43"/>
      <c r="E43" s="43"/>
      <c r="F43" s="43"/>
      <c r="G43" s="43"/>
      <c r="H43" s="43"/>
      <c r="I43" s="43"/>
      <c r="J43" s="43"/>
      <c r="K43" s="43"/>
      <c r="L43" s="44">
        <f>IF($B43="",0,IF($C43="HZ",1,IFERROR(INDEX('Value Streams &amp; Delivery Mode'!$D$17:$M$22,MATCH($D43,'Value Streams &amp; Delivery Mode'!$B$17:$B$22,0),($B43-1)*2+IF($C43="POD",1,2)),0)))</f>
        <v>0</v>
      </c>
      <c r="M43" s="45">
        <f t="shared" si="0"/>
        <v>0</v>
      </c>
      <c r="N43" s="46">
        <f>IF($B43="",0,IFERROR(INDEX('Rates &amp; Tables'!$C$61:$G$63,MATCH($I43,'Rates &amp; Tables'!$J$61:$J$63,0),MATCH($H43,'Rates &amp; Tables'!$C$60:$G$60,0)),0))</f>
        <v>0</v>
      </c>
      <c r="O43" s="44">
        <f t="shared" si="1"/>
        <v>0</v>
      </c>
      <c r="P43" s="41" t="str">
        <f t="shared" si="2"/>
        <v/>
      </c>
    </row>
    <row r="44" spans="2:16">
      <c r="B44" s="43"/>
      <c r="C44" s="43"/>
      <c r="D44" s="43"/>
      <c r="E44" s="43"/>
      <c r="F44" s="43"/>
      <c r="G44" s="43"/>
      <c r="H44" s="43"/>
      <c r="I44" s="43"/>
      <c r="J44" s="43"/>
      <c r="K44" s="43"/>
      <c r="L44" s="44">
        <f>IF($B44="",0,IF($C44="HZ",1,IFERROR(INDEX('Value Streams &amp; Delivery Mode'!$D$17:$M$22,MATCH($D44,'Value Streams &amp; Delivery Mode'!$B$17:$B$22,0),($B44-1)*2+IF($C44="POD",1,2)),0)))</f>
        <v>0</v>
      </c>
      <c r="M44" s="45">
        <f t="shared" si="0"/>
        <v>0</v>
      </c>
      <c r="N44" s="46">
        <f>IF($B44="",0,IFERROR(INDEX('Rates &amp; Tables'!$C$61:$G$63,MATCH($I44,'Rates &amp; Tables'!$J$61:$J$63,0),MATCH($H44,'Rates &amp; Tables'!$C$60:$G$60,0)),0))</f>
        <v>0</v>
      </c>
      <c r="O44" s="44">
        <f t="shared" si="1"/>
        <v>0</v>
      </c>
      <c r="P44" s="41" t="str">
        <f t="shared" si="2"/>
        <v/>
      </c>
    </row>
    <row r="45" spans="2:16">
      <c r="B45" s="43"/>
      <c r="C45" s="43"/>
      <c r="D45" s="43"/>
      <c r="E45" s="43"/>
      <c r="F45" s="43"/>
      <c r="G45" s="43"/>
      <c r="H45" s="43"/>
      <c r="I45" s="43"/>
      <c r="J45" s="43"/>
      <c r="K45" s="43"/>
      <c r="L45" s="44">
        <f>IF($B45="",0,IF($C45="HZ",1,IFERROR(INDEX('Value Streams &amp; Delivery Mode'!$D$17:$M$22,MATCH($D45,'Value Streams &amp; Delivery Mode'!$B$17:$B$22,0),($B45-1)*2+IF($C45="POD",1,2)),0)))</f>
        <v>0</v>
      </c>
      <c r="M45" s="45">
        <f t="shared" si="0"/>
        <v>0</v>
      </c>
      <c r="N45" s="46">
        <f>IF($B45="",0,IFERROR(INDEX('Rates &amp; Tables'!$C$61:$G$63,MATCH($I45,'Rates &amp; Tables'!$J$61:$J$63,0),MATCH($H45,'Rates &amp; Tables'!$C$60:$G$60,0)),0))</f>
        <v>0</v>
      </c>
      <c r="O45" s="44">
        <f t="shared" si="1"/>
        <v>0</v>
      </c>
      <c r="P45" s="41" t="str">
        <f t="shared" si="2"/>
        <v/>
      </c>
    </row>
    <row r="46" spans="2:16">
      <c r="B46" s="43"/>
      <c r="C46" s="43"/>
      <c r="D46" s="43"/>
      <c r="E46" s="43"/>
      <c r="F46" s="43"/>
      <c r="G46" s="43"/>
      <c r="H46" s="43"/>
      <c r="I46" s="43"/>
      <c r="J46" s="43"/>
      <c r="K46" s="43"/>
      <c r="L46" s="44">
        <f>IF($B46="",0,IF($C46="HZ",1,IFERROR(INDEX('Value Streams &amp; Delivery Mode'!$D$17:$M$22,MATCH($D46,'Value Streams &amp; Delivery Mode'!$B$17:$B$22,0),($B46-1)*2+IF($C46="POD",1,2)),0)))</f>
        <v>0</v>
      </c>
      <c r="M46" s="45">
        <f t="shared" si="0"/>
        <v>0</v>
      </c>
      <c r="N46" s="46">
        <f>IF($B46="",0,IFERROR(INDEX('Rates &amp; Tables'!$C$61:$G$63,MATCH($I46,'Rates &amp; Tables'!$J$61:$J$63,0),MATCH($H46,'Rates &amp; Tables'!$C$60:$G$60,0)),0))</f>
        <v>0</v>
      </c>
      <c r="O46" s="44">
        <f t="shared" si="1"/>
        <v>0</v>
      </c>
      <c r="P46" s="41" t="str">
        <f t="shared" si="2"/>
        <v/>
      </c>
    </row>
    <row r="47" spans="2:16">
      <c r="B47" s="43"/>
      <c r="C47" s="43"/>
      <c r="D47" s="43"/>
      <c r="E47" s="43"/>
      <c r="F47" s="43"/>
      <c r="G47" s="43"/>
      <c r="H47" s="43"/>
      <c r="I47" s="43"/>
      <c r="J47" s="43"/>
      <c r="K47" s="43"/>
      <c r="L47" s="44">
        <f>IF($B47="",0,IF($C47="HZ",1,IFERROR(INDEX('Value Streams &amp; Delivery Mode'!$D$17:$M$22,MATCH($D47,'Value Streams &amp; Delivery Mode'!$B$17:$B$22,0),($B47-1)*2+IF($C47="POD",1,2)),0)))</f>
        <v>0</v>
      </c>
      <c r="M47" s="45">
        <f t="shared" si="0"/>
        <v>0</v>
      </c>
      <c r="N47" s="46">
        <f>IF($B47="",0,IFERROR(INDEX('Rates &amp; Tables'!$C$61:$G$63,MATCH($I47,'Rates &amp; Tables'!$J$61:$J$63,0),MATCH($H47,'Rates &amp; Tables'!$C$60:$G$60,0)),0))</f>
        <v>0</v>
      </c>
      <c r="O47" s="44">
        <f t="shared" si="1"/>
        <v>0</v>
      </c>
      <c r="P47" s="41" t="str">
        <f t="shared" si="2"/>
        <v/>
      </c>
    </row>
    <row r="48" spans="2:16">
      <c r="B48" s="43"/>
      <c r="C48" s="43"/>
      <c r="D48" s="43"/>
      <c r="E48" s="43"/>
      <c r="F48" s="43"/>
      <c r="G48" s="43"/>
      <c r="H48" s="43"/>
      <c r="I48" s="43"/>
      <c r="J48" s="43"/>
      <c r="K48" s="43"/>
      <c r="L48" s="44">
        <f>IF($B48="",0,IF($C48="HZ",1,IFERROR(INDEX('Value Streams &amp; Delivery Mode'!$D$17:$M$22,MATCH($D48,'Value Streams &amp; Delivery Mode'!$B$17:$B$22,0),($B48-1)*2+IF($C48="POD",1,2)),0)))</f>
        <v>0</v>
      </c>
      <c r="M48" s="45">
        <f t="shared" si="0"/>
        <v>0</v>
      </c>
      <c r="N48" s="46">
        <f>IF($B48="",0,IFERROR(INDEX('Rates &amp; Tables'!$C$61:$G$63,MATCH($I48,'Rates &amp; Tables'!$J$61:$J$63,0),MATCH($H48,'Rates &amp; Tables'!$C$60:$G$60,0)),0))</f>
        <v>0</v>
      </c>
      <c r="O48" s="44">
        <f t="shared" si="1"/>
        <v>0</v>
      </c>
      <c r="P48" s="41" t="str">
        <f t="shared" si="2"/>
        <v/>
      </c>
    </row>
    <row r="49" spans="2:16">
      <c r="B49" s="43"/>
      <c r="C49" s="43"/>
      <c r="D49" s="43"/>
      <c r="E49" s="43"/>
      <c r="F49" s="43"/>
      <c r="G49" s="43"/>
      <c r="H49" s="43"/>
      <c r="I49" s="43"/>
      <c r="J49" s="43"/>
      <c r="K49" s="43"/>
      <c r="L49" s="44">
        <f>IF($B49="",0,IF($C49="HZ",1,IFERROR(INDEX('Value Streams &amp; Delivery Mode'!$D$17:$M$22,MATCH($D49,'Value Streams &amp; Delivery Mode'!$B$17:$B$22,0),($B49-1)*2+IF($C49="POD",1,2)),0)))</f>
        <v>0</v>
      </c>
      <c r="M49" s="45">
        <f t="shared" si="0"/>
        <v>0</v>
      </c>
      <c r="N49" s="46">
        <f>IF($B49="",0,IFERROR(INDEX('Rates &amp; Tables'!$C$61:$G$63,MATCH($I49,'Rates &amp; Tables'!$J$61:$J$63,0),MATCH($H49,'Rates &amp; Tables'!$C$60:$G$60,0)),0))</f>
        <v>0</v>
      </c>
      <c r="O49" s="44">
        <f t="shared" si="1"/>
        <v>0</v>
      </c>
      <c r="P49" s="41" t="str">
        <f t="shared" si="2"/>
        <v/>
      </c>
    </row>
    <row r="50" spans="2:16">
      <c r="B50" s="43"/>
      <c r="C50" s="43"/>
      <c r="D50" s="43"/>
      <c r="E50" s="43"/>
      <c r="F50" s="43"/>
      <c r="G50" s="43"/>
      <c r="H50" s="43"/>
      <c r="I50" s="43"/>
      <c r="J50" s="43"/>
      <c r="K50" s="43"/>
      <c r="L50" s="44">
        <f>IF($B50="",0,IF($C50="HZ",1,IFERROR(INDEX('Value Streams &amp; Delivery Mode'!$D$17:$M$22,MATCH($D50,'Value Streams &amp; Delivery Mode'!$B$17:$B$22,0),($B50-1)*2+IF($C50="POD",1,2)),0)))</f>
        <v>0</v>
      </c>
      <c r="M50" s="45">
        <f t="shared" si="0"/>
        <v>0</v>
      </c>
      <c r="N50" s="46">
        <f>IF($B50="",0,IFERROR(INDEX('Rates &amp; Tables'!$C$61:$G$63,MATCH($I50,'Rates &amp; Tables'!$J$61:$J$63,0),MATCH($H50,'Rates &amp; Tables'!$C$60:$G$60,0)),0))</f>
        <v>0</v>
      </c>
      <c r="O50" s="44">
        <f t="shared" si="1"/>
        <v>0</v>
      </c>
      <c r="P50" s="41" t="str">
        <f t="shared" si="2"/>
        <v/>
      </c>
    </row>
    <row r="51" spans="2:16">
      <c r="B51" s="43"/>
      <c r="C51" s="43"/>
      <c r="D51" s="43"/>
      <c r="E51" s="43"/>
      <c r="F51" s="43"/>
      <c r="G51" s="43"/>
      <c r="H51" s="43"/>
      <c r="I51" s="43"/>
      <c r="J51" s="43"/>
      <c r="K51" s="43"/>
      <c r="L51" s="44">
        <f>IF($B51="",0,IF($C51="HZ",1,IFERROR(INDEX('Value Streams &amp; Delivery Mode'!$D$17:$M$22,MATCH($D51,'Value Streams &amp; Delivery Mode'!$B$17:$B$22,0),($B51-1)*2+IF($C51="POD",1,2)),0)))</f>
        <v>0</v>
      </c>
      <c r="M51" s="45">
        <f t="shared" si="0"/>
        <v>0</v>
      </c>
      <c r="N51" s="46">
        <f>IF($B51="",0,IFERROR(INDEX('Rates &amp; Tables'!$C$61:$G$63,MATCH($I51,'Rates &amp; Tables'!$J$61:$J$63,0),MATCH($H51,'Rates &amp; Tables'!$C$60:$G$60,0)),0))</f>
        <v>0</v>
      </c>
      <c r="O51" s="44">
        <f t="shared" si="1"/>
        <v>0</v>
      </c>
      <c r="P51" s="41" t="str">
        <f t="shared" si="2"/>
        <v/>
      </c>
    </row>
    <row r="52" spans="2:16">
      <c r="B52" s="43"/>
      <c r="C52" s="43"/>
      <c r="D52" s="43"/>
      <c r="E52" s="43"/>
      <c r="F52" s="43"/>
      <c r="G52" s="43"/>
      <c r="H52" s="43"/>
      <c r="I52" s="43"/>
      <c r="J52" s="43"/>
      <c r="K52" s="43"/>
      <c r="L52" s="44">
        <f>IF($B52="",0,IF($C52="HZ",1,IFERROR(INDEX('Value Streams &amp; Delivery Mode'!$D$17:$M$22,MATCH($D52,'Value Streams &amp; Delivery Mode'!$B$17:$B$22,0),($B52-1)*2+IF($C52="POD",1,2)),0)))</f>
        <v>0</v>
      </c>
      <c r="M52" s="45">
        <f t="shared" si="0"/>
        <v>0</v>
      </c>
      <c r="N52" s="46">
        <f>IF($B52="",0,IFERROR(INDEX('Rates &amp; Tables'!$C$61:$G$63,MATCH($I52,'Rates &amp; Tables'!$J$61:$J$63,0),MATCH($H52,'Rates &amp; Tables'!$C$60:$G$60,0)),0))</f>
        <v>0</v>
      </c>
      <c r="O52" s="44">
        <f t="shared" si="1"/>
        <v>0</v>
      </c>
      <c r="P52" s="41" t="str">
        <f t="shared" si="2"/>
        <v/>
      </c>
    </row>
    <row r="53" spans="2:16">
      <c r="B53" s="43"/>
      <c r="C53" s="43"/>
      <c r="D53" s="43"/>
      <c r="E53" s="43"/>
      <c r="F53" s="43"/>
      <c r="G53" s="43"/>
      <c r="H53" s="43"/>
      <c r="I53" s="43"/>
      <c r="J53" s="43"/>
      <c r="K53" s="43"/>
      <c r="L53" s="44">
        <f>IF($B53="",0,IF($C53="HZ",1,IFERROR(INDEX('Value Streams &amp; Delivery Mode'!$D$17:$M$22,MATCH($D53,'Value Streams &amp; Delivery Mode'!$B$17:$B$22,0),($B53-1)*2+IF($C53="POD",1,2)),0)))</f>
        <v>0</v>
      </c>
      <c r="M53" s="45">
        <f t="shared" si="0"/>
        <v>0</v>
      </c>
      <c r="N53" s="46">
        <f>IF($B53="",0,IFERROR(INDEX('Rates &amp; Tables'!$C$61:$G$63,MATCH($I53,'Rates &amp; Tables'!$J$61:$J$63,0),MATCH($H53,'Rates &amp; Tables'!$C$60:$G$60,0)),0))</f>
        <v>0</v>
      </c>
      <c r="O53" s="44">
        <f t="shared" si="1"/>
        <v>0</v>
      </c>
      <c r="P53" s="41" t="str">
        <f t="shared" si="2"/>
        <v/>
      </c>
    </row>
    <row r="54" spans="2:16">
      <c r="B54" s="43"/>
      <c r="C54" s="43"/>
      <c r="D54" s="43"/>
      <c r="E54" s="43"/>
      <c r="F54" s="43"/>
      <c r="G54" s="43"/>
      <c r="H54" s="43"/>
      <c r="I54" s="43"/>
      <c r="J54" s="43"/>
      <c r="K54" s="43"/>
      <c r="L54" s="44">
        <f>IF($B54="",0,IF($C54="HZ",1,IFERROR(INDEX('Value Streams &amp; Delivery Mode'!$D$17:$M$22,MATCH($D54,'Value Streams &amp; Delivery Mode'!$B$17:$B$22,0),($B54-1)*2+IF($C54="POD",1,2)),0)))</f>
        <v>0</v>
      </c>
      <c r="M54" s="45">
        <f t="shared" si="0"/>
        <v>0</v>
      </c>
      <c r="N54" s="46">
        <f>IF($B54="",0,IFERROR(INDEX('Rates &amp; Tables'!$C$61:$G$63,MATCH($I54,'Rates &amp; Tables'!$J$61:$J$63,0),MATCH($H54,'Rates &amp; Tables'!$C$60:$G$60,0)),0))</f>
        <v>0</v>
      </c>
      <c r="O54" s="44">
        <f t="shared" si="1"/>
        <v>0</v>
      </c>
      <c r="P54" s="41" t="str">
        <f t="shared" si="2"/>
        <v/>
      </c>
    </row>
    <row r="55" spans="2:16">
      <c r="B55" s="43"/>
      <c r="C55" s="43"/>
      <c r="D55" s="43"/>
      <c r="E55" s="43"/>
      <c r="F55" s="43"/>
      <c r="G55" s="43"/>
      <c r="H55" s="43"/>
      <c r="I55" s="43"/>
      <c r="J55" s="43"/>
      <c r="K55" s="43"/>
      <c r="L55" s="44">
        <f>IF($B55="",0,IF($C55="HZ",1,IFERROR(INDEX('Value Streams &amp; Delivery Mode'!$D$17:$M$22,MATCH($D55,'Value Streams &amp; Delivery Mode'!$B$17:$B$22,0),($B55-1)*2+IF($C55="POD",1,2)),0)))</f>
        <v>0</v>
      </c>
      <c r="M55" s="45">
        <f t="shared" si="0"/>
        <v>0</v>
      </c>
      <c r="N55" s="46">
        <f>IF($B55="",0,IFERROR(INDEX('Rates &amp; Tables'!$C$61:$G$63,MATCH($I55,'Rates &amp; Tables'!$J$61:$J$63,0),MATCH($H55,'Rates &amp; Tables'!$C$60:$G$60,0)),0))</f>
        <v>0</v>
      </c>
      <c r="O55" s="44">
        <f t="shared" si="1"/>
        <v>0</v>
      </c>
      <c r="P55" s="41" t="str">
        <f t="shared" si="2"/>
        <v/>
      </c>
    </row>
    <row r="56" spans="2:16">
      <c r="B56" s="43"/>
      <c r="C56" s="43"/>
      <c r="D56" s="43"/>
      <c r="E56" s="43"/>
      <c r="F56" s="43"/>
      <c r="G56" s="43"/>
      <c r="H56" s="43"/>
      <c r="I56" s="43"/>
      <c r="J56" s="43"/>
      <c r="K56" s="43"/>
      <c r="L56" s="44">
        <f>IF($B56="",0,IF($C56="HZ",1,IFERROR(INDEX('Value Streams &amp; Delivery Mode'!$D$17:$M$22,MATCH($D56,'Value Streams &amp; Delivery Mode'!$B$17:$B$22,0),($B56-1)*2+IF($C56="POD",1,2)),0)))</f>
        <v>0</v>
      </c>
      <c r="M56" s="45">
        <f t="shared" si="0"/>
        <v>0</v>
      </c>
      <c r="N56" s="46">
        <f>IF($B56="",0,IFERROR(INDEX('Rates &amp; Tables'!$C$61:$G$63,MATCH($I56,'Rates &amp; Tables'!$J$61:$J$63,0),MATCH($H56,'Rates &amp; Tables'!$C$60:$G$60,0)),0))</f>
        <v>0</v>
      </c>
      <c r="O56" s="44">
        <f t="shared" si="1"/>
        <v>0</v>
      </c>
      <c r="P56" s="41" t="str">
        <f t="shared" si="2"/>
        <v/>
      </c>
    </row>
    <row r="57" spans="2:16">
      <c r="B57" s="43"/>
      <c r="C57" s="43"/>
      <c r="D57" s="43"/>
      <c r="E57" s="43"/>
      <c r="F57" s="43"/>
      <c r="G57" s="43"/>
      <c r="H57" s="43"/>
      <c r="I57" s="43"/>
      <c r="J57" s="43"/>
      <c r="K57" s="43"/>
      <c r="L57" s="44">
        <f>IF($B57="",0,IF($C57="HZ",1,IFERROR(INDEX('Value Streams &amp; Delivery Mode'!$D$17:$M$22,MATCH($D57,'Value Streams &amp; Delivery Mode'!$B$17:$B$22,0),($B57-1)*2+IF($C57="POD",1,2)),0)))</f>
        <v>0</v>
      </c>
      <c r="M57" s="45">
        <f t="shared" si="0"/>
        <v>0</v>
      </c>
      <c r="N57" s="46">
        <f>IF($B57="",0,IFERROR(INDEX('Rates &amp; Tables'!$C$61:$G$63,MATCH($I57,'Rates &amp; Tables'!$J$61:$J$63,0),MATCH($H57,'Rates &amp; Tables'!$C$60:$G$60,0)),0))</f>
        <v>0</v>
      </c>
      <c r="O57" s="44">
        <f t="shared" si="1"/>
        <v>0</v>
      </c>
      <c r="P57" s="41" t="str">
        <f t="shared" si="2"/>
        <v/>
      </c>
    </row>
    <row r="58" spans="2:16">
      <c r="B58" s="43"/>
      <c r="C58" s="43"/>
      <c r="D58" s="43"/>
      <c r="E58" s="43"/>
      <c r="F58" s="43"/>
      <c r="G58" s="43"/>
      <c r="H58" s="43"/>
      <c r="I58" s="43"/>
      <c r="J58" s="43"/>
      <c r="K58" s="43"/>
      <c r="L58" s="44">
        <f>IF($B58="",0,IF($C58="HZ",1,IFERROR(INDEX('Value Streams &amp; Delivery Mode'!$D$17:$M$22,MATCH($D58,'Value Streams &amp; Delivery Mode'!$B$17:$B$22,0),($B58-1)*2+IF($C58="POD",1,2)),0)))</f>
        <v>0</v>
      </c>
      <c r="M58" s="45">
        <f t="shared" si="0"/>
        <v>0</v>
      </c>
      <c r="N58" s="46">
        <f>IF($B58="",0,IFERROR(INDEX('Rates &amp; Tables'!$C$61:$G$63,MATCH($I58,'Rates &amp; Tables'!$J$61:$J$63,0),MATCH($H58,'Rates &amp; Tables'!$C$60:$G$60,0)),0))</f>
        <v>0</v>
      </c>
      <c r="O58" s="44">
        <f t="shared" si="1"/>
        <v>0</v>
      </c>
      <c r="P58" s="41" t="str">
        <f t="shared" si="2"/>
        <v/>
      </c>
    </row>
    <row r="59" spans="2:16">
      <c r="B59" s="43"/>
      <c r="C59" s="43"/>
      <c r="D59" s="43"/>
      <c r="E59" s="43"/>
      <c r="F59" s="43"/>
      <c r="G59" s="43"/>
      <c r="H59" s="43"/>
      <c r="I59" s="43"/>
      <c r="J59" s="43"/>
      <c r="K59" s="43"/>
      <c r="L59" s="44">
        <f>IF($B59="",0,IF($C59="HZ",1,IFERROR(INDEX('Value Streams &amp; Delivery Mode'!$D$17:$M$22,MATCH($D59,'Value Streams &amp; Delivery Mode'!$B$17:$B$22,0),($B59-1)*2+IF($C59="POD",1,2)),0)))</f>
        <v>0</v>
      </c>
      <c r="M59" s="45">
        <f t="shared" si="0"/>
        <v>0</v>
      </c>
      <c r="N59" s="46">
        <f>IF($B59="",0,IFERROR(INDEX('Rates &amp; Tables'!$C$61:$G$63,MATCH($I59,'Rates &amp; Tables'!$J$61:$J$63,0),MATCH($H59,'Rates &amp; Tables'!$C$60:$G$60,0)),0))</f>
        <v>0</v>
      </c>
      <c r="O59" s="44">
        <f t="shared" si="1"/>
        <v>0</v>
      </c>
      <c r="P59" s="41" t="str">
        <f t="shared" si="2"/>
        <v/>
      </c>
    </row>
    <row r="60" spans="2:16">
      <c r="B60" s="43"/>
      <c r="C60" s="43"/>
      <c r="D60" s="43"/>
      <c r="E60" s="43"/>
      <c r="F60" s="43"/>
      <c r="G60" s="43"/>
      <c r="H60" s="43"/>
      <c r="I60" s="43"/>
      <c r="J60" s="43"/>
      <c r="K60" s="43"/>
      <c r="L60" s="44">
        <f>IF($B60="",0,IF($C60="HZ",1,IFERROR(INDEX('Value Streams &amp; Delivery Mode'!$D$17:$M$22,MATCH($D60,'Value Streams &amp; Delivery Mode'!$B$17:$B$22,0),($B60-1)*2+IF($C60="POD",1,2)),0)))</f>
        <v>0</v>
      </c>
      <c r="M60" s="45">
        <f t="shared" si="0"/>
        <v>0</v>
      </c>
      <c r="N60" s="46">
        <f>IF($B60="",0,IFERROR(INDEX('Rates &amp; Tables'!$C$61:$G$63,MATCH($I60,'Rates &amp; Tables'!$J$61:$J$63,0),MATCH($H60,'Rates &amp; Tables'!$C$60:$G$60,0)),0))</f>
        <v>0</v>
      </c>
      <c r="O60" s="44">
        <f t="shared" si="1"/>
        <v>0</v>
      </c>
      <c r="P60" s="41" t="str">
        <f t="shared" si="2"/>
        <v/>
      </c>
    </row>
    <row r="61" spans="2:16">
      <c r="B61" s="43"/>
      <c r="C61" s="43"/>
      <c r="D61" s="43"/>
      <c r="E61" s="43"/>
      <c r="F61" s="43"/>
      <c r="G61" s="43"/>
      <c r="H61" s="43"/>
      <c r="I61" s="43"/>
      <c r="J61" s="43"/>
      <c r="K61" s="43"/>
      <c r="L61" s="44">
        <f>IF($B61="",0,IF($C61="HZ",1,IFERROR(INDEX('Value Streams &amp; Delivery Mode'!$D$17:$M$22,MATCH($D61,'Value Streams &amp; Delivery Mode'!$B$17:$B$22,0),($B61-1)*2+IF($C61="POD",1,2)),0)))</f>
        <v>0</v>
      </c>
      <c r="M61" s="45">
        <f t="shared" si="0"/>
        <v>0</v>
      </c>
      <c r="N61" s="46">
        <f>IF($B61="",0,IFERROR(INDEX('Rates &amp; Tables'!$C$61:$G$63,MATCH($I61,'Rates &amp; Tables'!$J$61:$J$63,0),MATCH($H61,'Rates &amp; Tables'!$C$60:$G$60,0)),0))</f>
        <v>0</v>
      </c>
      <c r="O61" s="44">
        <f t="shared" si="1"/>
        <v>0</v>
      </c>
      <c r="P61" s="41" t="str">
        <f t="shared" si="2"/>
        <v/>
      </c>
    </row>
    <row r="62" spans="2:16">
      <c r="B62" s="43"/>
      <c r="C62" s="43"/>
      <c r="D62" s="43"/>
      <c r="E62" s="43"/>
      <c r="F62" s="43"/>
      <c r="G62" s="43"/>
      <c r="H62" s="43"/>
      <c r="I62" s="43"/>
      <c r="J62" s="43"/>
      <c r="K62" s="43"/>
      <c r="L62" s="44">
        <f>IF($B62="",0,IF($C62="HZ",1,IFERROR(INDEX('Value Streams &amp; Delivery Mode'!$D$17:$M$22,MATCH($D62,'Value Streams &amp; Delivery Mode'!$B$17:$B$22,0),($B62-1)*2+IF($C62="POD",1,2)),0)))</f>
        <v>0</v>
      </c>
      <c r="M62" s="45">
        <f t="shared" si="0"/>
        <v>0</v>
      </c>
      <c r="N62" s="46">
        <f>IF($B62="",0,IFERROR(INDEX('Rates &amp; Tables'!$C$61:$G$63,MATCH($I62,'Rates &amp; Tables'!$J$61:$J$63,0),MATCH($H62,'Rates &amp; Tables'!$C$60:$G$60,0)),0))</f>
        <v>0</v>
      </c>
      <c r="O62" s="44">
        <f t="shared" si="1"/>
        <v>0</v>
      </c>
      <c r="P62" s="41" t="str">
        <f t="shared" si="2"/>
        <v/>
      </c>
    </row>
    <row r="63" spans="2:16">
      <c r="B63" s="43"/>
      <c r="C63" s="43"/>
      <c r="D63" s="43"/>
      <c r="E63" s="43"/>
      <c r="F63" s="43"/>
      <c r="G63" s="43"/>
      <c r="H63" s="43"/>
      <c r="I63" s="43"/>
      <c r="J63" s="43"/>
      <c r="K63" s="43"/>
      <c r="L63" s="44">
        <f>IF($B63="",0,IF($C63="HZ",1,IFERROR(INDEX('Value Streams &amp; Delivery Mode'!$D$17:$M$22,MATCH($D63,'Value Streams &amp; Delivery Mode'!$B$17:$B$22,0),($B63-1)*2+IF($C63="POD",1,2)),0)))</f>
        <v>0</v>
      </c>
      <c r="M63" s="45">
        <f t="shared" si="0"/>
        <v>0</v>
      </c>
      <c r="N63" s="46">
        <f>IF($B63="",0,IFERROR(INDEX('Rates &amp; Tables'!$C$61:$G$63,MATCH($I63,'Rates &amp; Tables'!$J$61:$J$63,0),MATCH($H63,'Rates &amp; Tables'!$C$60:$G$60,0)),0))</f>
        <v>0</v>
      </c>
      <c r="O63" s="44">
        <f t="shared" si="1"/>
        <v>0</v>
      </c>
      <c r="P63" s="41" t="str">
        <f t="shared" si="2"/>
        <v/>
      </c>
    </row>
    <row r="64" spans="2:16">
      <c r="B64" s="43"/>
      <c r="C64" s="43"/>
      <c r="D64" s="43"/>
      <c r="E64" s="43"/>
      <c r="F64" s="43"/>
      <c r="G64" s="43"/>
      <c r="H64" s="43"/>
      <c r="I64" s="43"/>
      <c r="J64" s="43"/>
      <c r="K64" s="43"/>
      <c r="L64" s="44">
        <f>IF($B64="",0,IF($C64="HZ",1,IFERROR(INDEX('Value Streams &amp; Delivery Mode'!$D$17:$M$22,MATCH($D64,'Value Streams &amp; Delivery Mode'!$B$17:$B$22,0),($B64-1)*2+IF($C64="POD",1,2)),0)))</f>
        <v>0</v>
      </c>
      <c r="M64" s="45">
        <f t="shared" si="0"/>
        <v>0</v>
      </c>
      <c r="N64" s="46">
        <f>IF($B64="",0,IFERROR(INDEX('Rates &amp; Tables'!$C$61:$G$63,MATCH($I64,'Rates &amp; Tables'!$J$61:$J$63,0),MATCH($H64,'Rates &amp; Tables'!$C$60:$G$60,0)),0))</f>
        <v>0</v>
      </c>
      <c r="O64" s="44">
        <f t="shared" si="1"/>
        <v>0</v>
      </c>
      <c r="P64" s="41" t="str">
        <f t="shared" si="2"/>
        <v/>
      </c>
    </row>
    <row r="65" spans="2:16">
      <c r="B65" s="43"/>
      <c r="C65" s="43"/>
      <c r="D65" s="43"/>
      <c r="E65" s="43"/>
      <c r="F65" s="43"/>
      <c r="G65" s="43"/>
      <c r="H65" s="43"/>
      <c r="I65" s="43"/>
      <c r="J65" s="43"/>
      <c r="K65" s="43"/>
      <c r="L65" s="44">
        <f>IF($B65="",0,IF($C65="HZ",1,IFERROR(INDEX('Value Streams &amp; Delivery Mode'!$D$17:$M$22,MATCH($D65,'Value Streams &amp; Delivery Mode'!$B$17:$B$22,0),($B65-1)*2+IF($C65="POD",1,2)),0)))</f>
        <v>0</v>
      </c>
      <c r="M65" s="45">
        <f t="shared" si="0"/>
        <v>0</v>
      </c>
      <c r="N65" s="46">
        <f>IF($B65="",0,IFERROR(INDEX('Rates &amp; Tables'!$C$61:$G$63,MATCH($I65,'Rates &amp; Tables'!$J$61:$J$63,0),MATCH($H65,'Rates &amp; Tables'!$C$60:$G$60,0)),0))</f>
        <v>0</v>
      </c>
      <c r="O65" s="44">
        <f t="shared" si="1"/>
        <v>0</v>
      </c>
      <c r="P65" s="41" t="str">
        <f t="shared" si="2"/>
        <v/>
      </c>
    </row>
    <row r="66" spans="2:16">
      <c r="B66" s="43"/>
      <c r="C66" s="43"/>
      <c r="D66" s="43"/>
      <c r="E66" s="43"/>
      <c r="F66" s="43"/>
      <c r="G66" s="43"/>
      <c r="H66" s="43"/>
      <c r="I66" s="43"/>
      <c r="J66" s="43"/>
      <c r="K66" s="43"/>
      <c r="L66" s="44">
        <f>IF($B66="",0,IF($C66="HZ",1,IFERROR(INDEX('Value Streams &amp; Delivery Mode'!$D$17:$M$22,MATCH($D66,'Value Streams &amp; Delivery Mode'!$B$17:$B$22,0),($B66-1)*2+IF($C66="POD",1,2)),0)))</f>
        <v>0</v>
      </c>
      <c r="M66" s="45">
        <f t="shared" si="0"/>
        <v>0</v>
      </c>
      <c r="N66" s="46">
        <f>IF($B66="",0,IFERROR(INDEX('Rates &amp; Tables'!$C$61:$G$63,MATCH($I66,'Rates &amp; Tables'!$J$61:$J$63,0),MATCH($H66,'Rates &amp; Tables'!$C$60:$G$60,0)),0))</f>
        <v>0</v>
      </c>
      <c r="O66" s="44">
        <f t="shared" si="1"/>
        <v>0</v>
      </c>
      <c r="P66" s="41" t="str">
        <f t="shared" si="2"/>
        <v/>
      </c>
    </row>
    <row r="67" spans="2:16">
      <c r="B67" s="43"/>
      <c r="C67" s="43"/>
      <c r="D67" s="43"/>
      <c r="E67" s="43"/>
      <c r="F67" s="43"/>
      <c r="G67" s="43"/>
      <c r="H67" s="43"/>
      <c r="I67" s="43"/>
      <c r="J67" s="43"/>
      <c r="K67" s="43"/>
      <c r="L67" s="44">
        <f>IF($B67="",0,IF($C67="HZ",1,IFERROR(INDEX('Value Streams &amp; Delivery Mode'!$D$17:$M$22,MATCH($D67,'Value Streams &amp; Delivery Mode'!$B$17:$B$22,0),($B67-1)*2+IF($C67="POD",1,2)),0)))</f>
        <v>0</v>
      </c>
      <c r="M67" s="45">
        <f t="shared" si="0"/>
        <v>0</v>
      </c>
      <c r="N67" s="46">
        <f>IF($B67="",0,IFERROR(INDEX('Rates &amp; Tables'!$C$61:$G$63,MATCH($I67,'Rates &amp; Tables'!$J$61:$J$63,0),MATCH($H67,'Rates &amp; Tables'!$C$60:$G$60,0)),0))</f>
        <v>0</v>
      </c>
      <c r="O67" s="44">
        <f t="shared" si="1"/>
        <v>0</v>
      </c>
      <c r="P67" s="41" t="str">
        <f t="shared" si="2"/>
        <v/>
      </c>
    </row>
    <row r="68" spans="2:16">
      <c r="B68" s="43"/>
      <c r="C68" s="43"/>
      <c r="D68" s="43"/>
      <c r="E68" s="43"/>
      <c r="F68" s="43"/>
      <c r="G68" s="43"/>
      <c r="H68" s="43"/>
      <c r="I68" s="43"/>
      <c r="J68" s="43"/>
      <c r="K68" s="43"/>
      <c r="L68" s="44">
        <f>IF($B68="",0,IF($C68="HZ",1,IFERROR(INDEX('Value Streams &amp; Delivery Mode'!$D$17:$M$22,MATCH($D68,'Value Streams &amp; Delivery Mode'!$B$17:$B$22,0),($B68-1)*2+IF($C68="POD",1,2)),0)))</f>
        <v>0</v>
      </c>
      <c r="M68" s="45">
        <f t="shared" si="0"/>
        <v>0</v>
      </c>
      <c r="N68" s="46">
        <f>IF($B68="",0,IFERROR(INDEX('Rates &amp; Tables'!$C$61:$G$63,MATCH($I68,'Rates &amp; Tables'!$J$61:$J$63,0),MATCH($H68,'Rates &amp; Tables'!$C$60:$G$60,0)),0))</f>
        <v>0</v>
      </c>
      <c r="O68" s="44">
        <f t="shared" si="1"/>
        <v>0</v>
      </c>
      <c r="P68" s="41" t="str">
        <f t="shared" si="2"/>
        <v/>
      </c>
    </row>
    <row r="69" spans="2:16">
      <c r="B69" s="43"/>
      <c r="C69" s="43"/>
      <c r="D69" s="43"/>
      <c r="E69" s="43"/>
      <c r="F69" s="43"/>
      <c r="G69" s="43"/>
      <c r="H69" s="43"/>
      <c r="I69" s="43"/>
      <c r="J69" s="43"/>
      <c r="K69" s="43"/>
      <c r="L69" s="44">
        <f>IF($B69="",0,IF($C69="HZ",1,IFERROR(INDEX('Value Streams &amp; Delivery Mode'!$D$17:$M$22,MATCH($D69,'Value Streams &amp; Delivery Mode'!$B$17:$B$22,0),($B69-1)*2+IF($C69="POD",1,2)),0)))</f>
        <v>0</v>
      </c>
      <c r="M69" s="45">
        <f t="shared" ref="M69:M132" si="3">IF($B69="",0,$K69*$L69)</f>
        <v>0</v>
      </c>
      <c r="N69" s="46">
        <f>IF($B69="",0,IFERROR(INDEX('Rates &amp; Tables'!$C$61:$G$63,MATCH($I69,'Rates &amp; Tables'!$J$61:$J$63,0),MATCH($H69,'Rates &amp; Tables'!$C$60:$G$60,0)),0))</f>
        <v>0</v>
      </c>
      <c r="O69" s="44">
        <f t="shared" ref="O69:O132" si="4">IF($B69="",0,$M69*$N69)</f>
        <v>0</v>
      </c>
      <c r="P69" s="41" t="str">
        <f t="shared" ref="P69:P132" si="5">IF($B69="","",$B69&amp;"|"&amp;$G69&amp;"|"&amp;$J69)</f>
        <v/>
      </c>
    </row>
    <row r="70" spans="2:16">
      <c r="B70" s="43"/>
      <c r="C70" s="43"/>
      <c r="D70" s="43"/>
      <c r="E70" s="43"/>
      <c r="F70" s="43"/>
      <c r="G70" s="43"/>
      <c r="H70" s="43"/>
      <c r="I70" s="43"/>
      <c r="J70" s="43"/>
      <c r="K70" s="43"/>
      <c r="L70" s="44">
        <f>IF($B70="",0,IF($C70="HZ",1,IFERROR(INDEX('Value Streams &amp; Delivery Mode'!$D$17:$M$22,MATCH($D70,'Value Streams &amp; Delivery Mode'!$B$17:$B$22,0),($B70-1)*2+IF($C70="POD",1,2)),0)))</f>
        <v>0</v>
      </c>
      <c r="M70" s="45">
        <f t="shared" si="3"/>
        <v>0</v>
      </c>
      <c r="N70" s="46">
        <f>IF($B70="",0,IFERROR(INDEX('Rates &amp; Tables'!$C$61:$G$63,MATCH($I70,'Rates &amp; Tables'!$J$61:$J$63,0),MATCH($H70,'Rates &amp; Tables'!$C$60:$G$60,0)),0))</f>
        <v>0</v>
      </c>
      <c r="O70" s="44">
        <f t="shared" si="4"/>
        <v>0</v>
      </c>
      <c r="P70" s="41" t="str">
        <f t="shared" si="5"/>
        <v/>
      </c>
    </row>
    <row r="71" spans="2:16">
      <c r="B71" s="43"/>
      <c r="C71" s="43"/>
      <c r="D71" s="43"/>
      <c r="E71" s="43"/>
      <c r="F71" s="43"/>
      <c r="G71" s="43"/>
      <c r="H71" s="43"/>
      <c r="I71" s="43"/>
      <c r="J71" s="43"/>
      <c r="K71" s="43"/>
      <c r="L71" s="44">
        <f>IF($B71="",0,IF($C71="HZ",1,IFERROR(INDEX('Value Streams &amp; Delivery Mode'!$D$17:$M$22,MATCH($D71,'Value Streams &amp; Delivery Mode'!$B$17:$B$22,0),($B71-1)*2+IF($C71="POD",1,2)),0)))</f>
        <v>0</v>
      </c>
      <c r="M71" s="45">
        <f t="shared" si="3"/>
        <v>0</v>
      </c>
      <c r="N71" s="46">
        <f>IF($B71="",0,IFERROR(INDEX('Rates &amp; Tables'!$C$61:$G$63,MATCH($I71,'Rates &amp; Tables'!$J$61:$J$63,0),MATCH($H71,'Rates &amp; Tables'!$C$60:$G$60,0)),0))</f>
        <v>0</v>
      </c>
      <c r="O71" s="44">
        <f t="shared" si="4"/>
        <v>0</v>
      </c>
      <c r="P71" s="41" t="str">
        <f t="shared" si="5"/>
        <v/>
      </c>
    </row>
    <row r="72" spans="2:16">
      <c r="B72" s="43"/>
      <c r="C72" s="43"/>
      <c r="D72" s="43"/>
      <c r="E72" s="43"/>
      <c r="F72" s="43"/>
      <c r="G72" s="43"/>
      <c r="H72" s="43"/>
      <c r="I72" s="43"/>
      <c r="J72" s="43"/>
      <c r="K72" s="43"/>
      <c r="L72" s="44">
        <f>IF($B72="",0,IF($C72="HZ",1,IFERROR(INDEX('Value Streams &amp; Delivery Mode'!$D$17:$M$22,MATCH($D72,'Value Streams &amp; Delivery Mode'!$B$17:$B$22,0),($B72-1)*2+IF($C72="POD",1,2)),0)))</f>
        <v>0</v>
      </c>
      <c r="M72" s="45">
        <f t="shared" si="3"/>
        <v>0</v>
      </c>
      <c r="N72" s="46">
        <f>IF($B72="",0,IFERROR(INDEX('Rates &amp; Tables'!$C$61:$G$63,MATCH($I72,'Rates &amp; Tables'!$J$61:$J$63,0),MATCH($H72,'Rates &amp; Tables'!$C$60:$G$60,0)),0))</f>
        <v>0</v>
      </c>
      <c r="O72" s="44">
        <f t="shared" si="4"/>
        <v>0</v>
      </c>
      <c r="P72" s="41" t="str">
        <f t="shared" si="5"/>
        <v/>
      </c>
    </row>
    <row r="73" spans="2:16">
      <c r="B73" s="43"/>
      <c r="C73" s="43"/>
      <c r="D73" s="43"/>
      <c r="E73" s="43"/>
      <c r="F73" s="43"/>
      <c r="G73" s="43"/>
      <c r="H73" s="43"/>
      <c r="I73" s="43"/>
      <c r="J73" s="43"/>
      <c r="K73" s="43"/>
      <c r="L73" s="44">
        <f>IF($B73="",0,IF($C73="HZ",1,IFERROR(INDEX('Value Streams &amp; Delivery Mode'!$D$17:$M$22,MATCH($D73,'Value Streams &amp; Delivery Mode'!$B$17:$B$22,0),($B73-1)*2+IF($C73="POD",1,2)),0)))</f>
        <v>0</v>
      </c>
      <c r="M73" s="45">
        <f t="shared" si="3"/>
        <v>0</v>
      </c>
      <c r="N73" s="46">
        <f>IF($B73="",0,IFERROR(INDEX('Rates &amp; Tables'!$C$61:$G$63,MATCH($I73,'Rates &amp; Tables'!$J$61:$J$63,0),MATCH($H73,'Rates &amp; Tables'!$C$60:$G$60,0)),0))</f>
        <v>0</v>
      </c>
      <c r="O73" s="44">
        <f t="shared" si="4"/>
        <v>0</v>
      </c>
      <c r="P73" s="41" t="str">
        <f t="shared" si="5"/>
        <v/>
      </c>
    </row>
    <row r="74" spans="2:16">
      <c r="B74" s="43"/>
      <c r="C74" s="43"/>
      <c r="D74" s="43"/>
      <c r="E74" s="43"/>
      <c r="F74" s="43"/>
      <c r="G74" s="43"/>
      <c r="H74" s="43"/>
      <c r="I74" s="43"/>
      <c r="J74" s="43"/>
      <c r="K74" s="43"/>
      <c r="L74" s="44">
        <f>IF($B74="",0,IF($C74="HZ",1,IFERROR(INDEX('Value Streams &amp; Delivery Mode'!$D$17:$M$22,MATCH($D74,'Value Streams &amp; Delivery Mode'!$B$17:$B$22,0),($B74-1)*2+IF($C74="POD",1,2)),0)))</f>
        <v>0</v>
      </c>
      <c r="M74" s="45">
        <f t="shared" si="3"/>
        <v>0</v>
      </c>
      <c r="N74" s="46">
        <f>IF($B74="",0,IFERROR(INDEX('Rates &amp; Tables'!$C$61:$G$63,MATCH($I74,'Rates &amp; Tables'!$J$61:$J$63,0),MATCH($H74,'Rates &amp; Tables'!$C$60:$G$60,0)),0))</f>
        <v>0</v>
      </c>
      <c r="O74" s="44">
        <f t="shared" si="4"/>
        <v>0</v>
      </c>
      <c r="P74" s="41" t="str">
        <f t="shared" si="5"/>
        <v/>
      </c>
    </row>
    <row r="75" spans="2:16">
      <c r="B75" s="43"/>
      <c r="C75" s="43"/>
      <c r="D75" s="43"/>
      <c r="E75" s="43"/>
      <c r="F75" s="43"/>
      <c r="G75" s="43"/>
      <c r="H75" s="43"/>
      <c r="I75" s="43"/>
      <c r="J75" s="43"/>
      <c r="K75" s="43"/>
      <c r="L75" s="44">
        <f>IF($B75="",0,IF($C75="HZ",1,IFERROR(INDEX('Value Streams &amp; Delivery Mode'!$D$17:$M$22,MATCH($D75,'Value Streams &amp; Delivery Mode'!$B$17:$B$22,0),($B75-1)*2+IF($C75="POD",1,2)),0)))</f>
        <v>0</v>
      </c>
      <c r="M75" s="45">
        <f t="shared" si="3"/>
        <v>0</v>
      </c>
      <c r="N75" s="46">
        <f>IF($B75="",0,IFERROR(INDEX('Rates &amp; Tables'!$C$61:$G$63,MATCH($I75,'Rates &amp; Tables'!$J$61:$J$63,0),MATCH($H75,'Rates &amp; Tables'!$C$60:$G$60,0)),0))</f>
        <v>0</v>
      </c>
      <c r="O75" s="44">
        <f t="shared" si="4"/>
        <v>0</v>
      </c>
      <c r="P75" s="41" t="str">
        <f t="shared" si="5"/>
        <v/>
      </c>
    </row>
    <row r="76" spans="2:16">
      <c r="B76" s="43"/>
      <c r="C76" s="43"/>
      <c r="D76" s="43"/>
      <c r="E76" s="43"/>
      <c r="F76" s="43"/>
      <c r="G76" s="43"/>
      <c r="H76" s="43"/>
      <c r="I76" s="43"/>
      <c r="J76" s="43"/>
      <c r="K76" s="43"/>
      <c r="L76" s="44">
        <f>IF($B76="",0,IF($C76="HZ",1,IFERROR(INDEX('Value Streams &amp; Delivery Mode'!$D$17:$M$22,MATCH($D76,'Value Streams &amp; Delivery Mode'!$B$17:$B$22,0),($B76-1)*2+IF($C76="POD",1,2)),0)))</f>
        <v>0</v>
      </c>
      <c r="M76" s="45">
        <f t="shared" si="3"/>
        <v>0</v>
      </c>
      <c r="N76" s="46">
        <f>IF($B76="",0,IFERROR(INDEX('Rates &amp; Tables'!$C$61:$G$63,MATCH($I76,'Rates &amp; Tables'!$J$61:$J$63,0),MATCH($H76,'Rates &amp; Tables'!$C$60:$G$60,0)),0))</f>
        <v>0</v>
      </c>
      <c r="O76" s="44">
        <f t="shared" si="4"/>
        <v>0</v>
      </c>
      <c r="P76" s="41" t="str">
        <f t="shared" si="5"/>
        <v/>
      </c>
    </row>
    <row r="77" spans="2:16">
      <c r="B77" s="43"/>
      <c r="C77" s="43"/>
      <c r="D77" s="43"/>
      <c r="E77" s="43"/>
      <c r="F77" s="43"/>
      <c r="G77" s="43"/>
      <c r="H77" s="43"/>
      <c r="I77" s="43"/>
      <c r="J77" s="43"/>
      <c r="K77" s="43"/>
      <c r="L77" s="44">
        <f>IF($B77="",0,IF($C77="HZ",1,IFERROR(INDEX('Value Streams &amp; Delivery Mode'!$D$17:$M$22,MATCH($D77,'Value Streams &amp; Delivery Mode'!$B$17:$B$22,0),($B77-1)*2+IF($C77="POD",1,2)),0)))</f>
        <v>0</v>
      </c>
      <c r="M77" s="45">
        <f t="shared" si="3"/>
        <v>0</v>
      </c>
      <c r="N77" s="46">
        <f>IF($B77="",0,IFERROR(INDEX('Rates &amp; Tables'!$C$61:$G$63,MATCH($I77,'Rates &amp; Tables'!$J$61:$J$63,0),MATCH($H77,'Rates &amp; Tables'!$C$60:$G$60,0)),0))</f>
        <v>0</v>
      </c>
      <c r="O77" s="44">
        <f t="shared" si="4"/>
        <v>0</v>
      </c>
      <c r="P77" s="41" t="str">
        <f t="shared" si="5"/>
        <v/>
      </c>
    </row>
    <row r="78" spans="2:16">
      <c r="B78" s="43"/>
      <c r="C78" s="43"/>
      <c r="D78" s="43"/>
      <c r="E78" s="43"/>
      <c r="F78" s="43"/>
      <c r="G78" s="43"/>
      <c r="H78" s="43"/>
      <c r="I78" s="43"/>
      <c r="J78" s="43"/>
      <c r="K78" s="43"/>
      <c r="L78" s="44">
        <f>IF($B78="",0,IF($C78="HZ",1,IFERROR(INDEX('Value Streams &amp; Delivery Mode'!$D$17:$M$22,MATCH($D78,'Value Streams &amp; Delivery Mode'!$B$17:$B$22,0),($B78-1)*2+IF($C78="POD",1,2)),0)))</f>
        <v>0</v>
      </c>
      <c r="M78" s="45">
        <f t="shared" si="3"/>
        <v>0</v>
      </c>
      <c r="N78" s="46">
        <f>IF($B78="",0,IFERROR(INDEX('Rates &amp; Tables'!$C$61:$G$63,MATCH($I78,'Rates &amp; Tables'!$J$61:$J$63,0),MATCH($H78,'Rates &amp; Tables'!$C$60:$G$60,0)),0))</f>
        <v>0</v>
      </c>
      <c r="O78" s="44">
        <f t="shared" si="4"/>
        <v>0</v>
      </c>
      <c r="P78" s="41" t="str">
        <f t="shared" si="5"/>
        <v/>
      </c>
    </row>
    <row r="79" spans="2:16">
      <c r="B79" s="43"/>
      <c r="C79" s="43"/>
      <c r="D79" s="43"/>
      <c r="E79" s="43"/>
      <c r="F79" s="43"/>
      <c r="G79" s="43"/>
      <c r="H79" s="43"/>
      <c r="I79" s="43"/>
      <c r="J79" s="43"/>
      <c r="K79" s="43"/>
      <c r="L79" s="44">
        <f>IF($B79="",0,IF($C79="HZ",1,IFERROR(INDEX('Value Streams &amp; Delivery Mode'!$D$17:$M$22,MATCH($D79,'Value Streams &amp; Delivery Mode'!$B$17:$B$22,0),($B79-1)*2+IF($C79="POD",1,2)),0)))</f>
        <v>0</v>
      </c>
      <c r="M79" s="45">
        <f t="shared" si="3"/>
        <v>0</v>
      </c>
      <c r="N79" s="46">
        <f>IF($B79="",0,IFERROR(INDEX('Rates &amp; Tables'!$C$61:$G$63,MATCH($I79,'Rates &amp; Tables'!$J$61:$J$63,0),MATCH($H79,'Rates &amp; Tables'!$C$60:$G$60,0)),0))</f>
        <v>0</v>
      </c>
      <c r="O79" s="44">
        <f t="shared" si="4"/>
        <v>0</v>
      </c>
      <c r="P79" s="41" t="str">
        <f t="shared" si="5"/>
        <v/>
      </c>
    </row>
    <row r="80" spans="2:16">
      <c r="B80" s="43"/>
      <c r="C80" s="43"/>
      <c r="D80" s="43"/>
      <c r="E80" s="43"/>
      <c r="F80" s="43"/>
      <c r="G80" s="43"/>
      <c r="H80" s="43"/>
      <c r="I80" s="43"/>
      <c r="J80" s="43"/>
      <c r="K80" s="43"/>
      <c r="L80" s="44">
        <f>IF($B80="",0,IF($C80="HZ",1,IFERROR(INDEX('Value Streams &amp; Delivery Mode'!$D$17:$M$22,MATCH($D80,'Value Streams &amp; Delivery Mode'!$B$17:$B$22,0),($B80-1)*2+IF($C80="POD",1,2)),0)))</f>
        <v>0</v>
      </c>
      <c r="M80" s="45">
        <f t="shared" si="3"/>
        <v>0</v>
      </c>
      <c r="N80" s="46">
        <f>IF($B80="",0,IFERROR(INDEX('Rates &amp; Tables'!$C$61:$G$63,MATCH($I80,'Rates &amp; Tables'!$J$61:$J$63,0),MATCH($H80,'Rates &amp; Tables'!$C$60:$G$60,0)),0))</f>
        <v>0</v>
      </c>
      <c r="O80" s="44">
        <f t="shared" si="4"/>
        <v>0</v>
      </c>
      <c r="P80" s="41" t="str">
        <f t="shared" si="5"/>
        <v/>
      </c>
    </row>
    <row r="81" spans="2:16">
      <c r="B81" s="43"/>
      <c r="C81" s="43"/>
      <c r="D81" s="43"/>
      <c r="E81" s="43"/>
      <c r="F81" s="43"/>
      <c r="G81" s="43"/>
      <c r="H81" s="43"/>
      <c r="I81" s="43"/>
      <c r="J81" s="43"/>
      <c r="K81" s="43"/>
      <c r="L81" s="44">
        <f>IF($B81="",0,IF($C81="HZ",1,IFERROR(INDEX('Value Streams &amp; Delivery Mode'!$D$17:$M$22,MATCH($D81,'Value Streams &amp; Delivery Mode'!$B$17:$B$22,0),($B81-1)*2+IF($C81="POD",1,2)),0)))</f>
        <v>0</v>
      </c>
      <c r="M81" s="45">
        <f t="shared" si="3"/>
        <v>0</v>
      </c>
      <c r="N81" s="46">
        <f>IF($B81="",0,IFERROR(INDEX('Rates &amp; Tables'!$C$61:$G$63,MATCH($I81,'Rates &amp; Tables'!$J$61:$J$63,0),MATCH($H81,'Rates &amp; Tables'!$C$60:$G$60,0)),0))</f>
        <v>0</v>
      </c>
      <c r="O81" s="44">
        <f t="shared" si="4"/>
        <v>0</v>
      </c>
      <c r="P81" s="41" t="str">
        <f t="shared" si="5"/>
        <v/>
      </c>
    </row>
    <row r="82" spans="2:16">
      <c r="B82" s="43"/>
      <c r="C82" s="43"/>
      <c r="D82" s="43"/>
      <c r="E82" s="43"/>
      <c r="F82" s="43"/>
      <c r="G82" s="43"/>
      <c r="H82" s="43"/>
      <c r="I82" s="43"/>
      <c r="J82" s="43"/>
      <c r="K82" s="43"/>
      <c r="L82" s="44">
        <f>IF($B82="",0,IF($C82="HZ",1,IFERROR(INDEX('Value Streams &amp; Delivery Mode'!$D$17:$M$22,MATCH($D82,'Value Streams &amp; Delivery Mode'!$B$17:$B$22,0),($B82-1)*2+IF($C82="POD",1,2)),0)))</f>
        <v>0</v>
      </c>
      <c r="M82" s="45">
        <f t="shared" si="3"/>
        <v>0</v>
      </c>
      <c r="N82" s="46">
        <f>IF($B82="",0,IFERROR(INDEX('Rates &amp; Tables'!$C$61:$G$63,MATCH($I82,'Rates &amp; Tables'!$J$61:$J$63,0),MATCH($H82,'Rates &amp; Tables'!$C$60:$G$60,0)),0))</f>
        <v>0</v>
      </c>
      <c r="O82" s="44">
        <f t="shared" si="4"/>
        <v>0</v>
      </c>
      <c r="P82" s="41" t="str">
        <f t="shared" si="5"/>
        <v/>
      </c>
    </row>
    <row r="83" spans="2:16">
      <c r="B83" s="43"/>
      <c r="C83" s="43"/>
      <c r="D83" s="43"/>
      <c r="E83" s="43"/>
      <c r="F83" s="43"/>
      <c r="G83" s="43"/>
      <c r="H83" s="43"/>
      <c r="I83" s="43"/>
      <c r="J83" s="43"/>
      <c r="K83" s="43"/>
      <c r="L83" s="44">
        <f>IF($B83="",0,IF($C83="HZ",1,IFERROR(INDEX('Value Streams &amp; Delivery Mode'!$D$17:$M$22,MATCH($D83,'Value Streams &amp; Delivery Mode'!$B$17:$B$22,0),($B83-1)*2+IF($C83="POD",1,2)),0)))</f>
        <v>0</v>
      </c>
      <c r="M83" s="45">
        <f t="shared" si="3"/>
        <v>0</v>
      </c>
      <c r="N83" s="46">
        <f>IF($B83="",0,IFERROR(INDEX('Rates &amp; Tables'!$C$61:$G$63,MATCH($I83,'Rates &amp; Tables'!$J$61:$J$63,0),MATCH($H83,'Rates &amp; Tables'!$C$60:$G$60,0)),0))</f>
        <v>0</v>
      </c>
      <c r="O83" s="44">
        <f t="shared" si="4"/>
        <v>0</v>
      </c>
      <c r="P83" s="41" t="str">
        <f t="shared" si="5"/>
        <v/>
      </c>
    </row>
    <row r="84" spans="2:16">
      <c r="B84" s="43"/>
      <c r="C84" s="43"/>
      <c r="D84" s="43"/>
      <c r="E84" s="43"/>
      <c r="F84" s="43"/>
      <c r="G84" s="43"/>
      <c r="H84" s="43"/>
      <c r="I84" s="43"/>
      <c r="J84" s="43"/>
      <c r="K84" s="43"/>
      <c r="L84" s="44">
        <f>IF($B84="",0,IF($C84="HZ",1,IFERROR(INDEX('Value Streams &amp; Delivery Mode'!$D$17:$M$22,MATCH($D84,'Value Streams &amp; Delivery Mode'!$B$17:$B$22,0),($B84-1)*2+IF($C84="POD",1,2)),0)))</f>
        <v>0</v>
      </c>
      <c r="M84" s="45">
        <f t="shared" si="3"/>
        <v>0</v>
      </c>
      <c r="N84" s="46">
        <f>IF($B84="",0,IFERROR(INDEX('Rates &amp; Tables'!$C$61:$G$63,MATCH($I84,'Rates &amp; Tables'!$J$61:$J$63,0),MATCH($H84,'Rates &amp; Tables'!$C$60:$G$60,0)),0))</f>
        <v>0</v>
      </c>
      <c r="O84" s="44">
        <f t="shared" si="4"/>
        <v>0</v>
      </c>
      <c r="P84" s="41" t="str">
        <f t="shared" si="5"/>
        <v/>
      </c>
    </row>
    <row r="85" spans="2:16">
      <c r="B85" s="43"/>
      <c r="C85" s="43"/>
      <c r="D85" s="43"/>
      <c r="E85" s="43"/>
      <c r="F85" s="43"/>
      <c r="G85" s="43"/>
      <c r="H85" s="43"/>
      <c r="I85" s="43"/>
      <c r="J85" s="43"/>
      <c r="K85" s="43"/>
      <c r="L85" s="44">
        <f>IF($B85="",0,IF($C85="HZ",1,IFERROR(INDEX('Value Streams &amp; Delivery Mode'!$D$17:$M$22,MATCH($D85,'Value Streams &amp; Delivery Mode'!$B$17:$B$22,0),($B85-1)*2+IF($C85="POD",1,2)),0)))</f>
        <v>0</v>
      </c>
      <c r="M85" s="45">
        <f t="shared" si="3"/>
        <v>0</v>
      </c>
      <c r="N85" s="46">
        <f>IF($B85="",0,IFERROR(INDEX('Rates &amp; Tables'!$C$61:$G$63,MATCH($I85,'Rates &amp; Tables'!$J$61:$J$63,0),MATCH($H85,'Rates &amp; Tables'!$C$60:$G$60,0)),0))</f>
        <v>0</v>
      </c>
      <c r="O85" s="44">
        <f t="shared" si="4"/>
        <v>0</v>
      </c>
      <c r="P85" s="41" t="str">
        <f t="shared" si="5"/>
        <v/>
      </c>
    </row>
    <row r="86" spans="2:16">
      <c r="B86" s="43"/>
      <c r="C86" s="43"/>
      <c r="D86" s="43"/>
      <c r="E86" s="43"/>
      <c r="F86" s="43"/>
      <c r="G86" s="43"/>
      <c r="H86" s="43"/>
      <c r="I86" s="43"/>
      <c r="J86" s="43"/>
      <c r="K86" s="43"/>
      <c r="L86" s="44">
        <f>IF($B86="",0,IF($C86="HZ",1,IFERROR(INDEX('Value Streams &amp; Delivery Mode'!$D$17:$M$22,MATCH($D86,'Value Streams &amp; Delivery Mode'!$B$17:$B$22,0),($B86-1)*2+IF($C86="POD",1,2)),0)))</f>
        <v>0</v>
      </c>
      <c r="M86" s="45">
        <f t="shared" si="3"/>
        <v>0</v>
      </c>
      <c r="N86" s="46">
        <f>IF($B86="",0,IFERROR(INDEX('Rates &amp; Tables'!$C$61:$G$63,MATCH($I86,'Rates &amp; Tables'!$J$61:$J$63,0),MATCH($H86,'Rates &amp; Tables'!$C$60:$G$60,0)),0))</f>
        <v>0</v>
      </c>
      <c r="O86" s="44">
        <f t="shared" si="4"/>
        <v>0</v>
      </c>
      <c r="P86" s="41" t="str">
        <f t="shared" si="5"/>
        <v/>
      </c>
    </row>
    <row r="87" spans="2:16">
      <c r="B87" s="43"/>
      <c r="C87" s="43"/>
      <c r="D87" s="43"/>
      <c r="E87" s="43"/>
      <c r="F87" s="43"/>
      <c r="G87" s="43"/>
      <c r="H87" s="43"/>
      <c r="I87" s="43"/>
      <c r="J87" s="43"/>
      <c r="K87" s="43"/>
      <c r="L87" s="44">
        <f>IF($B87="",0,IF($C87="HZ",1,IFERROR(INDEX('Value Streams &amp; Delivery Mode'!$D$17:$M$22,MATCH($D87,'Value Streams &amp; Delivery Mode'!$B$17:$B$22,0),($B87-1)*2+IF($C87="POD",1,2)),0)))</f>
        <v>0</v>
      </c>
      <c r="M87" s="45">
        <f t="shared" si="3"/>
        <v>0</v>
      </c>
      <c r="N87" s="46">
        <f>IF($B87="",0,IFERROR(INDEX('Rates &amp; Tables'!$C$61:$G$63,MATCH($I87,'Rates &amp; Tables'!$J$61:$J$63,0),MATCH($H87,'Rates &amp; Tables'!$C$60:$G$60,0)),0))</f>
        <v>0</v>
      </c>
      <c r="O87" s="44">
        <f t="shared" si="4"/>
        <v>0</v>
      </c>
      <c r="P87" s="41" t="str">
        <f t="shared" si="5"/>
        <v/>
      </c>
    </row>
    <row r="88" spans="2:16">
      <c r="B88" s="43"/>
      <c r="C88" s="43"/>
      <c r="D88" s="43"/>
      <c r="E88" s="43"/>
      <c r="F88" s="43"/>
      <c r="G88" s="43"/>
      <c r="H88" s="43"/>
      <c r="I88" s="43"/>
      <c r="J88" s="43"/>
      <c r="K88" s="43"/>
      <c r="L88" s="44">
        <f>IF($B88="",0,IF($C88="HZ",1,IFERROR(INDEX('Value Streams &amp; Delivery Mode'!$D$17:$M$22,MATCH($D88,'Value Streams &amp; Delivery Mode'!$B$17:$B$22,0),($B88-1)*2+IF($C88="POD",1,2)),0)))</f>
        <v>0</v>
      </c>
      <c r="M88" s="45">
        <f t="shared" si="3"/>
        <v>0</v>
      </c>
      <c r="N88" s="46">
        <f>IF($B88="",0,IFERROR(INDEX('Rates &amp; Tables'!$C$61:$G$63,MATCH($I88,'Rates &amp; Tables'!$J$61:$J$63,0),MATCH($H88,'Rates &amp; Tables'!$C$60:$G$60,0)),0))</f>
        <v>0</v>
      </c>
      <c r="O88" s="44">
        <f t="shared" si="4"/>
        <v>0</v>
      </c>
      <c r="P88" s="41" t="str">
        <f t="shared" si="5"/>
        <v/>
      </c>
    </row>
    <row r="89" spans="2:16">
      <c r="B89" s="43"/>
      <c r="C89" s="43"/>
      <c r="D89" s="43"/>
      <c r="E89" s="43"/>
      <c r="F89" s="43"/>
      <c r="G89" s="43"/>
      <c r="H89" s="43"/>
      <c r="I89" s="43"/>
      <c r="J89" s="43"/>
      <c r="K89" s="43"/>
      <c r="L89" s="44">
        <f>IF($B89="",0,IF($C89="HZ",1,IFERROR(INDEX('Value Streams &amp; Delivery Mode'!$D$17:$M$22,MATCH($D89,'Value Streams &amp; Delivery Mode'!$B$17:$B$22,0),($B89-1)*2+IF($C89="POD",1,2)),0)))</f>
        <v>0</v>
      </c>
      <c r="M89" s="45">
        <f t="shared" si="3"/>
        <v>0</v>
      </c>
      <c r="N89" s="46">
        <f>IF($B89="",0,IFERROR(INDEX('Rates &amp; Tables'!$C$61:$G$63,MATCH($I89,'Rates &amp; Tables'!$J$61:$J$63,0),MATCH($H89,'Rates &amp; Tables'!$C$60:$G$60,0)),0))</f>
        <v>0</v>
      </c>
      <c r="O89" s="44">
        <f t="shared" si="4"/>
        <v>0</v>
      </c>
      <c r="P89" s="41" t="str">
        <f t="shared" si="5"/>
        <v/>
      </c>
    </row>
    <row r="90" spans="2:16">
      <c r="B90" s="43"/>
      <c r="C90" s="43"/>
      <c r="D90" s="43"/>
      <c r="E90" s="43"/>
      <c r="F90" s="43"/>
      <c r="G90" s="43"/>
      <c r="H90" s="43"/>
      <c r="I90" s="43"/>
      <c r="J90" s="43"/>
      <c r="K90" s="43"/>
      <c r="L90" s="44">
        <f>IF($B90="",0,IF($C90="HZ",1,IFERROR(INDEX('Value Streams &amp; Delivery Mode'!$D$17:$M$22,MATCH($D90,'Value Streams &amp; Delivery Mode'!$B$17:$B$22,0),($B90-1)*2+IF($C90="POD",1,2)),0)))</f>
        <v>0</v>
      </c>
      <c r="M90" s="45">
        <f t="shared" si="3"/>
        <v>0</v>
      </c>
      <c r="N90" s="46">
        <f>IF($B90="",0,IFERROR(INDEX('Rates &amp; Tables'!$C$61:$G$63,MATCH($I90,'Rates &amp; Tables'!$J$61:$J$63,0),MATCH($H90,'Rates &amp; Tables'!$C$60:$G$60,0)),0))</f>
        <v>0</v>
      </c>
      <c r="O90" s="44">
        <f t="shared" si="4"/>
        <v>0</v>
      </c>
      <c r="P90" s="41" t="str">
        <f t="shared" si="5"/>
        <v/>
      </c>
    </row>
    <row r="91" spans="2:16">
      <c r="B91" s="43"/>
      <c r="C91" s="43"/>
      <c r="D91" s="43"/>
      <c r="E91" s="43"/>
      <c r="F91" s="43"/>
      <c r="G91" s="43"/>
      <c r="H91" s="43"/>
      <c r="I91" s="43"/>
      <c r="J91" s="43"/>
      <c r="K91" s="43"/>
      <c r="L91" s="44">
        <f>IF($B91="",0,IF($C91="HZ",1,IFERROR(INDEX('Value Streams &amp; Delivery Mode'!$D$17:$M$22,MATCH($D91,'Value Streams &amp; Delivery Mode'!$B$17:$B$22,0),($B91-1)*2+IF($C91="POD",1,2)),0)))</f>
        <v>0</v>
      </c>
      <c r="M91" s="45">
        <f t="shared" si="3"/>
        <v>0</v>
      </c>
      <c r="N91" s="46">
        <f>IF($B91="",0,IFERROR(INDEX('Rates &amp; Tables'!$C$61:$G$63,MATCH($I91,'Rates &amp; Tables'!$J$61:$J$63,0),MATCH($H91,'Rates &amp; Tables'!$C$60:$G$60,0)),0))</f>
        <v>0</v>
      </c>
      <c r="O91" s="44">
        <f t="shared" si="4"/>
        <v>0</v>
      </c>
      <c r="P91" s="41" t="str">
        <f t="shared" si="5"/>
        <v/>
      </c>
    </row>
    <row r="92" spans="2:16">
      <c r="B92" s="43"/>
      <c r="C92" s="43"/>
      <c r="D92" s="43"/>
      <c r="E92" s="43"/>
      <c r="F92" s="43"/>
      <c r="G92" s="43"/>
      <c r="H92" s="43"/>
      <c r="I92" s="43"/>
      <c r="J92" s="43"/>
      <c r="K92" s="43"/>
      <c r="L92" s="44">
        <f>IF($B92="",0,IF($C92="HZ",1,IFERROR(INDEX('Value Streams &amp; Delivery Mode'!$D$17:$M$22,MATCH($D92,'Value Streams &amp; Delivery Mode'!$B$17:$B$22,0),($B92-1)*2+IF($C92="POD",1,2)),0)))</f>
        <v>0</v>
      </c>
      <c r="M92" s="45">
        <f t="shared" si="3"/>
        <v>0</v>
      </c>
      <c r="N92" s="46">
        <f>IF($B92="",0,IFERROR(INDEX('Rates &amp; Tables'!$C$61:$G$63,MATCH($I92,'Rates &amp; Tables'!$J$61:$J$63,0),MATCH($H92,'Rates &amp; Tables'!$C$60:$G$60,0)),0))</f>
        <v>0</v>
      </c>
      <c r="O92" s="44">
        <f t="shared" si="4"/>
        <v>0</v>
      </c>
      <c r="P92" s="41" t="str">
        <f t="shared" si="5"/>
        <v/>
      </c>
    </row>
    <row r="93" spans="2:16">
      <c r="B93" s="43"/>
      <c r="C93" s="43"/>
      <c r="D93" s="43"/>
      <c r="E93" s="43"/>
      <c r="F93" s="43"/>
      <c r="G93" s="43"/>
      <c r="H93" s="43"/>
      <c r="I93" s="43"/>
      <c r="J93" s="43"/>
      <c r="K93" s="43"/>
      <c r="L93" s="44">
        <f>IF($B93="",0,IF($C93="HZ",1,IFERROR(INDEX('Value Streams &amp; Delivery Mode'!$D$17:$M$22,MATCH($D93,'Value Streams &amp; Delivery Mode'!$B$17:$B$22,0),($B93-1)*2+IF($C93="POD",1,2)),0)))</f>
        <v>0</v>
      </c>
      <c r="M93" s="45">
        <f t="shared" si="3"/>
        <v>0</v>
      </c>
      <c r="N93" s="46">
        <f>IF($B93="",0,IFERROR(INDEX('Rates &amp; Tables'!$C$61:$G$63,MATCH($I93,'Rates &amp; Tables'!$J$61:$J$63,0),MATCH($H93,'Rates &amp; Tables'!$C$60:$G$60,0)),0))</f>
        <v>0</v>
      </c>
      <c r="O93" s="44">
        <f t="shared" si="4"/>
        <v>0</v>
      </c>
      <c r="P93" s="41" t="str">
        <f t="shared" si="5"/>
        <v/>
      </c>
    </row>
    <row r="94" spans="2:16">
      <c r="B94" s="43"/>
      <c r="C94" s="43"/>
      <c r="D94" s="43"/>
      <c r="E94" s="43"/>
      <c r="F94" s="43"/>
      <c r="G94" s="43"/>
      <c r="H94" s="43"/>
      <c r="I94" s="43"/>
      <c r="J94" s="43"/>
      <c r="K94" s="43"/>
      <c r="L94" s="44">
        <f>IF($B94="",0,IF($C94="HZ",1,IFERROR(INDEX('Value Streams &amp; Delivery Mode'!$D$17:$M$22,MATCH($D94,'Value Streams &amp; Delivery Mode'!$B$17:$B$22,0),($B94-1)*2+IF($C94="POD",1,2)),0)))</f>
        <v>0</v>
      </c>
      <c r="M94" s="45">
        <f t="shared" si="3"/>
        <v>0</v>
      </c>
      <c r="N94" s="46">
        <f>IF($B94="",0,IFERROR(INDEX('Rates &amp; Tables'!$C$61:$G$63,MATCH($I94,'Rates &amp; Tables'!$J$61:$J$63,0),MATCH($H94,'Rates &amp; Tables'!$C$60:$G$60,0)),0))</f>
        <v>0</v>
      </c>
      <c r="O94" s="44">
        <f t="shared" si="4"/>
        <v>0</v>
      </c>
      <c r="P94" s="41" t="str">
        <f t="shared" si="5"/>
        <v/>
      </c>
    </row>
    <row r="95" spans="2:16">
      <c r="B95" s="43"/>
      <c r="C95" s="43"/>
      <c r="D95" s="43"/>
      <c r="E95" s="43"/>
      <c r="F95" s="43"/>
      <c r="G95" s="43"/>
      <c r="H95" s="43"/>
      <c r="I95" s="43"/>
      <c r="J95" s="43"/>
      <c r="K95" s="43"/>
      <c r="L95" s="44">
        <f>IF($B95="",0,IF($C95="HZ",1,IFERROR(INDEX('Value Streams &amp; Delivery Mode'!$D$17:$M$22,MATCH($D95,'Value Streams &amp; Delivery Mode'!$B$17:$B$22,0),($B95-1)*2+IF($C95="POD",1,2)),0)))</f>
        <v>0</v>
      </c>
      <c r="M95" s="45">
        <f t="shared" si="3"/>
        <v>0</v>
      </c>
      <c r="N95" s="46">
        <f>IF($B95="",0,IFERROR(INDEX('Rates &amp; Tables'!$C$61:$G$63,MATCH($I95,'Rates &amp; Tables'!$J$61:$J$63,0),MATCH($H95,'Rates &amp; Tables'!$C$60:$G$60,0)),0))</f>
        <v>0</v>
      </c>
      <c r="O95" s="44">
        <f t="shared" si="4"/>
        <v>0</v>
      </c>
      <c r="P95" s="41" t="str">
        <f t="shared" si="5"/>
        <v/>
      </c>
    </row>
    <row r="96" spans="2:16">
      <c r="B96" s="43"/>
      <c r="C96" s="43"/>
      <c r="D96" s="43"/>
      <c r="E96" s="43"/>
      <c r="F96" s="43"/>
      <c r="G96" s="43"/>
      <c r="H96" s="43"/>
      <c r="I96" s="43"/>
      <c r="J96" s="43"/>
      <c r="K96" s="43"/>
      <c r="L96" s="44">
        <f>IF($B96="",0,IF($C96="HZ",1,IFERROR(INDEX('Value Streams &amp; Delivery Mode'!$D$17:$M$22,MATCH($D96,'Value Streams &amp; Delivery Mode'!$B$17:$B$22,0),($B96-1)*2+IF($C96="POD",1,2)),0)))</f>
        <v>0</v>
      </c>
      <c r="M96" s="45">
        <f t="shared" si="3"/>
        <v>0</v>
      </c>
      <c r="N96" s="46">
        <f>IF($B96="",0,IFERROR(INDEX('Rates &amp; Tables'!$C$61:$G$63,MATCH($I96,'Rates &amp; Tables'!$J$61:$J$63,0),MATCH($H96,'Rates &amp; Tables'!$C$60:$G$60,0)),0))</f>
        <v>0</v>
      </c>
      <c r="O96" s="44">
        <f t="shared" si="4"/>
        <v>0</v>
      </c>
      <c r="P96" s="41" t="str">
        <f t="shared" si="5"/>
        <v/>
      </c>
    </row>
    <row r="97" spans="2:16">
      <c r="B97" s="43"/>
      <c r="C97" s="43"/>
      <c r="D97" s="43"/>
      <c r="E97" s="43"/>
      <c r="F97" s="43"/>
      <c r="G97" s="43"/>
      <c r="H97" s="43"/>
      <c r="I97" s="43"/>
      <c r="J97" s="43"/>
      <c r="K97" s="43"/>
      <c r="L97" s="44">
        <f>IF($B97="",0,IF($C97="HZ",1,IFERROR(INDEX('Value Streams &amp; Delivery Mode'!$D$17:$M$22,MATCH($D97,'Value Streams &amp; Delivery Mode'!$B$17:$B$22,0),($B97-1)*2+IF($C97="POD",1,2)),0)))</f>
        <v>0</v>
      </c>
      <c r="M97" s="45">
        <f t="shared" si="3"/>
        <v>0</v>
      </c>
      <c r="N97" s="46">
        <f>IF($B97="",0,IFERROR(INDEX('Rates &amp; Tables'!$C$61:$G$63,MATCH($I97,'Rates &amp; Tables'!$J$61:$J$63,0),MATCH($H97,'Rates &amp; Tables'!$C$60:$G$60,0)),0))</f>
        <v>0</v>
      </c>
      <c r="O97" s="44">
        <f t="shared" si="4"/>
        <v>0</v>
      </c>
      <c r="P97" s="41" t="str">
        <f t="shared" si="5"/>
        <v/>
      </c>
    </row>
    <row r="98" spans="2:16">
      <c r="B98" s="43"/>
      <c r="C98" s="43"/>
      <c r="D98" s="43"/>
      <c r="E98" s="43"/>
      <c r="F98" s="43"/>
      <c r="G98" s="43"/>
      <c r="H98" s="43"/>
      <c r="I98" s="43"/>
      <c r="J98" s="43"/>
      <c r="K98" s="43"/>
      <c r="L98" s="44">
        <f>IF($B98="",0,IF($C98="HZ",1,IFERROR(INDEX('Value Streams &amp; Delivery Mode'!$D$17:$M$22,MATCH($D98,'Value Streams &amp; Delivery Mode'!$B$17:$B$22,0),($B98-1)*2+IF($C98="POD",1,2)),0)))</f>
        <v>0</v>
      </c>
      <c r="M98" s="45">
        <f t="shared" si="3"/>
        <v>0</v>
      </c>
      <c r="N98" s="46">
        <f>IF($B98="",0,IFERROR(INDEX('Rates &amp; Tables'!$C$61:$G$63,MATCH($I98,'Rates &amp; Tables'!$J$61:$J$63,0),MATCH($H98,'Rates &amp; Tables'!$C$60:$G$60,0)),0))</f>
        <v>0</v>
      </c>
      <c r="O98" s="44">
        <f t="shared" si="4"/>
        <v>0</v>
      </c>
      <c r="P98" s="41" t="str">
        <f t="shared" si="5"/>
        <v/>
      </c>
    </row>
    <row r="99" spans="2:16">
      <c r="B99" s="43"/>
      <c r="C99" s="43"/>
      <c r="D99" s="43"/>
      <c r="E99" s="43"/>
      <c r="F99" s="43"/>
      <c r="G99" s="43"/>
      <c r="H99" s="43"/>
      <c r="I99" s="43"/>
      <c r="J99" s="43"/>
      <c r="K99" s="43"/>
      <c r="L99" s="44">
        <f>IF($B99="",0,IF($C99="HZ",1,IFERROR(INDEX('Value Streams &amp; Delivery Mode'!$D$17:$M$22,MATCH($D99,'Value Streams &amp; Delivery Mode'!$B$17:$B$22,0),($B99-1)*2+IF($C99="POD",1,2)),0)))</f>
        <v>0</v>
      </c>
      <c r="M99" s="45">
        <f t="shared" si="3"/>
        <v>0</v>
      </c>
      <c r="N99" s="46">
        <f>IF($B99="",0,IFERROR(INDEX('Rates &amp; Tables'!$C$61:$G$63,MATCH($I99,'Rates &amp; Tables'!$J$61:$J$63,0),MATCH($H99,'Rates &amp; Tables'!$C$60:$G$60,0)),0))</f>
        <v>0</v>
      </c>
      <c r="O99" s="44">
        <f t="shared" si="4"/>
        <v>0</v>
      </c>
      <c r="P99" s="41" t="str">
        <f t="shared" si="5"/>
        <v/>
      </c>
    </row>
    <row r="100" spans="2:16">
      <c r="B100" s="43"/>
      <c r="C100" s="43"/>
      <c r="D100" s="43"/>
      <c r="E100" s="43"/>
      <c r="F100" s="43"/>
      <c r="G100" s="43"/>
      <c r="H100" s="43"/>
      <c r="I100" s="43"/>
      <c r="J100" s="43"/>
      <c r="K100" s="43"/>
      <c r="L100" s="44">
        <f>IF($B100="",0,IF($C100="HZ",1,IFERROR(INDEX('Value Streams &amp; Delivery Mode'!$D$17:$M$22,MATCH($D100,'Value Streams &amp; Delivery Mode'!$B$17:$B$22,0),($B100-1)*2+IF($C100="POD",1,2)),0)))</f>
        <v>0</v>
      </c>
      <c r="M100" s="45">
        <f t="shared" si="3"/>
        <v>0</v>
      </c>
      <c r="N100" s="46">
        <f>IF($B100="",0,IFERROR(INDEX('Rates &amp; Tables'!$C$61:$G$63,MATCH($I100,'Rates &amp; Tables'!$J$61:$J$63,0),MATCH($H100,'Rates &amp; Tables'!$C$60:$G$60,0)),0))</f>
        <v>0</v>
      </c>
      <c r="O100" s="44">
        <f t="shared" si="4"/>
        <v>0</v>
      </c>
      <c r="P100" s="41" t="str">
        <f t="shared" si="5"/>
        <v/>
      </c>
    </row>
    <row r="101" spans="2:16">
      <c r="B101" s="43"/>
      <c r="C101" s="43"/>
      <c r="D101" s="43"/>
      <c r="E101" s="43"/>
      <c r="F101" s="43"/>
      <c r="G101" s="43"/>
      <c r="H101" s="43"/>
      <c r="I101" s="43"/>
      <c r="J101" s="43"/>
      <c r="K101" s="43"/>
      <c r="L101" s="44">
        <f>IF($B101="",0,IF($C101="HZ",1,IFERROR(INDEX('Value Streams &amp; Delivery Mode'!$D$17:$M$22,MATCH($D101,'Value Streams &amp; Delivery Mode'!$B$17:$B$22,0),($B101-1)*2+IF($C101="POD",1,2)),0)))</f>
        <v>0</v>
      </c>
      <c r="M101" s="45">
        <f t="shared" si="3"/>
        <v>0</v>
      </c>
      <c r="N101" s="46">
        <f>IF($B101="",0,IFERROR(INDEX('Rates &amp; Tables'!$C$61:$G$63,MATCH($I101,'Rates &amp; Tables'!$J$61:$J$63,0),MATCH($H101,'Rates &amp; Tables'!$C$60:$G$60,0)),0))</f>
        <v>0</v>
      </c>
      <c r="O101" s="44">
        <f t="shared" si="4"/>
        <v>0</v>
      </c>
      <c r="P101" s="41" t="str">
        <f t="shared" si="5"/>
        <v/>
      </c>
    </row>
    <row r="102" spans="2:16">
      <c r="B102" s="43"/>
      <c r="C102" s="43"/>
      <c r="D102" s="43"/>
      <c r="E102" s="43"/>
      <c r="F102" s="43"/>
      <c r="G102" s="43"/>
      <c r="H102" s="43"/>
      <c r="I102" s="43"/>
      <c r="J102" s="43"/>
      <c r="K102" s="43"/>
      <c r="L102" s="44">
        <f>IF($B102="",0,IF($C102="HZ",1,IFERROR(INDEX('Value Streams &amp; Delivery Mode'!$D$17:$M$22,MATCH($D102,'Value Streams &amp; Delivery Mode'!$B$17:$B$22,0),($B102-1)*2+IF($C102="POD",1,2)),0)))</f>
        <v>0</v>
      </c>
      <c r="M102" s="45">
        <f t="shared" si="3"/>
        <v>0</v>
      </c>
      <c r="N102" s="46">
        <f>IF($B102="",0,IFERROR(INDEX('Rates &amp; Tables'!$C$61:$G$63,MATCH($I102,'Rates &amp; Tables'!$J$61:$J$63,0),MATCH($H102,'Rates &amp; Tables'!$C$60:$G$60,0)),0))</f>
        <v>0</v>
      </c>
      <c r="O102" s="44">
        <f t="shared" si="4"/>
        <v>0</v>
      </c>
      <c r="P102" s="41" t="str">
        <f t="shared" si="5"/>
        <v/>
      </c>
    </row>
    <row r="103" spans="2:16">
      <c r="B103" s="43"/>
      <c r="C103" s="43"/>
      <c r="D103" s="43"/>
      <c r="E103" s="43"/>
      <c r="F103" s="43"/>
      <c r="G103" s="43"/>
      <c r="H103" s="43"/>
      <c r="I103" s="43"/>
      <c r="J103" s="43"/>
      <c r="K103" s="43"/>
      <c r="L103" s="44">
        <f>IF($B103="",0,IF($C103="HZ",1,IFERROR(INDEX('Value Streams &amp; Delivery Mode'!$D$17:$M$22,MATCH($D103,'Value Streams &amp; Delivery Mode'!$B$17:$B$22,0),($B103-1)*2+IF($C103="POD",1,2)),0)))</f>
        <v>0</v>
      </c>
      <c r="M103" s="45">
        <f t="shared" si="3"/>
        <v>0</v>
      </c>
      <c r="N103" s="46">
        <f>IF($B103="",0,IFERROR(INDEX('Rates &amp; Tables'!$C$61:$G$63,MATCH($I103,'Rates &amp; Tables'!$J$61:$J$63,0),MATCH($H103,'Rates &amp; Tables'!$C$60:$G$60,0)),0))</f>
        <v>0</v>
      </c>
      <c r="O103" s="44">
        <f t="shared" si="4"/>
        <v>0</v>
      </c>
      <c r="P103" s="41" t="str">
        <f t="shared" si="5"/>
        <v/>
      </c>
    </row>
    <row r="104" spans="2:16">
      <c r="B104" s="43"/>
      <c r="C104" s="43"/>
      <c r="D104" s="43"/>
      <c r="E104" s="43"/>
      <c r="F104" s="43"/>
      <c r="G104" s="43"/>
      <c r="H104" s="43"/>
      <c r="I104" s="43"/>
      <c r="J104" s="43"/>
      <c r="K104" s="43"/>
      <c r="L104" s="44">
        <f>IF($B104="",0,IF($C104="HZ",1,IFERROR(INDEX('Value Streams &amp; Delivery Mode'!$D$17:$M$22,MATCH($D104,'Value Streams &amp; Delivery Mode'!$B$17:$B$22,0),($B104-1)*2+IF($C104="POD",1,2)),0)))</f>
        <v>0</v>
      </c>
      <c r="M104" s="45">
        <f t="shared" si="3"/>
        <v>0</v>
      </c>
      <c r="N104" s="46">
        <f>IF($B104="",0,IFERROR(INDEX('Rates &amp; Tables'!$C$61:$G$63,MATCH($I104,'Rates &amp; Tables'!$J$61:$J$63,0),MATCH($H104,'Rates &amp; Tables'!$C$60:$G$60,0)),0))</f>
        <v>0</v>
      </c>
      <c r="O104" s="44">
        <f t="shared" si="4"/>
        <v>0</v>
      </c>
      <c r="P104" s="41" t="str">
        <f t="shared" si="5"/>
        <v/>
      </c>
    </row>
    <row r="105" spans="2:16">
      <c r="B105" s="43"/>
      <c r="C105" s="43"/>
      <c r="D105" s="43"/>
      <c r="E105" s="43"/>
      <c r="F105" s="43"/>
      <c r="G105" s="43"/>
      <c r="H105" s="43"/>
      <c r="I105" s="43"/>
      <c r="J105" s="43"/>
      <c r="K105" s="43"/>
      <c r="L105" s="44">
        <f>IF($B105="",0,IF($C105="HZ",1,IFERROR(INDEX('Value Streams &amp; Delivery Mode'!$D$17:$M$22,MATCH($D105,'Value Streams &amp; Delivery Mode'!$B$17:$B$22,0),($B105-1)*2+IF($C105="POD",1,2)),0)))</f>
        <v>0</v>
      </c>
      <c r="M105" s="45">
        <f t="shared" si="3"/>
        <v>0</v>
      </c>
      <c r="N105" s="46">
        <f>IF($B105="",0,IFERROR(INDEX('Rates &amp; Tables'!$C$61:$G$63,MATCH($I105,'Rates &amp; Tables'!$J$61:$J$63,0),MATCH($H105,'Rates &amp; Tables'!$C$60:$G$60,0)),0))</f>
        <v>0</v>
      </c>
      <c r="O105" s="44">
        <f t="shared" si="4"/>
        <v>0</v>
      </c>
      <c r="P105" s="41" t="str">
        <f t="shared" si="5"/>
        <v/>
      </c>
    </row>
    <row r="106" spans="2:16">
      <c r="B106" s="43"/>
      <c r="C106" s="43"/>
      <c r="D106" s="43"/>
      <c r="E106" s="43"/>
      <c r="F106" s="43"/>
      <c r="G106" s="43"/>
      <c r="H106" s="43"/>
      <c r="I106" s="43"/>
      <c r="J106" s="43"/>
      <c r="K106" s="43"/>
      <c r="L106" s="44">
        <f>IF($B106="",0,IF($C106="HZ",1,IFERROR(INDEX('Value Streams &amp; Delivery Mode'!$D$17:$M$22,MATCH($D106,'Value Streams &amp; Delivery Mode'!$B$17:$B$22,0),($B106-1)*2+IF($C106="POD",1,2)),0)))</f>
        <v>0</v>
      </c>
      <c r="M106" s="45">
        <f t="shared" si="3"/>
        <v>0</v>
      </c>
      <c r="N106" s="46">
        <f>IF($B106="",0,IFERROR(INDEX('Rates &amp; Tables'!$C$61:$G$63,MATCH($I106,'Rates &amp; Tables'!$J$61:$J$63,0),MATCH($H106,'Rates &amp; Tables'!$C$60:$G$60,0)),0))</f>
        <v>0</v>
      </c>
      <c r="O106" s="44">
        <f t="shared" si="4"/>
        <v>0</v>
      </c>
      <c r="P106" s="41" t="str">
        <f t="shared" si="5"/>
        <v/>
      </c>
    </row>
    <row r="107" spans="2:16">
      <c r="B107" s="43"/>
      <c r="C107" s="43"/>
      <c r="D107" s="43"/>
      <c r="E107" s="43"/>
      <c r="F107" s="43"/>
      <c r="G107" s="43"/>
      <c r="H107" s="43"/>
      <c r="I107" s="43"/>
      <c r="J107" s="43"/>
      <c r="K107" s="43"/>
      <c r="L107" s="44">
        <f>IF($B107="",0,IF($C107="HZ",1,IFERROR(INDEX('Value Streams &amp; Delivery Mode'!$D$17:$M$22,MATCH($D107,'Value Streams &amp; Delivery Mode'!$B$17:$B$22,0),($B107-1)*2+IF($C107="POD",1,2)),0)))</f>
        <v>0</v>
      </c>
      <c r="M107" s="45">
        <f t="shared" si="3"/>
        <v>0</v>
      </c>
      <c r="N107" s="46">
        <f>IF($B107="",0,IFERROR(INDEX('Rates &amp; Tables'!$C$61:$G$63,MATCH($I107,'Rates &amp; Tables'!$J$61:$J$63,0),MATCH($H107,'Rates &amp; Tables'!$C$60:$G$60,0)),0))</f>
        <v>0</v>
      </c>
      <c r="O107" s="44">
        <f t="shared" si="4"/>
        <v>0</v>
      </c>
      <c r="P107" s="41" t="str">
        <f t="shared" si="5"/>
        <v/>
      </c>
    </row>
    <row r="108" spans="2:16">
      <c r="B108" s="43"/>
      <c r="C108" s="43"/>
      <c r="D108" s="43"/>
      <c r="E108" s="43"/>
      <c r="F108" s="43"/>
      <c r="G108" s="43"/>
      <c r="H108" s="43"/>
      <c r="I108" s="43"/>
      <c r="J108" s="43"/>
      <c r="K108" s="43"/>
      <c r="L108" s="44">
        <f>IF($B108="",0,IF($C108="HZ",1,IFERROR(INDEX('Value Streams &amp; Delivery Mode'!$D$17:$M$22,MATCH($D108,'Value Streams &amp; Delivery Mode'!$B$17:$B$22,0),($B108-1)*2+IF($C108="POD",1,2)),0)))</f>
        <v>0</v>
      </c>
      <c r="M108" s="45">
        <f t="shared" si="3"/>
        <v>0</v>
      </c>
      <c r="N108" s="46">
        <f>IF($B108="",0,IFERROR(INDEX('Rates &amp; Tables'!$C$61:$G$63,MATCH($I108,'Rates &amp; Tables'!$J$61:$J$63,0),MATCH($H108,'Rates &amp; Tables'!$C$60:$G$60,0)),0))</f>
        <v>0</v>
      </c>
      <c r="O108" s="44">
        <f t="shared" si="4"/>
        <v>0</v>
      </c>
      <c r="P108" s="41" t="str">
        <f t="shared" si="5"/>
        <v/>
      </c>
    </row>
    <row r="109" spans="2:16">
      <c r="B109" s="43"/>
      <c r="C109" s="43"/>
      <c r="D109" s="43"/>
      <c r="E109" s="43"/>
      <c r="F109" s="43"/>
      <c r="G109" s="43"/>
      <c r="H109" s="43"/>
      <c r="I109" s="43"/>
      <c r="J109" s="43"/>
      <c r="K109" s="43"/>
      <c r="L109" s="44">
        <f>IF($B109="",0,IF($C109="HZ",1,IFERROR(INDEX('Value Streams &amp; Delivery Mode'!$D$17:$M$22,MATCH($D109,'Value Streams &amp; Delivery Mode'!$B$17:$B$22,0),($B109-1)*2+IF($C109="POD",1,2)),0)))</f>
        <v>0</v>
      </c>
      <c r="M109" s="45">
        <f t="shared" si="3"/>
        <v>0</v>
      </c>
      <c r="N109" s="46">
        <f>IF($B109="",0,IFERROR(INDEX('Rates &amp; Tables'!$C$61:$G$63,MATCH($I109,'Rates &amp; Tables'!$J$61:$J$63,0),MATCH($H109,'Rates &amp; Tables'!$C$60:$G$60,0)),0))</f>
        <v>0</v>
      </c>
      <c r="O109" s="44">
        <f t="shared" si="4"/>
        <v>0</v>
      </c>
      <c r="P109" s="41" t="str">
        <f t="shared" si="5"/>
        <v/>
      </c>
    </row>
    <row r="110" spans="2:16">
      <c r="B110" s="43"/>
      <c r="C110" s="43"/>
      <c r="D110" s="43"/>
      <c r="E110" s="43"/>
      <c r="F110" s="43"/>
      <c r="G110" s="43"/>
      <c r="H110" s="43"/>
      <c r="I110" s="43"/>
      <c r="J110" s="43"/>
      <c r="K110" s="43"/>
      <c r="L110" s="44">
        <f>IF($B110="",0,IF($C110="HZ",1,IFERROR(INDEX('Value Streams &amp; Delivery Mode'!$D$17:$M$22,MATCH($D110,'Value Streams &amp; Delivery Mode'!$B$17:$B$22,0),($B110-1)*2+IF($C110="POD",1,2)),0)))</f>
        <v>0</v>
      </c>
      <c r="M110" s="45">
        <f t="shared" si="3"/>
        <v>0</v>
      </c>
      <c r="N110" s="46">
        <f>IF($B110="",0,IFERROR(INDEX('Rates &amp; Tables'!$C$61:$G$63,MATCH($I110,'Rates &amp; Tables'!$J$61:$J$63,0),MATCH($H110,'Rates &amp; Tables'!$C$60:$G$60,0)),0))</f>
        <v>0</v>
      </c>
      <c r="O110" s="44">
        <f t="shared" si="4"/>
        <v>0</v>
      </c>
      <c r="P110" s="41" t="str">
        <f t="shared" si="5"/>
        <v/>
      </c>
    </row>
    <row r="111" spans="2:16">
      <c r="B111" s="43"/>
      <c r="C111" s="43"/>
      <c r="D111" s="43"/>
      <c r="E111" s="43"/>
      <c r="F111" s="43"/>
      <c r="G111" s="43"/>
      <c r="H111" s="43"/>
      <c r="I111" s="43"/>
      <c r="J111" s="43"/>
      <c r="K111" s="43"/>
      <c r="L111" s="44">
        <f>IF($B111="",0,IF($C111="HZ",1,IFERROR(INDEX('Value Streams &amp; Delivery Mode'!$D$17:$M$22,MATCH($D111,'Value Streams &amp; Delivery Mode'!$B$17:$B$22,0),($B111-1)*2+IF($C111="POD",1,2)),0)))</f>
        <v>0</v>
      </c>
      <c r="M111" s="45">
        <f t="shared" si="3"/>
        <v>0</v>
      </c>
      <c r="N111" s="46">
        <f>IF($B111="",0,IFERROR(INDEX('Rates &amp; Tables'!$C$61:$G$63,MATCH($I111,'Rates &amp; Tables'!$J$61:$J$63,0),MATCH($H111,'Rates &amp; Tables'!$C$60:$G$60,0)),0))</f>
        <v>0</v>
      </c>
      <c r="O111" s="44">
        <f t="shared" si="4"/>
        <v>0</v>
      </c>
      <c r="P111" s="41" t="str">
        <f t="shared" si="5"/>
        <v/>
      </c>
    </row>
    <row r="112" spans="2:16">
      <c r="B112" s="43"/>
      <c r="C112" s="43"/>
      <c r="D112" s="43"/>
      <c r="E112" s="43"/>
      <c r="F112" s="43"/>
      <c r="G112" s="43"/>
      <c r="H112" s="43"/>
      <c r="I112" s="43"/>
      <c r="J112" s="43"/>
      <c r="K112" s="43"/>
      <c r="L112" s="44">
        <f>IF($B112="",0,IF($C112="HZ",1,IFERROR(INDEX('Value Streams &amp; Delivery Mode'!$D$17:$M$22,MATCH($D112,'Value Streams &amp; Delivery Mode'!$B$17:$B$22,0),($B112-1)*2+IF($C112="POD",1,2)),0)))</f>
        <v>0</v>
      </c>
      <c r="M112" s="45">
        <f t="shared" si="3"/>
        <v>0</v>
      </c>
      <c r="N112" s="46">
        <f>IF($B112="",0,IFERROR(INDEX('Rates &amp; Tables'!$C$61:$G$63,MATCH($I112,'Rates &amp; Tables'!$J$61:$J$63,0),MATCH($H112,'Rates &amp; Tables'!$C$60:$G$60,0)),0))</f>
        <v>0</v>
      </c>
      <c r="O112" s="44">
        <f t="shared" si="4"/>
        <v>0</v>
      </c>
      <c r="P112" s="41" t="str">
        <f t="shared" si="5"/>
        <v/>
      </c>
    </row>
    <row r="113" spans="2:16">
      <c r="B113" s="43"/>
      <c r="C113" s="43"/>
      <c r="D113" s="43"/>
      <c r="E113" s="43"/>
      <c r="F113" s="43"/>
      <c r="G113" s="43"/>
      <c r="H113" s="43"/>
      <c r="I113" s="43"/>
      <c r="J113" s="43"/>
      <c r="K113" s="43"/>
      <c r="L113" s="44">
        <f>IF($B113="",0,IF($C113="HZ",1,IFERROR(INDEX('Value Streams &amp; Delivery Mode'!$D$17:$M$22,MATCH($D113,'Value Streams &amp; Delivery Mode'!$B$17:$B$22,0),($B113-1)*2+IF($C113="POD",1,2)),0)))</f>
        <v>0</v>
      </c>
      <c r="M113" s="45">
        <f t="shared" si="3"/>
        <v>0</v>
      </c>
      <c r="N113" s="46">
        <f>IF($B113="",0,IFERROR(INDEX('Rates &amp; Tables'!$C$61:$G$63,MATCH($I113,'Rates &amp; Tables'!$J$61:$J$63,0),MATCH($H113,'Rates &amp; Tables'!$C$60:$G$60,0)),0))</f>
        <v>0</v>
      </c>
      <c r="O113" s="44">
        <f t="shared" si="4"/>
        <v>0</v>
      </c>
      <c r="P113" s="41" t="str">
        <f t="shared" si="5"/>
        <v/>
      </c>
    </row>
    <row r="114" spans="2:16">
      <c r="B114" s="43"/>
      <c r="C114" s="43"/>
      <c r="D114" s="43"/>
      <c r="E114" s="43"/>
      <c r="F114" s="43"/>
      <c r="G114" s="43"/>
      <c r="H114" s="43"/>
      <c r="I114" s="43"/>
      <c r="J114" s="43"/>
      <c r="K114" s="43"/>
      <c r="L114" s="44">
        <f>IF($B114="",0,IF($C114="HZ",1,IFERROR(INDEX('Value Streams &amp; Delivery Mode'!$D$17:$M$22,MATCH($D114,'Value Streams &amp; Delivery Mode'!$B$17:$B$22,0),($B114-1)*2+IF($C114="POD",1,2)),0)))</f>
        <v>0</v>
      </c>
      <c r="M114" s="45">
        <f t="shared" si="3"/>
        <v>0</v>
      </c>
      <c r="N114" s="46">
        <f>IF($B114="",0,IFERROR(INDEX('Rates &amp; Tables'!$C$61:$G$63,MATCH($I114,'Rates &amp; Tables'!$J$61:$J$63,0),MATCH($H114,'Rates &amp; Tables'!$C$60:$G$60,0)),0))</f>
        <v>0</v>
      </c>
      <c r="O114" s="44">
        <f t="shared" si="4"/>
        <v>0</v>
      </c>
      <c r="P114" s="41" t="str">
        <f t="shared" si="5"/>
        <v/>
      </c>
    </row>
    <row r="115" spans="2:16">
      <c r="B115" s="43"/>
      <c r="C115" s="43"/>
      <c r="D115" s="43"/>
      <c r="E115" s="43"/>
      <c r="F115" s="43"/>
      <c r="G115" s="43"/>
      <c r="H115" s="43"/>
      <c r="I115" s="43"/>
      <c r="J115" s="43"/>
      <c r="K115" s="43"/>
      <c r="L115" s="44">
        <f>IF($B115="",0,IF($C115="HZ",1,IFERROR(INDEX('Value Streams &amp; Delivery Mode'!$D$17:$M$22,MATCH($D115,'Value Streams &amp; Delivery Mode'!$B$17:$B$22,0),($B115-1)*2+IF($C115="POD",1,2)),0)))</f>
        <v>0</v>
      </c>
      <c r="M115" s="45">
        <f t="shared" si="3"/>
        <v>0</v>
      </c>
      <c r="N115" s="46">
        <f>IF($B115="",0,IFERROR(INDEX('Rates &amp; Tables'!$C$61:$G$63,MATCH($I115,'Rates &amp; Tables'!$J$61:$J$63,0),MATCH($H115,'Rates &amp; Tables'!$C$60:$G$60,0)),0))</f>
        <v>0</v>
      </c>
      <c r="O115" s="44">
        <f t="shared" si="4"/>
        <v>0</v>
      </c>
      <c r="P115" s="41" t="str">
        <f t="shared" si="5"/>
        <v/>
      </c>
    </row>
    <row r="116" spans="2:16">
      <c r="B116" s="43"/>
      <c r="C116" s="43"/>
      <c r="D116" s="43"/>
      <c r="E116" s="43"/>
      <c r="F116" s="43"/>
      <c r="G116" s="43"/>
      <c r="H116" s="43"/>
      <c r="I116" s="43"/>
      <c r="J116" s="43"/>
      <c r="K116" s="43"/>
      <c r="L116" s="44">
        <f>IF($B116="",0,IF($C116="HZ",1,IFERROR(INDEX('Value Streams &amp; Delivery Mode'!$D$17:$M$22,MATCH($D116,'Value Streams &amp; Delivery Mode'!$B$17:$B$22,0),($B116-1)*2+IF($C116="POD",1,2)),0)))</f>
        <v>0</v>
      </c>
      <c r="M116" s="45">
        <f t="shared" si="3"/>
        <v>0</v>
      </c>
      <c r="N116" s="46">
        <f>IF($B116="",0,IFERROR(INDEX('Rates &amp; Tables'!$C$61:$G$63,MATCH($I116,'Rates &amp; Tables'!$J$61:$J$63,0),MATCH($H116,'Rates &amp; Tables'!$C$60:$G$60,0)),0))</f>
        <v>0</v>
      </c>
      <c r="O116" s="44">
        <f t="shared" si="4"/>
        <v>0</v>
      </c>
      <c r="P116" s="41" t="str">
        <f t="shared" si="5"/>
        <v/>
      </c>
    </row>
    <row r="117" spans="2:16">
      <c r="B117" s="43"/>
      <c r="C117" s="43"/>
      <c r="D117" s="43"/>
      <c r="E117" s="43"/>
      <c r="F117" s="43"/>
      <c r="G117" s="43"/>
      <c r="H117" s="43"/>
      <c r="I117" s="43"/>
      <c r="J117" s="43"/>
      <c r="K117" s="43"/>
      <c r="L117" s="44">
        <f>IF($B117="",0,IF($C117="HZ",1,IFERROR(INDEX('Value Streams &amp; Delivery Mode'!$D$17:$M$22,MATCH($D117,'Value Streams &amp; Delivery Mode'!$B$17:$B$22,0),($B117-1)*2+IF($C117="POD",1,2)),0)))</f>
        <v>0</v>
      </c>
      <c r="M117" s="45">
        <f t="shared" si="3"/>
        <v>0</v>
      </c>
      <c r="N117" s="46">
        <f>IF($B117="",0,IFERROR(INDEX('Rates &amp; Tables'!$C$61:$G$63,MATCH($I117,'Rates &amp; Tables'!$J$61:$J$63,0),MATCH($H117,'Rates &amp; Tables'!$C$60:$G$60,0)),0))</f>
        <v>0</v>
      </c>
      <c r="O117" s="44">
        <f t="shared" si="4"/>
        <v>0</v>
      </c>
      <c r="P117" s="41" t="str">
        <f t="shared" si="5"/>
        <v/>
      </c>
    </row>
    <row r="118" spans="2:16">
      <c r="B118" s="43"/>
      <c r="C118" s="43"/>
      <c r="D118" s="43"/>
      <c r="E118" s="43"/>
      <c r="F118" s="43"/>
      <c r="G118" s="43"/>
      <c r="H118" s="43"/>
      <c r="I118" s="43"/>
      <c r="J118" s="43"/>
      <c r="K118" s="43"/>
      <c r="L118" s="44">
        <f>IF($B118="",0,IF($C118="HZ",1,IFERROR(INDEX('Value Streams &amp; Delivery Mode'!$D$17:$M$22,MATCH($D118,'Value Streams &amp; Delivery Mode'!$B$17:$B$22,0),($B118-1)*2+IF($C118="POD",1,2)),0)))</f>
        <v>0</v>
      </c>
      <c r="M118" s="45">
        <f t="shared" si="3"/>
        <v>0</v>
      </c>
      <c r="N118" s="46">
        <f>IF($B118="",0,IFERROR(INDEX('Rates &amp; Tables'!$C$61:$G$63,MATCH($I118,'Rates &amp; Tables'!$J$61:$J$63,0),MATCH($H118,'Rates &amp; Tables'!$C$60:$G$60,0)),0))</f>
        <v>0</v>
      </c>
      <c r="O118" s="44">
        <f t="shared" si="4"/>
        <v>0</v>
      </c>
      <c r="P118" s="41" t="str">
        <f t="shared" si="5"/>
        <v/>
      </c>
    </row>
    <row r="119" spans="2:16">
      <c r="B119" s="43"/>
      <c r="C119" s="43"/>
      <c r="D119" s="43"/>
      <c r="E119" s="43"/>
      <c r="F119" s="43"/>
      <c r="G119" s="43"/>
      <c r="H119" s="43"/>
      <c r="I119" s="43"/>
      <c r="J119" s="43"/>
      <c r="K119" s="43"/>
      <c r="L119" s="44">
        <f>IF($B119="",0,IF($C119="HZ",1,IFERROR(INDEX('Value Streams &amp; Delivery Mode'!$D$17:$M$22,MATCH($D119,'Value Streams &amp; Delivery Mode'!$B$17:$B$22,0),($B119-1)*2+IF($C119="POD",1,2)),0)))</f>
        <v>0</v>
      </c>
      <c r="M119" s="45">
        <f t="shared" si="3"/>
        <v>0</v>
      </c>
      <c r="N119" s="46">
        <f>IF($B119="",0,IFERROR(INDEX('Rates &amp; Tables'!$C$61:$G$63,MATCH($I119,'Rates &amp; Tables'!$J$61:$J$63,0),MATCH($H119,'Rates &amp; Tables'!$C$60:$G$60,0)),0))</f>
        <v>0</v>
      </c>
      <c r="O119" s="44">
        <f t="shared" si="4"/>
        <v>0</v>
      </c>
      <c r="P119" s="41" t="str">
        <f t="shared" si="5"/>
        <v/>
      </c>
    </row>
    <row r="120" spans="2:16">
      <c r="B120" s="43"/>
      <c r="C120" s="43"/>
      <c r="D120" s="43"/>
      <c r="E120" s="43"/>
      <c r="F120" s="43"/>
      <c r="G120" s="43"/>
      <c r="H120" s="43"/>
      <c r="I120" s="43"/>
      <c r="J120" s="43"/>
      <c r="K120" s="43"/>
      <c r="L120" s="44">
        <f>IF($B120="",0,IF($C120="HZ",1,IFERROR(INDEX('Value Streams &amp; Delivery Mode'!$D$17:$M$22,MATCH($D120,'Value Streams &amp; Delivery Mode'!$B$17:$B$22,0),($B120-1)*2+IF($C120="POD",1,2)),0)))</f>
        <v>0</v>
      </c>
      <c r="M120" s="45">
        <f t="shared" si="3"/>
        <v>0</v>
      </c>
      <c r="N120" s="46">
        <f>IF($B120="",0,IFERROR(INDEX('Rates &amp; Tables'!$C$61:$G$63,MATCH($I120,'Rates &amp; Tables'!$J$61:$J$63,0),MATCH($H120,'Rates &amp; Tables'!$C$60:$G$60,0)),0))</f>
        <v>0</v>
      </c>
      <c r="O120" s="44">
        <f t="shared" si="4"/>
        <v>0</v>
      </c>
      <c r="P120" s="41" t="str">
        <f t="shared" si="5"/>
        <v/>
      </c>
    </row>
    <row r="121" spans="2:16">
      <c r="B121" s="43"/>
      <c r="C121" s="43"/>
      <c r="D121" s="43"/>
      <c r="E121" s="43"/>
      <c r="F121" s="43"/>
      <c r="G121" s="43"/>
      <c r="H121" s="43"/>
      <c r="I121" s="43"/>
      <c r="J121" s="43"/>
      <c r="K121" s="43"/>
      <c r="L121" s="44">
        <f>IF($B121="",0,IF($C121="HZ",1,IFERROR(INDEX('Value Streams &amp; Delivery Mode'!$D$17:$M$22,MATCH($D121,'Value Streams &amp; Delivery Mode'!$B$17:$B$22,0),($B121-1)*2+IF($C121="POD",1,2)),0)))</f>
        <v>0</v>
      </c>
      <c r="M121" s="45">
        <f t="shared" si="3"/>
        <v>0</v>
      </c>
      <c r="N121" s="46">
        <f>IF($B121="",0,IFERROR(INDEX('Rates &amp; Tables'!$C$61:$G$63,MATCH($I121,'Rates &amp; Tables'!$J$61:$J$63,0),MATCH($H121,'Rates &amp; Tables'!$C$60:$G$60,0)),0))</f>
        <v>0</v>
      </c>
      <c r="O121" s="44">
        <f t="shared" si="4"/>
        <v>0</v>
      </c>
      <c r="P121" s="41" t="str">
        <f t="shared" si="5"/>
        <v/>
      </c>
    </row>
    <row r="122" spans="2:16">
      <c r="B122" s="43"/>
      <c r="C122" s="43"/>
      <c r="D122" s="43"/>
      <c r="E122" s="43"/>
      <c r="F122" s="43"/>
      <c r="G122" s="43"/>
      <c r="H122" s="43"/>
      <c r="I122" s="43"/>
      <c r="J122" s="43"/>
      <c r="K122" s="43"/>
      <c r="L122" s="44">
        <f>IF($B122="",0,IF($C122="HZ",1,IFERROR(INDEX('Value Streams &amp; Delivery Mode'!$D$17:$M$22,MATCH($D122,'Value Streams &amp; Delivery Mode'!$B$17:$B$22,0),($B122-1)*2+IF($C122="POD",1,2)),0)))</f>
        <v>0</v>
      </c>
      <c r="M122" s="45">
        <f t="shared" si="3"/>
        <v>0</v>
      </c>
      <c r="N122" s="46">
        <f>IF($B122="",0,IFERROR(INDEX('Rates &amp; Tables'!$C$61:$G$63,MATCH($I122,'Rates &amp; Tables'!$J$61:$J$63,0),MATCH($H122,'Rates &amp; Tables'!$C$60:$G$60,0)),0))</f>
        <v>0</v>
      </c>
      <c r="O122" s="44">
        <f t="shared" si="4"/>
        <v>0</v>
      </c>
      <c r="P122" s="41" t="str">
        <f t="shared" si="5"/>
        <v/>
      </c>
    </row>
    <row r="123" spans="2:16">
      <c r="B123" s="43"/>
      <c r="C123" s="43"/>
      <c r="D123" s="43"/>
      <c r="E123" s="43"/>
      <c r="F123" s="43"/>
      <c r="G123" s="43"/>
      <c r="H123" s="43"/>
      <c r="I123" s="43"/>
      <c r="J123" s="43"/>
      <c r="K123" s="43"/>
      <c r="L123" s="44">
        <f>IF($B123="",0,IF($C123="HZ",1,IFERROR(INDEX('Value Streams &amp; Delivery Mode'!$D$17:$M$22,MATCH($D123,'Value Streams &amp; Delivery Mode'!$B$17:$B$22,0),($B123-1)*2+IF($C123="POD",1,2)),0)))</f>
        <v>0</v>
      </c>
      <c r="M123" s="45">
        <f t="shared" si="3"/>
        <v>0</v>
      </c>
      <c r="N123" s="46">
        <f>IF($B123="",0,IFERROR(INDEX('Rates &amp; Tables'!$C$61:$G$63,MATCH($I123,'Rates &amp; Tables'!$J$61:$J$63,0),MATCH($H123,'Rates &amp; Tables'!$C$60:$G$60,0)),0))</f>
        <v>0</v>
      </c>
      <c r="O123" s="44">
        <f t="shared" si="4"/>
        <v>0</v>
      </c>
      <c r="P123" s="41" t="str">
        <f t="shared" si="5"/>
        <v/>
      </c>
    </row>
    <row r="124" spans="2:16">
      <c r="B124" s="43"/>
      <c r="C124" s="43"/>
      <c r="D124" s="43"/>
      <c r="E124" s="43"/>
      <c r="F124" s="43"/>
      <c r="G124" s="43"/>
      <c r="H124" s="43"/>
      <c r="I124" s="43"/>
      <c r="J124" s="43"/>
      <c r="K124" s="43"/>
      <c r="L124" s="44">
        <f>IF($B124="",0,IF($C124="HZ",1,IFERROR(INDEX('Value Streams &amp; Delivery Mode'!$D$17:$M$22,MATCH($D124,'Value Streams &amp; Delivery Mode'!$B$17:$B$22,0),($B124-1)*2+IF($C124="POD",1,2)),0)))</f>
        <v>0</v>
      </c>
      <c r="M124" s="45">
        <f t="shared" si="3"/>
        <v>0</v>
      </c>
      <c r="N124" s="46">
        <f>IF($B124="",0,IFERROR(INDEX('Rates &amp; Tables'!$C$61:$G$63,MATCH($I124,'Rates &amp; Tables'!$J$61:$J$63,0),MATCH($H124,'Rates &amp; Tables'!$C$60:$G$60,0)),0))</f>
        <v>0</v>
      </c>
      <c r="O124" s="44">
        <f t="shared" si="4"/>
        <v>0</v>
      </c>
      <c r="P124" s="41" t="str">
        <f t="shared" si="5"/>
        <v/>
      </c>
    </row>
    <row r="125" spans="2:16">
      <c r="B125" s="43"/>
      <c r="C125" s="43"/>
      <c r="D125" s="43"/>
      <c r="E125" s="43"/>
      <c r="F125" s="43"/>
      <c r="G125" s="43"/>
      <c r="H125" s="43"/>
      <c r="I125" s="43"/>
      <c r="J125" s="43"/>
      <c r="K125" s="43"/>
      <c r="L125" s="44">
        <f>IF($B125="",0,IF($C125="HZ",1,IFERROR(INDEX('Value Streams &amp; Delivery Mode'!$D$17:$M$22,MATCH($D125,'Value Streams &amp; Delivery Mode'!$B$17:$B$22,0),($B125-1)*2+IF($C125="POD",1,2)),0)))</f>
        <v>0</v>
      </c>
      <c r="M125" s="45">
        <f t="shared" si="3"/>
        <v>0</v>
      </c>
      <c r="N125" s="46">
        <f>IF($B125="",0,IFERROR(INDEX('Rates &amp; Tables'!$C$61:$G$63,MATCH($I125,'Rates &amp; Tables'!$J$61:$J$63,0),MATCH($H125,'Rates &amp; Tables'!$C$60:$G$60,0)),0))</f>
        <v>0</v>
      </c>
      <c r="O125" s="44">
        <f t="shared" si="4"/>
        <v>0</v>
      </c>
      <c r="P125" s="41" t="str">
        <f t="shared" si="5"/>
        <v/>
      </c>
    </row>
    <row r="126" spans="2:16">
      <c r="B126" s="43"/>
      <c r="C126" s="43"/>
      <c r="D126" s="43"/>
      <c r="E126" s="43"/>
      <c r="F126" s="43"/>
      <c r="G126" s="43"/>
      <c r="H126" s="43"/>
      <c r="I126" s="43"/>
      <c r="J126" s="43"/>
      <c r="K126" s="43"/>
      <c r="L126" s="44">
        <f>IF($B126="",0,IF($C126="HZ",1,IFERROR(INDEX('Value Streams &amp; Delivery Mode'!$D$17:$M$22,MATCH($D126,'Value Streams &amp; Delivery Mode'!$B$17:$B$22,0),($B126-1)*2+IF($C126="POD",1,2)),0)))</f>
        <v>0</v>
      </c>
      <c r="M126" s="45">
        <f t="shared" si="3"/>
        <v>0</v>
      </c>
      <c r="N126" s="46">
        <f>IF($B126="",0,IFERROR(INDEX('Rates &amp; Tables'!$C$61:$G$63,MATCH($I126,'Rates &amp; Tables'!$J$61:$J$63,0),MATCH($H126,'Rates &amp; Tables'!$C$60:$G$60,0)),0))</f>
        <v>0</v>
      </c>
      <c r="O126" s="44">
        <f t="shared" si="4"/>
        <v>0</v>
      </c>
      <c r="P126" s="41" t="str">
        <f t="shared" si="5"/>
        <v/>
      </c>
    </row>
    <row r="127" spans="2:16">
      <c r="B127" s="43"/>
      <c r="C127" s="43"/>
      <c r="D127" s="43"/>
      <c r="E127" s="43"/>
      <c r="F127" s="43"/>
      <c r="G127" s="43"/>
      <c r="H127" s="43"/>
      <c r="I127" s="43"/>
      <c r="J127" s="43"/>
      <c r="K127" s="43"/>
      <c r="L127" s="44">
        <f>IF($B127="",0,IF($C127="HZ",1,IFERROR(INDEX('Value Streams &amp; Delivery Mode'!$D$17:$M$22,MATCH($D127,'Value Streams &amp; Delivery Mode'!$B$17:$B$22,0),($B127-1)*2+IF($C127="POD",1,2)),0)))</f>
        <v>0</v>
      </c>
      <c r="M127" s="45">
        <f t="shared" si="3"/>
        <v>0</v>
      </c>
      <c r="N127" s="46">
        <f>IF($B127="",0,IFERROR(INDEX('Rates &amp; Tables'!$C$61:$G$63,MATCH($I127,'Rates &amp; Tables'!$J$61:$J$63,0),MATCH($H127,'Rates &amp; Tables'!$C$60:$G$60,0)),0))</f>
        <v>0</v>
      </c>
      <c r="O127" s="44">
        <f t="shared" si="4"/>
        <v>0</v>
      </c>
      <c r="P127" s="41" t="str">
        <f t="shared" si="5"/>
        <v/>
      </c>
    </row>
    <row r="128" spans="2:16">
      <c r="B128" s="43"/>
      <c r="C128" s="43"/>
      <c r="D128" s="43"/>
      <c r="E128" s="43"/>
      <c r="F128" s="43"/>
      <c r="G128" s="43"/>
      <c r="H128" s="43"/>
      <c r="I128" s="43"/>
      <c r="J128" s="43"/>
      <c r="K128" s="43"/>
      <c r="L128" s="44">
        <f>IF($B128="",0,IF($C128="HZ",1,IFERROR(INDEX('Value Streams &amp; Delivery Mode'!$D$17:$M$22,MATCH($D128,'Value Streams &amp; Delivery Mode'!$B$17:$B$22,0),($B128-1)*2+IF($C128="POD",1,2)),0)))</f>
        <v>0</v>
      </c>
      <c r="M128" s="45">
        <f t="shared" si="3"/>
        <v>0</v>
      </c>
      <c r="N128" s="46">
        <f>IF($B128="",0,IFERROR(INDEX('Rates &amp; Tables'!$C$61:$G$63,MATCH($I128,'Rates &amp; Tables'!$J$61:$J$63,0),MATCH($H128,'Rates &amp; Tables'!$C$60:$G$60,0)),0))</f>
        <v>0</v>
      </c>
      <c r="O128" s="44">
        <f t="shared" si="4"/>
        <v>0</v>
      </c>
      <c r="P128" s="41" t="str">
        <f t="shared" si="5"/>
        <v/>
      </c>
    </row>
    <row r="129" spans="2:16">
      <c r="B129" s="43"/>
      <c r="C129" s="43"/>
      <c r="D129" s="43"/>
      <c r="E129" s="43"/>
      <c r="F129" s="43"/>
      <c r="G129" s="43"/>
      <c r="H129" s="43"/>
      <c r="I129" s="43"/>
      <c r="J129" s="43"/>
      <c r="K129" s="43"/>
      <c r="L129" s="44">
        <f>IF($B129="",0,IF($C129="HZ",1,IFERROR(INDEX('Value Streams &amp; Delivery Mode'!$D$17:$M$22,MATCH($D129,'Value Streams &amp; Delivery Mode'!$B$17:$B$22,0),($B129-1)*2+IF($C129="POD",1,2)),0)))</f>
        <v>0</v>
      </c>
      <c r="M129" s="45">
        <f t="shared" si="3"/>
        <v>0</v>
      </c>
      <c r="N129" s="46">
        <f>IF($B129="",0,IFERROR(INDEX('Rates &amp; Tables'!$C$61:$G$63,MATCH($I129,'Rates &amp; Tables'!$J$61:$J$63,0),MATCH($H129,'Rates &amp; Tables'!$C$60:$G$60,0)),0))</f>
        <v>0</v>
      </c>
      <c r="O129" s="44">
        <f t="shared" si="4"/>
        <v>0</v>
      </c>
      <c r="P129" s="41" t="str">
        <f t="shared" si="5"/>
        <v/>
      </c>
    </row>
    <row r="130" spans="2:16">
      <c r="B130" s="43"/>
      <c r="C130" s="43"/>
      <c r="D130" s="43"/>
      <c r="E130" s="43"/>
      <c r="F130" s="43"/>
      <c r="G130" s="43"/>
      <c r="H130" s="43"/>
      <c r="I130" s="43"/>
      <c r="J130" s="43"/>
      <c r="K130" s="43"/>
      <c r="L130" s="44">
        <f>IF($B130="",0,IF($C130="HZ",1,IFERROR(INDEX('Value Streams &amp; Delivery Mode'!$D$17:$M$22,MATCH($D130,'Value Streams &amp; Delivery Mode'!$B$17:$B$22,0),($B130-1)*2+IF($C130="POD",1,2)),0)))</f>
        <v>0</v>
      </c>
      <c r="M130" s="45">
        <f t="shared" si="3"/>
        <v>0</v>
      </c>
      <c r="N130" s="46">
        <f>IF($B130="",0,IFERROR(INDEX('Rates &amp; Tables'!$C$61:$G$63,MATCH($I130,'Rates &amp; Tables'!$J$61:$J$63,0),MATCH($H130,'Rates &amp; Tables'!$C$60:$G$60,0)),0))</f>
        <v>0</v>
      </c>
      <c r="O130" s="44">
        <f t="shared" si="4"/>
        <v>0</v>
      </c>
      <c r="P130" s="41" t="str">
        <f t="shared" si="5"/>
        <v/>
      </c>
    </row>
    <row r="131" spans="2:16">
      <c r="B131" s="43"/>
      <c r="C131" s="43"/>
      <c r="D131" s="43"/>
      <c r="E131" s="43"/>
      <c r="F131" s="43"/>
      <c r="G131" s="43"/>
      <c r="H131" s="43"/>
      <c r="I131" s="43"/>
      <c r="J131" s="43"/>
      <c r="K131" s="43"/>
      <c r="L131" s="44">
        <f>IF($B131="",0,IF($C131="HZ",1,IFERROR(INDEX('Value Streams &amp; Delivery Mode'!$D$17:$M$22,MATCH($D131,'Value Streams &amp; Delivery Mode'!$B$17:$B$22,0),($B131-1)*2+IF($C131="POD",1,2)),0)))</f>
        <v>0</v>
      </c>
      <c r="M131" s="45">
        <f t="shared" si="3"/>
        <v>0</v>
      </c>
      <c r="N131" s="46">
        <f>IF($B131="",0,IFERROR(INDEX('Rates &amp; Tables'!$C$61:$G$63,MATCH($I131,'Rates &amp; Tables'!$J$61:$J$63,0),MATCH($H131,'Rates &amp; Tables'!$C$60:$G$60,0)),0))</f>
        <v>0</v>
      </c>
      <c r="O131" s="44">
        <f t="shared" si="4"/>
        <v>0</v>
      </c>
      <c r="P131" s="41" t="str">
        <f t="shared" si="5"/>
        <v/>
      </c>
    </row>
    <row r="132" spans="2:16">
      <c r="B132" s="43"/>
      <c r="C132" s="43"/>
      <c r="D132" s="43"/>
      <c r="E132" s="43"/>
      <c r="F132" s="43"/>
      <c r="G132" s="43"/>
      <c r="H132" s="43"/>
      <c r="I132" s="43"/>
      <c r="J132" s="43"/>
      <c r="K132" s="43"/>
      <c r="L132" s="44">
        <f>IF($B132="",0,IF($C132="HZ",1,IFERROR(INDEX('Value Streams &amp; Delivery Mode'!$D$17:$M$22,MATCH($D132,'Value Streams &amp; Delivery Mode'!$B$17:$B$22,0),($B132-1)*2+IF($C132="POD",1,2)),0)))</f>
        <v>0</v>
      </c>
      <c r="M132" s="45">
        <f t="shared" si="3"/>
        <v>0</v>
      </c>
      <c r="N132" s="46">
        <f>IF($B132="",0,IFERROR(INDEX('Rates &amp; Tables'!$C$61:$G$63,MATCH($I132,'Rates &amp; Tables'!$J$61:$J$63,0),MATCH($H132,'Rates &amp; Tables'!$C$60:$G$60,0)),0))</f>
        <v>0</v>
      </c>
      <c r="O132" s="44">
        <f t="shared" si="4"/>
        <v>0</v>
      </c>
      <c r="P132" s="41" t="str">
        <f t="shared" si="5"/>
        <v/>
      </c>
    </row>
    <row r="133" spans="2:16">
      <c r="B133" s="43"/>
      <c r="C133" s="43"/>
      <c r="D133" s="43"/>
      <c r="E133" s="43"/>
      <c r="F133" s="43"/>
      <c r="G133" s="43"/>
      <c r="H133" s="43"/>
      <c r="I133" s="43"/>
      <c r="J133" s="43"/>
      <c r="K133" s="43"/>
      <c r="L133" s="44">
        <f>IF($B133="",0,IF($C133="HZ",1,IFERROR(INDEX('Value Streams &amp; Delivery Mode'!$D$17:$M$22,MATCH($D133,'Value Streams &amp; Delivery Mode'!$B$17:$B$22,0),($B133-1)*2+IF($C133="POD",1,2)),0)))</f>
        <v>0</v>
      </c>
      <c r="M133" s="45">
        <f t="shared" ref="M133:M196" si="6">IF($B133="",0,$K133*$L133)</f>
        <v>0</v>
      </c>
      <c r="N133" s="46">
        <f>IF($B133="",0,IFERROR(INDEX('Rates &amp; Tables'!$C$61:$G$63,MATCH($I133,'Rates &amp; Tables'!$J$61:$J$63,0),MATCH($H133,'Rates &amp; Tables'!$C$60:$G$60,0)),0))</f>
        <v>0</v>
      </c>
      <c r="O133" s="44">
        <f t="shared" ref="O133:O196" si="7">IF($B133="",0,$M133*$N133)</f>
        <v>0</v>
      </c>
      <c r="P133" s="41" t="str">
        <f t="shared" ref="P133:P196" si="8">IF($B133="","",$B133&amp;"|"&amp;$G133&amp;"|"&amp;$J133)</f>
        <v/>
      </c>
    </row>
    <row r="134" spans="2:16">
      <c r="B134" s="43"/>
      <c r="C134" s="43"/>
      <c r="D134" s="43"/>
      <c r="E134" s="43"/>
      <c r="F134" s="43"/>
      <c r="G134" s="43"/>
      <c r="H134" s="43"/>
      <c r="I134" s="43"/>
      <c r="J134" s="43"/>
      <c r="K134" s="43"/>
      <c r="L134" s="44">
        <f>IF($B134="",0,IF($C134="HZ",1,IFERROR(INDEX('Value Streams &amp; Delivery Mode'!$D$17:$M$22,MATCH($D134,'Value Streams &amp; Delivery Mode'!$B$17:$B$22,0),($B134-1)*2+IF($C134="POD",1,2)),0)))</f>
        <v>0</v>
      </c>
      <c r="M134" s="45">
        <f t="shared" si="6"/>
        <v>0</v>
      </c>
      <c r="N134" s="46">
        <f>IF($B134="",0,IFERROR(INDEX('Rates &amp; Tables'!$C$61:$G$63,MATCH($I134,'Rates &amp; Tables'!$J$61:$J$63,0),MATCH($H134,'Rates &amp; Tables'!$C$60:$G$60,0)),0))</f>
        <v>0</v>
      </c>
      <c r="O134" s="44">
        <f t="shared" si="7"/>
        <v>0</v>
      </c>
      <c r="P134" s="41" t="str">
        <f t="shared" si="8"/>
        <v/>
      </c>
    </row>
    <row r="135" spans="2:16">
      <c r="B135" s="43"/>
      <c r="C135" s="43"/>
      <c r="D135" s="43"/>
      <c r="E135" s="43"/>
      <c r="F135" s="43"/>
      <c r="G135" s="43"/>
      <c r="H135" s="43"/>
      <c r="I135" s="43"/>
      <c r="J135" s="43"/>
      <c r="K135" s="43"/>
      <c r="L135" s="44">
        <f>IF($B135="",0,IF($C135="HZ",1,IFERROR(INDEX('Value Streams &amp; Delivery Mode'!$D$17:$M$22,MATCH($D135,'Value Streams &amp; Delivery Mode'!$B$17:$B$22,0),($B135-1)*2+IF($C135="POD",1,2)),0)))</f>
        <v>0</v>
      </c>
      <c r="M135" s="45">
        <f t="shared" si="6"/>
        <v>0</v>
      </c>
      <c r="N135" s="46">
        <f>IF($B135="",0,IFERROR(INDEX('Rates &amp; Tables'!$C$61:$G$63,MATCH($I135,'Rates &amp; Tables'!$J$61:$J$63,0),MATCH($H135,'Rates &amp; Tables'!$C$60:$G$60,0)),0))</f>
        <v>0</v>
      </c>
      <c r="O135" s="44">
        <f t="shared" si="7"/>
        <v>0</v>
      </c>
      <c r="P135" s="41" t="str">
        <f t="shared" si="8"/>
        <v/>
      </c>
    </row>
    <row r="136" spans="2:16">
      <c r="B136" s="43"/>
      <c r="C136" s="43"/>
      <c r="D136" s="43"/>
      <c r="E136" s="43"/>
      <c r="F136" s="43"/>
      <c r="G136" s="43"/>
      <c r="H136" s="43"/>
      <c r="I136" s="43"/>
      <c r="J136" s="43"/>
      <c r="K136" s="43"/>
      <c r="L136" s="44">
        <f>IF($B136="",0,IF($C136="HZ",1,IFERROR(INDEX('Value Streams &amp; Delivery Mode'!$D$17:$M$22,MATCH($D136,'Value Streams &amp; Delivery Mode'!$B$17:$B$22,0),($B136-1)*2+IF($C136="POD",1,2)),0)))</f>
        <v>0</v>
      </c>
      <c r="M136" s="45">
        <f t="shared" si="6"/>
        <v>0</v>
      </c>
      <c r="N136" s="46">
        <f>IF($B136="",0,IFERROR(INDEX('Rates &amp; Tables'!$C$61:$G$63,MATCH($I136,'Rates &amp; Tables'!$J$61:$J$63,0),MATCH($H136,'Rates &amp; Tables'!$C$60:$G$60,0)),0))</f>
        <v>0</v>
      </c>
      <c r="O136" s="44">
        <f t="shared" si="7"/>
        <v>0</v>
      </c>
      <c r="P136" s="41" t="str">
        <f t="shared" si="8"/>
        <v/>
      </c>
    </row>
    <row r="137" spans="2:16">
      <c r="B137" s="43"/>
      <c r="C137" s="43"/>
      <c r="D137" s="43"/>
      <c r="E137" s="43"/>
      <c r="F137" s="43"/>
      <c r="G137" s="43"/>
      <c r="H137" s="43"/>
      <c r="I137" s="43"/>
      <c r="J137" s="43"/>
      <c r="K137" s="43"/>
      <c r="L137" s="44">
        <f>IF($B137="",0,IF($C137="HZ",1,IFERROR(INDEX('Value Streams &amp; Delivery Mode'!$D$17:$M$22,MATCH($D137,'Value Streams &amp; Delivery Mode'!$B$17:$B$22,0),($B137-1)*2+IF($C137="POD",1,2)),0)))</f>
        <v>0</v>
      </c>
      <c r="M137" s="45">
        <f t="shared" si="6"/>
        <v>0</v>
      </c>
      <c r="N137" s="46">
        <f>IF($B137="",0,IFERROR(INDEX('Rates &amp; Tables'!$C$61:$G$63,MATCH($I137,'Rates &amp; Tables'!$J$61:$J$63,0),MATCH($H137,'Rates &amp; Tables'!$C$60:$G$60,0)),0))</f>
        <v>0</v>
      </c>
      <c r="O137" s="44">
        <f t="shared" si="7"/>
        <v>0</v>
      </c>
      <c r="P137" s="41" t="str">
        <f t="shared" si="8"/>
        <v/>
      </c>
    </row>
    <row r="138" spans="2:16">
      <c r="B138" s="43"/>
      <c r="C138" s="43"/>
      <c r="D138" s="43"/>
      <c r="E138" s="43"/>
      <c r="F138" s="43"/>
      <c r="G138" s="43"/>
      <c r="H138" s="43"/>
      <c r="I138" s="43"/>
      <c r="J138" s="43"/>
      <c r="K138" s="43"/>
      <c r="L138" s="44">
        <f>IF($B138="",0,IF($C138="HZ",1,IFERROR(INDEX('Value Streams &amp; Delivery Mode'!$D$17:$M$22,MATCH($D138,'Value Streams &amp; Delivery Mode'!$B$17:$B$22,0),($B138-1)*2+IF($C138="POD",1,2)),0)))</f>
        <v>0</v>
      </c>
      <c r="M138" s="45">
        <f t="shared" si="6"/>
        <v>0</v>
      </c>
      <c r="N138" s="46">
        <f>IF($B138="",0,IFERROR(INDEX('Rates &amp; Tables'!$C$61:$G$63,MATCH($I138,'Rates &amp; Tables'!$J$61:$J$63,0),MATCH($H138,'Rates &amp; Tables'!$C$60:$G$60,0)),0))</f>
        <v>0</v>
      </c>
      <c r="O138" s="44">
        <f t="shared" si="7"/>
        <v>0</v>
      </c>
      <c r="P138" s="41" t="str">
        <f t="shared" si="8"/>
        <v/>
      </c>
    </row>
    <row r="139" spans="2:16">
      <c r="B139" s="43"/>
      <c r="C139" s="43"/>
      <c r="D139" s="43"/>
      <c r="E139" s="43"/>
      <c r="F139" s="43"/>
      <c r="G139" s="43"/>
      <c r="H139" s="43"/>
      <c r="I139" s="43"/>
      <c r="J139" s="43"/>
      <c r="K139" s="43"/>
      <c r="L139" s="44">
        <f>IF($B139="",0,IF($C139="HZ",1,IFERROR(INDEX('Value Streams &amp; Delivery Mode'!$D$17:$M$22,MATCH($D139,'Value Streams &amp; Delivery Mode'!$B$17:$B$22,0),($B139-1)*2+IF($C139="POD",1,2)),0)))</f>
        <v>0</v>
      </c>
      <c r="M139" s="45">
        <f t="shared" si="6"/>
        <v>0</v>
      </c>
      <c r="N139" s="46">
        <f>IF($B139="",0,IFERROR(INDEX('Rates &amp; Tables'!$C$61:$G$63,MATCH($I139,'Rates &amp; Tables'!$J$61:$J$63,0),MATCH($H139,'Rates &amp; Tables'!$C$60:$G$60,0)),0))</f>
        <v>0</v>
      </c>
      <c r="O139" s="44">
        <f t="shared" si="7"/>
        <v>0</v>
      </c>
      <c r="P139" s="41" t="str">
        <f t="shared" si="8"/>
        <v/>
      </c>
    </row>
    <row r="140" spans="2:16">
      <c r="B140" s="43"/>
      <c r="C140" s="43"/>
      <c r="D140" s="43"/>
      <c r="E140" s="43"/>
      <c r="F140" s="43"/>
      <c r="G140" s="43"/>
      <c r="H140" s="43"/>
      <c r="I140" s="43"/>
      <c r="J140" s="43"/>
      <c r="K140" s="43"/>
      <c r="L140" s="44">
        <f>IF($B140="",0,IF($C140="HZ",1,IFERROR(INDEX('Value Streams &amp; Delivery Mode'!$D$17:$M$22,MATCH($D140,'Value Streams &amp; Delivery Mode'!$B$17:$B$22,0),($B140-1)*2+IF($C140="POD",1,2)),0)))</f>
        <v>0</v>
      </c>
      <c r="M140" s="45">
        <f t="shared" si="6"/>
        <v>0</v>
      </c>
      <c r="N140" s="46">
        <f>IF($B140="",0,IFERROR(INDEX('Rates &amp; Tables'!$C$61:$G$63,MATCH($I140,'Rates &amp; Tables'!$J$61:$J$63,0),MATCH($H140,'Rates &amp; Tables'!$C$60:$G$60,0)),0))</f>
        <v>0</v>
      </c>
      <c r="O140" s="44">
        <f t="shared" si="7"/>
        <v>0</v>
      </c>
      <c r="P140" s="41" t="str">
        <f t="shared" si="8"/>
        <v/>
      </c>
    </row>
    <row r="141" spans="2:16">
      <c r="B141" s="43"/>
      <c r="C141" s="43"/>
      <c r="D141" s="43"/>
      <c r="E141" s="43"/>
      <c r="F141" s="43"/>
      <c r="G141" s="43"/>
      <c r="H141" s="43"/>
      <c r="I141" s="43"/>
      <c r="J141" s="43"/>
      <c r="K141" s="43"/>
      <c r="L141" s="44">
        <f>IF($B141="",0,IF($C141="HZ",1,IFERROR(INDEX('Value Streams &amp; Delivery Mode'!$D$17:$M$22,MATCH($D141,'Value Streams &amp; Delivery Mode'!$B$17:$B$22,0),($B141-1)*2+IF($C141="POD",1,2)),0)))</f>
        <v>0</v>
      </c>
      <c r="M141" s="45">
        <f t="shared" si="6"/>
        <v>0</v>
      </c>
      <c r="N141" s="46">
        <f>IF($B141="",0,IFERROR(INDEX('Rates &amp; Tables'!$C$61:$G$63,MATCH($I141,'Rates &amp; Tables'!$J$61:$J$63,0),MATCH($H141,'Rates &amp; Tables'!$C$60:$G$60,0)),0))</f>
        <v>0</v>
      </c>
      <c r="O141" s="44">
        <f t="shared" si="7"/>
        <v>0</v>
      </c>
      <c r="P141" s="41" t="str">
        <f t="shared" si="8"/>
        <v/>
      </c>
    </row>
    <row r="142" spans="2:16">
      <c r="B142" s="43"/>
      <c r="C142" s="43"/>
      <c r="D142" s="43"/>
      <c r="E142" s="43"/>
      <c r="F142" s="43"/>
      <c r="G142" s="43"/>
      <c r="H142" s="43"/>
      <c r="I142" s="43"/>
      <c r="J142" s="43"/>
      <c r="K142" s="43"/>
      <c r="L142" s="44">
        <f>IF($B142="",0,IF($C142="HZ",1,IFERROR(INDEX('Value Streams &amp; Delivery Mode'!$D$17:$M$22,MATCH($D142,'Value Streams &amp; Delivery Mode'!$B$17:$B$22,0),($B142-1)*2+IF($C142="POD",1,2)),0)))</f>
        <v>0</v>
      </c>
      <c r="M142" s="45">
        <f t="shared" si="6"/>
        <v>0</v>
      </c>
      <c r="N142" s="46">
        <f>IF($B142="",0,IFERROR(INDEX('Rates &amp; Tables'!$C$61:$G$63,MATCH($I142,'Rates &amp; Tables'!$J$61:$J$63,0),MATCH($H142,'Rates &amp; Tables'!$C$60:$G$60,0)),0))</f>
        <v>0</v>
      </c>
      <c r="O142" s="44">
        <f t="shared" si="7"/>
        <v>0</v>
      </c>
      <c r="P142" s="41" t="str">
        <f t="shared" si="8"/>
        <v/>
      </c>
    </row>
    <row r="143" spans="2:16">
      <c r="B143" s="43"/>
      <c r="C143" s="43"/>
      <c r="D143" s="43"/>
      <c r="E143" s="43"/>
      <c r="F143" s="43"/>
      <c r="G143" s="43"/>
      <c r="H143" s="43"/>
      <c r="I143" s="43"/>
      <c r="J143" s="43"/>
      <c r="K143" s="43"/>
      <c r="L143" s="44">
        <f>IF($B143="",0,IF($C143="HZ",1,IFERROR(INDEX('Value Streams &amp; Delivery Mode'!$D$17:$M$22,MATCH($D143,'Value Streams &amp; Delivery Mode'!$B$17:$B$22,0),($B143-1)*2+IF($C143="POD",1,2)),0)))</f>
        <v>0</v>
      </c>
      <c r="M143" s="45">
        <f t="shared" si="6"/>
        <v>0</v>
      </c>
      <c r="N143" s="46">
        <f>IF($B143="",0,IFERROR(INDEX('Rates &amp; Tables'!$C$61:$G$63,MATCH($I143,'Rates &amp; Tables'!$J$61:$J$63,0),MATCH($H143,'Rates &amp; Tables'!$C$60:$G$60,0)),0))</f>
        <v>0</v>
      </c>
      <c r="O143" s="44">
        <f t="shared" si="7"/>
        <v>0</v>
      </c>
      <c r="P143" s="41" t="str">
        <f t="shared" si="8"/>
        <v/>
      </c>
    </row>
    <row r="144" spans="2:16">
      <c r="B144" s="43"/>
      <c r="C144" s="43"/>
      <c r="D144" s="43"/>
      <c r="E144" s="43"/>
      <c r="F144" s="43"/>
      <c r="G144" s="43"/>
      <c r="H144" s="43"/>
      <c r="I144" s="43"/>
      <c r="J144" s="43"/>
      <c r="K144" s="43"/>
      <c r="L144" s="44">
        <f>IF($B144="",0,IF($C144="HZ",1,IFERROR(INDEX('Value Streams &amp; Delivery Mode'!$D$17:$M$22,MATCH($D144,'Value Streams &amp; Delivery Mode'!$B$17:$B$22,0),($B144-1)*2+IF($C144="POD",1,2)),0)))</f>
        <v>0</v>
      </c>
      <c r="M144" s="45">
        <f t="shared" si="6"/>
        <v>0</v>
      </c>
      <c r="N144" s="46">
        <f>IF($B144="",0,IFERROR(INDEX('Rates &amp; Tables'!$C$61:$G$63,MATCH($I144,'Rates &amp; Tables'!$J$61:$J$63,0),MATCH($H144,'Rates &amp; Tables'!$C$60:$G$60,0)),0))</f>
        <v>0</v>
      </c>
      <c r="O144" s="44">
        <f t="shared" si="7"/>
        <v>0</v>
      </c>
      <c r="P144" s="41" t="str">
        <f t="shared" si="8"/>
        <v/>
      </c>
    </row>
    <row r="145" spans="2:16">
      <c r="B145" s="43"/>
      <c r="C145" s="43"/>
      <c r="D145" s="43"/>
      <c r="E145" s="43"/>
      <c r="F145" s="43"/>
      <c r="G145" s="43"/>
      <c r="H145" s="43"/>
      <c r="I145" s="43"/>
      <c r="J145" s="43"/>
      <c r="K145" s="43"/>
      <c r="L145" s="44">
        <f>IF($B145="",0,IF($C145="HZ",1,IFERROR(INDEX('Value Streams &amp; Delivery Mode'!$D$17:$M$22,MATCH($D145,'Value Streams &amp; Delivery Mode'!$B$17:$B$22,0),($B145-1)*2+IF($C145="POD",1,2)),0)))</f>
        <v>0</v>
      </c>
      <c r="M145" s="45">
        <f t="shared" si="6"/>
        <v>0</v>
      </c>
      <c r="N145" s="46">
        <f>IF($B145="",0,IFERROR(INDEX('Rates &amp; Tables'!$C$61:$G$63,MATCH($I145,'Rates &amp; Tables'!$J$61:$J$63,0),MATCH($H145,'Rates &amp; Tables'!$C$60:$G$60,0)),0))</f>
        <v>0</v>
      </c>
      <c r="O145" s="44">
        <f t="shared" si="7"/>
        <v>0</v>
      </c>
      <c r="P145" s="41" t="str">
        <f t="shared" si="8"/>
        <v/>
      </c>
    </row>
    <row r="146" spans="2:16">
      <c r="B146" s="43"/>
      <c r="C146" s="43"/>
      <c r="D146" s="43"/>
      <c r="E146" s="43"/>
      <c r="F146" s="43"/>
      <c r="G146" s="43"/>
      <c r="H146" s="43"/>
      <c r="I146" s="43"/>
      <c r="J146" s="43"/>
      <c r="K146" s="43"/>
      <c r="L146" s="44">
        <f>IF($B146="",0,IF($C146="HZ",1,IFERROR(INDEX('Value Streams &amp; Delivery Mode'!$D$17:$M$22,MATCH($D146,'Value Streams &amp; Delivery Mode'!$B$17:$B$22,0),($B146-1)*2+IF($C146="POD",1,2)),0)))</f>
        <v>0</v>
      </c>
      <c r="M146" s="45">
        <f t="shared" si="6"/>
        <v>0</v>
      </c>
      <c r="N146" s="46">
        <f>IF($B146="",0,IFERROR(INDEX('Rates &amp; Tables'!$C$61:$G$63,MATCH($I146,'Rates &amp; Tables'!$J$61:$J$63,0),MATCH($H146,'Rates &amp; Tables'!$C$60:$G$60,0)),0))</f>
        <v>0</v>
      </c>
      <c r="O146" s="44">
        <f t="shared" si="7"/>
        <v>0</v>
      </c>
      <c r="P146" s="41" t="str">
        <f t="shared" si="8"/>
        <v/>
      </c>
    </row>
    <row r="147" spans="2:16">
      <c r="B147" s="43"/>
      <c r="C147" s="43"/>
      <c r="D147" s="43"/>
      <c r="E147" s="43"/>
      <c r="F147" s="43"/>
      <c r="G147" s="43"/>
      <c r="H147" s="43"/>
      <c r="I147" s="43"/>
      <c r="J147" s="43"/>
      <c r="K147" s="43"/>
      <c r="L147" s="44">
        <f>IF($B147="",0,IF($C147="HZ",1,IFERROR(INDEX('Value Streams &amp; Delivery Mode'!$D$17:$M$22,MATCH($D147,'Value Streams &amp; Delivery Mode'!$B$17:$B$22,0),($B147-1)*2+IF($C147="POD",1,2)),0)))</f>
        <v>0</v>
      </c>
      <c r="M147" s="45">
        <f t="shared" si="6"/>
        <v>0</v>
      </c>
      <c r="N147" s="46">
        <f>IF($B147="",0,IFERROR(INDEX('Rates &amp; Tables'!$C$61:$G$63,MATCH($I147,'Rates &amp; Tables'!$J$61:$J$63,0),MATCH($H147,'Rates &amp; Tables'!$C$60:$G$60,0)),0))</f>
        <v>0</v>
      </c>
      <c r="O147" s="44">
        <f t="shared" si="7"/>
        <v>0</v>
      </c>
      <c r="P147" s="41" t="str">
        <f t="shared" si="8"/>
        <v/>
      </c>
    </row>
    <row r="148" spans="2:16">
      <c r="B148" s="43"/>
      <c r="C148" s="43"/>
      <c r="D148" s="43"/>
      <c r="E148" s="43"/>
      <c r="F148" s="43"/>
      <c r="G148" s="43"/>
      <c r="H148" s="43"/>
      <c r="I148" s="43"/>
      <c r="J148" s="43"/>
      <c r="K148" s="43"/>
      <c r="L148" s="44">
        <f>IF($B148="",0,IF($C148="HZ",1,IFERROR(INDEX('Value Streams &amp; Delivery Mode'!$D$17:$M$22,MATCH($D148,'Value Streams &amp; Delivery Mode'!$B$17:$B$22,0),($B148-1)*2+IF($C148="POD",1,2)),0)))</f>
        <v>0</v>
      </c>
      <c r="M148" s="45">
        <f t="shared" si="6"/>
        <v>0</v>
      </c>
      <c r="N148" s="46">
        <f>IF($B148="",0,IFERROR(INDEX('Rates &amp; Tables'!$C$61:$G$63,MATCH($I148,'Rates &amp; Tables'!$J$61:$J$63,0),MATCH($H148,'Rates &amp; Tables'!$C$60:$G$60,0)),0))</f>
        <v>0</v>
      </c>
      <c r="O148" s="44">
        <f t="shared" si="7"/>
        <v>0</v>
      </c>
      <c r="P148" s="41" t="str">
        <f t="shared" si="8"/>
        <v/>
      </c>
    </row>
    <row r="149" spans="2:16">
      <c r="B149" s="43"/>
      <c r="C149" s="43"/>
      <c r="D149" s="43"/>
      <c r="E149" s="43"/>
      <c r="F149" s="43"/>
      <c r="G149" s="43"/>
      <c r="H149" s="43"/>
      <c r="I149" s="43"/>
      <c r="J149" s="43"/>
      <c r="K149" s="43"/>
      <c r="L149" s="44">
        <f>IF($B149="",0,IF($C149="HZ",1,IFERROR(INDEX('Value Streams &amp; Delivery Mode'!$D$17:$M$22,MATCH($D149,'Value Streams &amp; Delivery Mode'!$B$17:$B$22,0),($B149-1)*2+IF($C149="POD",1,2)),0)))</f>
        <v>0</v>
      </c>
      <c r="M149" s="45">
        <f t="shared" si="6"/>
        <v>0</v>
      </c>
      <c r="N149" s="46">
        <f>IF($B149="",0,IFERROR(INDEX('Rates &amp; Tables'!$C$61:$G$63,MATCH($I149,'Rates &amp; Tables'!$J$61:$J$63,0),MATCH($H149,'Rates &amp; Tables'!$C$60:$G$60,0)),0))</f>
        <v>0</v>
      </c>
      <c r="O149" s="44">
        <f t="shared" si="7"/>
        <v>0</v>
      </c>
      <c r="P149" s="41" t="str">
        <f t="shared" si="8"/>
        <v/>
      </c>
    </row>
    <row r="150" spans="2:16">
      <c r="B150" s="43"/>
      <c r="C150" s="43"/>
      <c r="D150" s="43"/>
      <c r="E150" s="43"/>
      <c r="F150" s="43"/>
      <c r="G150" s="43"/>
      <c r="H150" s="43"/>
      <c r="I150" s="43"/>
      <c r="J150" s="43"/>
      <c r="K150" s="43"/>
      <c r="L150" s="44">
        <f>IF($B150="",0,IF($C150="HZ",1,IFERROR(INDEX('Value Streams &amp; Delivery Mode'!$D$17:$M$22,MATCH($D150,'Value Streams &amp; Delivery Mode'!$B$17:$B$22,0),($B150-1)*2+IF($C150="POD",1,2)),0)))</f>
        <v>0</v>
      </c>
      <c r="M150" s="45">
        <f t="shared" si="6"/>
        <v>0</v>
      </c>
      <c r="N150" s="46">
        <f>IF($B150="",0,IFERROR(INDEX('Rates &amp; Tables'!$C$61:$G$63,MATCH($I150,'Rates &amp; Tables'!$J$61:$J$63,0),MATCH($H150,'Rates &amp; Tables'!$C$60:$G$60,0)),0))</f>
        <v>0</v>
      </c>
      <c r="O150" s="44">
        <f t="shared" si="7"/>
        <v>0</v>
      </c>
      <c r="P150" s="41" t="str">
        <f t="shared" si="8"/>
        <v/>
      </c>
    </row>
    <row r="151" spans="2:16">
      <c r="B151" s="43"/>
      <c r="C151" s="43"/>
      <c r="D151" s="43"/>
      <c r="E151" s="43"/>
      <c r="F151" s="43"/>
      <c r="G151" s="43"/>
      <c r="H151" s="43"/>
      <c r="I151" s="43"/>
      <c r="J151" s="43"/>
      <c r="K151" s="43"/>
      <c r="L151" s="44">
        <f>IF($B151="",0,IF($C151="HZ",1,IFERROR(INDEX('Value Streams &amp; Delivery Mode'!$D$17:$M$22,MATCH($D151,'Value Streams &amp; Delivery Mode'!$B$17:$B$22,0),($B151-1)*2+IF($C151="POD",1,2)),0)))</f>
        <v>0</v>
      </c>
      <c r="M151" s="45">
        <f t="shared" si="6"/>
        <v>0</v>
      </c>
      <c r="N151" s="46">
        <f>IF($B151="",0,IFERROR(INDEX('Rates &amp; Tables'!$C$61:$G$63,MATCH($I151,'Rates &amp; Tables'!$J$61:$J$63,0),MATCH($H151,'Rates &amp; Tables'!$C$60:$G$60,0)),0))</f>
        <v>0</v>
      </c>
      <c r="O151" s="44">
        <f t="shared" si="7"/>
        <v>0</v>
      </c>
      <c r="P151" s="41" t="str">
        <f t="shared" si="8"/>
        <v/>
      </c>
    </row>
    <row r="152" spans="2:16">
      <c r="B152" s="43"/>
      <c r="C152" s="43"/>
      <c r="D152" s="43"/>
      <c r="E152" s="43"/>
      <c r="F152" s="43"/>
      <c r="G152" s="43"/>
      <c r="H152" s="43"/>
      <c r="I152" s="43"/>
      <c r="J152" s="43"/>
      <c r="K152" s="43"/>
      <c r="L152" s="44">
        <f>IF($B152="",0,IF($C152="HZ",1,IFERROR(INDEX('Value Streams &amp; Delivery Mode'!$D$17:$M$22,MATCH($D152,'Value Streams &amp; Delivery Mode'!$B$17:$B$22,0),($B152-1)*2+IF($C152="POD",1,2)),0)))</f>
        <v>0</v>
      </c>
      <c r="M152" s="45">
        <f t="shared" si="6"/>
        <v>0</v>
      </c>
      <c r="N152" s="46">
        <f>IF($B152="",0,IFERROR(INDEX('Rates &amp; Tables'!$C$61:$G$63,MATCH($I152,'Rates &amp; Tables'!$J$61:$J$63,0),MATCH($H152,'Rates &amp; Tables'!$C$60:$G$60,0)),0))</f>
        <v>0</v>
      </c>
      <c r="O152" s="44">
        <f t="shared" si="7"/>
        <v>0</v>
      </c>
      <c r="P152" s="41" t="str">
        <f t="shared" si="8"/>
        <v/>
      </c>
    </row>
    <row r="153" spans="2:16">
      <c r="B153" s="43"/>
      <c r="C153" s="43"/>
      <c r="D153" s="43"/>
      <c r="E153" s="43"/>
      <c r="F153" s="43"/>
      <c r="G153" s="43"/>
      <c r="H153" s="43"/>
      <c r="I153" s="43"/>
      <c r="J153" s="43"/>
      <c r="K153" s="43"/>
      <c r="L153" s="44">
        <f>IF($B153="",0,IF($C153="HZ",1,IFERROR(INDEX('Value Streams &amp; Delivery Mode'!$D$17:$M$22,MATCH($D153,'Value Streams &amp; Delivery Mode'!$B$17:$B$22,0),($B153-1)*2+IF($C153="POD",1,2)),0)))</f>
        <v>0</v>
      </c>
      <c r="M153" s="45">
        <f t="shared" si="6"/>
        <v>0</v>
      </c>
      <c r="N153" s="46">
        <f>IF($B153="",0,IFERROR(INDEX('Rates &amp; Tables'!$C$61:$G$63,MATCH($I153,'Rates &amp; Tables'!$J$61:$J$63,0),MATCH($H153,'Rates &amp; Tables'!$C$60:$G$60,0)),0))</f>
        <v>0</v>
      </c>
      <c r="O153" s="44">
        <f t="shared" si="7"/>
        <v>0</v>
      </c>
      <c r="P153" s="41" t="str">
        <f t="shared" si="8"/>
        <v/>
      </c>
    </row>
    <row r="154" spans="2:16">
      <c r="B154" s="43"/>
      <c r="C154" s="43"/>
      <c r="D154" s="43"/>
      <c r="E154" s="43"/>
      <c r="F154" s="43"/>
      <c r="G154" s="43"/>
      <c r="H154" s="43"/>
      <c r="I154" s="43"/>
      <c r="J154" s="43"/>
      <c r="K154" s="43"/>
      <c r="L154" s="44">
        <f>IF($B154="",0,IF($C154="HZ",1,IFERROR(INDEX('Value Streams &amp; Delivery Mode'!$D$17:$M$22,MATCH($D154,'Value Streams &amp; Delivery Mode'!$B$17:$B$22,0),($B154-1)*2+IF($C154="POD",1,2)),0)))</f>
        <v>0</v>
      </c>
      <c r="M154" s="45">
        <f t="shared" si="6"/>
        <v>0</v>
      </c>
      <c r="N154" s="46">
        <f>IF($B154="",0,IFERROR(INDEX('Rates &amp; Tables'!$C$61:$G$63,MATCH($I154,'Rates &amp; Tables'!$J$61:$J$63,0),MATCH($H154,'Rates &amp; Tables'!$C$60:$G$60,0)),0))</f>
        <v>0</v>
      </c>
      <c r="O154" s="44">
        <f t="shared" si="7"/>
        <v>0</v>
      </c>
      <c r="P154" s="41" t="str">
        <f t="shared" si="8"/>
        <v/>
      </c>
    </row>
    <row r="155" spans="2:16">
      <c r="B155" s="43"/>
      <c r="C155" s="43"/>
      <c r="D155" s="43"/>
      <c r="E155" s="43"/>
      <c r="F155" s="43"/>
      <c r="G155" s="43"/>
      <c r="H155" s="43"/>
      <c r="I155" s="43"/>
      <c r="J155" s="43"/>
      <c r="K155" s="43"/>
      <c r="L155" s="44">
        <f>IF($B155="",0,IF($C155="HZ",1,IFERROR(INDEX('Value Streams &amp; Delivery Mode'!$D$17:$M$22,MATCH($D155,'Value Streams &amp; Delivery Mode'!$B$17:$B$22,0),($B155-1)*2+IF($C155="POD",1,2)),0)))</f>
        <v>0</v>
      </c>
      <c r="M155" s="45">
        <f t="shared" si="6"/>
        <v>0</v>
      </c>
      <c r="N155" s="46">
        <f>IF($B155="",0,IFERROR(INDEX('Rates &amp; Tables'!$C$61:$G$63,MATCH($I155,'Rates &amp; Tables'!$J$61:$J$63,0),MATCH($H155,'Rates &amp; Tables'!$C$60:$G$60,0)),0))</f>
        <v>0</v>
      </c>
      <c r="O155" s="44">
        <f t="shared" si="7"/>
        <v>0</v>
      </c>
      <c r="P155" s="41" t="str">
        <f t="shared" si="8"/>
        <v/>
      </c>
    </row>
    <row r="156" spans="2:16">
      <c r="B156" s="43"/>
      <c r="C156" s="43"/>
      <c r="D156" s="43"/>
      <c r="E156" s="43"/>
      <c r="F156" s="43"/>
      <c r="G156" s="43"/>
      <c r="H156" s="43"/>
      <c r="I156" s="43"/>
      <c r="J156" s="43"/>
      <c r="K156" s="43"/>
      <c r="L156" s="44">
        <f>IF($B156="",0,IF($C156="HZ",1,IFERROR(INDEX('Value Streams &amp; Delivery Mode'!$D$17:$M$22,MATCH($D156,'Value Streams &amp; Delivery Mode'!$B$17:$B$22,0),($B156-1)*2+IF($C156="POD",1,2)),0)))</f>
        <v>0</v>
      </c>
      <c r="M156" s="45">
        <f t="shared" si="6"/>
        <v>0</v>
      </c>
      <c r="N156" s="46">
        <f>IF($B156="",0,IFERROR(INDEX('Rates &amp; Tables'!$C$61:$G$63,MATCH($I156,'Rates &amp; Tables'!$J$61:$J$63,0),MATCH($H156,'Rates &amp; Tables'!$C$60:$G$60,0)),0))</f>
        <v>0</v>
      </c>
      <c r="O156" s="44">
        <f t="shared" si="7"/>
        <v>0</v>
      </c>
      <c r="P156" s="41" t="str">
        <f t="shared" si="8"/>
        <v/>
      </c>
    </row>
    <row r="157" spans="2:16">
      <c r="B157" s="43"/>
      <c r="C157" s="43"/>
      <c r="D157" s="43"/>
      <c r="E157" s="43"/>
      <c r="F157" s="43"/>
      <c r="G157" s="43"/>
      <c r="H157" s="43"/>
      <c r="I157" s="43"/>
      <c r="J157" s="43"/>
      <c r="K157" s="43"/>
      <c r="L157" s="44">
        <f>IF($B157="",0,IF($C157="HZ",1,IFERROR(INDEX('Value Streams &amp; Delivery Mode'!$D$17:$M$22,MATCH($D157,'Value Streams &amp; Delivery Mode'!$B$17:$B$22,0),($B157-1)*2+IF($C157="POD",1,2)),0)))</f>
        <v>0</v>
      </c>
      <c r="M157" s="45">
        <f t="shared" si="6"/>
        <v>0</v>
      </c>
      <c r="N157" s="46">
        <f>IF($B157="",0,IFERROR(INDEX('Rates &amp; Tables'!$C$61:$G$63,MATCH($I157,'Rates &amp; Tables'!$J$61:$J$63,0),MATCH($H157,'Rates &amp; Tables'!$C$60:$G$60,0)),0))</f>
        <v>0</v>
      </c>
      <c r="O157" s="44">
        <f t="shared" si="7"/>
        <v>0</v>
      </c>
      <c r="P157" s="41" t="str">
        <f t="shared" si="8"/>
        <v/>
      </c>
    </row>
    <row r="158" spans="2:16">
      <c r="B158" s="43"/>
      <c r="C158" s="43"/>
      <c r="D158" s="43"/>
      <c r="E158" s="43"/>
      <c r="F158" s="43"/>
      <c r="G158" s="43"/>
      <c r="H158" s="43"/>
      <c r="I158" s="43"/>
      <c r="J158" s="43"/>
      <c r="K158" s="43"/>
      <c r="L158" s="44">
        <f>IF($B158="",0,IF($C158="HZ",1,IFERROR(INDEX('Value Streams &amp; Delivery Mode'!$D$17:$M$22,MATCH($D158,'Value Streams &amp; Delivery Mode'!$B$17:$B$22,0),($B158-1)*2+IF($C158="POD",1,2)),0)))</f>
        <v>0</v>
      </c>
      <c r="M158" s="45">
        <f t="shared" si="6"/>
        <v>0</v>
      </c>
      <c r="N158" s="46">
        <f>IF($B158="",0,IFERROR(INDEX('Rates &amp; Tables'!$C$61:$G$63,MATCH($I158,'Rates &amp; Tables'!$J$61:$J$63,0),MATCH($H158,'Rates &amp; Tables'!$C$60:$G$60,0)),0))</f>
        <v>0</v>
      </c>
      <c r="O158" s="44">
        <f t="shared" si="7"/>
        <v>0</v>
      </c>
      <c r="P158" s="41" t="str">
        <f t="shared" si="8"/>
        <v/>
      </c>
    </row>
    <row r="159" spans="2:16">
      <c r="B159" s="43"/>
      <c r="C159" s="43"/>
      <c r="D159" s="43"/>
      <c r="E159" s="43"/>
      <c r="F159" s="43"/>
      <c r="G159" s="43"/>
      <c r="H159" s="43"/>
      <c r="I159" s="43"/>
      <c r="J159" s="43"/>
      <c r="K159" s="43"/>
      <c r="L159" s="44">
        <f>IF($B159="",0,IF($C159="HZ",1,IFERROR(INDEX('Value Streams &amp; Delivery Mode'!$D$17:$M$22,MATCH($D159,'Value Streams &amp; Delivery Mode'!$B$17:$B$22,0),($B159-1)*2+IF($C159="POD",1,2)),0)))</f>
        <v>0</v>
      </c>
      <c r="M159" s="45">
        <f t="shared" si="6"/>
        <v>0</v>
      </c>
      <c r="N159" s="46">
        <f>IF($B159="",0,IFERROR(INDEX('Rates &amp; Tables'!$C$61:$G$63,MATCH($I159,'Rates &amp; Tables'!$J$61:$J$63,0),MATCH($H159,'Rates &amp; Tables'!$C$60:$G$60,0)),0))</f>
        <v>0</v>
      </c>
      <c r="O159" s="44">
        <f t="shared" si="7"/>
        <v>0</v>
      </c>
      <c r="P159" s="41" t="str">
        <f t="shared" si="8"/>
        <v/>
      </c>
    </row>
    <row r="160" spans="2:16">
      <c r="B160" s="43"/>
      <c r="C160" s="43"/>
      <c r="D160" s="43"/>
      <c r="E160" s="43"/>
      <c r="F160" s="43"/>
      <c r="G160" s="43"/>
      <c r="H160" s="43"/>
      <c r="I160" s="43"/>
      <c r="J160" s="43"/>
      <c r="K160" s="43"/>
      <c r="L160" s="44">
        <f>IF($B160="",0,IF($C160="HZ",1,IFERROR(INDEX('Value Streams &amp; Delivery Mode'!$D$17:$M$22,MATCH($D160,'Value Streams &amp; Delivery Mode'!$B$17:$B$22,0),($B160-1)*2+IF($C160="POD",1,2)),0)))</f>
        <v>0</v>
      </c>
      <c r="M160" s="45">
        <f t="shared" si="6"/>
        <v>0</v>
      </c>
      <c r="N160" s="46">
        <f>IF($B160="",0,IFERROR(INDEX('Rates &amp; Tables'!$C$61:$G$63,MATCH($I160,'Rates &amp; Tables'!$J$61:$J$63,0),MATCH($H160,'Rates &amp; Tables'!$C$60:$G$60,0)),0))</f>
        <v>0</v>
      </c>
      <c r="O160" s="44">
        <f t="shared" si="7"/>
        <v>0</v>
      </c>
      <c r="P160" s="41" t="str">
        <f t="shared" si="8"/>
        <v/>
      </c>
    </row>
    <row r="161" spans="2:16">
      <c r="B161" s="43"/>
      <c r="C161" s="43"/>
      <c r="D161" s="43"/>
      <c r="E161" s="43"/>
      <c r="F161" s="43"/>
      <c r="G161" s="43"/>
      <c r="H161" s="43"/>
      <c r="I161" s="43"/>
      <c r="J161" s="43"/>
      <c r="K161" s="43"/>
      <c r="L161" s="44">
        <f>IF($B161="",0,IF($C161="HZ",1,IFERROR(INDEX('Value Streams &amp; Delivery Mode'!$D$17:$M$22,MATCH($D161,'Value Streams &amp; Delivery Mode'!$B$17:$B$22,0),($B161-1)*2+IF($C161="POD",1,2)),0)))</f>
        <v>0</v>
      </c>
      <c r="M161" s="45">
        <f t="shared" si="6"/>
        <v>0</v>
      </c>
      <c r="N161" s="46">
        <f>IF($B161="",0,IFERROR(INDEX('Rates &amp; Tables'!$C$61:$G$63,MATCH($I161,'Rates &amp; Tables'!$J$61:$J$63,0),MATCH($H161,'Rates &amp; Tables'!$C$60:$G$60,0)),0))</f>
        <v>0</v>
      </c>
      <c r="O161" s="44">
        <f t="shared" si="7"/>
        <v>0</v>
      </c>
      <c r="P161" s="41" t="str">
        <f t="shared" si="8"/>
        <v/>
      </c>
    </row>
    <row r="162" spans="2:16">
      <c r="B162" s="43"/>
      <c r="C162" s="43"/>
      <c r="D162" s="43"/>
      <c r="E162" s="43"/>
      <c r="F162" s="43"/>
      <c r="G162" s="43"/>
      <c r="H162" s="43"/>
      <c r="I162" s="43"/>
      <c r="J162" s="43"/>
      <c r="K162" s="43"/>
      <c r="L162" s="44">
        <f>IF($B162="",0,IF($C162="HZ",1,IFERROR(INDEX('Value Streams &amp; Delivery Mode'!$D$17:$M$22,MATCH($D162,'Value Streams &amp; Delivery Mode'!$B$17:$B$22,0),($B162-1)*2+IF($C162="POD",1,2)),0)))</f>
        <v>0</v>
      </c>
      <c r="M162" s="45">
        <f t="shared" si="6"/>
        <v>0</v>
      </c>
      <c r="N162" s="46">
        <f>IF($B162="",0,IFERROR(INDEX('Rates &amp; Tables'!$C$61:$G$63,MATCH($I162,'Rates &amp; Tables'!$J$61:$J$63,0),MATCH($H162,'Rates &amp; Tables'!$C$60:$G$60,0)),0))</f>
        <v>0</v>
      </c>
      <c r="O162" s="44">
        <f t="shared" si="7"/>
        <v>0</v>
      </c>
      <c r="P162" s="41" t="str">
        <f t="shared" si="8"/>
        <v/>
      </c>
    </row>
    <row r="163" spans="2:16">
      <c r="B163" s="43"/>
      <c r="C163" s="43"/>
      <c r="D163" s="43"/>
      <c r="E163" s="43"/>
      <c r="F163" s="43"/>
      <c r="G163" s="43"/>
      <c r="H163" s="43"/>
      <c r="I163" s="43"/>
      <c r="J163" s="43"/>
      <c r="K163" s="43"/>
      <c r="L163" s="44">
        <f>IF($B163="",0,IF($C163="HZ",1,IFERROR(INDEX('Value Streams &amp; Delivery Mode'!$D$17:$M$22,MATCH($D163,'Value Streams &amp; Delivery Mode'!$B$17:$B$22,0),($B163-1)*2+IF($C163="POD",1,2)),0)))</f>
        <v>0</v>
      </c>
      <c r="M163" s="45">
        <f t="shared" si="6"/>
        <v>0</v>
      </c>
      <c r="N163" s="46">
        <f>IF($B163="",0,IFERROR(INDEX('Rates &amp; Tables'!$C$61:$G$63,MATCH($I163,'Rates &amp; Tables'!$J$61:$J$63,0),MATCH($H163,'Rates &amp; Tables'!$C$60:$G$60,0)),0))</f>
        <v>0</v>
      </c>
      <c r="O163" s="44">
        <f t="shared" si="7"/>
        <v>0</v>
      </c>
      <c r="P163" s="41" t="str">
        <f t="shared" si="8"/>
        <v/>
      </c>
    </row>
    <row r="164" spans="2:16">
      <c r="B164" s="43"/>
      <c r="C164" s="43"/>
      <c r="D164" s="43"/>
      <c r="E164" s="43"/>
      <c r="F164" s="43"/>
      <c r="G164" s="43"/>
      <c r="H164" s="43"/>
      <c r="I164" s="43"/>
      <c r="J164" s="43"/>
      <c r="K164" s="43"/>
      <c r="L164" s="44">
        <f>IF($B164="",0,IF($C164="HZ",1,IFERROR(INDEX('Value Streams &amp; Delivery Mode'!$D$17:$M$22,MATCH($D164,'Value Streams &amp; Delivery Mode'!$B$17:$B$22,0),($B164-1)*2+IF($C164="POD",1,2)),0)))</f>
        <v>0</v>
      </c>
      <c r="M164" s="45">
        <f t="shared" si="6"/>
        <v>0</v>
      </c>
      <c r="N164" s="46">
        <f>IF($B164="",0,IFERROR(INDEX('Rates &amp; Tables'!$C$61:$G$63,MATCH($I164,'Rates &amp; Tables'!$J$61:$J$63,0),MATCH($H164,'Rates &amp; Tables'!$C$60:$G$60,0)),0))</f>
        <v>0</v>
      </c>
      <c r="O164" s="44">
        <f t="shared" si="7"/>
        <v>0</v>
      </c>
      <c r="P164" s="41" t="str">
        <f t="shared" si="8"/>
        <v/>
      </c>
    </row>
    <row r="165" spans="2:16">
      <c r="B165" s="43"/>
      <c r="C165" s="43"/>
      <c r="D165" s="43"/>
      <c r="E165" s="43"/>
      <c r="F165" s="43"/>
      <c r="G165" s="43"/>
      <c r="H165" s="43"/>
      <c r="I165" s="43"/>
      <c r="J165" s="43"/>
      <c r="K165" s="43"/>
      <c r="L165" s="44">
        <f>IF($B165="",0,IF($C165="HZ",1,IFERROR(INDEX('Value Streams &amp; Delivery Mode'!$D$17:$M$22,MATCH($D165,'Value Streams &amp; Delivery Mode'!$B$17:$B$22,0),($B165-1)*2+IF($C165="POD",1,2)),0)))</f>
        <v>0</v>
      </c>
      <c r="M165" s="45">
        <f t="shared" si="6"/>
        <v>0</v>
      </c>
      <c r="N165" s="46">
        <f>IF($B165="",0,IFERROR(INDEX('Rates &amp; Tables'!$C$61:$G$63,MATCH($I165,'Rates &amp; Tables'!$J$61:$J$63,0),MATCH($H165,'Rates &amp; Tables'!$C$60:$G$60,0)),0))</f>
        <v>0</v>
      </c>
      <c r="O165" s="44">
        <f t="shared" si="7"/>
        <v>0</v>
      </c>
      <c r="P165" s="41" t="str">
        <f t="shared" si="8"/>
        <v/>
      </c>
    </row>
    <row r="166" spans="2:16">
      <c r="B166" s="43"/>
      <c r="C166" s="43"/>
      <c r="D166" s="43"/>
      <c r="E166" s="43"/>
      <c r="F166" s="43"/>
      <c r="G166" s="43"/>
      <c r="H166" s="43"/>
      <c r="I166" s="43"/>
      <c r="J166" s="43"/>
      <c r="K166" s="43"/>
      <c r="L166" s="44">
        <f>IF($B166="",0,IF($C166="HZ",1,IFERROR(INDEX('Value Streams &amp; Delivery Mode'!$D$17:$M$22,MATCH($D166,'Value Streams &amp; Delivery Mode'!$B$17:$B$22,0),($B166-1)*2+IF($C166="POD",1,2)),0)))</f>
        <v>0</v>
      </c>
      <c r="M166" s="45">
        <f t="shared" si="6"/>
        <v>0</v>
      </c>
      <c r="N166" s="46">
        <f>IF($B166="",0,IFERROR(INDEX('Rates &amp; Tables'!$C$61:$G$63,MATCH($I166,'Rates &amp; Tables'!$J$61:$J$63,0),MATCH($H166,'Rates &amp; Tables'!$C$60:$G$60,0)),0))</f>
        <v>0</v>
      </c>
      <c r="O166" s="44">
        <f t="shared" si="7"/>
        <v>0</v>
      </c>
      <c r="P166" s="41" t="str">
        <f t="shared" si="8"/>
        <v/>
      </c>
    </row>
    <row r="167" spans="2:16">
      <c r="B167" s="43"/>
      <c r="C167" s="43"/>
      <c r="D167" s="43"/>
      <c r="E167" s="43"/>
      <c r="F167" s="43"/>
      <c r="G167" s="43"/>
      <c r="H167" s="43"/>
      <c r="I167" s="43"/>
      <c r="J167" s="43"/>
      <c r="K167" s="43"/>
      <c r="L167" s="44">
        <f>IF($B167="",0,IF($C167="HZ",1,IFERROR(INDEX('Value Streams &amp; Delivery Mode'!$D$17:$M$22,MATCH($D167,'Value Streams &amp; Delivery Mode'!$B$17:$B$22,0),($B167-1)*2+IF($C167="POD",1,2)),0)))</f>
        <v>0</v>
      </c>
      <c r="M167" s="45">
        <f t="shared" si="6"/>
        <v>0</v>
      </c>
      <c r="N167" s="46">
        <f>IF($B167="",0,IFERROR(INDEX('Rates &amp; Tables'!$C$61:$G$63,MATCH($I167,'Rates &amp; Tables'!$J$61:$J$63,0),MATCH($H167,'Rates &amp; Tables'!$C$60:$G$60,0)),0))</f>
        <v>0</v>
      </c>
      <c r="O167" s="44">
        <f t="shared" si="7"/>
        <v>0</v>
      </c>
      <c r="P167" s="41" t="str">
        <f t="shared" si="8"/>
        <v/>
      </c>
    </row>
    <row r="168" spans="2:16">
      <c r="B168" s="43"/>
      <c r="C168" s="43"/>
      <c r="D168" s="43"/>
      <c r="E168" s="43"/>
      <c r="F168" s="43"/>
      <c r="G168" s="43"/>
      <c r="H168" s="43"/>
      <c r="I168" s="43"/>
      <c r="J168" s="43"/>
      <c r="K168" s="43"/>
      <c r="L168" s="44">
        <f>IF($B168="",0,IF($C168="HZ",1,IFERROR(INDEX('Value Streams &amp; Delivery Mode'!$D$17:$M$22,MATCH($D168,'Value Streams &amp; Delivery Mode'!$B$17:$B$22,0),($B168-1)*2+IF($C168="POD",1,2)),0)))</f>
        <v>0</v>
      </c>
      <c r="M168" s="45">
        <f t="shared" si="6"/>
        <v>0</v>
      </c>
      <c r="N168" s="46">
        <f>IF($B168="",0,IFERROR(INDEX('Rates &amp; Tables'!$C$61:$G$63,MATCH($I168,'Rates &amp; Tables'!$J$61:$J$63,0),MATCH($H168,'Rates &amp; Tables'!$C$60:$G$60,0)),0))</f>
        <v>0</v>
      </c>
      <c r="O168" s="44">
        <f t="shared" si="7"/>
        <v>0</v>
      </c>
      <c r="P168" s="41" t="str">
        <f t="shared" si="8"/>
        <v/>
      </c>
    </row>
    <row r="169" spans="2:16">
      <c r="B169" s="43"/>
      <c r="C169" s="43"/>
      <c r="D169" s="43"/>
      <c r="E169" s="43"/>
      <c r="F169" s="43"/>
      <c r="G169" s="43"/>
      <c r="H169" s="43"/>
      <c r="I169" s="43"/>
      <c r="J169" s="43"/>
      <c r="K169" s="43"/>
      <c r="L169" s="44">
        <f>IF($B169="",0,IF($C169="HZ",1,IFERROR(INDEX('Value Streams &amp; Delivery Mode'!$D$17:$M$22,MATCH($D169,'Value Streams &amp; Delivery Mode'!$B$17:$B$22,0),($B169-1)*2+IF($C169="POD",1,2)),0)))</f>
        <v>0</v>
      </c>
      <c r="M169" s="45">
        <f t="shared" si="6"/>
        <v>0</v>
      </c>
      <c r="N169" s="46">
        <f>IF($B169="",0,IFERROR(INDEX('Rates &amp; Tables'!$C$61:$G$63,MATCH($I169,'Rates &amp; Tables'!$J$61:$J$63,0),MATCH($H169,'Rates &amp; Tables'!$C$60:$G$60,0)),0))</f>
        <v>0</v>
      </c>
      <c r="O169" s="44">
        <f t="shared" si="7"/>
        <v>0</v>
      </c>
      <c r="P169" s="41" t="str">
        <f t="shared" si="8"/>
        <v/>
      </c>
    </row>
    <row r="170" spans="2:16">
      <c r="B170" s="43"/>
      <c r="C170" s="43"/>
      <c r="D170" s="43"/>
      <c r="E170" s="43"/>
      <c r="F170" s="43"/>
      <c r="G170" s="43"/>
      <c r="H170" s="43"/>
      <c r="I170" s="43"/>
      <c r="J170" s="43"/>
      <c r="K170" s="43"/>
      <c r="L170" s="44">
        <f>IF($B170="",0,IF($C170="HZ",1,IFERROR(INDEX('Value Streams &amp; Delivery Mode'!$D$17:$M$22,MATCH($D170,'Value Streams &amp; Delivery Mode'!$B$17:$B$22,0),($B170-1)*2+IF($C170="POD",1,2)),0)))</f>
        <v>0</v>
      </c>
      <c r="M170" s="45">
        <f t="shared" si="6"/>
        <v>0</v>
      </c>
      <c r="N170" s="46">
        <f>IF($B170="",0,IFERROR(INDEX('Rates &amp; Tables'!$C$61:$G$63,MATCH($I170,'Rates &amp; Tables'!$J$61:$J$63,0),MATCH($H170,'Rates &amp; Tables'!$C$60:$G$60,0)),0))</f>
        <v>0</v>
      </c>
      <c r="O170" s="44">
        <f t="shared" si="7"/>
        <v>0</v>
      </c>
      <c r="P170" s="41" t="str">
        <f t="shared" si="8"/>
        <v/>
      </c>
    </row>
    <row r="171" spans="2:16">
      <c r="B171" s="43"/>
      <c r="C171" s="43"/>
      <c r="D171" s="43"/>
      <c r="E171" s="43"/>
      <c r="F171" s="43"/>
      <c r="G171" s="43"/>
      <c r="H171" s="43"/>
      <c r="I171" s="43"/>
      <c r="J171" s="43"/>
      <c r="K171" s="43"/>
      <c r="L171" s="44">
        <f>IF($B171="",0,IF($C171="HZ",1,IFERROR(INDEX('Value Streams &amp; Delivery Mode'!$D$17:$M$22,MATCH($D171,'Value Streams &amp; Delivery Mode'!$B$17:$B$22,0),($B171-1)*2+IF($C171="POD",1,2)),0)))</f>
        <v>0</v>
      </c>
      <c r="M171" s="45">
        <f t="shared" si="6"/>
        <v>0</v>
      </c>
      <c r="N171" s="46">
        <f>IF($B171="",0,IFERROR(INDEX('Rates &amp; Tables'!$C$61:$G$63,MATCH($I171,'Rates &amp; Tables'!$J$61:$J$63,0),MATCH($H171,'Rates &amp; Tables'!$C$60:$G$60,0)),0))</f>
        <v>0</v>
      </c>
      <c r="O171" s="44">
        <f t="shared" si="7"/>
        <v>0</v>
      </c>
      <c r="P171" s="41" t="str">
        <f t="shared" si="8"/>
        <v/>
      </c>
    </row>
    <row r="172" spans="2:16">
      <c r="B172" s="43"/>
      <c r="C172" s="43"/>
      <c r="D172" s="43"/>
      <c r="E172" s="43"/>
      <c r="F172" s="43"/>
      <c r="G172" s="43"/>
      <c r="H172" s="43"/>
      <c r="I172" s="43"/>
      <c r="J172" s="43"/>
      <c r="K172" s="43"/>
      <c r="L172" s="44">
        <f>IF($B172="",0,IF($C172="HZ",1,IFERROR(INDEX('Value Streams &amp; Delivery Mode'!$D$17:$M$22,MATCH($D172,'Value Streams &amp; Delivery Mode'!$B$17:$B$22,0),($B172-1)*2+IF($C172="POD",1,2)),0)))</f>
        <v>0</v>
      </c>
      <c r="M172" s="45">
        <f t="shared" si="6"/>
        <v>0</v>
      </c>
      <c r="N172" s="46">
        <f>IF($B172="",0,IFERROR(INDEX('Rates &amp; Tables'!$C$61:$G$63,MATCH($I172,'Rates &amp; Tables'!$J$61:$J$63,0),MATCH($H172,'Rates &amp; Tables'!$C$60:$G$60,0)),0))</f>
        <v>0</v>
      </c>
      <c r="O172" s="44">
        <f t="shared" si="7"/>
        <v>0</v>
      </c>
      <c r="P172" s="41" t="str">
        <f t="shared" si="8"/>
        <v/>
      </c>
    </row>
    <row r="173" spans="2:16">
      <c r="B173" s="43"/>
      <c r="C173" s="43"/>
      <c r="D173" s="43"/>
      <c r="E173" s="43"/>
      <c r="F173" s="43"/>
      <c r="G173" s="43"/>
      <c r="H173" s="43"/>
      <c r="I173" s="43"/>
      <c r="J173" s="43"/>
      <c r="K173" s="43"/>
      <c r="L173" s="44">
        <f>IF($B173="",0,IF($C173="HZ",1,IFERROR(INDEX('Value Streams &amp; Delivery Mode'!$D$17:$M$22,MATCH($D173,'Value Streams &amp; Delivery Mode'!$B$17:$B$22,0),($B173-1)*2+IF($C173="POD",1,2)),0)))</f>
        <v>0</v>
      </c>
      <c r="M173" s="45">
        <f t="shared" si="6"/>
        <v>0</v>
      </c>
      <c r="N173" s="46">
        <f>IF($B173="",0,IFERROR(INDEX('Rates &amp; Tables'!$C$61:$G$63,MATCH($I173,'Rates &amp; Tables'!$J$61:$J$63,0),MATCH($H173,'Rates &amp; Tables'!$C$60:$G$60,0)),0))</f>
        <v>0</v>
      </c>
      <c r="O173" s="44">
        <f t="shared" si="7"/>
        <v>0</v>
      </c>
      <c r="P173" s="41" t="str">
        <f t="shared" si="8"/>
        <v/>
      </c>
    </row>
    <row r="174" spans="2:16">
      <c r="B174" s="43"/>
      <c r="C174" s="43"/>
      <c r="D174" s="43"/>
      <c r="E174" s="43"/>
      <c r="F174" s="43"/>
      <c r="G174" s="43"/>
      <c r="H174" s="43"/>
      <c r="I174" s="43"/>
      <c r="J174" s="43"/>
      <c r="K174" s="43"/>
      <c r="L174" s="44">
        <f>IF($B174="",0,IF($C174="HZ",1,IFERROR(INDEX('Value Streams &amp; Delivery Mode'!$D$17:$M$22,MATCH($D174,'Value Streams &amp; Delivery Mode'!$B$17:$B$22,0),($B174-1)*2+IF($C174="POD",1,2)),0)))</f>
        <v>0</v>
      </c>
      <c r="M174" s="45">
        <f t="shared" si="6"/>
        <v>0</v>
      </c>
      <c r="N174" s="46">
        <f>IF($B174="",0,IFERROR(INDEX('Rates &amp; Tables'!$C$61:$G$63,MATCH($I174,'Rates &amp; Tables'!$J$61:$J$63,0),MATCH($H174,'Rates &amp; Tables'!$C$60:$G$60,0)),0))</f>
        <v>0</v>
      </c>
      <c r="O174" s="44">
        <f t="shared" si="7"/>
        <v>0</v>
      </c>
      <c r="P174" s="41" t="str">
        <f t="shared" si="8"/>
        <v/>
      </c>
    </row>
    <row r="175" spans="2:16">
      <c r="B175" s="43"/>
      <c r="C175" s="43"/>
      <c r="D175" s="43"/>
      <c r="E175" s="43"/>
      <c r="F175" s="43"/>
      <c r="G175" s="43"/>
      <c r="H175" s="43"/>
      <c r="I175" s="43"/>
      <c r="J175" s="43"/>
      <c r="K175" s="43"/>
      <c r="L175" s="44">
        <f>IF($B175="",0,IF($C175="HZ",1,IFERROR(INDEX('Value Streams &amp; Delivery Mode'!$D$17:$M$22,MATCH($D175,'Value Streams &amp; Delivery Mode'!$B$17:$B$22,0),($B175-1)*2+IF($C175="POD",1,2)),0)))</f>
        <v>0</v>
      </c>
      <c r="M175" s="45">
        <f t="shared" si="6"/>
        <v>0</v>
      </c>
      <c r="N175" s="46">
        <f>IF($B175="",0,IFERROR(INDEX('Rates &amp; Tables'!$C$61:$G$63,MATCH($I175,'Rates &amp; Tables'!$J$61:$J$63,0),MATCH($H175,'Rates &amp; Tables'!$C$60:$G$60,0)),0))</f>
        <v>0</v>
      </c>
      <c r="O175" s="44">
        <f t="shared" si="7"/>
        <v>0</v>
      </c>
      <c r="P175" s="41" t="str">
        <f t="shared" si="8"/>
        <v/>
      </c>
    </row>
    <row r="176" spans="2:16">
      <c r="B176" s="43"/>
      <c r="C176" s="43"/>
      <c r="D176" s="43"/>
      <c r="E176" s="43"/>
      <c r="F176" s="43"/>
      <c r="G176" s="43"/>
      <c r="H176" s="43"/>
      <c r="I176" s="43"/>
      <c r="J176" s="43"/>
      <c r="K176" s="43"/>
      <c r="L176" s="44">
        <f>IF($B176="",0,IF($C176="HZ",1,IFERROR(INDEX('Value Streams &amp; Delivery Mode'!$D$17:$M$22,MATCH($D176,'Value Streams &amp; Delivery Mode'!$B$17:$B$22,0),($B176-1)*2+IF($C176="POD",1,2)),0)))</f>
        <v>0</v>
      </c>
      <c r="M176" s="45">
        <f t="shared" si="6"/>
        <v>0</v>
      </c>
      <c r="N176" s="46">
        <f>IF($B176="",0,IFERROR(INDEX('Rates &amp; Tables'!$C$61:$G$63,MATCH($I176,'Rates &amp; Tables'!$J$61:$J$63,0),MATCH($H176,'Rates &amp; Tables'!$C$60:$G$60,0)),0))</f>
        <v>0</v>
      </c>
      <c r="O176" s="44">
        <f t="shared" si="7"/>
        <v>0</v>
      </c>
      <c r="P176" s="41" t="str">
        <f t="shared" si="8"/>
        <v/>
      </c>
    </row>
    <row r="177" spans="2:16">
      <c r="B177" s="43"/>
      <c r="C177" s="43"/>
      <c r="D177" s="43"/>
      <c r="E177" s="43"/>
      <c r="F177" s="43"/>
      <c r="G177" s="43"/>
      <c r="H177" s="43"/>
      <c r="I177" s="43"/>
      <c r="J177" s="43"/>
      <c r="K177" s="43"/>
      <c r="L177" s="44">
        <f>IF($B177="",0,IF($C177="HZ",1,IFERROR(INDEX('Value Streams &amp; Delivery Mode'!$D$17:$M$22,MATCH($D177,'Value Streams &amp; Delivery Mode'!$B$17:$B$22,0),($B177-1)*2+IF($C177="POD",1,2)),0)))</f>
        <v>0</v>
      </c>
      <c r="M177" s="45">
        <f t="shared" si="6"/>
        <v>0</v>
      </c>
      <c r="N177" s="46">
        <f>IF($B177="",0,IFERROR(INDEX('Rates &amp; Tables'!$C$61:$G$63,MATCH($I177,'Rates &amp; Tables'!$J$61:$J$63,0),MATCH($H177,'Rates &amp; Tables'!$C$60:$G$60,0)),0))</f>
        <v>0</v>
      </c>
      <c r="O177" s="44">
        <f t="shared" si="7"/>
        <v>0</v>
      </c>
      <c r="P177" s="41" t="str">
        <f t="shared" si="8"/>
        <v/>
      </c>
    </row>
    <row r="178" spans="2:16">
      <c r="B178" s="43"/>
      <c r="C178" s="43"/>
      <c r="D178" s="43"/>
      <c r="E178" s="43"/>
      <c r="F178" s="43"/>
      <c r="G178" s="43"/>
      <c r="H178" s="43"/>
      <c r="I178" s="43"/>
      <c r="J178" s="43"/>
      <c r="K178" s="43"/>
      <c r="L178" s="44">
        <f>IF($B178="",0,IF($C178="HZ",1,IFERROR(INDEX('Value Streams &amp; Delivery Mode'!$D$17:$M$22,MATCH($D178,'Value Streams &amp; Delivery Mode'!$B$17:$B$22,0),($B178-1)*2+IF($C178="POD",1,2)),0)))</f>
        <v>0</v>
      </c>
      <c r="M178" s="45">
        <f t="shared" si="6"/>
        <v>0</v>
      </c>
      <c r="N178" s="46">
        <f>IF($B178="",0,IFERROR(INDEX('Rates &amp; Tables'!$C$61:$G$63,MATCH($I178,'Rates &amp; Tables'!$J$61:$J$63,0),MATCH($H178,'Rates &amp; Tables'!$C$60:$G$60,0)),0))</f>
        <v>0</v>
      </c>
      <c r="O178" s="44">
        <f t="shared" si="7"/>
        <v>0</v>
      </c>
      <c r="P178" s="41" t="str">
        <f t="shared" si="8"/>
        <v/>
      </c>
    </row>
    <row r="179" spans="2:16">
      <c r="B179" s="43"/>
      <c r="C179" s="43"/>
      <c r="D179" s="43"/>
      <c r="E179" s="43"/>
      <c r="F179" s="43"/>
      <c r="G179" s="43"/>
      <c r="H179" s="43"/>
      <c r="I179" s="43"/>
      <c r="J179" s="43"/>
      <c r="K179" s="43"/>
      <c r="L179" s="44">
        <f>IF($B179="",0,IF($C179="HZ",1,IFERROR(INDEX('Value Streams &amp; Delivery Mode'!$D$17:$M$22,MATCH($D179,'Value Streams &amp; Delivery Mode'!$B$17:$B$22,0),($B179-1)*2+IF($C179="POD",1,2)),0)))</f>
        <v>0</v>
      </c>
      <c r="M179" s="45">
        <f t="shared" si="6"/>
        <v>0</v>
      </c>
      <c r="N179" s="46">
        <f>IF($B179="",0,IFERROR(INDEX('Rates &amp; Tables'!$C$61:$G$63,MATCH($I179,'Rates &amp; Tables'!$J$61:$J$63,0),MATCH($H179,'Rates &amp; Tables'!$C$60:$G$60,0)),0))</f>
        <v>0</v>
      </c>
      <c r="O179" s="44">
        <f t="shared" si="7"/>
        <v>0</v>
      </c>
      <c r="P179" s="41" t="str">
        <f t="shared" si="8"/>
        <v/>
      </c>
    </row>
    <row r="180" spans="2:16">
      <c r="B180" s="43"/>
      <c r="C180" s="43"/>
      <c r="D180" s="43"/>
      <c r="E180" s="43"/>
      <c r="F180" s="43"/>
      <c r="G180" s="43"/>
      <c r="H180" s="43"/>
      <c r="I180" s="43"/>
      <c r="J180" s="43"/>
      <c r="K180" s="43"/>
      <c r="L180" s="44">
        <f>IF($B180="",0,IF($C180="HZ",1,IFERROR(INDEX('Value Streams &amp; Delivery Mode'!$D$17:$M$22,MATCH($D180,'Value Streams &amp; Delivery Mode'!$B$17:$B$22,0),($B180-1)*2+IF($C180="POD",1,2)),0)))</f>
        <v>0</v>
      </c>
      <c r="M180" s="45">
        <f t="shared" si="6"/>
        <v>0</v>
      </c>
      <c r="N180" s="46">
        <f>IF($B180="",0,IFERROR(INDEX('Rates &amp; Tables'!$C$61:$G$63,MATCH($I180,'Rates &amp; Tables'!$J$61:$J$63,0),MATCH($H180,'Rates &amp; Tables'!$C$60:$G$60,0)),0))</f>
        <v>0</v>
      </c>
      <c r="O180" s="44">
        <f t="shared" si="7"/>
        <v>0</v>
      </c>
      <c r="P180" s="41" t="str">
        <f t="shared" si="8"/>
        <v/>
      </c>
    </row>
    <row r="181" spans="2:16">
      <c r="B181" s="43"/>
      <c r="C181" s="43"/>
      <c r="D181" s="43"/>
      <c r="E181" s="43"/>
      <c r="F181" s="43"/>
      <c r="G181" s="43"/>
      <c r="H181" s="43"/>
      <c r="I181" s="43"/>
      <c r="J181" s="43"/>
      <c r="K181" s="43"/>
      <c r="L181" s="44">
        <f>IF($B181="",0,IF($C181="HZ",1,IFERROR(INDEX('Value Streams &amp; Delivery Mode'!$D$17:$M$22,MATCH($D181,'Value Streams &amp; Delivery Mode'!$B$17:$B$22,0),($B181-1)*2+IF($C181="POD",1,2)),0)))</f>
        <v>0</v>
      </c>
      <c r="M181" s="45">
        <f t="shared" si="6"/>
        <v>0</v>
      </c>
      <c r="N181" s="46">
        <f>IF($B181="",0,IFERROR(INDEX('Rates &amp; Tables'!$C$61:$G$63,MATCH($I181,'Rates &amp; Tables'!$J$61:$J$63,0),MATCH($H181,'Rates &amp; Tables'!$C$60:$G$60,0)),0))</f>
        <v>0</v>
      </c>
      <c r="O181" s="44">
        <f t="shared" si="7"/>
        <v>0</v>
      </c>
      <c r="P181" s="41" t="str">
        <f t="shared" si="8"/>
        <v/>
      </c>
    </row>
    <row r="182" spans="2:16">
      <c r="B182" s="43"/>
      <c r="C182" s="43"/>
      <c r="D182" s="43"/>
      <c r="E182" s="43"/>
      <c r="F182" s="43"/>
      <c r="G182" s="43"/>
      <c r="H182" s="43"/>
      <c r="I182" s="43"/>
      <c r="J182" s="43"/>
      <c r="K182" s="43"/>
      <c r="L182" s="44">
        <f>IF($B182="",0,IF($C182="HZ",1,IFERROR(INDEX('Value Streams &amp; Delivery Mode'!$D$17:$M$22,MATCH($D182,'Value Streams &amp; Delivery Mode'!$B$17:$B$22,0),($B182-1)*2+IF($C182="POD",1,2)),0)))</f>
        <v>0</v>
      </c>
      <c r="M182" s="45">
        <f t="shared" si="6"/>
        <v>0</v>
      </c>
      <c r="N182" s="46">
        <f>IF($B182="",0,IFERROR(INDEX('Rates &amp; Tables'!$C$61:$G$63,MATCH($I182,'Rates &amp; Tables'!$J$61:$J$63,0),MATCH($H182,'Rates &amp; Tables'!$C$60:$G$60,0)),0))</f>
        <v>0</v>
      </c>
      <c r="O182" s="44">
        <f t="shared" si="7"/>
        <v>0</v>
      </c>
      <c r="P182" s="41" t="str">
        <f t="shared" si="8"/>
        <v/>
      </c>
    </row>
    <row r="183" spans="2:16">
      <c r="B183" s="43"/>
      <c r="C183" s="43"/>
      <c r="D183" s="43"/>
      <c r="E183" s="43"/>
      <c r="F183" s="43"/>
      <c r="G183" s="43"/>
      <c r="H183" s="43"/>
      <c r="I183" s="43"/>
      <c r="J183" s="43"/>
      <c r="K183" s="43"/>
      <c r="L183" s="44">
        <f>IF($B183="",0,IF($C183="HZ",1,IFERROR(INDEX('Value Streams &amp; Delivery Mode'!$D$17:$M$22,MATCH($D183,'Value Streams &amp; Delivery Mode'!$B$17:$B$22,0),($B183-1)*2+IF($C183="POD",1,2)),0)))</f>
        <v>0</v>
      </c>
      <c r="M183" s="45">
        <f t="shared" si="6"/>
        <v>0</v>
      </c>
      <c r="N183" s="46">
        <f>IF($B183="",0,IFERROR(INDEX('Rates &amp; Tables'!$C$61:$G$63,MATCH($I183,'Rates &amp; Tables'!$J$61:$J$63,0),MATCH($H183,'Rates &amp; Tables'!$C$60:$G$60,0)),0))</f>
        <v>0</v>
      </c>
      <c r="O183" s="44">
        <f t="shared" si="7"/>
        <v>0</v>
      </c>
      <c r="P183" s="41" t="str">
        <f t="shared" si="8"/>
        <v/>
      </c>
    </row>
    <row r="184" spans="2:16">
      <c r="B184" s="43"/>
      <c r="C184" s="43"/>
      <c r="D184" s="43"/>
      <c r="E184" s="43"/>
      <c r="F184" s="43"/>
      <c r="G184" s="43"/>
      <c r="H184" s="43"/>
      <c r="I184" s="43"/>
      <c r="J184" s="43"/>
      <c r="K184" s="43"/>
      <c r="L184" s="44">
        <f>IF($B184="",0,IF($C184="HZ",1,IFERROR(INDEX('Value Streams &amp; Delivery Mode'!$D$17:$M$22,MATCH($D184,'Value Streams &amp; Delivery Mode'!$B$17:$B$22,0),($B184-1)*2+IF($C184="POD",1,2)),0)))</f>
        <v>0</v>
      </c>
      <c r="M184" s="45">
        <f t="shared" si="6"/>
        <v>0</v>
      </c>
      <c r="N184" s="46">
        <f>IF($B184="",0,IFERROR(INDEX('Rates &amp; Tables'!$C$61:$G$63,MATCH($I184,'Rates &amp; Tables'!$J$61:$J$63,0),MATCH($H184,'Rates &amp; Tables'!$C$60:$G$60,0)),0))</f>
        <v>0</v>
      </c>
      <c r="O184" s="44">
        <f t="shared" si="7"/>
        <v>0</v>
      </c>
      <c r="P184" s="41" t="str">
        <f t="shared" si="8"/>
        <v/>
      </c>
    </row>
    <row r="185" spans="2:16">
      <c r="B185" s="43"/>
      <c r="C185" s="43"/>
      <c r="D185" s="43"/>
      <c r="E185" s="43"/>
      <c r="F185" s="43"/>
      <c r="G185" s="43"/>
      <c r="H185" s="43"/>
      <c r="I185" s="43"/>
      <c r="J185" s="43"/>
      <c r="K185" s="43"/>
      <c r="L185" s="44">
        <f>IF($B185="",0,IF($C185="HZ",1,IFERROR(INDEX('Value Streams &amp; Delivery Mode'!$D$17:$M$22,MATCH($D185,'Value Streams &amp; Delivery Mode'!$B$17:$B$22,0),($B185-1)*2+IF($C185="POD",1,2)),0)))</f>
        <v>0</v>
      </c>
      <c r="M185" s="45">
        <f t="shared" si="6"/>
        <v>0</v>
      </c>
      <c r="N185" s="46">
        <f>IF($B185="",0,IFERROR(INDEX('Rates &amp; Tables'!$C$61:$G$63,MATCH($I185,'Rates &amp; Tables'!$J$61:$J$63,0),MATCH($H185,'Rates &amp; Tables'!$C$60:$G$60,0)),0))</f>
        <v>0</v>
      </c>
      <c r="O185" s="44">
        <f t="shared" si="7"/>
        <v>0</v>
      </c>
      <c r="P185" s="41" t="str">
        <f t="shared" si="8"/>
        <v/>
      </c>
    </row>
    <row r="186" spans="2:16">
      <c r="B186" s="43"/>
      <c r="C186" s="43"/>
      <c r="D186" s="43"/>
      <c r="E186" s="43"/>
      <c r="F186" s="43"/>
      <c r="G186" s="43"/>
      <c r="H186" s="43"/>
      <c r="I186" s="43"/>
      <c r="J186" s="43"/>
      <c r="K186" s="43"/>
      <c r="L186" s="44">
        <f>IF($B186="",0,IF($C186="HZ",1,IFERROR(INDEX('Value Streams &amp; Delivery Mode'!$D$17:$M$22,MATCH($D186,'Value Streams &amp; Delivery Mode'!$B$17:$B$22,0),($B186-1)*2+IF($C186="POD",1,2)),0)))</f>
        <v>0</v>
      </c>
      <c r="M186" s="45">
        <f t="shared" si="6"/>
        <v>0</v>
      </c>
      <c r="N186" s="46">
        <f>IF($B186="",0,IFERROR(INDEX('Rates &amp; Tables'!$C$61:$G$63,MATCH($I186,'Rates &amp; Tables'!$J$61:$J$63,0),MATCH($H186,'Rates &amp; Tables'!$C$60:$G$60,0)),0))</f>
        <v>0</v>
      </c>
      <c r="O186" s="44">
        <f t="shared" si="7"/>
        <v>0</v>
      </c>
      <c r="P186" s="41" t="str">
        <f t="shared" si="8"/>
        <v/>
      </c>
    </row>
    <row r="187" spans="2:16">
      <c r="B187" s="43"/>
      <c r="C187" s="43"/>
      <c r="D187" s="43"/>
      <c r="E187" s="43"/>
      <c r="F187" s="43"/>
      <c r="G187" s="43"/>
      <c r="H187" s="43"/>
      <c r="I187" s="43"/>
      <c r="J187" s="43"/>
      <c r="K187" s="43"/>
      <c r="L187" s="44">
        <f>IF($B187="",0,IF($C187="HZ",1,IFERROR(INDEX('Value Streams &amp; Delivery Mode'!$D$17:$M$22,MATCH($D187,'Value Streams &amp; Delivery Mode'!$B$17:$B$22,0),($B187-1)*2+IF($C187="POD",1,2)),0)))</f>
        <v>0</v>
      </c>
      <c r="M187" s="45">
        <f t="shared" si="6"/>
        <v>0</v>
      </c>
      <c r="N187" s="46">
        <f>IF($B187="",0,IFERROR(INDEX('Rates &amp; Tables'!$C$61:$G$63,MATCH($I187,'Rates &amp; Tables'!$J$61:$J$63,0),MATCH($H187,'Rates &amp; Tables'!$C$60:$G$60,0)),0))</f>
        <v>0</v>
      </c>
      <c r="O187" s="44">
        <f t="shared" si="7"/>
        <v>0</v>
      </c>
      <c r="P187" s="41" t="str">
        <f t="shared" si="8"/>
        <v/>
      </c>
    </row>
    <row r="188" spans="2:16">
      <c r="B188" s="43"/>
      <c r="C188" s="43"/>
      <c r="D188" s="43"/>
      <c r="E188" s="43"/>
      <c r="F188" s="43"/>
      <c r="G188" s="43"/>
      <c r="H188" s="43"/>
      <c r="I188" s="43"/>
      <c r="J188" s="43"/>
      <c r="K188" s="43"/>
      <c r="L188" s="44">
        <f>IF($B188="",0,IF($C188="HZ",1,IFERROR(INDEX('Value Streams &amp; Delivery Mode'!$D$17:$M$22,MATCH($D188,'Value Streams &amp; Delivery Mode'!$B$17:$B$22,0),($B188-1)*2+IF($C188="POD",1,2)),0)))</f>
        <v>0</v>
      </c>
      <c r="M188" s="45">
        <f t="shared" si="6"/>
        <v>0</v>
      </c>
      <c r="N188" s="46">
        <f>IF($B188="",0,IFERROR(INDEX('Rates &amp; Tables'!$C$61:$G$63,MATCH($I188,'Rates &amp; Tables'!$J$61:$J$63,0),MATCH($H188,'Rates &amp; Tables'!$C$60:$G$60,0)),0))</f>
        <v>0</v>
      </c>
      <c r="O188" s="44">
        <f t="shared" si="7"/>
        <v>0</v>
      </c>
      <c r="P188" s="41" t="str">
        <f t="shared" si="8"/>
        <v/>
      </c>
    </row>
    <row r="189" spans="2:16">
      <c r="B189" s="43"/>
      <c r="C189" s="43"/>
      <c r="D189" s="43"/>
      <c r="E189" s="43"/>
      <c r="F189" s="43"/>
      <c r="G189" s="43"/>
      <c r="H189" s="43"/>
      <c r="I189" s="43"/>
      <c r="J189" s="43"/>
      <c r="K189" s="43"/>
      <c r="L189" s="44">
        <f>IF($B189="",0,IF($C189="HZ",1,IFERROR(INDEX('Value Streams &amp; Delivery Mode'!$D$17:$M$22,MATCH($D189,'Value Streams &amp; Delivery Mode'!$B$17:$B$22,0),($B189-1)*2+IF($C189="POD",1,2)),0)))</f>
        <v>0</v>
      </c>
      <c r="M189" s="45">
        <f t="shared" si="6"/>
        <v>0</v>
      </c>
      <c r="N189" s="46">
        <f>IF($B189="",0,IFERROR(INDEX('Rates &amp; Tables'!$C$61:$G$63,MATCH($I189,'Rates &amp; Tables'!$J$61:$J$63,0),MATCH($H189,'Rates &amp; Tables'!$C$60:$G$60,0)),0))</f>
        <v>0</v>
      </c>
      <c r="O189" s="44">
        <f t="shared" si="7"/>
        <v>0</v>
      </c>
      <c r="P189" s="41" t="str">
        <f t="shared" si="8"/>
        <v/>
      </c>
    </row>
    <row r="190" spans="2:16">
      <c r="B190" s="43"/>
      <c r="C190" s="43"/>
      <c r="D190" s="43"/>
      <c r="E190" s="43"/>
      <c r="F190" s="43"/>
      <c r="G190" s="43"/>
      <c r="H190" s="43"/>
      <c r="I190" s="43"/>
      <c r="J190" s="43"/>
      <c r="K190" s="43"/>
      <c r="L190" s="44">
        <f>IF($B190="",0,IF($C190="HZ",1,IFERROR(INDEX('Value Streams &amp; Delivery Mode'!$D$17:$M$22,MATCH($D190,'Value Streams &amp; Delivery Mode'!$B$17:$B$22,0),($B190-1)*2+IF($C190="POD",1,2)),0)))</f>
        <v>0</v>
      </c>
      <c r="M190" s="45">
        <f t="shared" si="6"/>
        <v>0</v>
      </c>
      <c r="N190" s="46">
        <f>IF($B190="",0,IFERROR(INDEX('Rates &amp; Tables'!$C$61:$G$63,MATCH($I190,'Rates &amp; Tables'!$J$61:$J$63,0),MATCH($H190,'Rates &amp; Tables'!$C$60:$G$60,0)),0))</f>
        <v>0</v>
      </c>
      <c r="O190" s="44">
        <f t="shared" si="7"/>
        <v>0</v>
      </c>
      <c r="P190" s="41" t="str">
        <f t="shared" si="8"/>
        <v/>
      </c>
    </row>
    <row r="191" spans="2:16">
      <c r="B191" s="43"/>
      <c r="C191" s="43"/>
      <c r="D191" s="43"/>
      <c r="E191" s="43"/>
      <c r="F191" s="43"/>
      <c r="G191" s="43"/>
      <c r="H191" s="43"/>
      <c r="I191" s="43"/>
      <c r="J191" s="43"/>
      <c r="K191" s="43"/>
      <c r="L191" s="44">
        <f>IF($B191="",0,IF($C191="HZ",1,IFERROR(INDEX('Value Streams &amp; Delivery Mode'!$D$17:$M$22,MATCH($D191,'Value Streams &amp; Delivery Mode'!$B$17:$B$22,0),($B191-1)*2+IF($C191="POD",1,2)),0)))</f>
        <v>0</v>
      </c>
      <c r="M191" s="45">
        <f t="shared" si="6"/>
        <v>0</v>
      </c>
      <c r="N191" s="46">
        <f>IF($B191="",0,IFERROR(INDEX('Rates &amp; Tables'!$C$61:$G$63,MATCH($I191,'Rates &amp; Tables'!$J$61:$J$63,0),MATCH($H191,'Rates &amp; Tables'!$C$60:$G$60,0)),0))</f>
        <v>0</v>
      </c>
      <c r="O191" s="44">
        <f t="shared" si="7"/>
        <v>0</v>
      </c>
      <c r="P191" s="41" t="str">
        <f t="shared" si="8"/>
        <v/>
      </c>
    </row>
    <row r="192" spans="2:16">
      <c r="B192" s="43"/>
      <c r="C192" s="43"/>
      <c r="D192" s="43"/>
      <c r="E192" s="43"/>
      <c r="F192" s="43"/>
      <c r="G192" s="43"/>
      <c r="H192" s="43"/>
      <c r="I192" s="43"/>
      <c r="J192" s="43"/>
      <c r="K192" s="43"/>
      <c r="L192" s="44">
        <f>IF($B192="",0,IF($C192="HZ",1,IFERROR(INDEX('Value Streams &amp; Delivery Mode'!$D$17:$M$22,MATCH($D192,'Value Streams &amp; Delivery Mode'!$B$17:$B$22,0),($B192-1)*2+IF($C192="POD",1,2)),0)))</f>
        <v>0</v>
      </c>
      <c r="M192" s="45">
        <f t="shared" si="6"/>
        <v>0</v>
      </c>
      <c r="N192" s="46">
        <f>IF($B192="",0,IFERROR(INDEX('Rates &amp; Tables'!$C$61:$G$63,MATCH($I192,'Rates &amp; Tables'!$J$61:$J$63,0),MATCH($H192,'Rates &amp; Tables'!$C$60:$G$60,0)),0))</f>
        <v>0</v>
      </c>
      <c r="O192" s="44">
        <f t="shared" si="7"/>
        <v>0</v>
      </c>
      <c r="P192" s="41" t="str">
        <f t="shared" si="8"/>
        <v/>
      </c>
    </row>
    <row r="193" spans="2:16">
      <c r="B193" s="43"/>
      <c r="C193" s="43"/>
      <c r="D193" s="43"/>
      <c r="E193" s="43"/>
      <c r="F193" s="43"/>
      <c r="G193" s="43"/>
      <c r="H193" s="43"/>
      <c r="I193" s="43"/>
      <c r="J193" s="43"/>
      <c r="K193" s="43"/>
      <c r="L193" s="44">
        <f>IF($B193="",0,IF($C193="HZ",1,IFERROR(INDEX('Value Streams &amp; Delivery Mode'!$D$17:$M$22,MATCH($D193,'Value Streams &amp; Delivery Mode'!$B$17:$B$22,0),($B193-1)*2+IF($C193="POD",1,2)),0)))</f>
        <v>0</v>
      </c>
      <c r="M193" s="45">
        <f t="shared" si="6"/>
        <v>0</v>
      </c>
      <c r="N193" s="46">
        <f>IF($B193="",0,IFERROR(INDEX('Rates &amp; Tables'!$C$61:$G$63,MATCH($I193,'Rates &amp; Tables'!$J$61:$J$63,0),MATCH($H193,'Rates &amp; Tables'!$C$60:$G$60,0)),0))</f>
        <v>0</v>
      </c>
      <c r="O193" s="44">
        <f t="shared" si="7"/>
        <v>0</v>
      </c>
      <c r="P193" s="41" t="str">
        <f t="shared" si="8"/>
        <v/>
      </c>
    </row>
    <row r="194" spans="2:16">
      <c r="B194" s="43"/>
      <c r="C194" s="43"/>
      <c r="D194" s="43"/>
      <c r="E194" s="43"/>
      <c r="F194" s="43"/>
      <c r="G194" s="43"/>
      <c r="H194" s="43"/>
      <c r="I194" s="43"/>
      <c r="J194" s="43"/>
      <c r="K194" s="43"/>
      <c r="L194" s="44">
        <f>IF($B194="",0,IF($C194="HZ",1,IFERROR(INDEX('Value Streams &amp; Delivery Mode'!$D$17:$M$22,MATCH($D194,'Value Streams &amp; Delivery Mode'!$B$17:$B$22,0),($B194-1)*2+IF($C194="POD",1,2)),0)))</f>
        <v>0</v>
      </c>
      <c r="M194" s="45">
        <f t="shared" si="6"/>
        <v>0</v>
      </c>
      <c r="N194" s="46">
        <f>IF($B194="",0,IFERROR(INDEX('Rates &amp; Tables'!$C$61:$G$63,MATCH($I194,'Rates &amp; Tables'!$J$61:$J$63,0),MATCH($H194,'Rates &amp; Tables'!$C$60:$G$60,0)),0))</f>
        <v>0</v>
      </c>
      <c r="O194" s="44">
        <f t="shared" si="7"/>
        <v>0</v>
      </c>
      <c r="P194" s="41" t="str">
        <f t="shared" si="8"/>
        <v/>
      </c>
    </row>
    <row r="195" spans="2:16">
      <c r="B195" s="43"/>
      <c r="C195" s="43"/>
      <c r="D195" s="43"/>
      <c r="E195" s="43"/>
      <c r="F195" s="43"/>
      <c r="G195" s="43"/>
      <c r="H195" s="43"/>
      <c r="I195" s="43"/>
      <c r="J195" s="43"/>
      <c r="K195" s="43"/>
      <c r="L195" s="44">
        <f>IF($B195="",0,IF($C195="HZ",1,IFERROR(INDEX('Value Streams &amp; Delivery Mode'!$D$17:$M$22,MATCH($D195,'Value Streams &amp; Delivery Mode'!$B$17:$B$22,0),($B195-1)*2+IF($C195="POD",1,2)),0)))</f>
        <v>0</v>
      </c>
      <c r="M195" s="45">
        <f t="shared" si="6"/>
        <v>0</v>
      </c>
      <c r="N195" s="46">
        <f>IF($B195="",0,IFERROR(INDEX('Rates &amp; Tables'!$C$61:$G$63,MATCH($I195,'Rates &amp; Tables'!$J$61:$J$63,0),MATCH($H195,'Rates &amp; Tables'!$C$60:$G$60,0)),0))</f>
        <v>0</v>
      </c>
      <c r="O195" s="44">
        <f t="shared" si="7"/>
        <v>0</v>
      </c>
      <c r="P195" s="41" t="str">
        <f t="shared" si="8"/>
        <v/>
      </c>
    </row>
    <row r="196" spans="2:16">
      <c r="B196" s="43"/>
      <c r="C196" s="43"/>
      <c r="D196" s="43"/>
      <c r="E196" s="43"/>
      <c r="F196" s="43"/>
      <c r="G196" s="43"/>
      <c r="H196" s="43"/>
      <c r="I196" s="43"/>
      <c r="J196" s="43"/>
      <c r="K196" s="43"/>
      <c r="L196" s="44">
        <f>IF($B196="",0,IF($C196="HZ",1,IFERROR(INDEX('Value Streams &amp; Delivery Mode'!$D$17:$M$22,MATCH($D196,'Value Streams &amp; Delivery Mode'!$B$17:$B$22,0),($B196-1)*2+IF($C196="POD",1,2)),0)))</f>
        <v>0</v>
      </c>
      <c r="M196" s="45">
        <f t="shared" si="6"/>
        <v>0</v>
      </c>
      <c r="N196" s="46">
        <f>IF($B196="",0,IFERROR(INDEX('Rates &amp; Tables'!$C$61:$G$63,MATCH($I196,'Rates &amp; Tables'!$J$61:$J$63,0),MATCH($H196,'Rates &amp; Tables'!$C$60:$G$60,0)),0))</f>
        <v>0</v>
      </c>
      <c r="O196" s="44">
        <f t="shared" si="7"/>
        <v>0</v>
      </c>
      <c r="P196" s="41" t="str">
        <f t="shared" si="8"/>
        <v/>
      </c>
    </row>
    <row r="197" spans="2:16">
      <c r="B197" s="43"/>
      <c r="C197" s="43"/>
      <c r="D197" s="43"/>
      <c r="E197" s="43"/>
      <c r="F197" s="43"/>
      <c r="G197" s="43"/>
      <c r="H197" s="43"/>
      <c r="I197" s="43"/>
      <c r="J197" s="43"/>
      <c r="K197" s="43"/>
      <c r="L197" s="44">
        <f>IF($B197="",0,IF($C197="HZ",1,IFERROR(INDEX('Value Streams &amp; Delivery Mode'!$D$17:$M$22,MATCH($D197,'Value Streams &amp; Delivery Mode'!$B$17:$B$22,0),($B197-1)*2+IF($C197="POD",1,2)),0)))</f>
        <v>0</v>
      </c>
      <c r="M197" s="45">
        <f t="shared" ref="M197:M260" si="9">IF($B197="",0,$K197*$L197)</f>
        <v>0</v>
      </c>
      <c r="N197" s="46">
        <f>IF($B197="",0,IFERROR(INDEX('Rates &amp; Tables'!$C$61:$G$63,MATCH($I197,'Rates &amp; Tables'!$J$61:$J$63,0),MATCH($H197,'Rates &amp; Tables'!$C$60:$G$60,0)),0))</f>
        <v>0</v>
      </c>
      <c r="O197" s="44">
        <f t="shared" ref="O197:O260" si="10">IF($B197="",0,$M197*$N197)</f>
        <v>0</v>
      </c>
      <c r="P197" s="41" t="str">
        <f t="shared" ref="P197:P260" si="11">IF($B197="","",$B197&amp;"|"&amp;$G197&amp;"|"&amp;$J197)</f>
        <v/>
      </c>
    </row>
    <row r="198" spans="2:16">
      <c r="B198" s="43"/>
      <c r="C198" s="43"/>
      <c r="D198" s="43"/>
      <c r="E198" s="43"/>
      <c r="F198" s="43"/>
      <c r="G198" s="43"/>
      <c r="H198" s="43"/>
      <c r="I198" s="43"/>
      <c r="J198" s="43"/>
      <c r="K198" s="43"/>
      <c r="L198" s="44">
        <f>IF($B198="",0,IF($C198="HZ",1,IFERROR(INDEX('Value Streams &amp; Delivery Mode'!$D$17:$M$22,MATCH($D198,'Value Streams &amp; Delivery Mode'!$B$17:$B$22,0),($B198-1)*2+IF($C198="POD",1,2)),0)))</f>
        <v>0</v>
      </c>
      <c r="M198" s="45">
        <f t="shared" si="9"/>
        <v>0</v>
      </c>
      <c r="N198" s="46">
        <f>IF($B198="",0,IFERROR(INDEX('Rates &amp; Tables'!$C$61:$G$63,MATCH($I198,'Rates &amp; Tables'!$J$61:$J$63,0),MATCH($H198,'Rates &amp; Tables'!$C$60:$G$60,0)),0))</f>
        <v>0</v>
      </c>
      <c r="O198" s="44">
        <f t="shared" si="10"/>
        <v>0</v>
      </c>
      <c r="P198" s="41" t="str">
        <f t="shared" si="11"/>
        <v/>
      </c>
    </row>
    <row r="199" spans="2:16">
      <c r="B199" s="43"/>
      <c r="C199" s="43"/>
      <c r="D199" s="43"/>
      <c r="E199" s="43"/>
      <c r="F199" s="43"/>
      <c r="G199" s="43"/>
      <c r="H199" s="43"/>
      <c r="I199" s="43"/>
      <c r="J199" s="43"/>
      <c r="K199" s="43"/>
      <c r="L199" s="44">
        <f>IF($B199="",0,IF($C199="HZ",1,IFERROR(INDEX('Value Streams &amp; Delivery Mode'!$D$17:$M$22,MATCH($D199,'Value Streams &amp; Delivery Mode'!$B$17:$B$22,0),($B199-1)*2+IF($C199="POD",1,2)),0)))</f>
        <v>0</v>
      </c>
      <c r="M199" s="45">
        <f t="shared" si="9"/>
        <v>0</v>
      </c>
      <c r="N199" s="46">
        <f>IF($B199="",0,IFERROR(INDEX('Rates &amp; Tables'!$C$61:$G$63,MATCH($I199,'Rates &amp; Tables'!$J$61:$J$63,0),MATCH($H199,'Rates &amp; Tables'!$C$60:$G$60,0)),0))</f>
        <v>0</v>
      </c>
      <c r="O199" s="44">
        <f t="shared" si="10"/>
        <v>0</v>
      </c>
      <c r="P199" s="41" t="str">
        <f t="shared" si="11"/>
        <v/>
      </c>
    </row>
    <row r="200" spans="2:16">
      <c r="B200" s="43"/>
      <c r="C200" s="43"/>
      <c r="D200" s="43"/>
      <c r="E200" s="43"/>
      <c r="F200" s="43"/>
      <c r="G200" s="43"/>
      <c r="H200" s="43"/>
      <c r="I200" s="43"/>
      <c r="J200" s="43"/>
      <c r="K200" s="43"/>
      <c r="L200" s="44">
        <f>IF($B200="",0,IF($C200="HZ",1,IFERROR(INDEX('Value Streams &amp; Delivery Mode'!$D$17:$M$22,MATCH($D200,'Value Streams &amp; Delivery Mode'!$B$17:$B$22,0),($B200-1)*2+IF($C200="POD",1,2)),0)))</f>
        <v>0</v>
      </c>
      <c r="M200" s="45">
        <f t="shared" si="9"/>
        <v>0</v>
      </c>
      <c r="N200" s="46">
        <f>IF($B200="",0,IFERROR(INDEX('Rates &amp; Tables'!$C$61:$G$63,MATCH($I200,'Rates &amp; Tables'!$J$61:$J$63,0),MATCH($H200,'Rates &amp; Tables'!$C$60:$G$60,0)),0))</f>
        <v>0</v>
      </c>
      <c r="O200" s="44">
        <f t="shared" si="10"/>
        <v>0</v>
      </c>
      <c r="P200" s="41" t="str">
        <f t="shared" si="11"/>
        <v/>
      </c>
    </row>
    <row r="201" spans="2:16">
      <c r="B201" s="43"/>
      <c r="C201" s="43"/>
      <c r="D201" s="43"/>
      <c r="E201" s="43"/>
      <c r="F201" s="43"/>
      <c r="G201" s="43"/>
      <c r="H201" s="43"/>
      <c r="I201" s="43"/>
      <c r="J201" s="43"/>
      <c r="K201" s="43"/>
      <c r="L201" s="44">
        <f>IF($B201="",0,IF($C201="HZ",1,IFERROR(INDEX('Value Streams &amp; Delivery Mode'!$D$17:$M$22,MATCH($D201,'Value Streams &amp; Delivery Mode'!$B$17:$B$22,0),($B201-1)*2+IF($C201="POD",1,2)),0)))</f>
        <v>0</v>
      </c>
      <c r="M201" s="45">
        <f t="shared" si="9"/>
        <v>0</v>
      </c>
      <c r="N201" s="46">
        <f>IF($B201="",0,IFERROR(INDEX('Rates &amp; Tables'!$C$61:$G$63,MATCH($I201,'Rates &amp; Tables'!$J$61:$J$63,0),MATCH($H201,'Rates &amp; Tables'!$C$60:$G$60,0)),0))</f>
        <v>0</v>
      </c>
      <c r="O201" s="44">
        <f t="shared" si="10"/>
        <v>0</v>
      </c>
      <c r="P201" s="41" t="str">
        <f t="shared" si="11"/>
        <v/>
      </c>
    </row>
    <row r="202" spans="2:16">
      <c r="B202" s="43"/>
      <c r="C202" s="43"/>
      <c r="D202" s="43"/>
      <c r="E202" s="43"/>
      <c r="F202" s="43"/>
      <c r="G202" s="43"/>
      <c r="H202" s="43"/>
      <c r="I202" s="43"/>
      <c r="J202" s="43"/>
      <c r="K202" s="43"/>
      <c r="L202" s="44">
        <f>IF($B202="",0,IF($C202="HZ",1,IFERROR(INDEX('Value Streams &amp; Delivery Mode'!$D$17:$M$22,MATCH($D202,'Value Streams &amp; Delivery Mode'!$B$17:$B$22,0),($B202-1)*2+IF($C202="POD",1,2)),0)))</f>
        <v>0</v>
      </c>
      <c r="M202" s="45">
        <f t="shared" si="9"/>
        <v>0</v>
      </c>
      <c r="N202" s="46">
        <f>IF($B202="",0,IFERROR(INDEX('Rates &amp; Tables'!$C$61:$G$63,MATCH($I202,'Rates &amp; Tables'!$J$61:$J$63,0),MATCH($H202,'Rates &amp; Tables'!$C$60:$G$60,0)),0))</f>
        <v>0</v>
      </c>
      <c r="O202" s="44">
        <f t="shared" si="10"/>
        <v>0</v>
      </c>
      <c r="P202" s="41" t="str">
        <f t="shared" si="11"/>
        <v/>
      </c>
    </row>
    <row r="203" spans="2:16">
      <c r="B203" s="43"/>
      <c r="C203" s="43"/>
      <c r="D203" s="43"/>
      <c r="E203" s="43"/>
      <c r="F203" s="43"/>
      <c r="G203" s="43"/>
      <c r="H203" s="43"/>
      <c r="I203" s="43"/>
      <c r="J203" s="43"/>
      <c r="K203" s="43"/>
      <c r="L203" s="44">
        <f>IF($B203="",0,IF($C203="HZ",1,IFERROR(INDEX('Value Streams &amp; Delivery Mode'!$D$17:$M$22,MATCH($D203,'Value Streams &amp; Delivery Mode'!$B$17:$B$22,0),($B203-1)*2+IF($C203="POD",1,2)),0)))</f>
        <v>0</v>
      </c>
      <c r="M203" s="45">
        <f t="shared" si="9"/>
        <v>0</v>
      </c>
      <c r="N203" s="46">
        <f>IF($B203="",0,IFERROR(INDEX('Rates &amp; Tables'!$C$61:$G$63,MATCH($I203,'Rates &amp; Tables'!$J$61:$J$63,0),MATCH($H203,'Rates &amp; Tables'!$C$60:$G$60,0)),0))</f>
        <v>0</v>
      </c>
      <c r="O203" s="44">
        <f t="shared" si="10"/>
        <v>0</v>
      </c>
      <c r="P203" s="41" t="str">
        <f t="shared" si="11"/>
        <v/>
      </c>
    </row>
    <row r="204" spans="2:16">
      <c r="B204" s="43"/>
      <c r="C204" s="43"/>
      <c r="D204" s="43"/>
      <c r="E204" s="43"/>
      <c r="F204" s="43"/>
      <c r="G204" s="43"/>
      <c r="H204" s="43"/>
      <c r="I204" s="43"/>
      <c r="J204" s="43"/>
      <c r="K204" s="43"/>
      <c r="L204" s="44">
        <f>IF($B204="",0,IF($C204="HZ",1,IFERROR(INDEX('Value Streams &amp; Delivery Mode'!$D$17:$M$22,MATCH($D204,'Value Streams &amp; Delivery Mode'!$B$17:$B$22,0),($B204-1)*2+IF($C204="POD",1,2)),0)))</f>
        <v>0</v>
      </c>
      <c r="M204" s="45">
        <f t="shared" si="9"/>
        <v>0</v>
      </c>
      <c r="N204" s="46">
        <f>IF($B204="",0,IFERROR(INDEX('Rates &amp; Tables'!$C$61:$G$63,MATCH($I204,'Rates &amp; Tables'!$J$61:$J$63,0),MATCH($H204,'Rates &amp; Tables'!$C$60:$G$60,0)),0))</f>
        <v>0</v>
      </c>
      <c r="O204" s="44">
        <f t="shared" si="10"/>
        <v>0</v>
      </c>
      <c r="P204" s="41" t="str">
        <f t="shared" si="11"/>
        <v/>
      </c>
    </row>
    <row r="205" spans="2:16">
      <c r="B205" s="43"/>
      <c r="C205" s="43"/>
      <c r="D205" s="43"/>
      <c r="E205" s="43"/>
      <c r="F205" s="43"/>
      <c r="G205" s="43"/>
      <c r="H205" s="43"/>
      <c r="I205" s="43"/>
      <c r="J205" s="43"/>
      <c r="K205" s="43"/>
      <c r="L205" s="44">
        <f>IF($B205="",0,IF($C205="HZ",1,IFERROR(INDEX('Value Streams &amp; Delivery Mode'!$D$17:$M$22,MATCH($D205,'Value Streams &amp; Delivery Mode'!$B$17:$B$22,0),($B205-1)*2+IF($C205="POD",1,2)),0)))</f>
        <v>0</v>
      </c>
      <c r="M205" s="45">
        <f t="shared" si="9"/>
        <v>0</v>
      </c>
      <c r="N205" s="46">
        <f>IF($B205="",0,IFERROR(INDEX('Rates &amp; Tables'!$C$61:$G$63,MATCH($I205,'Rates &amp; Tables'!$J$61:$J$63,0),MATCH($H205,'Rates &amp; Tables'!$C$60:$G$60,0)),0))</f>
        <v>0</v>
      </c>
      <c r="O205" s="44">
        <f t="shared" si="10"/>
        <v>0</v>
      </c>
      <c r="P205" s="41" t="str">
        <f t="shared" si="11"/>
        <v/>
      </c>
    </row>
    <row r="206" spans="2:16">
      <c r="B206" s="43"/>
      <c r="C206" s="43"/>
      <c r="D206" s="43"/>
      <c r="E206" s="43"/>
      <c r="F206" s="43"/>
      <c r="G206" s="43"/>
      <c r="H206" s="43"/>
      <c r="I206" s="43"/>
      <c r="J206" s="43"/>
      <c r="K206" s="43"/>
      <c r="L206" s="44">
        <f>IF($B206="",0,IF($C206="HZ",1,IFERROR(INDEX('Value Streams &amp; Delivery Mode'!$D$17:$M$22,MATCH($D206,'Value Streams &amp; Delivery Mode'!$B$17:$B$22,0),($B206-1)*2+IF($C206="POD",1,2)),0)))</f>
        <v>0</v>
      </c>
      <c r="M206" s="45">
        <f t="shared" si="9"/>
        <v>0</v>
      </c>
      <c r="N206" s="46">
        <f>IF($B206="",0,IFERROR(INDEX('Rates &amp; Tables'!$C$61:$G$63,MATCH($I206,'Rates &amp; Tables'!$J$61:$J$63,0),MATCH($H206,'Rates &amp; Tables'!$C$60:$G$60,0)),0))</f>
        <v>0</v>
      </c>
      <c r="O206" s="44">
        <f t="shared" si="10"/>
        <v>0</v>
      </c>
      <c r="P206" s="41" t="str">
        <f t="shared" si="11"/>
        <v/>
      </c>
    </row>
    <row r="207" spans="2:16">
      <c r="B207" s="43"/>
      <c r="C207" s="43"/>
      <c r="D207" s="43"/>
      <c r="E207" s="43"/>
      <c r="F207" s="43"/>
      <c r="G207" s="43"/>
      <c r="H207" s="43"/>
      <c r="I207" s="43"/>
      <c r="J207" s="43"/>
      <c r="K207" s="43"/>
      <c r="L207" s="44">
        <f>IF($B207="",0,IF($C207="HZ",1,IFERROR(INDEX('Value Streams &amp; Delivery Mode'!$D$17:$M$22,MATCH($D207,'Value Streams &amp; Delivery Mode'!$B$17:$B$22,0),($B207-1)*2+IF($C207="POD",1,2)),0)))</f>
        <v>0</v>
      </c>
      <c r="M207" s="45">
        <f t="shared" si="9"/>
        <v>0</v>
      </c>
      <c r="N207" s="46">
        <f>IF($B207="",0,IFERROR(INDEX('Rates &amp; Tables'!$C$61:$G$63,MATCH($I207,'Rates &amp; Tables'!$J$61:$J$63,0),MATCH($H207,'Rates &amp; Tables'!$C$60:$G$60,0)),0))</f>
        <v>0</v>
      </c>
      <c r="O207" s="44">
        <f t="shared" si="10"/>
        <v>0</v>
      </c>
      <c r="P207" s="41" t="str">
        <f t="shared" si="11"/>
        <v/>
      </c>
    </row>
    <row r="208" spans="2:16">
      <c r="B208" s="43"/>
      <c r="C208" s="43"/>
      <c r="D208" s="43"/>
      <c r="E208" s="43"/>
      <c r="F208" s="43"/>
      <c r="G208" s="43"/>
      <c r="H208" s="43"/>
      <c r="I208" s="43"/>
      <c r="J208" s="43"/>
      <c r="K208" s="43"/>
      <c r="L208" s="44">
        <f>IF($B208="",0,IF($C208="HZ",1,IFERROR(INDEX('Value Streams &amp; Delivery Mode'!$D$17:$M$22,MATCH($D208,'Value Streams &amp; Delivery Mode'!$B$17:$B$22,0),($B208-1)*2+IF($C208="POD",1,2)),0)))</f>
        <v>0</v>
      </c>
      <c r="M208" s="45">
        <f t="shared" si="9"/>
        <v>0</v>
      </c>
      <c r="N208" s="46">
        <f>IF($B208="",0,IFERROR(INDEX('Rates &amp; Tables'!$C$61:$G$63,MATCH($I208,'Rates &amp; Tables'!$J$61:$J$63,0),MATCH($H208,'Rates &amp; Tables'!$C$60:$G$60,0)),0))</f>
        <v>0</v>
      </c>
      <c r="O208" s="44">
        <f t="shared" si="10"/>
        <v>0</v>
      </c>
      <c r="P208" s="41" t="str">
        <f t="shared" si="11"/>
        <v/>
      </c>
    </row>
    <row r="209" spans="2:16">
      <c r="B209" s="43"/>
      <c r="C209" s="43"/>
      <c r="D209" s="43"/>
      <c r="E209" s="43"/>
      <c r="F209" s="43"/>
      <c r="G209" s="43"/>
      <c r="H209" s="43"/>
      <c r="I209" s="43"/>
      <c r="J209" s="43"/>
      <c r="K209" s="43"/>
      <c r="L209" s="44">
        <f>IF($B209="",0,IF($C209="HZ",1,IFERROR(INDEX('Value Streams &amp; Delivery Mode'!$D$17:$M$22,MATCH($D209,'Value Streams &amp; Delivery Mode'!$B$17:$B$22,0),($B209-1)*2+IF($C209="POD",1,2)),0)))</f>
        <v>0</v>
      </c>
      <c r="M209" s="45">
        <f t="shared" si="9"/>
        <v>0</v>
      </c>
      <c r="N209" s="46">
        <f>IF($B209="",0,IFERROR(INDEX('Rates &amp; Tables'!$C$61:$G$63,MATCH($I209,'Rates &amp; Tables'!$J$61:$J$63,0),MATCH($H209,'Rates &amp; Tables'!$C$60:$G$60,0)),0))</f>
        <v>0</v>
      </c>
      <c r="O209" s="44">
        <f t="shared" si="10"/>
        <v>0</v>
      </c>
      <c r="P209" s="41" t="str">
        <f t="shared" si="11"/>
        <v/>
      </c>
    </row>
    <row r="210" spans="2:16">
      <c r="B210" s="43"/>
      <c r="C210" s="43"/>
      <c r="D210" s="43"/>
      <c r="E210" s="43"/>
      <c r="F210" s="43"/>
      <c r="G210" s="43"/>
      <c r="H210" s="43"/>
      <c r="I210" s="43"/>
      <c r="J210" s="43"/>
      <c r="K210" s="43"/>
      <c r="L210" s="44">
        <f>IF($B210="",0,IF($C210="HZ",1,IFERROR(INDEX('Value Streams &amp; Delivery Mode'!$D$17:$M$22,MATCH($D210,'Value Streams &amp; Delivery Mode'!$B$17:$B$22,0),($B210-1)*2+IF($C210="POD",1,2)),0)))</f>
        <v>0</v>
      </c>
      <c r="M210" s="45">
        <f t="shared" si="9"/>
        <v>0</v>
      </c>
      <c r="N210" s="46">
        <f>IF($B210="",0,IFERROR(INDEX('Rates &amp; Tables'!$C$61:$G$63,MATCH($I210,'Rates &amp; Tables'!$J$61:$J$63,0),MATCH($H210,'Rates &amp; Tables'!$C$60:$G$60,0)),0))</f>
        <v>0</v>
      </c>
      <c r="O210" s="44">
        <f t="shared" si="10"/>
        <v>0</v>
      </c>
      <c r="P210" s="41" t="str">
        <f t="shared" si="11"/>
        <v/>
      </c>
    </row>
    <row r="211" spans="2:16">
      <c r="B211" s="43"/>
      <c r="C211" s="43"/>
      <c r="D211" s="43"/>
      <c r="E211" s="43"/>
      <c r="F211" s="43"/>
      <c r="G211" s="43"/>
      <c r="H211" s="43"/>
      <c r="I211" s="43"/>
      <c r="J211" s="43"/>
      <c r="K211" s="43"/>
      <c r="L211" s="44">
        <f>IF($B211="",0,IF($C211="HZ",1,IFERROR(INDEX('Value Streams &amp; Delivery Mode'!$D$17:$M$22,MATCH($D211,'Value Streams &amp; Delivery Mode'!$B$17:$B$22,0),($B211-1)*2+IF($C211="POD",1,2)),0)))</f>
        <v>0</v>
      </c>
      <c r="M211" s="45">
        <f t="shared" si="9"/>
        <v>0</v>
      </c>
      <c r="N211" s="46">
        <f>IF($B211="",0,IFERROR(INDEX('Rates &amp; Tables'!$C$61:$G$63,MATCH($I211,'Rates &amp; Tables'!$J$61:$J$63,0),MATCH($H211,'Rates &amp; Tables'!$C$60:$G$60,0)),0))</f>
        <v>0</v>
      </c>
      <c r="O211" s="44">
        <f t="shared" si="10"/>
        <v>0</v>
      </c>
      <c r="P211" s="41" t="str">
        <f t="shared" si="11"/>
        <v/>
      </c>
    </row>
    <row r="212" spans="2:16">
      <c r="B212" s="43"/>
      <c r="C212" s="43"/>
      <c r="D212" s="43"/>
      <c r="E212" s="43"/>
      <c r="F212" s="43"/>
      <c r="G212" s="43"/>
      <c r="H212" s="43"/>
      <c r="I212" s="43"/>
      <c r="J212" s="43"/>
      <c r="K212" s="43"/>
      <c r="L212" s="44">
        <f>IF($B212="",0,IF($C212="HZ",1,IFERROR(INDEX('Value Streams &amp; Delivery Mode'!$D$17:$M$22,MATCH($D212,'Value Streams &amp; Delivery Mode'!$B$17:$B$22,0),($B212-1)*2+IF($C212="POD",1,2)),0)))</f>
        <v>0</v>
      </c>
      <c r="M212" s="45">
        <f t="shared" si="9"/>
        <v>0</v>
      </c>
      <c r="N212" s="46">
        <f>IF($B212="",0,IFERROR(INDEX('Rates &amp; Tables'!$C$61:$G$63,MATCH($I212,'Rates &amp; Tables'!$J$61:$J$63,0),MATCH($H212,'Rates &amp; Tables'!$C$60:$G$60,0)),0))</f>
        <v>0</v>
      </c>
      <c r="O212" s="44">
        <f t="shared" si="10"/>
        <v>0</v>
      </c>
      <c r="P212" s="41" t="str">
        <f t="shared" si="11"/>
        <v/>
      </c>
    </row>
    <row r="213" spans="2:16">
      <c r="B213" s="43"/>
      <c r="C213" s="43"/>
      <c r="D213" s="43"/>
      <c r="E213" s="43"/>
      <c r="F213" s="43"/>
      <c r="G213" s="43"/>
      <c r="H213" s="43"/>
      <c r="I213" s="43"/>
      <c r="J213" s="43"/>
      <c r="K213" s="43"/>
      <c r="L213" s="44">
        <f>IF($B213="",0,IF($C213="HZ",1,IFERROR(INDEX('Value Streams &amp; Delivery Mode'!$D$17:$M$22,MATCH($D213,'Value Streams &amp; Delivery Mode'!$B$17:$B$22,0),($B213-1)*2+IF($C213="POD",1,2)),0)))</f>
        <v>0</v>
      </c>
      <c r="M213" s="45">
        <f t="shared" si="9"/>
        <v>0</v>
      </c>
      <c r="N213" s="46">
        <f>IF($B213="",0,IFERROR(INDEX('Rates &amp; Tables'!$C$61:$G$63,MATCH($I213,'Rates &amp; Tables'!$J$61:$J$63,0),MATCH($H213,'Rates &amp; Tables'!$C$60:$G$60,0)),0))</f>
        <v>0</v>
      </c>
      <c r="O213" s="44">
        <f t="shared" si="10"/>
        <v>0</v>
      </c>
      <c r="P213" s="41" t="str">
        <f t="shared" si="11"/>
        <v/>
      </c>
    </row>
    <row r="214" spans="2:16">
      <c r="B214" s="43"/>
      <c r="C214" s="43"/>
      <c r="D214" s="43"/>
      <c r="E214" s="43"/>
      <c r="F214" s="43"/>
      <c r="G214" s="43"/>
      <c r="H214" s="43"/>
      <c r="I214" s="43"/>
      <c r="J214" s="43"/>
      <c r="K214" s="43"/>
      <c r="L214" s="44">
        <f>IF($B214="",0,IF($C214="HZ",1,IFERROR(INDEX('Value Streams &amp; Delivery Mode'!$D$17:$M$22,MATCH($D214,'Value Streams &amp; Delivery Mode'!$B$17:$B$22,0),($B214-1)*2+IF($C214="POD",1,2)),0)))</f>
        <v>0</v>
      </c>
      <c r="M214" s="45">
        <f t="shared" si="9"/>
        <v>0</v>
      </c>
      <c r="N214" s="46">
        <f>IF($B214="",0,IFERROR(INDEX('Rates &amp; Tables'!$C$61:$G$63,MATCH($I214,'Rates &amp; Tables'!$J$61:$J$63,0),MATCH($H214,'Rates &amp; Tables'!$C$60:$G$60,0)),0))</f>
        <v>0</v>
      </c>
      <c r="O214" s="44">
        <f t="shared" si="10"/>
        <v>0</v>
      </c>
      <c r="P214" s="41" t="str">
        <f t="shared" si="11"/>
        <v/>
      </c>
    </row>
    <row r="215" spans="2:16">
      <c r="B215" s="43"/>
      <c r="C215" s="43"/>
      <c r="D215" s="43"/>
      <c r="E215" s="43"/>
      <c r="F215" s="43"/>
      <c r="G215" s="43"/>
      <c r="H215" s="43"/>
      <c r="I215" s="43"/>
      <c r="J215" s="43"/>
      <c r="K215" s="43"/>
      <c r="L215" s="44">
        <f>IF($B215="",0,IF($C215="HZ",1,IFERROR(INDEX('Value Streams &amp; Delivery Mode'!$D$17:$M$22,MATCH($D215,'Value Streams &amp; Delivery Mode'!$B$17:$B$22,0),($B215-1)*2+IF($C215="POD",1,2)),0)))</f>
        <v>0</v>
      </c>
      <c r="M215" s="45">
        <f t="shared" si="9"/>
        <v>0</v>
      </c>
      <c r="N215" s="46">
        <f>IF($B215="",0,IFERROR(INDEX('Rates &amp; Tables'!$C$61:$G$63,MATCH($I215,'Rates &amp; Tables'!$J$61:$J$63,0),MATCH($H215,'Rates &amp; Tables'!$C$60:$G$60,0)),0))</f>
        <v>0</v>
      </c>
      <c r="O215" s="44">
        <f t="shared" si="10"/>
        <v>0</v>
      </c>
      <c r="P215" s="41" t="str">
        <f t="shared" si="11"/>
        <v/>
      </c>
    </row>
    <row r="216" spans="2:16">
      <c r="B216" s="43"/>
      <c r="C216" s="43"/>
      <c r="D216" s="43"/>
      <c r="E216" s="43"/>
      <c r="F216" s="43"/>
      <c r="G216" s="43"/>
      <c r="H216" s="43"/>
      <c r="I216" s="43"/>
      <c r="J216" s="43"/>
      <c r="K216" s="43"/>
      <c r="L216" s="44">
        <f>IF($B216="",0,IF($C216="HZ",1,IFERROR(INDEX('Value Streams &amp; Delivery Mode'!$D$17:$M$22,MATCH($D216,'Value Streams &amp; Delivery Mode'!$B$17:$B$22,0),($B216-1)*2+IF($C216="POD",1,2)),0)))</f>
        <v>0</v>
      </c>
      <c r="M216" s="45">
        <f t="shared" si="9"/>
        <v>0</v>
      </c>
      <c r="N216" s="46">
        <f>IF($B216="",0,IFERROR(INDEX('Rates &amp; Tables'!$C$61:$G$63,MATCH($I216,'Rates &amp; Tables'!$J$61:$J$63,0),MATCH($H216,'Rates &amp; Tables'!$C$60:$G$60,0)),0))</f>
        <v>0</v>
      </c>
      <c r="O216" s="44">
        <f t="shared" si="10"/>
        <v>0</v>
      </c>
      <c r="P216" s="41" t="str">
        <f t="shared" si="11"/>
        <v/>
      </c>
    </row>
    <row r="217" spans="2:16">
      <c r="B217" s="43"/>
      <c r="C217" s="43"/>
      <c r="D217" s="43"/>
      <c r="E217" s="43"/>
      <c r="F217" s="43"/>
      <c r="G217" s="43"/>
      <c r="H217" s="43"/>
      <c r="I217" s="43"/>
      <c r="J217" s="43"/>
      <c r="K217" s="43"/>
      <c r="L217" s="44">
        <f>IF($B217="",0,IF($C217="HZ",1,IFERROR(INDEX('Value Streams &amp; Delivery Mode'!$D$17:$M$22,MATCH($D217,'Value Streams &amp; Delivery Mode'!$B$17:$B$22,0),($B217-1)*2+IF($C217="POD",1,2)),0)))</f>
        <v>0</v>
      </c>
      <c r="M217" s="45">
        <f t="shared" si="9"/>
        <v>0</v>
      </c>
      <c r="N217" s="46">
        <f>IF($B217="",0,IFERROR(INDEX('Rates &amp; Tables'!$C$61:$G$63,MATCH($I217,'Rates &amp; Tables'!$J$61:$J$63,0),MATCH($H217,'Rates &amp; Tables'!$C$60:$G$60,0)),0))</f>
        <v>0</v>
      </c>
      <c r="O217" s="44">
        <f t="shared" si="10"/>
        <v>0</v>
      </c>
      <c r="P217" s="41" t="str">
        <f t="shared" si="11"/>
        <v/>
      </c>
    </row>
    <row r="218" spans="2:16">
      <c r="B218" s="43"/>
      <c r="C218" s="43"/>
      <c r="D218" s="43"/>
      <c r="E218" s="43"/>
      <c r="F218" s="43"/>
      <c r="G218" s="43"/>
      <c r="H218" s="43"/>
      <c r="I218" s="43"/>
      <c r="J218" s="43"/>
      <c r="K218" s="43"/>
      <c r="L218" s="44">
        <f>IF($B218="",0,IF($C218="HZ",1,IFERROR(INDEX('Value Streams &amp; Delivery Mode'!$D$17:$M$22,MATCH($D218,'Value Streams &amp; Delivery Mode'!$B$17:$B$22,0),($B218-1)*2+IF($C218="POD",1,2)),0)))</f>
        <v>0</v>
      </c>
      <c r="M218" s="45">
        <f t="shared" si="9"/>
        <v>0</v>
      </c>
      <c r="N218" s="46">
        <f>IF($B218="",0,IFERROR(INDEX('Rates &amp; Tables'!$C$61:$G$63,MATCH($I218,'Rates &amp; Tables'!$J$61:$J$63,0),MATCH($H218,'Rates &amp; Tables'!$C$60:$G$60,0)),0))</f>
        <v>0</v>
      </c>
      <c r="O218" s="44">
        <f t="shared" si="10"/>
        <v>0</v>
      </c>
      <c r="P218" s="41" t="str">
        <f t="shared" si="11"/>
        <v/>
      </c>
    </row>
    <row r="219" spans="2:16">
      <c r="B219" s="43"/>
      <c r="C219" s="43"/>
      <c r="D219" s="43"/>
      <c r="E219" s="43"/>
      <c r="F219" s="43"/>
      <c r="G219" s="43"/>
      <c r="H219" s="43"/>
      <c r="I219" s="43"/>
      <c r="J219" s="43"/>
      <c r="K219" s="43"/>
      <c r="L219" s="44">
        <f>IF($B219="",0,IF($C219="HZ",1,IFERROR(INDEX('Value Streams &amp; Delivery Mode'!$D$17:$M$22,MATCH($D219,'Value Streams &amp; Delivery Mode'!$B$17:$B$22,0),($B219-1)*2+IF($C219="POD",1,2)),0)))</f>
        <v>0</v>
      </c>
      <c r="M219" s="45">
        <f t="shared" si="9"/>
        <v>0</v>
      </c>
      <c r="N219" s="46">
        <f>IF($B219="",0,IFERROR(INDEX('Rates &amp; Tables'!$C$61:$G$63,MATCH($I219,'Rates &amp; Tables'!$J$61:$J$63,0),MATCH($H219,'Rates &amp; Tables'!$C$60:$G$60,0)),0))</f>
        <v>0</v>
      </c>
      <c r="O219" s="44">
        <f t="shared" si="10"/>
        <v>0</v>
      </c>
      <c r="P219" s="41" t="str">
        <f t="shared" si="11"/>
        <v/>
      </c>
    </row>
    <row r="220" spans="2:16">
      <c r="B220" s="43"/>
      <c r="C220" s="43"/>
      <c r="D220" s="43"/>
      <c r="E220" s="43"/>
      <c r="F220" s="43"/>
      <c r="G220" s="43"/>
      <c r="H220" s="43"/>
      <c r="I220" s="43"/>
      <c r="J220" s="43"/>
      <c r="K220" s="43"/>
      <c r="L220" s="44">
        <f>IF($B220="",0,IF($C220="HZ",1,IFERROR(INDEX('Value Streams &amp; Delivery Mode'!$D$17:$M$22,MATCH($D220,'Value Streams &amp; Delivery Mode'!$B$17:$B$22,0),($B220-1)*2+IF($C220="POD",1,2)),0)))</f>
        <v>0</v>
      </c>
      <c r="M220" s="45">
        <f t="shared" si="9"/>
        <v>0</v>
      </c>
      <c r="N220" s="46">
        <f>IF($B220="",0,IFERROR(INDEX('Rates &amp; Tables'!$C$61:$G$63,MATCH($I220,'Rates &amp; Tables'!$J$61:$J$63,0),MATCH($H220,'Rates &amp; Tables'!$C$60:$G$60,0)),0))</f>
        <v>0</v>
      </c>
      <c r="O220" s="44">
        <f t="shared" si="10"/>
        <v>0</v>
      </c>
      <c r="P220" s="41" t="str">
        <f t="shared" si="11"/>
        <v/>
      </c>
    </row>
    <row r="221" spans="2:16">
      <c r="B221" s="43"/>
      <c r="C221" s="43"/>
      <c r="D221" s="43"/>
      <c r="E221" s="43"/>
      <c r="F221" s="43"/>
      <c r="G221" s="43"/>
      <c r="H221" s="43"/>
      <c r="I221" s="43"/>
      <c r="J221" s="43"/>
      <c r="K221" s="43"/>
      <c r="L221" s="44">
        <f>IF($B221="",0,IF($C221="HZ",1,IFERROR(INDEX('Value Streams &amp; Delivery Mode'!$D$17:$M$22,MATCH($D221,'Value Streams &amp; Delivery Mode'!$B$17:$B$22,0),($B221-1)*2+IF($C221="POD",1,2)),0)))</f>
        <v>0</v>
      </c>
      <c r="M221" s="45">
        <f t="shared" si="9"/>
        <v>0</v>
      </c>
      <c r="N221" s="46">
        <f>IF($B221="",0,IFERROR(INDEX('Rates &amp; Tables'!$C$61:$G$63,MATCH($I221,'Rates &amp; Tables'!$J$61:$J$63,0),MATCH($H221,'Rates &amp; Tables'!$C$60:$G$60,0)),0))</f>
        <v>0</v>
      </c>
      <c r="O221" s="44">
        <f t="shared" si="10"/>
        <v>0</v>
      </c>
      <c r="P221" s="41" t="str">
        <f t="shared" si="11"/>
        <v/>
      </c>
    </row>
    <row r="222" spans="2:16">
      <c r="B222" s="43"/>
      <c r="C222" s="43"/>
      <c r="D222" s="43"/>
      <c r="E222" s="43"/>
      <c r="F222" s="43"/>
      <c r="G222" s="43"/>
      <c r="H222" s="43"/>
      <c r="I222" s="43"/>
      <c r="J222" s="43"/>
      <c r="K222" s="43"/>
      <c r="L222" s="44">
        <f>IF($B222="",0,IF($C222="HZ",1,IFERROR(INDEX('Value Streams &amp; Delivery Mode'!$D$17:$M$22,MATCH($D222,'Value Streams &amp; Delivery Mode'!$B$17:$B$22,0),($B222-1)*2+IF($C222="POD",1,2)),0)))</f>
        <v>0</v>
      </c>
      <c r="M222" s="45">
        <f t="shared" si="9"/>
        <v>0</v>
      </c>
      <c r="N222" s="46">
        <f>IF($B222="",0,IFERROR(INDEX('Rates &amp; Tables'!$C$61:$G$63,MATCH($I222,'Rates &amp; Tables'!$J$61:$J$63,0),MATCH($H222,'Rates &amp; Tables'!$C$60:$G$60,0)),0))</f>
        <v>0</v>
      </c>
      <c r="O222" s="44">
        <f t="shared" si="10"/>
        <v>0</v>
      </c>
      <c r="P222" s="41" t="str">
        <f t="shared" si="11"/>
        <v/>
      </c>
    </row>
    <row r="223" spans="2:16">
      <c r="B223" s="43"/>
      <c r="C223" s="43"/>
      <c r="D223" s="43"/>
      <c r="E223" s="43"/>
      <c r="F223" s="43"/>
      <c r="G223" s="43"/>
      <c r="H223" s="43"/>
      <c r="I223" s="43"/>
      <c r="J223" s="43"/>
      <c r="K223" s="43"/>
      <c r="L223" s="44">
        <f>IF($B223="",0,IF($C223="HZ",1,IFERROR(INDEX('Value Streams &amp; Delivery Mode'!$D$17:$M$22,MATCH($D223,'Value Streams &amp; Delivery Mode'!$B$17:$B$22,0),($B223-1)*2+IF($C223="POD",1,2)),0)))</f>
        <v>0</v>
      </c>
      <c r="M223" s="45">
        <f t="shared" si="9"/>
        <v>0</v>
      </c>
      <c r="N223" s="46">
        <f>IF($B223="",0,IFERROR(INDEX('Rates &amp; Tables'!$C$61:$G$63,MATCH($I223,'Rates &amp; Tables'!$J$61:$J$63,0),MATCH($H223,'Rates &amp; Tables'!$C$60:$G$60,0)),0))</f>
        <v>0</v>
      </c>
      <c r="O223" s="44">
        <f t="shared" si="10"/>
        <v>0</v>
      </c>
      <c r="P223" s="41" t="str">
        <f t="shared" si="11"/>
        <v/>
      </c>
    </row>
    <row r="224" spans="2:16">
      <c r="B224" s="43"/>
      <c r="C224" s="43"/>
      <c r="D224" s="43"/>
      <c r="E224" s="43"/>
      <c r="F224" s="43"/>
      <c r="G224" s="43"/>
      <c r="H224" s="43"/>
      <c r="I224" s="43"/>
      <c r="J224" s="43"/>
      <c r="K224" s="43"/>
      <c r="L224" s="44">
        <f>IF($B224="",0,IF($C224="HZ",1,IFERROR(INDEX('Value Streams &amp; Delivery Mode'!$D$17:$M$22,MATCH($D224,'Value Streams &amp; Delivery Mode'!$B$17:$B$22,0),($B224-1)*2+IF($C224="POD",1,2)),0)))</f>
        <v>0</v>
      </c>
      <c r="M224" s="45">
        <f t="shared" si="9"/>
        <v>0</v>
      </c>
      <c r="N224" s="46">
        <f>IF($B224="",0,IFERROR(INDEX('Rates &amp; Tables'!$C$61:$G$63,MATCH($I224,'Rates &amp; Tables'!$J$61:$J$63,0),MATCH($H224,'Rates &amp; Tables'!$C$60:$G$60,0)),0))</f>
        <v>0</v>
      </c>
      <c r="O224" s="44">
        <f t="shared" si="10"/>
        <v>0</v>
      </c>
      <c r="P224" s="41" t="str">
        <f t="shared" si="11"/>
        <v/>
      </c>
    </row>
    <row r="225" spans="2:16">
      <c r="B225" s="43"/>
      <c r="C225" s="43"/>
      <c r="D225" s="43"/>
      <c r="E225" s="43"/>
      <c r="F225" s="43"/>
      <c r="G225" s="43"/>
      <c r="H225" s="43"/>
      <c r="I225" s="43"/>
      <c r="J225" s="43"/>
      <c r="K225" s="43"/>
      <c r="L225" s="44">
        <f>IF($B225="",0,IF($C225="HZ",1,IFERROR(INDEX('Value Streams &amp; Delivery Mode'!$D$17:$M$22,MATCH($D225,'Value Streams &amp; Delivery Mode'!$B$17:$B$22,0),($B225-1)*2+IF($C225="POD",1,2)),0)))</f>
        <v>0</v>
      </c>
      <c r="M225" s="45">
        <f t="shared" si="9"/>
        <v>0</v>
      </c>
      <c r="N225" s="46">
        <f>IF($B225="",0,IFERROR(INDEX('Rates &amp; Tables'!$C$61:$G$63,MATCH($I225,'Rates &amp; Tables'!$J$61:$J$63,0),MATCH($H225,'Rates &amp; Tables'!$C$60:$G$60,0)),0))</f>
        <v>0</v>
      </c>
      <c r="O225" s="44">
        <f t="shared" si="10"/>
        <v>0</v>
      </c>
      <c r="P225" s="41" t="str">
        <f t="shared" si="11"/>
        <v/>
      </c>
    </row>
    <row r="226" spans="2:16">
      <c r="B226" s="43"/>
      <c r="C226" s="43"/>
      <c r="D226" s="43"/>
      <c r="E226" s="43"/>
      <c r="F226" s="43"/>
      <c r="G226" s="43"/>
      <c r="H226" s="43"/>
      <c r="I226" s="43"/>
      <c r="J226" s="43"/>
      <c r="K226" s="43"/>
      <c r="L226" s="44">
        <f>IF($B226="",0,IF($C226="HZ",1,IFERROR(INDEX('Value Streams &amp; Delivery Mode'!$D$17:$M$22,MATCH($D226,'Value Streams &amp; Delivery Mode'!$B$17:$B$22,0),($B226-1)*2+IF($C226="POD",1,2)),0)))</f>
        <v>0</v>
      </c>
      <c r="M226" s="45">
        <f t="shared" si="9"/>
        <v>0</v>
      </c>
      <c r="N226" s="46">
        <f>IF($B226="",0,IFERROR(INDEX('Rates &amp; Tables'!$C$61:$G$63,MATCH($I226,'Rates &amp; Tables'!$J$61:$J$63,0),MATCH($H226,'Rates &amp; Tables'!$C$60:$G$60,0)),0))</f>
        <v>0</v>
      </c>
      <c r="O226" s="44">
        <f t="shared" si="10"/>
        <v>0</v>
      </c>
      <c r="P226" s="41" t="str">
        <f t="shared" si="11"/>
        <v/>
      </c>
    </row>
    <row r="227" spans="2:16">
      <c r="B227" s="43"/>
      <c r="C227" s="43"/>
      <c r="D227" s="43"/>
      <c r="E227" s="43"/>
      <c r="F227" s="43"/>
      <c r="G227" s="43"/>
      <c r="H227" s="43"/>
      <c r="I227" s="43"/>
      <c r="J227" s="43"/>
      <c r="K227" s="43"/>
      <c r="L227" s="44">
        <f>IF($B227="",0,IF($C227="HZ",1,IFERROR(INDEX('Value Streams &amp; Delivery Mode'!$D$17:$M$22,MATCH($D227,'Value Streams &amp; Delivery Mode'!$B$17:$B$22,0),($B227-1)*2+IF($C227="POD",1,2)),0)))</f>
        <v>0</v>
      </c>
      <c r="M227" s="45">
        <f t="shared" si="9"/>
        <v>0</v>
      </c>
      <c r="N227" s="46">
        <f>IF($B227="",0,IFERROR(INDEX('Rates &amp; Tables'!$C$61:$G$63,MATCH($I227,'Rates &amp; Tables'!$J$61:$J$63,0),MATCH($H227,'Rates &amp; Tables'!$C$60:$G$60,0)),0))</f>
        <v>0</v>
      </c>
      <c r="O227" s="44">
        <f t="shared" si="10"/>
        <v>0</v>
      </c>
      <c r="P227" s="41" t="str">
        <f t="shared" si="11"/>
        <v/>
      </c>
    </row>
    <row r="228" spans="2:16">
      <c r="B228" s="43"/>
      <c r="C228" s="43"/>
      <c r="D228" s="43"/>
      <c r="E228" s="43"/>
      <c r="F228" s="43"/>
      <c r="G228" s="43"/>
      <c r="H228" s="43"/>
      <c r="I228" s="43"/>
      <c r="J228" s="43"/>
      <c r="K228" s="43"/>
      <c r="L228" s="44">
        <f>IF($B228="",0,IF($C228="HZ",1,IFERROR(INDEX('Value Streams &amp; Delivery Mode'!$D$17:$M$22,MATCH($D228,'Value Streams &amp; Delivery Mode'!$B$17:$B$22,0),($B228-1)*2+IF($C228="POD",1,2)),0)))</f>
        <v>0</v>
      </c>
      <c r="M228" s="45">
        <f t="shared" si="9"/>
        <v>0</v>
      </c>
      <c r="N228" s="46">
        <f>IF($B228="",0,IFERROR(INDEX('Rates &amp; Tables'!$C$61:$G$63,MATCH($I228,'Rates &amp; Tables'!$J$61:$J$63,0),MATCH($H228,'Rates &amp; Tables'!$C$60:$G$60,0)),0))</f>
        <v>0</v>
      </c>
      <c r="O228" s="44">
        <f t="shared" si="10"/>
        <v>0</v>
      </c>
      <c r="P228" s="41" t="str">
        <f t="shared" si="11"/>
        <v/>
      </c>
    </row>
    <row r="229" spans="2:16">
      <c r="B229" s="43"/>
      <c r="C229" s="43"/>
      <c r="D229" s="43"/>
      <c r="E229" s="43"/>
      <c r="F229" s="43"/>
      <c r="G229" s="43"/>
      <c r="H229" s="43"/>
      <c r="I229" s="43"/>
      <c r="J229" s="43"/>
      <c r="K229" s="43"/>
      <c r="L229" s="44">
        <f>IF($B229="",0,IF($C229="HZ",1,IFERROR(INDEX('Value Streams &amp; Delivery Mode'!$D$17:$M$22,MATCH($D229,'Value Streams &amp; Delivery Mode'!$B$17:$B$22,0),($B229-1)*2+IF($C229="POD",1,2)),0)))</f>
        <v>0</v>
      </c>
      <c r="M229" s="45">
        <f t="shared" si="9"/>
        <v>0</v>
      </c>
      <c r="N229" s="46">
        <f>IF($B229="",0,IFERROR(INDEX('Rates &amp; Tables'!$C$61:$G$63,MATCH($I229,'Rates &amp; Tables'!$J$61:$J$63,0),MATCH($H229,'Rates &amp; Tables'!$C$60:$G$60,0)),0))</f>
        <v>0</v>
      </c>
      <c r="O229" s="44">
        <f t="shared" si="10"/>
        <v>0</v>
      </c>
      <c r="P229" s="41" t="str">
        <f t="shared" si="11"/>
        <v/>
      </c>
    </row>
    <row r="230" spans="2:16">
      <c r="B230" s="43"/>
      <c r="C230" s="43"/>
      <c r="D230" s="43"/>
      <c r="E230" s="43"/>
      <c r="F230" s="43"/>
      <c r="G230" s="43"/>
      <c r="H230" s="43"/>
      <c r="I230" s="43"/>
      <c r="J230" s="43"/>
      <c r="K230" s="43"/>
      <c r="L230" s="44">
        <f>IF($B230="",0,IF($C230="HZ",1,IFERROR(INDEX('Value Streams &amp; Delivery Mode'!$D$17:$M$22,MATCH($D230,'Value Streams &amp; Delivery Mode'!$B$17:$B$22,0),($B230-1)*2+IF($C230="POD",1,2)),0)))</f>
        <v>0</v>
      </c>
      <c r="M230" s="45">
        <f t="shared" si="9"/>
        <v>0</v>
      </c>
      <c r="N230" s="46">
        <f>IF($B230="",0,IFERROR(INDEX('Rates &amp; Tables'!$C$61:$G$63,MATCH($I230,'Rates &amp; Tables'!$J$61:$J$63,0),MATCH($H230,'Rates &amp; Tables'!$C$60:$G$60,0)),0))</f>
        <v>0</v>
      </c>
      <c r="O230" s="44">
        <f t="shared" si="10"/>
        <v>0</v>
      </c>
      <c r="P230" s="41" t="str">
        <f t="shared" si="11"/>
        <v/>
      </c>
    </row>
    <row r="231" spans="2:16">
      <c r="B231" s="43"/>
      <c r="C231" s="43"/>
      <c r="D231" s="43"/>
      <c r="E231" s="43"/>
      <c r="F231" s="43"/>
      <c r="G231" s="43"/>
      <c r="H231" s="43"/>
      <c r="I231" s="43"/>
      <c r="J231" s="43"/>
      <c r="K231" s="43"/>
      <c r="L231" s="44">
        <f>IF($B231="",0,IF($C231="HZ",1,IFERROR(INDEX('Value Streams &amp; Delivery Mode'!$D$17:$M$22,MATCH($D231,'Value Streams &amp; Delivery Mode'!$B$17:$B$22,0),($B231-1)*2+IF($C231="POD",1,2)),0)))</f>
        <v>0</v>
      </c>
      <c r="M231" s="45">
        <f t="shared" si="9"/>
        <v>0</v>
      </c>
      <c r="N231" s="46">
        <f>IF($B231="",0,IFERROR(INDEX('Rates &amp; Tables'!$C$61:$G$63,MATCH($I231,'Rates &amp; Tables'!$J$61:$J$63,0),MATCH($H231,'Rates &amp; Tables'!$C$60:$G$60,0)),0))</f>
        <v>0</v>
      </c>
      <c r="O231" s="44">
        <f t="shared" si="10"/>
        <v>0</v>
      </c>
      <c r="P231" s="41" t="str">
        <f t="shared" si="11"/>
        <v/>
      </c>
    </row>
    <row r="232" spans="2:16">
      <c r="B232" s="43"/>
      <c r="C232" s="43"/>
      <c r="D232" s="43"/>
      <c r="E232" s="43"/>
      <c r="F232" s="43"/>
      <c r="G232" s="43"/>
      <c r="H232" s="43"/>
      <c r="I232" s="43"/>
      <c r="J232" s="43"/>
      <c r="K232" s="43"/>
      <c r="L232" s="44">
        <f>IF($B232="",0,IF($C232="HZ",1,IFERROR(INDEX('Value Streams &amp; Delivery Mode'!$D$17:$M$22,MATCH($D232,'Value Streams &amp; Delivery Mode'!$B$17:$B$22,0),($B232-1)*2+IF($C232="POD",1,2)),0)))</f>
        <v>0</v>
      </c>
      <c r="M232" s="45">
        <f t="shared" si="9"/>
        <v>0</v>
      </c>
      <c r="N232" s="46">
        <f>IF($B232="",0,IFERROR(INDEX('Rates &amp; Tables'!$C$61:$G$63,MATCH($I232,'Rates &amp; Tables'!$J$61:$J$63,0),MATCH($H232,'Rates &amp; Tables'!$C$60:$G$60,0)),0))</f>
        <v>0</v>
      </c>
      <c r="O232" s="44">
        <f t="shared" si="10"/>
        <v>0</v>
      </c>
      <c r="P232" s="41" t="str">
        <f t="shared" si="11"/>
        <v/>
      </c>
    </row>
    <row r="233" spans="2:16">
      <c r="B233" s="43"/>
      <c r="C233" s="43"/>
      <c r="D233" s="43"/>
      <c r="E233" s="43"/>
      <c r="F233" s="43"/>
      <c r="G233" s="43"/>
      <c r="H233" s="43"/>
      <c r="I233" s="43"/>
      <c r="J233" s="43"/>
      <c r="K233" s="43"/>
      <c r="L233" s="44">
        <f>IF($B233="",0,IF($C233="HZ",1,IFERROR(INDEX('Value Streams &amp; Delivery Mode'!$D$17:$M$22,MATCH($D233,'Value Streams &amp; Delivery Mode'!$B$17:$B$22,0),($B233-1)*2+IF($C233="POD",1,2)),0)))</f>
        <v>0</v>
      </c>
      <c r="M233" s="45">
        <f t="shared" si="9"/>
        <v>0</v>
      </c>
      <c r="N233" s="46">
        <f>IF($B233="",0,IFERROR(INDEX('Rates &amp; Tables'!$C$61:$G$63,MATCH($I233,'Rates &amp; Tables'!$J$61:$J$63,0),MATCH($H233,'Rates &amp; Tables'!$C$60:$G$60,0)),0))</f>
        <v>0</v>
      </c>
      <c r="O233" s="44">
        <f t="shared" si="10"/>
        <v>0</v>
      </c>
      <c r="P233" s="41" t="str">
        <f t="shared" si="11"/>
        <v/>
      </c>
    </row>
    <row r="234" spans="2:16">
      <c r="B234" s="43"/>
      <c r="C234" s="43"/>
      <c r="D234" s="43"/>
      <c r="E234" s="43"/>
      <c r="F234" s="43"/>
      <c r="G234" s="43"/>
      <c r="H234" s="43"/>
      <c r="I234" s="43"/>
      <c r="J234" s="43"/>
      <c r="K234" s="43"/>
      <c r="L234" s="44">
        <f>IF($B234="",0,IF($C234="HZ",1,IFERROR(INDEX('Value Streams &amp; Delivery Mode'!$D$17:$M$22,MATCH($D234,'Value Streams &amp; Delivery Mode'!$B$17:$B$22,0),($B234-1)*2+IF($C234="POD",1,2)),0)))</f>
        <v>0</v>
      </c>
      <c r="M234" s="45">
        <f t="shared" si="9"/>
        <v>0</v>
      </c>
      <c r="N234" s="46">
        <f>IF($B234="",0,IFERROR(INDEX('Rates &amp; Tables'!$C$61:$G$63,MATCH($I234,'Rates &amp; Tables'!$J$61:$J$63,0),MATCH($H234,'Rates &amp; Tables'!$C$60:$G$60,0)),0))</f>
        <v>0</v>
      </c>
      <c r="O234" s="44">
        <f t="shared" si="10"/>
        <v>0</v>
      </c>
      <c r="P234" s="41" t="str">
        <f t="shared" si="11"/>
        <v/>
      </c>
    </row>
    <row r="235" spans="2:16">
      <c r="B235" s="43"/>
      <c r="C235" s="43"/>
      <c r="D235" s="43"/>
      <c r="E235" s="43"/>
      <c r="F235" s="43"/>
      <c r="G235" s="43"/>
      <c r="H235" s="43"/>
      <c r="I235" s="43"/>
      <c r="J235" s="43"/>
      <c r="K235" s="43"/>
      <c r="L235" s="44">
        <f>IF($B235="",0,IF($C235="HZ",1,IFERROR(INDEX('Value Streams &amp; Delivery Mode'!$D$17:$M$22,MATCH($D235,'Value Streams &amp; Delivery Mode'!$B$17:$B$22,0),($B235-1)*2+IF($C235="POD",1,2)),0)))</f>
        <v>0</v>
      </c>
      <c r="M235" s="45">
        <f t="shared" si="9"/>
        <v>0</v>
      </c>
      <c r="N235" s="46">
        <f>IF($B235="",0,IFERROR(INDEX('Rates &amp; Tables'!$C$61:$G$63,MATCH($I235,'Rates &amp; Tables'!$J$61:$J$63,0),MATCH($H235,'Rates &amp; Tables'!$C$60:$G$60,0)),0))</f>
        <v>0</v>
      </c>
      <c r="O235" s="44">
        <f t="shared" si="10"/>
        <v>0</v>
      </c>
      <c r="P235" s="41" t="str">
        <f t="shared" si="11"/>
        <v/>
      </c>
    </row>
    <row r="236" spans="2:16">
      <c r="B236" s="43"/>
      <c r="C236" s="43"/>
      <c r="D236" s="43"/>
      <c r="E236" s="43"/>
      <c r="F236" s="43"/>
      <c r="G236" s="43"/>
      <c r="H236" s="43"/>
      <c r="I236" s="43"/>
      <c r="J236" s="43"/>
      <c r="K236" s="43"/>
      <c r="L236" s="44">
        <f>IF($B236="",0,IF($C236="HZ",1,IFERROR(INDEX('Value Streams &amp; Delivery Mode'!$D$17:$M$22,MATCH($D236,'Value Streams &amp; Delivery Mode'!$B$17:$B$22,0),($B236-1)*2+IF($C236="POD",1,2)),0)))</f>
        <v>0</v>
      </c>
      <c r="M236" s="45">
        <f t="shared" si="9"/>
        <v>0</v>
      </c>
      <c r="N236" s="46">
        <f>IF($B236="",0,IFERROR(INDEX('Rates &amp; Tables'!$C$61:$G$63,MATCH($I236,'Rates &amp; Tables'!$J$61:$J$63,0),MATCH($H236,'Rates &amp; Tables'!$C$60:$G$60,0)),0))</f>
        <v>0</v>
      </c>
      <c r="O236" s="44">
        <f t="shared" si="10"/>
        <v>0</v>
      </c>
      <c r="P236" s="41" t="str">
        <f t="shared" si="11"/>
        <v/>
      </c>
    </row>
    <row r="237" spans="2:16">
      <c r="B237" s="43"/>
      <c r="C237" s="43"/>
      <c r="D237" s="43"/>
      <c r="E237" s="43"/>
      <c r="F237" s="43"/>
      <c r="G237" s="43"/>
      <c r="H237" s="43"/>
      <c r="I237" s="43"/>
      <c r="J237" s="43"/>
      <c r="K237" s="43"/>
      <c r="L237" s="44">
        <f>IF($B237="",0,IF($C237="HZ",1,IFERROR(INDEX('Value Streams &amp; Delivery Mode'!$D$17:$M$22,MATCH($D237,'Value Streams &amp; Delivery Mode'!$B$17:$B$22,0),($B237-1)*2+IF($C237="POD",1,2)),0)))</f>
        <v>0</v>
      </c>
      <c r="M237" s="45">
        <f t="shared" si="9"/>
        <v>0</v>
      </c>
      <c r="N237" s="46">
        <f>IF($B237="",0,IFERROR(INDEX('Rates &amp; Tables'!$C$61:$G$63,MATCH($I237,'Rates &amp; Tables'!$J$61:$J$63,0),MATCH($H237,'Rates &amp; Tables'!$C$60:$G$60,0)),0))</f>
        <v>0</v>
      </c>
      <c r="O237" s="44">
        <f t="shared" si="10"/>
        <v>0</v>
      </c>
      <c r="P237" s="41" t="str">
        <f t="shared" si="11"/>
        <v/>
      </c>
    </row>
    <row r="238" spans="2:16">
      <c r="B238" s="43"/>
      <c r="C238" s="43"/>
      <c r="D238" s="43"/>
      <c r="E238" s="43"/>
      <c r="F238" s="43"/>
      <c r="G238" s="43"/>
      <c r="H238" s="43"/>
      <c r="I238" s="43"/>
      <c r="J238" s="43"/>
      <c r="K238" s="43"/>
      <c r="L238" s="44">
        <f>IF($B238="",0,IF($C238="HZ",1,IFERROR(INDEX('Value Streams &amp; Delivery Mode'!$D$17:$M$22,MATCH($D238,'Value Streams &amp; Delivery Mode'!$B$17:$B$22,0),($B238-1)*2+IF($C238="POD",1,2)),0)))</f>
        <v>0</v>
      </c>
      <c r="M238" s="45">
        <f t="shared" si="9"/>
        <v>0</v>
      </c>
      <c r="N238" s="46">
        <f>IF($B238="",0,IFERROR(INDEX('Rates &amp; Tables'!$C$61:$G$63,MATCH($I238,'Rates &amp; Tables'!$J$61:$J$63,0),MATCH($H238,'Rates &amp; Tables'!$C$60:$G$60,0)),0))</f>
        <v>0</v>
      </c>
      <c r="O238" s="44">
        <f t="shared" si="10"/>
        <v>0</v>
      </c>
      <c r="P238" s="41" t="str">
        <f t="shared" si="11"/>
        <v/>
      </c>
    </row>
    <row r="239" spans="2:16">
      <c r="B239" s="43"/>
      <c r="C239" s="43"/>
      <c r="D239" s="43"/>
      <c r="E239" s="43"/>
      <c r="F239" s="43"/>
      <c r="G239" s="43"/>
      <c r="H239" s="43"/>
      <c r="I239" s="43"/>
      <c r="J239" s="43"/>
      <c r="K239" s="43"/>
      <c r="L239" s="44">
        <f>IF($B239="",0,IF($C239="HZ",1,IFERROR(INDEX('Value Streams &amp; Delivery Mode'!$D$17:$M$22,MATCH($D239,'Value Streams &amp; Delivery Mode'!$B$17:$B$22,0),($B239-1)*2+IF($C239="POD",1,2)),0)))</f>
        <v>0</v>
      </c>
      <c r="M239" s="45">
        <f t="shared" si="9"/>
        <v>0</v>
      </c>
      <c r="N239" s="46">
        <f>IF($B239="",0,IFERROR(INDEX('Rates &amp; Tables'!$C$61:$G$63,MATCH($I239,'Rates &amp; Tables'!$J$61:$J$63,0),MATCH($H239,'Rates &amp; Tables'!$C$60:$G$60,0)),0))</f>
        <v>0</v>
      </c>
      <c r="O239" s="44">
        <f t="shared" si="10"/>
        <v>0</v>
      </c>
      <c r="P239" s="41" t="str">
        <f t="shared" si="11"/>
        <v/>
      </c>
    </row>
    <row r="240" spans="2:16">
      <c r="B240" s="43"/>
      <c r="C240" s="43"/>
      <c r="D240" s="43"/>
      <c r="E240" s="43"/>
      <c r="F240" s="43"/>
      <c r="G240" s="43"/>
      <c r="H240" s="43"/>
      <c r="I240" s="43"/>
      <c r="J240" s="43"/>
      <c r="K240" s="43"/>
      <c r="L240" s="44">
        <f>IF($B240="",0,IF($C240="HZ",1,IFERROR(INDEX('Value Streams &amp; Delivery Mode'!$D$17:$M$22,MATCH($D240,'Value Streams &amp; Delivery Mode'!$B$17:$B$22,0),($B240-1)*2+IF($C240="POD",1,2)),0)))</f>
        <v>0</v>
      </c>
      <c r="M240" s="45">
        <f t="shared" si="9"/>
        <v>0</v>
      </c>
      <c r="N240" s="46">
        <f>IF($B240="",0,IFERROR(INDEX('Rates &amp; Tables'!$C$61:$G$63,MATCH($I240,'Rates &amp; Tables'!$J$61:$J$63,0),MATCH($H240,'Rates &amp; Tables'!$C$60:$G$60,0)),0))</f>
        <v>0</v>
      </c>
      <c r="O240" s="44">
        <f t="shared" si="10"/>
        <v>0</v>
      </c>
      <c r="P240" s="41" t="str">
        <f t="shared" si="11"/>
        <v/>
      </c>
    </row>
    <row r="241" spans="2:16">
      <c r="B241" s="43"/>
      <c r="C241" s="43"/>
      <c r="D241" s="43"/>
      <c r="E241" s="43"/>
      <c r="F241" s="43"/>
      <c r="G241" s="43"/>
      <c r="H241" s="43"/>
      <c r="I241" s="43"/>
      <c r="J241" s="43"/>
      <c r="K241" s="43"/>
      <c r="L241" s="44">
        <f>IF($B241="",0,IF($C241="HZ",1,IFERROR(INDEX('Value Streams &amp; Delivery Mode'!$D$17:$M$22,MATCH($D241,'Value Streams &amp; Delivery Mode'!$B$17:$B$22,0),($B241-1)*2+IF($C241="POD",1,2)),0)))</f>
        <v>0</v>
      </c>
      <c r="M241" s="45">
        <f t="shared" si="9"/>
        <v>0</v>
      </c>
      <c r="N241" s="46">
        <f>IF($B241="",0,IFERROR(INDEX('Rates &amp; Tables'!$C$61:$G$63,MATCH($I241,'Rates &amp; Tables'!$J$61:$J$63,0),MATCH($H241,'Rates &amp; Tables'!$C$60:$G$60,0)),0))</f>
        <v>0</v>
      </c>
      <c r="O241" s="44">
        <f t="shared" si="10"/>
        <v>0</v>
      </c>
      <c r="P241" s="41" t="str">
        <f t="shared" si="11"/>
        <v/>
      </c>
    </row>
    <row r="242" spans="2:16">
      <c r="B242" s="43"/>
      <c r="C242" s="43"/>
      <c r="D242" s="43"/>
      <c r="E242" s="43"/>
      <c r="F242" s="43"/>
      <c r="G242" s="43"/>
      <c r="H242" s="43"/>
      <c r="I242" s="43"/>
      <c r="J242" s="43"/>
      <c r="K242" s="43"/>
      <c r="L242" s="44">
        <f>IF($B242="",0,IF($C242="HZ",1,IFERROR(INDEX('Value Streams &amp; Delivery Mode'!$D$17:$M$22,MATCH($D242,'Value Streams &amp; Delivery Mode'!$B$17:$B$22,0),($B242-1)*2+IF($C242="POD",1,2)),0)))</f>
        <v>0</v>
      </c>
      <c r="M242" s="45">
        <f t="shared" si="9"/>
        <v>0</v>
      </c>
      <c r="N242" s="46">
        <f>IF($B242="",0,IFERROR(INDEX('Rates &amp; Tables'!$C$61:$G$63,MATCH($I242,'Rates &amp; Tables'!$J$61:$J$63,0),MATCH($H242,'Rates &amp; Tables'!$C$60:$G$60,0)),0))</f>
        <v>0</v>
      </c>
      <c r="O242" s="44">
        <f t="shared" si="10"/>
        <v>0</v>
      </c>
      <c r="P242" s="41" t="str">
        <f t="shared" si="11"/>
        <v/>
      </c>
    </row>
    <row r="243" spans="2:16">
      <c r="B243" s="43"/>
      <c r="C243" s="43"/>
      <c r="D243" s="43"/>
      <c r="E243" s="43"/>
      <c r="F243" s="43"/>
      <c r="G243" s="43"/>
      <c r="H243" s="43"/>
      <c r="I243" s="43"/>
      <c r="J243" s="43"/>
      <c r="K243" s="43"/>
      <c r="L243" s="44">
        <f>IF($B243="",0,IF($C243="HZ",1,IFERROR(INDEX('Value Streams &amp; Delivery Mode'!$D$17:$M$22,MATCH($D243,'Value Streams &amp; Delivery Mode'!$B$17:$B$22,0),($B243-1)*2+IF($C243="POD",1,2)),0)))</f>
        <v>0</v>
      </c>
      <c r="M243" s="45">
        <f t="shared" si="9"/>
        <v>0</v>
      </c>
      <c r="N243" s="46">
        <f>IF($B243="",0,IFERROR(INDEX('Rates &amp; Tables'!$C$61:$G$63,MATCH($I243,'Rates &amp; Tables'!$J$61:$J$63,0),MATCH($H243,'Rates &amp; Tables'!$C$60:$G$60,0)),0))</f>
        <v>0</v>
      </c>
      <c r="O243" s="44">
        <f t="shared" si="10"/>
        <v>0</v>
      </c>
      <c r="P243" s="41" t="str">
        <f t="shared" si="11"/>
        <v/>
      </c>
    </row>
    <row r="244" spans="2:16">
      <c r="B244" s="43"/>
      <c r="C244" s="43"/>
      <c r="D244" s="43"/>
      <c r="E244" s="43"/>
      <c r="F244" s="43"/>
      <c r="G244" s="43"/>
      <c r="H244" s="43"/>
      <c r="I244" s="43"/>
      <c r="J244" s="43"/>
      <c r="K244" s="43"/>
      <c r="L244" s="44">
        <f>IF($B244="",0,IF($C244="HZ",1,IFERROR(INDEX('Value Streams &amp; Delivery Mode'!$D$17:$M$22,MATCH($D244,'Value Streams &amp; Delivery Mode'!$B$17:$B$22,0),($B244-1)*2+IF($C244="POD",1,2)),0)))</f>
        <v>0</v>
      </c>
      <c r="M244" s="45">
        <f t="shared" si="9"/>
        <v>0</v>
      </c>
      <c r="N244" s="46">
        <f>IF($B244="",0,IFERROR(INDEX('Rates &amp; Tables'!$C$61:$G$63,MATCH($I244,'Rates &amp; Tables'!$J$61:$J$63,0),MATCH($H244,'Rates &amp; Tables'!$C$60:$G$60,0)),0))</f>
        <v>0</v>
      </c>
      <c r="O244" s="44">
        <f t="shared" si="10"/>
        <v>0</v>
      </c>
      <c r="P244" s="41" t="str">
        <f t="shared" si="11"/>
        <v/>
      </c>
    </row>
    <row r="245" spans="2:16">
      <c r="B245" s="43"/>
      <c r="C245" s="43"/>
      <c r="D245" s="43"/>
      <c r="E245" s="43"/>
      <c r="F245" s="43"/>
      <c r="G245" s="43"/>
      <c r="H245" s="43"/>
      <c r="I245" s="43"/>
      <c r="J245" s="43"/>
      <c r="K245" s="43"/>
      <c r="L245" s="44">
        <f>IF($B245="",0,IF($C245="HZ",1,IFERROR(INDEX('Value Streams &amp; Delivery Mode'!$D$17:$M$22,MATCH($D245,'Value Streams &amp; Delivery Mode'!$B$17:$B$22,0),($B245-1)*2+IF($C245="POD",1,2)),0)))</f>
        <v>0</v>
      </c>
      <c r="M245" s="45">
        <f t="shared" si="9"/>
        <v>0</v>
      </c>
      <c r="N245" s="46">
        <f>IF($B245="",0,IFERROR(INDEX('Rates &amp; Tables'!$C$61:$G$63,MATCH($I245,'Rates &amp; Tables'!$J$61:$J$63,0),MATCH($H245,'Rates &amp; Tables'!$C$60:$G$60,0)),0))</f>
        <v>0</v>
      </c>
      <c r="O245" s="44">
        <f t="shared" si="10"/>
        <v>0</v>
      </c>
      <c r="P245" s="41" t="str">
        <f t="shared" si="11"/>
        <v/>
      </c>
    </row>
    <row r="246" spans="2:16">
      <c r="B246" s="43"/>
      <c r="C246" s="43"/>
      <c r="D246" s="43"/>
      <c r="E246" s="43"/>
      <c r="F246" s="43"/>
      <c r="G246" s="43"/>
      <c r="H246" s="43"/>
      <c r="I246" s="43"/>
      <c r="J246" s="43"/>
      <c r="K246" s="43"/>
      <c r="L246" s="44">
        <f>IF($B246="",0,IF($C246="HZ",1,IFERROR(INDEX('Value Streams &amp; Delivery Mode'!$D$17:$M$22,MATCH($D246,'Value Streams &amp; Delivery Mode'!$B$17:$B$22,0),($B246-1)*2+IF($C246="POD",1,2)),0)))</f>
        <v>0</v>
      </c>
      <c r="M246" s="45">
        <f t="shared" si="9"/>
        <v>0</v>
      </c>
      <c r="N246" s="46">
        <f>IF($B246="",0,IFERROR(INDEX('Rates &amp; Tables'!$C$61:$G$63,MATCH($I246,'Rates &amp; Tables'!$J$61:$J$63,0),MATCH($H246,'Rates &amp; Tables'!$C$60:$G$60,0)),0))</f>
        <v>0</v>
      </c>
      <c r="O246" s="44">
        <f t="shared" si="10"/>
        <v>0</v>
      </c>
      <c r="P246" s="41" t="str">
        <f t="shared" si="11"/>
        <v/>
      </c>
    </row>
    <row r="247" spans="2:16">
      <c r="B247" s="43"/>
      <c r="C247" s="43"/>
      <c r="D247" s="43"/>
      <c r="E247" s="43"/>
      <c r="F247" s="43"/>
      <c r="G247" s="43"/>
      <c r="H247" s="43"/>
      <c r="I247" s="43"/>
      <c r="J247" s="43"/>
      <c r="K247" s="43"/>
      <c r="L247" s="44">
        <f>IF($B247="",0,IF($C247="HZ",1,IFERROR(INDEX('Value Streams &amp; Delivery Mode'!$D$17:$M$22,MATCH($D247,'Value Streams &amp; Delivery Mode'!$B$17:$B$22,0),($B247-1)*2+IF($C247="POD",1,2)),0)))</f>
        <v>0</v>
      </c>
      <c r="M247" s="45">
        <f t="shared" si="9"/>
        <v>0</v>
      </c>
      <c r="N247" s="46">
        <f>IF($B247="",0,IFERROR(INDEX('Rates &amp; Tables'!$C$61:$G$63,MATCH($I247,'Rates &amp; Tables'!$J$61:$J$63,0),MATCH($H247,'Rates &amp; Tables'!$C$60:$G$60,0)),0))</f>
        <v>0</v>
      </c>
      <c r="O247" s="44">
        <f t="shared" si="10"/>
        <v>0</v>
      </c>
      <c r="P247" s="41" t="str">
        <f t="shared" si="11"/>
        <v/>
      </c>
    </row>
    <row r="248" spans="2:16">
      <c r="B248" s="43"/>
      <c r="C248" s="43"/>
      <c r="D248" s="43"/>
      <c r="E248" s="43"/>
      <c r="F248" s="43"/>
      <c r="G248" s="43"/>
      <c r="H248" s="43"/>
      <c r="I248" s="43"/>
      <c r="J248" s="43"/>
      <c r="K248" s="43"/>
      <c r="L248" s="44">
        <f>IF($B248="",0,IF($C248="HZ",1,IFERROR(INDEX('Value Streams &amp; Delivery Mode'!$D$17:$M$22,MATCH($D248,'Value Streams &amp; Delivery Mode'!$B$17:$B$22,0),($B248-1)*2+IF($C248="POD",1,2)),0)))</f>
        <v>0</v>
      </c>
      <c r="M248" s="45">
        <f t="shared" si="9"/>
        <v>0</v>
      </c>
      <c r="N248" s="46">
        <f>IF($B248="",0,IFERROR(INDEX('Rates &amp; Tables'!$C$61:$G$63,MATCH($I248,'Rates &amp; Tables'!$J$61:$J$63,0),MATCH($H248,'Rates &amp; Tables'!$C$60:$G$60,0)),0))</f>
        <v>0</v>
      </c>
      <c r="O248" s="44">
        <f t="shared" si="10"/>
        <v>0</v>
      </c>
      <c r="P248" s="41" t="str">
        <f t="shared" si="11"/>
        <v/>
      </c>
    </row>
    <row r="249" spans="2:16">
      <c r="B249" s="43"/>
      <c r="C249" s="43"/>
      <c r="D249" s="43"/>
      <c r="E249" s="43"/>
      <c r="F249" s="43"/>
      <c r="G249" s="43"/>
      <c r="H249" s="43"/>
      <c r="I249" s="43"/>
      <c r="J249" s="43"/>
      <c r="K249" s="43"/>
      <c r="L249" s="44">
        <f>IF($B249="",0,IF($C249="HZ",1,IFERROR(INDEX('Value Streams &amp; Delivery Mode'!$D$17:$M$22,MATCH($D249,'Value Streams &amp; Delivery Mode'!$B$17:$B$22,0),($B249-1)*2+IF($C249="POD",1,2)),0)))</f>
        <v>0</v>
      </c>
      <c r="M249" s="45">
        <f t="shared" si="9"/>
        <v>0</v>
      </c>
      <c r="N249" s="46">
        <f>IF($B249="",0,IFERROR(INDEX('Rates &amp; Tables'!$C$61:$G$63,MATCH($I249,'Rates &amp; Tables'!$J$61:$J$63,0),MATCH($H249,'Rates &amp; Tables'!$C$60:$G$60,0)),0))</f>
        <v>0</v>
      </c>
      <c r="O249" s="44">
        <f t="shared" si="10"/>
        <v>0</v>
      </c>
      <c r="P249" s="41" t="str">
        <f t="shared" si="11"/>
        <v/>
      </c>
    </row>
    <row r="250" spans="2:16">
      <c r="B250" s="43"/>
      <c r="C250" s="43"/>
      <c r="D250" s="43"/>
      <c r="E250" s="43"/>
      <c r="F250" s="43"/>
      <c r="G250" s="43"/>
      <c r="H250" s="43"/>
      <c r="I250" s="43"/>
      <c r="J250" s="43"/>
      <c r="K250" s="43"/>
      <c r="L250" s="44">
        <f>IF($B250="",0,IF($C250="HZ",1,IFERROR(INDEX('Value Streams &amp; Delivery Mode'!$D$17:$M$22,MATCH($D250,'Value Streams &amp; Delivery Mode'!$B$17:$B$22,0),($B250-1)*2+IF($C250="POD",1,2)),0)))</f>
        <v>0</v>
      </c>
      <c r="M250" s="45">
        <f t="shared" si="9"/>
        <v>0</v>
      </c>
      <c r="N250" s="46">
        <f>IF($B250="",0,IFERROR(INDEX('Rates &amp; Tables'!$C$61:$G$63,MATCH($I250,'Rates &amp; Tables'!$J$61:$J$63,0),MATCH($H250,'Rates &amp; Tables'!$C$60:$G$60,0)),0))</f>
        <v>0</v>
      </c>
      <c r="O250" s="44">
        <f t="shared" si="10"/>
        <v>0</v>
      </c>
      <c r="P250" s="41" t="str">
        <f t="shared" si="11"/>
        <v/>
      </c>
    </row>
    <row r="251" spans="2:16">
      <c r="B251" s="43"/>
      <c r="C251" s="43"/>
      <c r="D251" s="43"/>
      <c r="E251" s="43"/>
      <c r="F251" s="43"/>
      <c r="G251" s="43"/>
      <c r="H251" s="43"/>
      <c r="I251" s="43"/>
      <c r="J251" s="43"/>
      <c r="K251" s="43"/>
      <c r="L251" s="44">
        <f>IF($B251="",0,IF($C251="HZ",1,IFERROR(INDEX('Value Streams &amp; Delivery Mode'!$D$17:$M$22,MATCH($D251,'Value Streams &amp; Delivery Mode'!$B$17:$B$22,0),($B251-1)*2+IF($C251="POD",1,2)),0)))</f>
        <v>0</v>
      </c>
      <c r="M251" s="45">
        <f t="shared" si="9"/>
        <v>0</v>
      </c>
      <c r="N251" s="46">
        <f>IF($B251="",0,IFERROR(INDEX('Rates &amp; Tables'!$C$61:$G$63,MATCH($I251,'Rates &amp; Tables'!$J$61:$J$63,0),MATCH($H251,'Rates &amp; Tables'!$C$60:$G$60,0)),0))</f>
        <v>0</v>
      </c>
      <c r="O251" s="44">
        <f t="shared" si="10"/>
        <v>0</v>
      </c>
      <c r="P251" s="41" t="str">
        <f t="shared" si="11"/>
        <v/>
      </c>
    </row>
    <row r="252" spans="2:16">
      <c r="B252" s="43"/>
      <c r="C252" s="43"/>
      <c r="D252" s="43"/>
      <c r="E252" s="43"/>
      <c r="F252" s="43"/>
      <c r="G252" s="43"/>
      <c r="H252" s="43"/>
      <c r="I252" s="43"/>
      <c r="J252" s="43"/>
      <c r="K252" s="43"/>
      <c r="L252" s="44">
        <f>IF($B252="",0,IF($C252="HZ",1,IFERROR(INDEX('Value Streams &amp; Delivery Mode'!$D$17:$M$22,MATCH($D252,'Value Streams &amp; Delivery Mode'!$B$17:$B$22,0),($B252-1)*2+IF($C252="POD",1,2)),0)))</f>
        <v>0</v>
      </c>
      <c r="M252" s="45">
        <f t="shared" si="9"/>
        <v>0</v>
      </c>
      <c r="N252" s="46">
        <f>IF($B252="",0,IFERROR(INDEX('Rates &amp; Tables'!$C$61:$G$63,MATCH($I252,'Rates &amp; Tables'!$J$61:$J$63,0),MATCH($H252,'Rates &amp; Tables'!$C$60:$G$60,0)),0))</f>
        <v>0</v>
      </c>
      <c r="O252" s="44">
        <f t="shared" si="10"/>
        <v>0</v>
      </c>
      <c r="P252" s="41" t="str">
        <f t="shared" si="11"/>
        <v/>
      </c>
    </row>
    <row r="253" spans="2:16">
      <c r="B253" s="43"/>
      <c r="C253" s="43"/>
      <c r="D253" s="43"/>
      <c r="E253" s="43"/>
      <c r="F253" s="43"/>
      <c r="G253" s="43"/>
      <c r="H253" s="43"/>
      <c r="I253" s="43"/>
      <c r="J253" s="43"/>
      <c r="K253" s="43"/>
      <c r="L253" s="44">
        <f>IF($B253="",0,IF($C253="HZ",1,IFERROR(INDEX('Value Streams &amp; Delivery Mode'!$D$17:$M$22,MATCH($D253,'Value Streams &amp; Delivery Mode'!$B$17:$B$22,0),($B253-1)*2+IF($C253="POD",1,2)),0)))</f>
        <v>0</v>
      </c>
      <c r="M253" s="45">
        <f t="shared" si="9"/>
        <v>0</v>
      </c>
      <c r="N253" s="46">
        <f>IF($B253="",0,IFERROR(INDEX('Rates &amp; Tables'!$C$61:$G$63,MATCH($I253,'Rates &amp; Tables'!$J$61:$J$63,0),MATCH($H253,'Rates &amp; Tables'!$C$60:$G$60,0)),0))</f>
        <v>0</v>
      </c>
      <c r="O253" s="44">
        <f t="shared" si="10"/>
        <v>0</v>
      </c>
      <c r="P253" s="41" t="str">
        <f t="shared" si="11"/>
        <v/>
      </c>
    </row>
    <row r="254" spans="2:16">
      <c r="B254" s="43"/>
      <c r="C254" s="43"/>
      <c r="D254" s="43"/>
      <c r="E254" s="43"/>
      <c r="F254" s="43"/>
      <c r="G254" s="43"/>
      <c r="H254" s="43"/>
      <c r="I254" s="43"/>
      <c r="J254" s="43"/>
      <c r="K254" s="43"/>
      <c r="L254" s="44">
        <f>IF($B254="",0,IF($C254="HZ",1,IFERROR(INDEX('Value Streams &amp; Delivery Mode'!$D$17:$M$22,MATCH($D254,'Value Streams &amp; Delivery Mode'!$B$17:$B$22,0),($B254-1)*2+IF($C254="POD",1,2)),0)))</f>
        <v>0</v>
      </c>
      <c r="M254" s="45">
        <f t="shared" si="9"/>
        <v>0</v>
      </c>
      <c r="N254" s="46">
        <f>IF($B254="",0,IFERROR(INDEX('Rates &amp; Tables'!$C$61:$G$63,MATCH($I254,'Rates &amp; Tables'!$J$61:$J$63,0),MATCH($H254,'Rates &amp; Tables'!$C$60:$G$60,0)),0))</f>
        <v>0</v>
      </c>
      <c r="O254" s="44">
        <f t="shared" si="10"/>
        <v>0</v>
      </c>
      <c r="P254" s="41" t="str">
        <f t="shared" si="11"/>
        <v/>
      </c>
    </row>
    <row r="255" spans="2:16">
      <c r="B255" s="43"/>
      <c r="C255" s="43"/>
      <c r="D255" s="43"/>
      <c r="E255" s="43"/>
      <c r="F255" s="43"/>
      <c r="G255" s="43"/>
      <c r="H255" s="43"/>
      <c r="I255" s="43"/>
      <c r="J255" s="43"/>
      <c r="K255" s="43"/>
      <c r="L255" s="44">
        <f>IF($B255="",0,IF($C255="HZ",1,IFERROR(INDEX('Value Streams &amp; Delivery Mode'!$D$17:$M$22,MATCH($D255,'Value Streams &amp; Delivery Mode'!$B$17:$B$22,0),($B255-1)*2+IF($C255="POD",1,2)),0)))</f>
        <v>0</v>
      </c>
      <c r="M255" s="45">
        <f t="shared" si="9"/>
        <v>0</v>
      </c>
      <c r="N255" s="46">
        <f>IF($B255="",0,IFERROR(INDEX('Rates &amp; Tables'!$C$61:$G$63,MATCH($I255,'Rates &amp; Tables'!$J$61:$J$63,0),MATCH($H255,'Rates &amp; Tables'!$C$60:$G$60,0)),0))</f>
        <v>0</v>
      </c>
      <c r="O255" s="44">
        <f t="shared" si="10"/>
        <v>0</v>
      </c>
      <c r="P255" s="41" t="str">
        <f t="shared" si="11"/>
        <v/>
      </c>
    </row>
    <row r="256" spans="2:16">
      <c r="B256" s="43"/>
      <c r="C256" s="43"/>
      <c r="D256" s="43"/>
      <c r="E256" s="43"/>
      <c r="F256" s="43"/>
      <c r="G256" s="43"/>
      <c r="H256" s="43"/>
      <c r="I256" s="43"/>
      <c r="J256" s="43"/>
      <c r="K256" s="43"/>
      <c r="L256" s="44">
        <f>IF($B256="",0,IF($C256="HZ",1,IFERROR(INDEX('Value Streams &amp; Delivery Mode'!$D$17:$M$22,MATCH($D256,'Value Streams &amp; Delivery Mode'!$B$17:$B$22,0),($B256-1)*2+IF($C256="POD",1,2)),0)))</f>
        <v>0</v>
      </c>
      <c r="M256" s="45">
        <f t="shared" si="9"/>
        <v>0</v>
      </c>
      <c r="N256" s="46">
        <f>IF($B256="",0,IFERROR(INDEX('Rates &amp; Tables'!$C$61:$G$63,MATCH($I256,'Rates &amp; Tables'!$J$61:$J$63,0),MATCH($H256,'Rates &amp; Tables'!$C$60:$G$60,0)),0))</f>
        <v>0</v>
      </c>
      <c r="O256" s="44">
        <f t="shared" si="10"/>
        <v>0</v>
      </c>
      <c r="P256" s="41" t="str">
        <f t="shared" si="11"/>
        <v/>
      </c>
    </row>
    <row r="257" spans="2:16">
      <c r="B257" s="43"/>
      <c r="C257" s="43"/>
      <c r="D257" s="43"/>
      <c r="E257" s="43"/>
      <c r="F257" s="43"/>
      <c r="G257" s="43"/>
      <c r="H257" s="43"/>
      <c r="I257" s="43"/>
      <c r="J257" s="43"/>
      <c r="K257" s="43"/>
      <c r="L257" s="44">
        <f>IF($B257="",0,IF($C257="HZ",1,IFERROR(INDEX('Value Streams &amp; Delivery Mode'!$D$17:$M$22,MATCH($D257,'Value Streams &amp; Delivery Mode'!$B$17:$B$22,0),($B257-1)*2+IF($C257="POD",1,2)),0)))</f>
        <v>0</v>
      </c>
      <c r="M257" s="45">
        <f t="shared" si="9"/>
        <v>0</v>
      </c>
      <c r="N257" s="46">
        <f>IF($B257="",0,IFERROR(INDEX('Rates &amp; Tables'!$C$61:$G$63,MATCH($I257,'Rates &amp; Tables'!$J$61:$J$63,0),MATCH($H257,'Rates &amp; Tables'!$C$60:$G$60,0)),0))</f>
        <v>0</v>
      </c>
      <c r="O257" s="44">
        <f t="shared" si="10"/>
        <v>0</v>
      </c>
      <c r="P257" s="41" t="str">
        <f t="shared" si="11"/>
        <v/>
      </c>
    </row>
    <row r="258" spans="2:16">
      <c r="B258" s="43"/>
      <c r="C258" s="43"/>
      <c r="D258" s="43"/>
      <c r="E258" s="43"/>
      <c r="F258" s="43"/>
      <c r="G258" s="43"/>
      <c r="H258" s="43"/>
      <c r="I258" s="43"/>
      <c r="J258" s="43"/>
      <c r="K258" s="43"/>
      <c r="L258" s="44">
        <f>IF($B258="",0,IF($C258="HZ",1,IFERROR(INDEX('Value Streams &amp; Delivery Mode'!$D$17:$M$22,MATCH($D258,'Value Streams &amp; Delivery Mode'!$B$17:$B$22,0),($B258-1)*2+IF($C258="POD",1,2)),0)))</f>
        <v>0</v>
      </c>
      <c r="M258" s="45">
        <f t="shared" si="9"/>
        <v>0</v>
      </c>
      <c r="N258" s="46">
        <f>IF($B258="",0,IFERROR(INDEX('Rates &amp; Tables'!$C$61:$G$63,MATCH($I258,'Rates &amp; Tables'!$J$61:$J$63,0),MATCH($H258,'Rates &amp; Tables'!$C$60:$G$60,0)),0))</f>
        <v>0</v>
      </c>
      <c r="O258" s="44">
        <f t="shared" si="10"/>
        <v>0</v>
      </c>
      <c r="P258" s="41" t="str">
        <f t="shared" si="11"/>
        <v/>
      </c>
    </row>
    <row r="259" spans="2:16">
      <c r="B259" s="43"/>
      <c r="C259" s="43"/>
      <c r="D259" s="43"/>
      <c r="E259" s="43"/>
      <c r="F259" s="43"/>
      <c r="G259" s="43"/>
      <c r="H259" s="43"/>
      <c r="I259" s="43"/>
      <c r="J259" s="43"/>
      <c r="K259" s="43"/>
      <c r="L259" s="44">
        <f>IF($B259="",0,IF($C259="HZ",1,IFERROR(INDEX('Value Streams &amp; Delivery Mode'!$D$17:$M$22,MATCH($D259,'Value Streams &amp; Delivery Mode'!$B$17:$B$22,0),($B259-1)*2+IF($C259="POD",1,2)),0)))</f>
        <v>0</v>
      </c>
      <c r="M259" s="45">
        <f t="shared" si="9"/>
        <v>0</v>
      </c>
      <c r="N259" s="46">
        <f>IF($B259="",0,IFERROR(INDEX('Rates &amp; Tables'!$C$61:$G$63,MATCH($I259,'Rates &amp; Tables'!$J$61:$J$63,0),MATCH($H259,'Rates &amp; Tables'!$C$60:$G$60,0)),0))</f>
        <v>0</v>
      </c>
      <c r="O259" s="44">
        <f t="shared" si="10"/>
        <v>0</v>
      </c>
      <c r="P259" s="41" t="str">
        <f t="shared" si="11"/>
        <v/>
      </c>
    </row>
    <row r="260" spans="2:16">
      <c r="B260" s="43"/>
      <c r="C260" s="43"/>
      <c r="D260" s="43"/>
      <c r="E260" s="43"/>
      <c r="F260" s="43"/>
      <c r="G260" s="43"/>
      <c r="H260" s="43"/>
      <c r="I260" s="43"/>
      <c r="J260" s="43"/>
      <c r="K260" s="43"/>
      <c r="L260" s="44">
        <f>IF($B260="",0,IF($C260="HZ",1,IFERROR(INDEX('Value Streams &amp; Delivery Mode'!$D$17:$M$22,MATCH($D260,'Value Streams &amp; Delivery Mode'!$B$17:$B$22,0),($B260-1)*2+IF($C260="POD",1,2)),0)))</f>
        <v>0</v>
      </c>
      <c r="M260" s="45">
        <f t="shared" si="9"/>
        <v>0</v>
      </c>
      <c r="N260" s="46">
        <f>IF($B260="",0,IFERROR(INDEX('Rates &amp; Tables'!$C$61:$G$63,MATCH($I260,'Rates &amp; Tables'!$J$61:$J$63,0),MATCH($H260,'Rates &amp; Tables'!$C$60:$G$60,0)),0))</f>
        <v>0</v>
      </c>
      <c r="O260" s="44">
        <f t="shared" si="10"/>
        <v>0</v>
      </c>
      <c r="P260" s="41" t="str">
        <f t="shared" si="11"/>
        <v/>
      </c>
    </row>
    <row r="261" spans="2:16">
      <c r="B261" s="43"/>
      <c r="C261" s="43"/>
      <c r="D261" s="43"/>
      <c r="E261" s="43"/>
      <c r="F261" s="43"/>
      <c r="G261" s="43"/>
      <c r="H261" s="43"/>
      <c r="I261" s="43"/>
      <c r="J261" s="43"/>
      <c r="K261" s="43"/>
      <c r="L261" s="44">
        <f>IF($B261="",0,IF($C261="HZ",1,IFERROR(INDEX('Value Streams &amp; Delivery Mode'!$D$17:$M$22,MATCH($D261,'Value Streams &amp; Delivery Mode'!$B$17:$B$22,0),($B261-1)*2+IF($C261="POD",1,2)),0)))</f>
        <v>0</v>
      </c>
      <c r="M261" s="45">
        <f t="shared" ref="M261:M324" si="12">IF($B261="",0,$K261*$L261)</f>
        <v>0</v>
      </c>
      <c r="N261" s="46">
        <f>IF($B261="",0,IFERROR(INDEX('Rates &amp; Tables'!$C$61:$G$63,MATCH($I261,'Rates &amp; Tables'!$J$61:$J$63,0),MATCH($H261,'Rates &amp; Tables'!$C$60:$G$60,0)),0))</f>
        <v>0</v>
      </c>
      <c r="O261" s="44">
        <f t="shared" ref="O261:O324" si="13">IF($B261="",0,$M261*$N261)</f>
        <v>0</v>
      </c>
      <c r="P261" s="41" t="str">
        <f t="shared" ref="P261:P324" si="14">IF($B261="","",$B261&amp;"|"&amp;$G261&amp;"|"&amp;$J261)</f>
        <v/>
      </c>
    </row>
    <row r="262" spans="2:16">
      <c r="B262" s="43"/>
      <c r="C262" s="43"/>
      <c r="D262" s="43"/>
      <c r="E262" s="43"/>
      <c r="F262" s="43"/>
      <c r="G262" s="43"/>
      <c r="H262" s="43"/>
      <c r="I262" s="43"/>
      <c r="J262" s="43"/>
      <c r="K262" s="43"/>
      <c r="L262" s="44">
        <f>IF($B262="",0,IF($C262="HZ",1,IFERROR(INDEX('Value Streams &amp; Delivery Mode'!$D$17:$M$22,MATCH($D262,'Value Streams &amp; Delivery Mode'!$B$17:$B$22,0),($B262-1)*2+IF($C262="POD",1,2)),0)))</f>
        <v>0</v>
      </c>
      <c r="M262" s="45">
        <f t="shared" si="12"/>
        <v>0</v>
      </c>
      <c r="N262" s="46">
        <f>IF($B262="",0,IFERROR(INDEX('Rates &amp; Tables'!$C$61:$G$63,MATCH($I262,'Rates &amp; Tables'!$J$61:$J$63,0),MATCH($H262,'Rates &amp; Tables'!$C$60:$G$60,0)),0))</f>
        <v>0</v>
      </c>
      <c r="O262" s="44">
        <f t="shared" si="13"/>
        <v>0</v>
      </c>
      <c r="P262" s="41" t="str">
        <f t="shared" si="14"/>
        <v/>
      </c>
    </row>
    <row r="263" spans="2:16">
      <c r="B263" s="43"/>
      <c r="C263" s="43"/>
      <c r="D263" s="43"/>
      <c r="E263" s="43"/>
      <c r="F263" s="43"/>
      <c r="G263" s="43"/>
      <c r="H263" s="43"/>
      <c r="I263" s="43"/>
      <c r="J263" s="43"/>
      <c r="K263" s="43"/>
      <c r="L263" s="44">
        <f>IF($B263="",0,IF($C263="HZ",1,IFERROR(INDEX('Value Streams &amp; Delivery Mode'!$D$17:$M$22,MATCH($D263,'Value Streams &amp; Delivery Mode'!$B$17:$B$22,0),($B263-1)*2+IF($C263="POD",1,2)),0)))</f>
        <v>0</v>
      </c>
      <c r="M263" s="45">
        <f t="shared" si="12"/>
        <v>0</v>
      </c>
      <c r="N263" s="46">
        <f>IF($B263="",0,IFERROR(INDEX('Rates &amp; Tables'!$C$61:$G$63,MATCH($I263,'Rates &amp; Tables'!$J$61:$J$63,0),MATCH($H263,'Rates &amp; Tables'!$C$60:$G$60,0)),0))</f>
        <v>0</v>
      </c>
      <c r="O263" s="44">
        <f t="shared" si="13"/>
        <v>0</v>
      </c>
      <c r="P263" s="41" t="str">
        <f t="shared" si="14"/>
        <v/>
      </c>
    </row>
    <row r="264" spans="2:16">
      <c r="B264" s="43"/>
      <c r="C264" s="43"/>
      <c r="D264" s="43"/>
      <c r="E264" s="43"/>
      <c r="F264" s="43"/>
      <c r="G264" s="43"/>
      <c r="H264" s="43"/>
      <c r="I264" s="43"/>
      <c r="J264" s="43"/>
      <c r="K264" s="43"/>
      <c r="L264" s="44">
        <f>IF($B264="",0,IF($C264="HZ",1,IFERROR(INDEX('Value Streams &amp; Delivery Mode'!$D$17:$M$22,MATCH($D264,'Value Streams &amp; Delivery Mode'!$B$17:$B$22,0),($B264-1)*2+IF($C264="POD",1,2)),0)))</f>
        <v>0</v>
      </c>
      <c r="M264" s="45">
        <f t="shared" si="12"/>
        <v>0</v>
      </c>
      <c r="N264" s="46">
        <f>IF($B264="",0,IFERROR(INDEX('Rates &amp; Tables'!$C$61:$G$63,MATCH($I264,'Rates &amp; Tables'!$J$61:$J$63,0),MATCH($H264,'Rates &amp; Tables'!$C$60:$G$60,0)),0))</f>
        <v>0</v>
      </c>
      <c r="O264" s="44">
        <f t="shared" si="13"/>
        <v>0</v>
      </c>
      <c r="P264" s="41" t="str">
        <f t="shared" si="14"/>
        <v/>
      </c>
    </row>
    <row r="265" spans="2:16">
      <c r="B265" s="43"/>
      <c r="C265" s="43"/>
      <c r="D265" s="43"/>
      <c r="E265" s="43"/>
      <c r="F265" s="43"/>
      <c r="G265" s="43"/>
      <c r="H265" s="43"/>
      <c r="I265" s="43"/>
      <c r="J265" s="43"/>
      <c r="K265" s="43"/>
      <c r="L265" s="44">
        <f>IF($B265="",0,IF($C265="HZ",1,IFERROR(INDEX('Value Streams &amp; Delivery Mode'!$D$17:$M$22,MATCH($D265,'Value Streams &amp; Delivery Mode'!$B$17:$B$22,0),($B265-1)*2+IF($C265="POD",1,2)),0)))</f>
        <v>0</v>
      </c>
      <c r="M265" s="45">
        <f t="shared" si="12"/>
        <v>0</v>
      </c>
      <c r="N265" s="46">
        <f>IF($B265="",0,IFERROR(INDEX('Rates &amp; Tables'!$C$61:$G$63,MATCH($I265,'Rates &amp; Tables'!$J$61:$J$63,0),MATCH($H265,'Rates &amp; Tables'!$C$60:$G$60,0)),0))</f>
        <v>0</v>
      </c>
      <c r="O265" s="44">
        <f t="shared" si="13"/>
        <v>0</v>
      </c>
      <c r="P265" s="41" t="str">
        <f t="shared" si="14"/>
        <v/>
      </c>
    </row>
    <row r="266" spans="2:16">
      <c r="B266" s="43"/>
      <c r="C266" s="43"/>
      <c r="D266" s="43"/>
      <c r="E266" s="43"/>
      <c r="F266" s="43"/>
      <c r="G266" s="43"/>
      <c r="H266" s="43"/>
      <c r="I266" s="43"/>
      <c r="J266" s="43"/>
      <c r="K266" s="43"/>
      <c r="L266" s="44">
        <f>IF($B266="",0,IF($C266="HZ",1,IFERROR(INDEX('Value Streams &amp; Delivery Mode'!$D$17:$M$22,MATCH($D266,'Value Streams &amp; Delivery Mode'!$B$17:$B$22,0),($B266-1)*2+IF($C266="POD",1,2)),0)))</f>
        <v>0</v>
      </c>
      <c r="M266" s="45">
        <f t="shared" si="12"/>
        <v>0</v>
      </c>
      <c r="N266" s="46">
        <f>IF($B266="",0,IFERROR(INDEX('Rates &amp; Tables'!$C$61:$G$63,MATCH($I266,'Rates &amp; Tables'!$J$61:$J$63,0),MATCH($H266,'Rates &amp; Tables'!$C$60:$G$60,0)),0))</f>
        <v>0</v>
      </c>
      <c r="O266" s="44">
        <f t="shared" si="13"/>
        <v>0</v>
      </c>
      <c r="P266" s="41" t="str">
        <f t="shared" si="14"/>
        <v/>
      </c>
    </row>
    <row r="267" spans="2:16">
      <c r="B267" s="43"/>
      <c r="C267" s="43"/>
      <c r="D267" s="43"/>
      <c r="E267" s="43"/>
      <c r="F267" s="43"/>
      <c r="G267" s="43"/>
      <c r="H267" s="43"/>
      <c r="I267" s="43"/>
      <c r="J267" s="43"/>
      <c r="K267" s="43"/>
      <c r="L267" s="44">
        <f>IF($B267="",0,IF($C267="HZ",1,IFERROR(INDEX('Value Streams &amp; Delivery Mode'!$D$17:$M$22,MATCH($D267,'Value Streams &amp; Delivery Mode'!$B$17:$B$22,0),($B267-1)*2+IF($C267="POD",1,2)),0)))</f>
        <v>0</v>
      </c>
      <c r="M267" s="45">
        <f t="shared" si="12"/>
        <v>0</v>
      </c>
      <c r="N267" s="46">
        <f>IF($B267="",0,IFERROR(INDEX('Rates &amp; Tables'!$C$61:$G$63,MATCH($I267,'Rates &amp; Tables'!$J$61:$J$63,0),MATCH($H267,'Rates &amp; Tables'!$C$60:$G$60,0)),0))</f>
        <v>0</v>
      </c>
      <c r="O267" s="44">
        <f t="shared" si="13"/>
        <v>0</v>
      </c>
      <c r="P267" s="41" t="str">
        <f t="shared" si="14"/>
        <v/>
      </c>
    </row>
    <row r="268" spans="2:16">
      <c r="B268" s="43"/>
      <c r="C268" s="43"/>
      <c r="D268" s="43"/>
      <c r="E268" s="43"/>
      <c r="F268" s="43"/>
      <c r="G268" s="43"/>
      <c r="H268" s="43"/>
      <c r="I268" s="43"/>
      <c r="J268" s="43"/>
      <c r="K268" s="43"/>
      <c r="L268" s="44">
        <f>IF($B268="",0,IF($C268="HZ",1,IFERROR(INDEX('Value Streams &amp; Delivery Mode'!$D$17:$M$22,MATCH($D268,'Value Streams &amp; Delivery Mode'!$B$17:$B$22,0),($B268-1)*2+IF($C268="POD",1,2)),0)))</f>
        <v>0</v>
      </c>
      <c r="M268" s="45">
        <f t="shared" si="12"/>
        <v>0</v>
      </c>
      <c r="N268" s="46">
        <f>IF($B268="",0,IFERROR(INDEX('Rates &amp; Tables'!$C$61:$G$63,MATCH($I268,'Rates &amp; Tables'!$J$61:$J$63,0),MATCH($H268,'Rates &amp; Tables'!$C$60:$G$60,0)),0))</f>
        <v>0</v>
      </c>
      <c r="O268" s="44">
        <f t="shared" si="13"/>
        <v>0</v>
      </c>
      <c r="P268" s="41" t="str">
        <f t="shared" si="14"/>
        <v/>
      </c>
    </row>
    <row r="269" spans="2:16">
      <c r="B269" s="43"/>
      <c r="C269" s="43"/>
      <c r="D269" s="43"/>
      <c r="E269" s="43"/>
      <c r="F269" s="43"/>
      <c r="G269" s="43"/>
      <c r="H269" s="43"/>
      <c r="I269" s="43"/>
      <c r="J269" s="43"/>
      <c r="K269" s="43"/>
      <c r="L269" s="44">
        <f>IF($B269="",0,IF($C269="HZ",1,IFERROR(INDEX('Value Streams &amp; Delivery Mode'!$D$17:$M$22,MATCH($D269,'Value Streams &amp; Delivery Mode'!$B$17:$B$22,0),($B269-1)*2+IF($C269="POD",1,2)),0)))</f>
        <v>0</v>
      </c>
      <c r="M269" s="45">
        <f t="shared" si="12"/>
        <v>0</v>
      </c>
      <c r="N269" s="46">
        <f>IF($B269="",0,IFERROR(INDEX('Rates &amp; Tables'!$C$61:$G$63,MATCH($I269,'Rates &amp; Tables'!$J$61:$J$63,0),MATCH($H269,'Rates &amp; Tables'!$C$60:$G$60,0)),0))</f>
        <v>0</v>
      </c>
      <c r="O269" s="44">
        <f t="shared" si="13"/>
        <v>0</v>
      </c>
      <c r="P269" s="41" t="str">
        <f t="shared" si="14"/>
        <v/>
      </c>
    </row>
    <row r="270" spans="2:16">
      <c r="B270" s="43"/>
      <c r="C270" s="43"/>
      <c r="D270" s="43"/>
      <c r="E270" s="43"/>
      <c r="F270" s="43"/>
      <c r="G270" s="43"/>
      <c r="H270" s="43"/>
      <c r="I270" s="43"/>
      <c r="J270" s="43"/>
      <c r="K270" s="43"/>
      <c r="L270" s="44">
        <f>IF($B270="",0,IF($C270="HZ",1,IFERROR(INDEX('Value Streams &amp; Delivery Mode'!$D$17:$M$22,MATCH($D270,'Value Streams &amp; Delivery Mode'!$B$17:$B$22,0),($B270-1)*2+IF($C270="POD",1,2)),0)))</f>
        <v>0</v>
      </c>
      <c r="M270" s="45">
        <f t="shared" si="12"/>
        <v>0</v>
      </c>
      <c r="N270" s="46">
        <f>IF($B270="",0,IFERROR(INDEX('Rates &amp; Tables'!$C$61:$G$63,MATCH($I270,'Rates &amp; Tables'!$J$61:$J$63,0),MATCH($H270,'Rates &amp; Tables'!$C$60:$G$60,0)),0))</f>
        <v>0</v>
      </c>
      <c r="O270" s="44">
        <f t="shared" si="13"/>
        <v>0</v>
      </c>
      <c r="P270" s="41" t="str">
        <f t="shared" si="14"/>
        <v/>
      </c>
    </row>
    <row r="271" spans="2:16">
      <c r="B271" s="43"/>
      <c r="C271" s="43"/>
      <c r="D271" s="43"/>
      <c r="E271" s="43"/>
      <c r="F271" s="43"/>
      <c r="G271" s="43"/>
      <c r="H271" s="43"/>
      <c r="I271" s="43"/>
      <c r="J271" s="43"/>
      <c r="K271" s="43"/>
      <c r="L271" s="44">
        <f>IF($B271="",0,IF($C271="HZ",1,IFERROR(INDEX('Value Streams &amp; Delivery Mode'!$D$17:$M$22,MATCH($D271,'Value Streams &amp; Delivery Mode'!$B$17:$B$22,0),($B271-1)*2+IF($C271="POD",1,2)),0)))</f>
        <v>0</v>
      </c>
      <c r="M271" s="45">
        <f t="shared" si="12"/>
        <v>0</v>
      </c>
      <c r="N271" s="46">
        <f>IF($B271="",0,IFERROR(INDEX('Rates &amp; Tables'!$C$61:$G$63,MATCH($I271,'Rates &amp; Tables'!$J$61:$J$63,0),MATCH($H271,'Rates &amp; Tables'!$C$60:$G$60,0)),0))</f>
        <v>0</v>
      </c>
      <c r="O271" s="44">
        <f t="shared" si="13"/>
        <v>0</v>
      </c>
      <c r="P271" s="41" t="str">
        <f t="shared" si="14"/>
        <v/>
      </c>
    </row>
    <row r="272" spans="2:16">
      <c r="B272" s="43"/>
      <c r="C272" s="43"/>
      <c r="D272" s="43"/>
      <c r="E272" s="43"/>
      <c r="F272" s="43"/>
      <c r="G272" s="43"/>
      <c r="H272" s="43"/>
      <c r="I272" s="43"/>
      <c r="J272" s="43"/>
      <c r="K272" s="43"/>
      <c r="L272" s="44">
        <f>IF($B272="",0,IF($C272="HZ",1,IFERROR(INDEX('Value Streams &amp; Delivery Mode'!$D$17:$M$22,MATCH($D272,'Value Streams &amp; Delivery Mode'!$B$17:$B$22,0),($B272-1)*2+IF($C272="POD",1,2)),0)))</f>
        <v>0</v>
      </c>
      <c r="M272" s="45">
        <f t="shared" si="12"/>
        <v>0</v>
      </c>
      <c r="N272" s="46">
        <f>IF($B272="",0,IFERROR(INDEX('Rates &amp; Tables'!$C$61:$G$63,MATCH($I272,'Rates &amp; Tables'!$J$61:$J$63,0),MATCH($H272,'Rates &amp; Tables'!$C$60:$G$60,0)),0))</f>
        <v>0</v>
      </c>
      <c r="O272" s="44">
        <f t="shared" si="13"/>
        <v>0</v>
      </c>
      <c r="P272" s="41" t="str">
        <f t="shared" si="14"/>
        <v/>
      </c>
    </row>
    <row r="273" spans="2:16">
      <c r="B273" s="43"/>
      <c r="C273" s="43"/>
      <c r="D273" s="43"/>
      <c r="E273" s="43"/>
      <c r="F273" s="43"/>
      <c r="G273" s="43"/>
      <c r="H273" s="43"/>
      <c r="I273" s="43"/>
      <c r="J273" s="43"/>
      <c r="K273" s="43"/>
      <c r="L273" s="44">
        <f>IF($B273="",0,IF($C273="HZ",1,IFERROR(INDEX('Value Streams &amp; Delivery Mode'!$D$17:$M$22,MATCH($D273,'Value Streams &amp; Delivery Mode'!$B$17:$B$22,0),($B273-1)*2+IF($C273="POD",1,2)),0)))</f>
        <v>0</v>
      </c>
      <c r="M273" s="45">
        <f t="shared" si="12"/>
        <v>0</v>
      </c>
      <c r="N273" s="46">
        <f>IF($B273="",0,IFERROR(INDEX('Rates &amp; Tables'!$C$61:$G$63,MATCH($I273,'Rates &amp; Tables'!$J$61:$J$63,0),MATCH($H273,'Rates &amp; Tables'!$C$60:$G$60,0)),0))</f>
        <v>0</v>
      </c>
      <c r="O273" s="44">
        <f t="shared" si="13"/>
        <v>0</v>
      </c>
      <c r="P273" s="41" t="str">
        <f t="shared" si="14"/>
        <v/>
      </c>
    </row>
    <row r="274" spans="2:16">
      <c r="B274" s="43"/>
      <c r="C274" s="43"/>
      <c r="D274" s="43"/>
      <c r="E274" s="43"/>
      <c r="F274" s="43"/>
      <c r="G274" s="43"/>
      <c r="H274" s="43"/>
      <c r="I274" s="43"/>
      <c r="J274" s="43"/>
      <c r="K274" s="43"/>
      <c r="L274" s="44">
        <f>IF($B274="",0,IF($C274="HZ",1,IFERROR(INDEX('Value Streams &amp; Delivery Mode'!$D$17:$M$22,MATCH($D274,'Value Streams &amp; Delivery Mode'!$B$17:$B$22,0),($B274-1)*2+IF($C274="POD",1,2)),0)))</f>
        <v>0</v>
      </c>
      <c r="M274" s="45">
        <f t="shared" si="12"/>
        <v>0</v>
      </c>
      <c r="N274" s="46">
        <f>IF($B274="",0,IFERROR(INDEX('Rates &amp; Tables'!$C$61:$G$63,MATCH($I274,'Rates &amp; Tables'!$J$61:$J$63,0),MATCH($H274,'Rates &amp; Tables'!$C$60:$G$60,0)),0))</f>
        <v>0</v>
      </c>
      <c r="O274" s="44">
        <f t="shared" si="13"/>
        <v>0</v>
      </c>
      <c r="P274" s="41" t="str">
        <f t="shared" si="14"/>
        <v/>
      </c>
    </row>
    <row r="275" spans="2:16">
      <c r="B275" s="43"/>
      <c r="C275" s="43"/>
      <c r="D275" s="43"/>
      <c r="E275" s="43"/>
      <c r="F275" s="43"/>
      <c r="G275" s="43"/>
      <c r="H275" s="43"/>
      <c r="I275" s="43"/>
      <c r="J275" s="43"/>
      <c r="K275" s="43"/>
      <c r="L275" s="44">
        <f>IF($B275="",0,IF($C275="HZ",1,IFERROR(INDEX('Value Streams &amp; Delivery Mode'!$D$17:$M$22,MATCH($D275,'Value Streams &amp; Delivery Mode'!$B$17:$B$22,0),($B275-1)*2+IF($C275="POD",1,2)),0)))</f>
        <v>0</v>
      </c>
      <c r="M275" s="45">
        <f t="shared" si="12"/>
        <v>0</v>
      </c>
      <c r="N275" s="46">
        <f>IF($B275="",0,IFERROR(INDEX('Rates &amp; Tables'!$C$61:$G$63,MATCH($I275,'Rates &amp; Tables'!$J$61:$J$63,0),MATCH($H275,'Rates &amp; Tables'!$C$60:$G$60,0)),0))</f>
        <v>0</v>
      </c>
      <c r="O275" s="44">
        <f t="shared" si="13"/>
        <v>0</v>
      </c>
      <c r="P275" s="41" t="str">
        <f t="shared" si="14"/>
        <v/>
      </c>
    </row>
    <row r="276" spans="2:16">
      <c r="B276" s="43"/>
      <c r="C276" s="43"/>
      <c r="D276" s="43"/>
      <c r="E276" s="43"/>
      <c r="F276" s="43"/>
      <c r="G276" s="43"/>
      <c r="H276" s="43"/>
      <c r="I276" s="43"/>
      <c r="J276" s="43"/>
      <c r="K276" s="43"/>
      <c r="L276" s="44">
        <f>IF($B276="",0,IF($C276="HZ",1,IFERROR(INDEX('Value Streams &amp; Delivery Mode'!$D$17:$M$22,MATCH($D276,'Value Streams &amp; Delivery Mode'!$B$17:$B$22,0),($B276-1)*2+IF($C276="POD",1,2)),0)))</f>
        <v>0</v>
      </c>
      <c r="M276" s="45">
        <f t="shared" si="12"/>
        <v>0</v>
      </c>
      <c r="N276" s="46">
        <f>IF($B276="",0,IFERROR(INDEX('Rates &amp; Tables'!$C$61:$G$63,MATCH($I276,'Rates &amp; Tables'!$J$61:$J$63,0),MATCH($H276,'Rates &amp; Tables'!$C$60:$G$60,0)),0))</f>
        <v>0</v>
      </c>
      <c r="O276" s="44">
        <f t="shared" si="13"/>
        <v>0</v>
      </c>
      <c r="P276" s="41" t="str">
        <f t="shared" si="14"/>
        <v/>
      </c>
    </row>
    <row r="277" spans="2:16">
      <c r="B277" s="43"/>
      <c r="C277" s="43"/>
      <c r="D277" s="43"/>
      <c r="E277" s="43"/>
      <c r="F277" s="43"/>
      <c r="G277" s="43"/>
      <c r="H277" s="43"/>
      <c r="I277" s="43"/>
      <c r="J277" s="43"/>
      <c r="K277" s="43"/>
      <c r="L277" s="44">
        <f>IF($B277="",0,IF($C277="HZ",1,IFERROR(INDEX('Value Streams &amp; Delivery Mode'!$D$17:$M$22,MATCH($D277,'Value Streams &amp; Delivery Mode'!$B$17:$B$22,0),($B277-1)*2+IF($C277="POD",1,2)),0)))</f>
        <v>0</v>
      </c>
      <c r="M277" s="45">
        <f t="shared" si="12"/>
        <v>0</v>
      </c>
      <c r="N277" s="46">
        <f>IF($B277="",0,IFERROR(INDEX('Rates &amp; Tables'!$C$61:$G$63,MATCH($I277,'Rates &amp; Tables'!$J$61:$J$63,0),MATCH($H277,'Rates &amp; Tables'!$C$60:$G$60,0)),0))</f>
        <v>0</v>
      </c>
      <c r="O277" s="44">
        <f t="shared" si="13"/>
        <v>0</v>
      </c>
      <c r="P277" s="41" t="str">
        <f t="shared" si="14"/>
        <v/>
      </c>
    </row>
    <row r="278" spans="2:16">
      <c r="B278" s="43"/>
      <c r="C278" s="43"/>
      <c r="D278" s="43"/>
      <c r="E278" s="43"/>
      <c r="F278" s="43"/>
      <c r="G278" s="43"/>
      <c r="H278" s="43"/>
      <c r="I278" s="43"/>
      <c r="J278" s="43"/>
      <c r="K278" s="43"/>
      <c r="L278" s="44">
        <f>IF($B278="",0,IF($C278="HZ",1,IFERROR(INDEX('Value Streams &amp; Delivery Mode'!$D$17:$M$22,MATCH($D278,'Value Streams &amp; Delivery Mode'!$B$17:$B$22,0),($B278-1)*2+IF($C278="POD",1,2)),0)))</f>
        <v>0</v>
      </c>
      <c r="M278" s="45">
        <f t="shared" si="12"/>
        <v>0</v>
      </c>
      <c r="N278" s="46">
        <f>IF($B278="",0,IFERROR(INDEX('Rates &amp; Tables'!$C$61:$G$63,MATCH($I278,'Rates &amp; Tables'!$J$61:$J$63,0),MATCH($H278,'Rates &amp; Tables'!$C$60:$G$60,0)),0))</f>
        <v>0</v>
      </c>
      <c r="O278" s="44">
        <f t="shared" si="13"/>
        <v>0</v>
      </c>
      <c r="P278" s="41" t="str">
        <f t="shared" si="14"/>
        <v/>
      </c>
    </row>
    <row r="279" spans="2:16">
      <c r="B279" s="43"/>
      <c r="C279" s="43"/>
      <c r="D279" s="43"/>
      <c r="E279" s="43"/>
      <c r="F279" s="43"/>
      <c r="G279" s="43"/>
      <c r="H279" s="43"/>
      <c r="I279" s="43"/>
      <c r="J279" s="43"/>
      <c r="K279" s="43"/>
      <c r="L279" s="44">
        <f>IF($B279="",0,IF($C279="HZ",1,IFERROR(INDEX('Value Streams &amp; Delivery Mode'!$D$17:$M$22,MATCH($D279,'Value Streams &amp; Delivery Mode'!$B$17:$B$22,0),($B279-1)*2+IF($C279="POD",1,2)),0)))</f>
        <v>0</v>
      </c>
      <c r="M279" s="45">
        <f t="shared" si="12"/>
        <v>0</v>
      </c>
      <c r="N279" s="46">
        <f>IF($B279="",0,IFERROR(INDEX('Rates &amp; Tables'!$C$61:$G$63,MATCH($I279,'Rates &amp; Tables'!$J$61:$J$63,0),MATCH($H279,'Rates &amp; Tables'!$C$60:$G$60,0)),0))</f>
        <v>0</v>
      </c>
      <c r="O279" s="44">
        <f t="shared" si="13"/>
        <v>0</v>
      </c>
      <c r="P279" s="41" t="str">
        <f t="shared" si="14"/>
        <v/>
      </c>
    </row>
    <row r="280" spans="2:16">
      <c r="B280" s="43"/>
      <c r="C280" s="43"/>
      <c r="D280" s="43"/>
      <c r="E280" s="43"/>
      <c r="F280" s="43"/>
      <c r="G280" s="43"/>
      <c r="H280" s="43"/>
      <c r="I280" s="43"/>
      <c r="J280" s="43"/>
      <c r="K280" s="43"/>
      <c r="L280" s="44">
        <f>IF($B280="",0,IF($C280="HZ",1,IFERROR(INDEX('Value Streams &amp; Delivery Mode'!$D$17:$M$22,MATCH($D280,'Value Streams &amp; Delivery Mode'!$B$17:$B$22,0),($B280-1)*2+IF($C280="POD",1,2)),0)))</f>
        <v>0</v>
      </c>
      <c r="M280" s="45">
        <f t="shared" si="12"/>
        <v>0</v>
      </c>
      <c r="N280" s="46">
        <f>IF($B280="",0,IFERROR(INDEX('Rates &amp; Tables'!$C$61:$G$63,MATCH($I280,'Rates &amp; Tables'!$J$61:$J$63,0),MATCH($H280,'Rates &amp; Tables'!$C$60:$G$60,0)),0))</f>
        <v>0</v>
      </c>
      <c r="O280" s="44">
        <f t="shared" si="13"/>
        <v>0</v>
      </c>
      <c r="P280" s="41" t="str">
        <f t="shared" si="14"/>
        <v/>
      </c>
    </row>
    <row r="281" spans="2:16">
      <c r="B281" s="43"/>
      <c r="C281" s="43"/>
      <c r="D281" s="43"/>
      <c r="E281" s="43"/>
      <c r="F281" s="43"/>
      <c r="G281" s="43"/>
      <c r="H281" s="43"/>
      <c r="I281" s="43"/>
      <c r="J281" s="43"/>
      <c r="K281" s="43"/>
      <c r="L281" s="44">
        <f>IF($B281="",0,IF($C281="HZ",1,IFERROR(INDEX('Value Streams &amp; Delivery Mode'!$D$17:$M$22,MATCH($D281,'Value Streams &amp; Delivery Mode'!$B$17:$B$22,0),($B281-1)*2+IF($C281="POD",1,2)),0)))</f>
        <v>0</v>
      </c>
      <c r="M281" s="45">
        <f t="shared" si="12"/>
        <v>0</v>
      </c>
      <c r="N281" s="46">
        <f>IF($B281="",0,IFERROR(INDEX('Rates &amp; Tables'!$C$61:$G$63,MATCH($I281,'Rates &amp; Tables'!$J$61:$J$63,0),MATCH($H281,'Rates &amp; Tables'!$C$60:$G$60,0)),0))</f>
        <v>0</v>
      </c>
      <c r="O281" s="44">
        <f t="shared" si="13"/>
        <v>0</v>
      </c>
      <c r="P281" s="41" t="str">
        <f t="shared" si="14"/>
        <v/>
      </c>
    </row>
    <row r="282" spans="2:16">
      <c r="B282" s="43"/>
      <c r="C282" s="43"/>
      <c r="D282" s="43"/>
      <c r="E282" s="43"/>
      <c r="F282" s="43"/>
      <c r="G282" s="43"/>
      <c r="H282" s="43"/>
      <c r="I282" s="43"/>
      <c r="J282" s="43"/>
      <c r="K282" s="43"/>
      <c r="L282" s="44">
        <f>IF($B282="",0,IF($C282="HZ",1,IFERROR(INDEX('Value Streams &amp; Delivery Mode'!$D$17:$M$22,MATCH($D282,'Value Streams &amp; Delivery Mode'!$B$17:$B$22,0),($B282-1)*2+IF($C282="POD",1,2)),0)))</f>
        <v>0</v>
      </c>
      <c r="M282" s="45">
        <f t="shared" si="12"/>
        <v>0</v>
      </c>
      <c r="N282" s="46">
        <f>IF($B282="",0,IFERROR(INDEX('Rates &amp; Tables'!$C$61:$G$63,MATCH($I282,'Rates &amp; Tables'!$J$61:$J$63,0),MATCH($H282,'Rates &amp; Tables'!$C$60:$G$60,0)),0))</f>
        <v>0</v>
      </c>
      <c r="O282" s="44">
        <f t="shared" si="13"/>
        <v>0</v>
      </c>
      <c r="P282" s="41" t="str">
        <f t="shared" si="14"/>
        <v/>
      </c>
    </row>
    <row r="283" spans="2:16">
      <c r="B283" s="43"/>
      <c r="C283" s="43"/>
      <c r="D283" s="43"/>
      <c r="E283" s="43"/>
      <c r="F283" s="43"/>
      <c r="G283" s="43"/>
      <c r="H283" s="43"/>
      <c r="I283" s="43"/>
      <c r="J283" s="43"/>
      <c r="K283" s="43"/>
      <c r="L283" s="44">
        <f>IF($B283="",0,IF($C283="HZ",1,IFERROR(INDEX('Value Streams &amp; Delivery Mode'!$D$17:$M$22,MATCH($D283,'Value Streams &amp; Delivery Mode'!$B$17:$B$22,0),($B283-1)*2+IF($C283="POD",1,2)),0)))</f>
        <v>0</v>
      </c>
      <c r="M283" s="45">
        <f t="shared" si="12"/>
        <v>0</v>
      </c>
      <c r="N283" s="46">
        <f>IF($B283="",0,IFERROR(INDEX('Rates &amp; Tables'!$C$61:$G$63,MATCH($I283,'Rates &amp; Tables'!$J$61:$J$63,0),MATCH($H283,'Rates &amp; Tables'!$C$60:$G$60,0)),0))</f>
        <v>0</v>
      </c>
      <c r="O283" s="44">
        <f t="shared" si="13"/>
        <v>0</v>
      </c>
      <c r="P283" s="41" t="str">
        <f t="shared" si="14"/>
        <v/>
      </c>
    </row>
    <row r="284" spans="2:16">
      <c r="B284" s="43"/>
      <c r="C284" s="43"/>
      <c r="D284" s="43"/>
      <c r="E284" s="43"/>
      <c r="F284" s="43"/>
      <c r="G284" s="43"/>
      <c r="H284" s="43"/>
      <c r="I284" s="43"/>
      <c r="J284" s="43"/>
      <c r="K284" s="43"/>
      <c r="L284" s="44">
        <f>IF($B284="",0,IF($C284="HZ",1,IFERROR(INDEX('Value Streams &amp; Delivery Mode'!$D$17:$M$22,MATCH($D284,'Value Streams &amp; Delivery Mode'!$B$17:$B$22,0),($B284-1)*2+IF($C284="POD",1,2)),0)))</f>
        <v>0</v>
      </c>
      <c r="M284" s="45">
        <f t="shared" si="12"/>
        <v>0</v>
      </c>
      <c r="N284" s="46">
        <f>IF($B284="",0,IFERROR(INDEX('Rates &amp; Tables'!$C$61:$G$63,MATCH($I284,'Rates &amp; Tables'!$J$61:$J$63,0),MATCH($H284,'Rates &amp; Tables'!$C$60:$G$60,0)),0))</f>
        <v>0</v>
      </c>
      <c r="O284" s="44">
        <f t="shared" si="13"/>
        <v>0</v>
      </c>
      <c r="P284" s="41" t="str">
        <f t="shared" si="14"/>
        <v/>
      </c>
    </row>
    <row r="285" spans="2:16">
      <c r="B285" s="43"/>
      <c r="C285" s="43"/>
      <c r="D285" s="43"/>
      <c r="E285" s="43"/>
      <c r="F285" s="43"/>
      <c r="G285" s="43"/>
      <c r="H285" s="43"/>
      <c r="I285" s="43"/>
      <c r="J285" s="43"/>
      <c r="K285" s="43"/>
      <c r="L285" s="44">
        <f>IF($B285="",0,IF($C285="HZ",1,IFERROR(INDEX('Value Streams &amp; Delivery Mode'!$D$17:$M$22,MATCH($D285,'Value Streams &amp; Delivery Mode'!$B$17:$B$22,0),($B285-1)*2+IF($C285="POD",1,2)),0)))</f>
        <v>0</v>
      </c>
      <c r="M285" s="45">
        <f t="shared" si="12"/>
        <v>0</v>
      </c>
      <c r="N285" s="46">
        <f>IF($B285="",0,IFERROR(INDEX('Rates &amp; Tables'!$C$61:$G$63,MATCH($I285,'Rates &amp; Tables'!$J$61:$J$63,0),MATCH($H285,'Rates &amp; Tables'!$C$60:$G$60,0)),0))</f>
        <v>0</v>
      </c>
      <c r="O285" s="44">
        <f t="shared" si="13"/>
        <v>0</v>
      </c>
      <c r="P285" s="41" t="str">
        <f t="shared" si="14"/>
        <v/>
      </c>
    </row>
    <row r="286" spans="2:16">
      <c r="B286" s="43"/>
      <c r="C286" s="43"/>
      <c r="D286" s="43"/>
      <c r="E286" s="43"/>
      <c r="F286" s="43"/>
      <c r="G286" s="43"/>
      <c r="H286" s="43"/>
      <c r="I286" s="43"/>
      <c r="J286" s="43"/>
      <c r="K286" s="43"/>
      <c r="L286" s="44">
        <f>IF($B286="",0,IF($C286="HZ",1,IFERROR(INDEX('Value Streams &amp; Delivery Mode'!$D$17:$M$22,MATCH($D286,'Value Streams &amp; Delivery Mode'!$B$17:$B$22,0),($B286-1)*2+IF($C286="POD",1,2)),0)))</f>
        <v>0</v>
      </c>
      <c r="M286" s="45">
        <f t="shared" si="12"/>
        <v>0</v>
      </c>
      <c r="N286" s="46">
        <f>IF($B286="",0,IFERROR(INDEX('Rates &amp; Tables'!$C$61:$G$63,MATCH($I286,'Rates &amp; Tables'!$J$61:$J$63,0),MATCH($H286,'Rates &amp; Tables'!$C$60:$G$60,0)),0))</f>
        <v>0</v>
      </c>
      <c r="O286" s="44">
        <f t="shared" si="13"/>
        <v>0</v>
      </c>
      <c r="P286" s="41" t="str">
        <f t="shared" si="14"/>
        <v/>
      </c>
    </row>
    <row r="287" spans="2:16">
      <c r="B287" s="43"/>
      <c r="C287" s="43"/>
      <c r="D287" s="43"/>
      <c r="E287" s="43"/>
      <c r="F287" s="43"/>
      <c r="G287" s="43"/>
      <c r="H287" s="43"/>
      <c r="I287" s="43"/>
      <c r="J287" s="43"/>
      <c r="K287" s="43"/>
      <c r="L287" s="44">
        <f>IF($B287="",0,IF($C287="HZ",1,IFERROR(INDEX('Value Streams &amp; Delivery Mode'!$D$17:$M$22,MATCH($D287,'Value Streams &amp; Delivery Mode'!$B$17:$B$22,0),($B287-1)*2+IF($C287="POD",1,2)),0)))</f>
        <v>0</v>
      </c>
      <c r="M287" s="45">
        <f t="shared" si="12"/>
        <v>0</v>
      </c>
      <c r="N287" s="46">
        <f>IF($B287="",0,IFERROR(INDEX('Rates &amp; Tables'!$C$61:$G$63,MATCH($I287,'Rates &amp; Tables'!$J$61:$J$63,0),MATCH($H287,'Rates &amp; Tables'!$C$60:$G$60,0)),0))</f>
        <v>0</v>
      </c>
      <c r="O287" s="44">
        <f t="shared" si="13"/>
        <v>0</v>
      </c>
      <c r="P287" s="41" t="str">
        <f t="shared" si="14"/>
        <v/>
      </c>
    </row>
    <row r="288" spans="2:16">
      <c r="B288" s="43"/>
      <c r="C288" s="43"/>
      <c r="D288" s="43"/>
      <c r="E288" s="43"/>
      <c r="F288" s="43"/>
      <c r="G288" s="43"/>
      <c r="H288" s="43"/>
      <c r="I288" s="43"/>
      <c r="J288" s="43"/>
      <c r="K288" s="43"/>
      <c r="L288" s="44">
        <f>IF($B288="",0,IF($C288="HZ",1,IFERROR(INDEX('Value Streams &amp; Delivery Mode'!$D$17:$M$22,MATCH($D288,'Value Streams &amp; Delivery Mode'!$B$17:$B$22,0),($B288-1)*2+IF($C288="POD",1,2)),0)))</f>
        <v>0</v>
      </c>
      <c r="M288" s="45">
        <f t="shared" si="12"/>
        <v>0</v>
      </c>
      <c r="N288" s="46">
        <f>IF($B288="",0,IFERROR(INDEX('Rates &amp; Tables'!$C$61:$G$63,MATCH($I288,'Rates &amp; Tables'!$J$61:$J$63,0),MATCH($H288,'Rates &amp; Tables'!$C$60:$G$60,0)),0))</f>
        <v>0</v>
      </c>
      <c r="O288" s="44">
        <f t="shared" si="13"/>
        <v>0</v>
      </c>
      <c r="P288" s="41" t="str">
        <f t="shared" si="14"/>
        <v/>
      </c>
    </row>
    <row r="289" spans="2:16">
      <c r="B289" s="43"/>
      <c r="C289" s="43"/>
      <c r="D289" s="43"/>
      <c r="E289" s="43"/>
      <c r="F289" s="43"/>
      <c r="G289" s="43"/>
      <c r="H289" s="43"/>
      <c r="I289" s="43"/>
      <c r="J289" s="43"/>
      <c r="K289" s="43"/>
      <c r="L289" s="44">
        <f>IF($B289="",0,IF($C289="HZ",1,IFERROR(INDEX('Value Streams &amp; Delivery Mode'!$D$17:$M$22,MATCH($D289,'Value Streams &amp; Delivery Mode'!$B$17:$B$22,0),($B289-1)*2+IF($C289="POD",1,2)),0)))</f>
        <v>0</v>
      </c>
      <c r="M289" s="45">
        <f t="shared" si="12"/>
        <v>0</v>
      </c>
      <c r="N289" s="46">
        <f>IF($B289="",0,IFERROR(INDEX('Rates &amp; Tables'!$C$61:$G$63,MATCH($I289,'Rates &amp; Tables'!$J$61:$J$63,0),MATCH($H289,'Rates &amp; Tables'!$C$60:$G$60,0)),0))</f>
        <v>0</v>
      </c>
      <c r="O289" s="44">
        <f t="shared" si="13"/>
        <v>0</v>
      </c>
      <c r="P289" s="41" t="str">
        <f t="shared" si="14"/>
        <v/>
      </c>
    </row>
    <row r="290" spans="2:16">
      <c r="B290" s="43"/>
      <c r="C290" s="43"/>
      <c r="D290" s="43"/>
      <c r="E290" s="43"/>
      <c r="F290" s="43"/>
      <c r="G290" s="43"/>
      <c r="H290" s="43"/>
      <c r="I290" s="43"/>
      <c r="J290" s="43"/>
      <c r="K290" s="43"/>
      <c r="L290" s="44">
        <f>IF($B290="",0,IF($C290="HZ",1,IFERROR(INDEX('Value Streams &amp; Delivery Mode'!$D$17:$M$22,MATCH($D290,'Value Streams &amp; Delivery Mode'!$B$17:$B$22,0),($B290-1)*2+IF($C290="POD",1,2)),0)))</f>
        <v>0</v>
      </c>
      <c r="M290" s="45">
        <f t="shared" si="12"/>
        <v>0</v>
      </c>
      <c r="N290" s="46">
        <f>IF($B290="",0,IFERROR(INDEX('Rates &amp; Tables'!$C$61:$G$63,MATCH($I290,'Rates &amp; Tables'!$J$61:$J$63,0),MATCH($H290,'Rates &amp; Tables'!$C$60:$G$60,0)),0))</f>
        <v>0</v>
      </c>
      <c r="O290" s="44">
        <f t="shared" si="13"/>
        <v>0</v>
      </c>
      <c r="P290" s="41" t="str">
        <f t="shared" si="14"/>
        <v/>
      </c>
    </row>
    <row r="291" spans="2:16">
      <c r="B291" s="43"/>
      <c r="C291" s="43"/>
      <c r="D291" s="43"/>
      <c r="E291" s="43"/>
      <c r="F291" s="43"/>
      <c r="G291" s="43"/>
      <c r="H291" s="43"/>
      <c r="I291" s="43"/>
      <c r="J291" s="43"/>
      <c r="K291" s="43"/>
      <c r="L291" s="44">
        <f>IF($B291="",0,IF($C291="HZ",1,IFERROR(INDEX('Value Streams &amp; Delivery Mode'!$D$17:$M$22,MATCH($D291,'Value Streams &amp; Delivery Mode'!$B$17:$B$22,0),($B291-1)*2+IF($C291="POD",1,2)),0)))</f>
        <v>0</v>
      </c>
      <c r="M291" s="45">
        <f t="shared" si="12"/>
        <v>0</v>
      </c>
      <c r="N291" s="46">
        <f>IF($B291="",0,IFERROR(INDEX('Rates &amp; Tables'!$C$61:$G$63,MATCH($I291,'Rates &amp; Tables'!$J$61:$J$63,0),MATCH($H291,'Rates &amp; Tables'!$C$60:$G$60,0)),0))</f>
        <v>0</v>
      </c>
      <c r="O291" s="44">
        <f t="shared" si="13"/>
        <v>0</v>
      </c>
      <c r="P291" s="41" t="str">
        <f t="shared" si="14"/>
        <v/>
      </c>
    </row>
    <row r="292" spans="2:16">
      <c r="B292" s="43"/>
      <c r="C292" s="43"/>
      <c r="D292" s="43"/>
      <c r="E292" s="43"/>
      <c r="F292" s="43"/>
      <c r="G292" s="43"/>
      <c r="H292" s="43"/>
      <c r="I292" s="43"/>
      <c r="J292" s="43"/>
      <c r="K292" s="43"/>
      <c r="L292" s="44">
        <f>IF($B292="",0,IF($C292="HZ",1,IFERROR(INDEX('Value Streams &amp; Delivery Mode'!$D$17:$M$22,MATCH($D292,'Value Streams &amp; Delivery Mode'!$B$17:$B$22,0),($B292-1)*2+IF($C292="POD",1,2)),0)))</f>
        <v>0</v>
      </c>
      <c r="M292" s="45">
        <f t="shared" si="12"/>
        <v>0</v>
      </c>
      <c r="N292" s="46">
        <f>IF($B292="",0,IFERROR(INDEX('Rates &amp; Tables'!$C$61:$G$63,MATCH($I292,'Rates &amp; Tables'!$J$61:$J$63,0),MATCH($H292,'Rates &amp; Tables'!$C$60:$G$60,0)),0))</f>
        <v>0</v>
      </c>
      <c r="O292" s="44">
        <f t="shared" si="13"/>
        <v>0</v>
      </c>
      <c r="P292" s="41" t="str">
        <f t="shared" si="14"/>
        <v/>
      </c>
    </row>
    <row r="293" spans="2:16">
      <c r="B293" s="43"/>
      <c r="C293" s="43"/>
      <c r="D293" s="43"/>
      <c r="E293" s="43"/>
      <c r="F293" s="43"/>
      <c r="G293" s="43"/>
      <c r="H293" s="43"/>
      <c r="I293" s="43"/>
      <c r="J293" s="43"/>
      <c r="K293" s="43"/>
      <c r="L293" s="44">
        <f>IF($B293="",0,IF($C293="HZ",1,IFERROR(INDEX('Value Streams &amp; Delivery Mode'!$D$17:$M$22,MATCH($D293,'Value Streams &amp; Delivery Mode'!$B$17:$B$22,0),($B293-1)*2+IF($C293="POD",1,2)),0)))</f>
        <v>0</v>
      </c>
      <c r="M293" s="45">
        <f t="shared" si="12"/>
        <v>0</v>
      </c>
      <c r="N293" s="46">
        <f>IF($B293="",0,IFERROR(INDEX('Rates &amp; Tables'!$C$61:$G$63,MATCH($I293,'Rates &amp; Tables'!$J$61:$J$63,0),MATCH($H293,'Rates &amp; Tables'!$C$60:$G$60,0)),0))</f>
        <v>0</v>
      </c>
      <c r="O293" s="44">
        <f t="shared" si="13"/>
        <v>0</v>
      </c>
      <c r="P293" s="41" t="str">
        <f t="shared" si="14"/>
        <v/>
      </c>
    </row>
    <row r="294" spans="2:16">
      <c r="B294" s="43"/>
      <c r="C294" s="43"/>
      <c r="D294" s="43"/>
      <c r="E294" s="43"/>
      <c r="F294" s="43"/>
      <c r="G294" s="43"/>
      <c r="H294" s="43"/>
      <c r="I294" s="43"/>
      <c r="J294" s="43"/>
      <c r="K294" s="43"/>
      <c r="L294" s="44">
        <f>IF($B294="",0,IF($C294="HZ",1,IFERROR(INDEX('Value Streams &amp; Delivery Mode'!$D$17:$M$22,MATCH($D294,'Value Streams &amp; Delivery Mode'!$B$17:$B$22,0),($B294-1)*2+IF($C294="POD",1,2)),0)))</f>
        <v>0</v>
      </c>
      <c r="M294" s="45">
        <f t="shared" si="12"/>
        <v>0</v>
      </c>
      <c r="N294" s="46">
        <f>IF($B294="",0,IFERROR(INDEX('Rates &amp; Tables'!$C$61:$G$63,MATCH($I294,'Rates &amp; Tables'!$J$61:$J$63,0),MATCH($H294,'Rates &amp; Tables'!$C$60:$G$60,0)),0))</f>
        <v>0</v>
      </c>
      <c r="O294" s="44">
        <f t="shared" si="13"/>
        <v>0</v>
      </c>
      <c r="P294" s="41" t="str">
        <f t="shared" si="14"/>
        <v/>
      </c>
    </row>
    <row r="295" spans="2:16">
      <c r="B295" s="43"/>
      <c r="C295" s="43"/>
      <c r="D295" s="43"/>
      <c r="E295" s="43"/>
      <c r="F295" s="43"/>
      <c r="G295" s="43"/>
      <c r="H295" s="43"/>
      <c r="I295" s="43"/>
      <c r="J295" s="43"/>
      <c r="K295" s="43"/>
      <c r="L295" s="44">
        <f>IF($B295="",0,IF($C295="HZ",1,IFERROR(INDEX('Value Streams &amp; Delivery Mode'!$D$17:$M$22,MATCH($D295,'Value Streams &amp; Delivery Mode'!$B$17:$B$22,0),($B295-1)*2+IF($C295="POD",1,2)),0)))</f>
        <v>0</v>
      </c>
      <c r="M295" s="45">
        <f t="shared" si="12"/>
        <v>0</v>
      </c>
      <c r="N295" s="46">
        <f>IF($B295="",0,IFERROR(INDEX('Rates &amp; Tables'!$C$61:$G$63,MATCH($I295,'Rates &amp; Tables'!$J$61:$J$63,0),MATCH($H295,'Rates &amp; Tables'!$C$60:$G$60,0)),0))</f>
        <v>0</v>
      </c>
      <c r="O295" s="44">
        <f t="shared" si="13"/>
        <v>0</v>
      </c>
      <c r="P295" s="41" t="str">
        <f t="shared" si="14"/>
        <v/>
      </c>
    </row>
    <row r="296" spans="2:16">
      <c r="B296" s="43"/>
      <c r="C296" s="43"/>
      <c r="D296" s="43"/>
      <c r="E296" s="43"/>
      <c r="F296" s="43"/>
      <c r="G296" s="43"/>
      <c r="H296" s="43"/>
      <c r="I296" s="43"/>
      <c r="J296" s="43"/>
      <c r="K296" s="43"/>
      <c r="L296" s="44">
        <f>IF($B296="",0,IF($C296="HZ",1,IFERROR(INDEX('Value Streams &amp; Delivery Mode'!$D$17:$M$22,MATCH($D296,'Value Streams &amp; Delivery Mode'!$B$17:$B$22,0),($B296-1)*2+IF($C296="POD",1,2)),0)))</f>
        <v>0</v>
      </c>
      <c r="M296" s="45">
        <f t="shared" si="12"/>
        <v>0</v>
      </c>
      <c r="N296" s="46">
        <f>IF($B296="",0,IFERROR(INDEX('Rates &amp; Tables'!$C$61:$G$63,MATCH($I296,'Rates &amp; Tables'!$J$61:$J$63,0),MATCH($H296,'Rates &amp; Tables'!$C$60:$G$60,0)),0))</f>
        <v>0</v>
      </c>
      <c r="O296" s="44">
        <f t="shared" si="13"/>
        <v>0</v>
      </c>
      <c r="P296" s="41" t="str">
        <f t="shared" si="14"/>
        <v/>
      </c>
    </row>
    <row r="297" spans="2:16">
      <c r="B297" s="43"/>
      <c r="C297" s="43"/>
      <c r="D297" s="43"/>
      <c r="E297" s="43"/>
      <c r="F297" s="43"/>
      <c r="G297" s="43"/>
      <c r="H297" s="43"/>
      <c r="I297" s="43"/>
      <c r="J297" s="43"/>
      <c r="K297" s="43"/>
      <c r="L297" s="44">
        <f>IF($B297="",0,IF($C297="HZ",1,IFERROR(INDEX('Value Streams &amp; Delivery Mode'!$D$17:$M$22,MATCH($D297,'Value Streams &amp; Delivery Mode'!$B$17:$B$22,0),($B297-1)*2+IF($C297="POD",1,2)),0)))</f>
        <v>0</v>
      </c>
      <c r="M297" s="45">
        <f t="shared" si="12"/>
        <v>0</v>
      </c>
      <c r="N297" s="46">
        <f>IF($B297="",0,IFERROR(INDEX('Rates &amp; Tables'!$C$61:$G$63,MATCH($I297,'Rates &amp; Tables'!$J$61:$J$63,0),MATCH($H297,'Rates &amp; Tables'!$C$60:$G$60,0)),0))</f>
        <v>0</v>
      </c>
      <c r="O297" s="44">
        <f t="shared" si="13"/>
        <v>0</v>
      </c>
      <c r="P297" s="41" t="str">
        <f t="shared" si="14"/>
        <v/>
      </c>
    </row>
    <row r="298" spans="2:16">
      <c r="B298" s="43"/>
      <c r="C298" s="43"/>
      <c r="D298" s="43"/>
      <c r="E298" s="43"/>
      <c r="F298" s="43"/>
      <c r="G298" s="43"/>
      <c r="H298" s="43"/>
      <c r="I298" s="43"/>
      <c r="J298" s="43"/>
      <c r="K298" s="43"/>
      <c r="L298" s="44">
        <f>IF($B298="",0,IF($C298="HZ",1,IFERROR(INDEX('Value Streams &amp; Delivery Mode'!$D$17:$M$22,MATCH($D298,'Value Streams &amp; Delivery Mode'!$B$17:$B$22,0),($B298-1)*2+IF($C298="POD",1,2)),0)))</f>
        <v>0</v>
      </c>
      <c r="M298" s="45">
        <f t="shared" si="12"/>
        <v>0</v>
      </c>
      <c r="N298" s="46">
        <f>IF($B298="",0,IFERROR(INDEX('Rates &amp; Tables'!$C$61:$G$63,MATCH($I298,'Rates &amp; Tables'!$J$61:$J$63,0),MATCH($H298,'Rates &amp; Tables'!$C$60:$G$60,0)),0))</f>
        <v>0</v>
      </c>
      <c r="O298" s="44">
        <f t="shared" si="13"/>
        <v>0</v>
      </c>
      <c r="P298" s="41" t="str">
        <f t="shared" si="14"/>
        <v/>
      </c>
    </row>
    <row r="299" spans="2:16">
      <c r="B299" s="43"/>
      <c r="C299" s="43"/>
      <c r="D299" s="43"/>
      <c r="E299" s="43"/>
      <c r="F299" s="43"/>
      <c r="G299" s="43"/>
      <c r="H299" s="43"/>
      <c r="I299" s="43"/>
      <c r="J299" s="43"/>
      <c r="K299" s="43"/>
      <c r="L299" s="44">
        <f>IF($B299="",0,IF($C299="HZ",1,IFERROR(INDEX('Value Streams &amp; Delivery Mode'!$D$17:$M$22,MATCH($D299,'Value Streams &amp; Delivery Mode'!$B$17:$B$22,0),($B299-1)*2+IF($C299="POD",1,2)),0)))</f>
        <v>0</v>
      </c>
      <c r="M299" s="45">
        <f t="shared" si="12"/>
        <v>0</v>
      </c>
      <c r="N299" s="46">
        <f>IF($B299="",0,IFERROR(INDEX('Rates &amp; Tables'!$C$61:$G$63,MATCH($I299,'Rates &amp; Tables'!$J$61:$J$63,0),MATCH($H299,'Rates &amp; Tables'!$C$60:$G$60,0)),0))</f>
        <v>0</v>
      </c>
      <c r="O299" s="44">
        <f t="shared" si="13"/>
        <v>0</v>
      </c>
      <c r="P299" s="41" t="str">
        <f t="shared" si="14"/>
        <v/>
      </c>
    </row>
    <row r="300" spans="2:16">
      <c r="B300" s="43"/>
      <c r="C300" s="43"/>
      <c r="D300" s="43"/>
      <c r="E300" s="43"/>
      <c r="F300" s="43"/>
      <c r="G300" s="43"/>
      <c r="H300" s="43"/>
      <c r="I300" s="43"/>
      <c r="J300" s="43"/>
      <c r="K300" s="43"/>
      <c r="L300" s="44">
        <f>IF($B300="",0,IF($C300="HZ",1,IFERROR(INDEX('Value Streams &amp; Delivery Mode'!$D$17:$M$22,MATCH($D300,'Value Streams &amp; Delivery Mode'!$B$17:$B$22,0),($B300-1)*2+IF($C300="POD",1,2)),0)))</f>
        <v>0</v>
      </c>
      <c r="M300" s="45">
        <f t="shared" si="12"/>
        <v>0</v>
      </c>
      <c r="N300" s="46">
        <f>IF($B300="",0,IFERROR(INDEX('Rates &amp; Tables'!$C$61:$G$63,MATCH($I300,'Rates &amp; Tables'!$J$61:$J$63,0),MATCH($H300,'Rates &amp; Tables'!$C$60:$G$60,0)),0))</f>
        <v>0</v>
      </c>
      <c r="O300" s="44">
        <f t="shared" si="13"/>
        <v>0</v>
      </c>
      <c r="P300" s="41" t="str">
        <f t="shared" si="14"/>
        <v/>
      </c>
    </row>
    <row r="301" spans="2:16">
      <c r="B301" s="43"/>
      <c r="C301" s="43"/>
      <c r="D301" s="43"/>
      <c r="E301" s="43"/>
      <c r="F301" s="43"/>
      <c r="G301" s="43"/>
      <c r="H301" s="43"/>
      <c r="I301" s="43"/>
      <c r="J301" s="43"/>
      <c r="K301" s="43"/>
      <c r="L301" s="44">
        <f>IF($B301="",0,IF($C301="HZ",1,IFERROR(INDEX('Value Streams &amp; Delivery Mode'!$D$17:$M$22,MATCH($D301,'Value Streams &amp; Delivery Mode'!$B$17:$B$22,0),($B301-1)*2+IF($C301="POD",1,2)),0)))</f>
        <v>0</v>
      </c>
      <c r="M301" s="45">
        <f t="shared" si="12"/>
        <v>0</v>
      </c>
      <c r="N301" s="46">
        <f>IF($B301="",0,IFERROR(INDEX('Rates &amp; Tables'!$C$61:$G$63,MATCH($I301,'Rates &amp; Tables'!$J$61:$J$63,0),MATCH($H301,'Rates &amp; Tables'!$C$60:$G$60,0)),0))</f>
        <v>0</v>
      </c>
      <c r="O301" s="44">
        <f t="shared" si="13"/>
        <v>0</v>
      </c>
      <c r="P301" s="41" t="str">
        <f t="shared" si="14"/>
        <v/>
      </c>
    </row>
    <row r="302" spans="2:16">
      <c r="B302" s="43"/>
      <c r="C302" s="43"/>
      <c r="D302" s="43"/>
      <c r="E302" s="43"/>
      <c r="F302" s="43"/>
      <c r="G302" s="43"/>
      <c r="H302" s="43"/>
      <c r="I302" s="43"/>
      <c r="J302" s="43"/>
      <c r="K302" s="43"/>
      <c r="L302" s="44">
        <f>IF($B302="",0,IF($C302="HZ",1,IFERROR(INDEX('Value Streams &amp; Delivery Mode'!$D$17:$M$22,MATCH($D302,'Value Streams &amp; Delivery Mode'!$B$17:$B$22,0),($B302-1)*2+IF($C302="POD",1,2)),0)))</f>
        <v>0</v>
      </c>
      <c r="M302" s="45">
        <f t="shared" si="12"/>
        <v>0</v>
      </c>
      <c r="N302" s="46">
        <f>IF($B302="",0,IFERROR(INDEX('Rates &amp; Tables'!$C$61:$G$63,MATCH($I302,'Rates &amp; Tables'!$J$61:$J$63,0),MATCH($H302,'Rates &amp; Tables'!$C$60:$G$60,0)),0))</f>
        <v>0</v>
      </c>
      <c r="O302" s="44">
        <f t="shared" si="13"/>
        <v>0</v>
      </c>
      <c r="P302" s="41" t="str">
        <f t="shared" si="14"/>
        <v/>
      </c>
    </row>
    <row r="303" spans="2:16">
      <c r="B303" s="43"/>
      <c r="C303" s="43"/>
      <c r="D303" s="43"/>
      <c r="E303" s="43"/>
      <c r="F303" s="43"/>
      <c r="G303" s="43"/>
      <c r="H303" s="43"/>
      <c r="I303" s="43"/>
      <c r="J303" s="43"/>
      <c r="K303" s="43"/>
      <c r="L303" s="44">
        <f>IF($B303="",0,IF($C303="HZ",1,IFERROR(INDEX('Value Streams &amp; Delivery Mode'!$D$17:$M$22,MATCH($D303,'Value Streams &amp; Delivery Mode'!$B$17:$B$22,0),($B303-1)*2+IF($C303="POD",1,2)),0)))</f>
        <v>0</v>
      </c>
      <c r="M303" s="45">
        <f t="shared" si="12"/>
        <v>0</v>
      </c>
      <c r="N303" s="46">
        <f>IF($B303="",0,IFERROR(INDEX('Rates &amp; Tables'!$C$61:$G$63,MATCH($I303,'Rates &amp; Tables'!$J$61:$J$63,0),MATCH($H303,'Rates &amp; Tables'!$C$60:$G$60,0)),0))</f>
        <v>0</v>
      </c>
      <c r="O303" s="44">
        <f t="shared" si="13"/>
        <v>0</v>
      </c>
      <c r="P303" s="41" t="str">
        <f t="shared" si="14"/>
        <v/>
      </c>
    </row>
    <row r="304" spans="2:16">
      <c r="B304" s="43"/>
      <c r="C304" s="43"/>
      <c r="D304" s="43"/>
      <c r="E304" s="43"/>
      <c r="F304" s="43"/>
      <c r="G304" s="43"/>
      <c r="H304" s="43"/>
      <c r="I304" s="43"/>
      <c r="J304" s="43"/>
      <c r="K304" s="43"/>
      <c r="L304" s="44">
        <f>IF($B304="",0,IF($C304="HZ",1,IFERROR(INDEX('Value Streams &amp; Delivery Mode'!$D$17:$M$22,MATCH($D304,'Value Streams &amp; Delivery Mode'!$B$17:$B$22,0),($B304-1)*2+IF($C304="POD",1,2)),0)))</f>
        <v>0</v>
      </c>
      <c r="M304" s="45">
        <f t="shared" si="12"/>
        <v>0</v>
      </c>
      <c r="N304" s="46">
        <f>IF($B304="",0,IFERROR(INDEX('Rates &amp; Tables'!$C$61:$G$63,MATCH($I304,'Rates &amp; Tables'!$J$61:$J$63,0),MATCH($H304,'Rates &amp; Tables'!$C$60:$G$60,0)),0))</f>
        <v>0</v>
      </c>
      <c r="O304" s="44">
        <f t="shared" si="13"/>
        <v>0</v>
      </c>
      <c r="P304" s="41" t="str">
        <f t="shared" si="14"/>
        <v/>
      </c>
    </row>
    <row r="305" spans="2:16">
      <c r="B305" s="43"/>
      <c r="C305" s="43"/>
      <c r="D305" s="43"/>
      <c r="E305" s="43"/>
      <c r="F305" s="43"/>
      <c r="G305" s="43"/>
      <c r="H305" s="43"/>
      <c r="I305" s="43"/>
      <c r="J305" s="43"/>
      <c r="K305" s="43"/>
      <c r="L305" s="44">
        <f>IF($B305="",0,IF($C305="HZ",1,IFERROR(INDEX('Value Streams &amp; Delivery Mode'!$D$17:$M$22,MATCH($D305,'Value Streams &amp; Delivery Mode'!$B$17:$B$22,0),($B305-1)*2+IF($C305="POD",1,2)),0)))</f>
        <v>0</v>
      </c>
      <c r="M305" s="45">
        <f t="shared" si="12"/>
        <v>0</v>
      </c>
      <c r="N305" s="46">
        <f>IF($B305="",0,IFERROR(INDEX('Rates &amp; Tables'!$C$61:$G$63,MATCH($I305,'Rates &amp; Tables'!$J$61:$J$63,0),MATCH($H305,'Rates &amp; Tables'!$C$60:$G$60,0)),0))</f>
        <v>0</v>
      </c>
      <c r="O305" s="44">
        <f t="shared" si="13"/>
        <v>0</v>
      </c>
      <c r="P305" s="41" t="str">
        <f t="shared" si="14"/>
        <v/>
      </c>
    </row>
    <row r="306" spans="2:16">
      <c r="B306" s="43"/>
      <c r="C306" s="43"/>
      <c r="D306" s="43"/>
      <c r="E306" s="43"/>
      <c r="F306" s="43"/>
      <c r="G306" s="43"/>
      <c r="H306" s="43"/>
      <c r="I306" s="43"/>
      <c r="J306" s="43"/>
      <c r="K306" s="43"/>
      <c r="L306" s="44">
        <f>IF($B306="",0,IF($C306="HZ",1,IFERROR(INDEX('Value Streams &amp; Delivery Mode'!$D$17:$M$22,MATCH($D306,'Value Streams &amp; Delivery Mode'!$B$17:$B$22,0),($B306-1)*2+IF($C306="POD",1,2)),0)))</f>
        <v>0</v>
      </c>
      <c r="M306" s="45">
        <f t="shared" si="12"/>
        <v>0</v>
      </c>
      <c r="N306" s="46">
        <f>IF($B306="",0,IFERROR(INDEX('Rates &amp; Tables'!$C$61:$G$63,MATCH($I306,'Rates &amp; Tables'!$J$61:$J$63,0),MATCH($H306,'Rates &amp; Tables'!$C$60:$G$60,0)),0))</f>
        <v>0</v>
      </c>
      <c r="O306" s="44">
        <f t="shared" si="13"/>
        <v>0</v>
      </c>
      <c r="P306" s="41" t="str">
        <f t="shared" si="14"/>
        <v/>
      </c>
    </row>
    <row r="307" spans="2:16">
      <c r="B307" s="43"/>
      <c r="C307" s="43"/>
      <c r="D307" s="43"/>
      <c r="E307" s="43"/>
      <c r="F307" s="43"/>
      <c r="G307" s="43"/>
      <c r="H307" s="43"/>
      <c r="I307" s="43"/>
      <c r="J307" s="43"/>
      <c r="K307" s="43"/>
      <c r="L307" s="44">
        <f>IF($B307="",0,IF($C307="HZ",1,IFERROR(INDEX('Value Streams &amp; Delivery Mode'!$D$17:$M$22,MATCH($D307,'Value Streams &amp; Delivery Mode'!$B$17:$B$22,0),($B307-1)*2+IF($C307="POD",1,2)),0)))</f>
        <v>0</v>
      </c>
      <c r="M307" s="45">
        <f t="shared" si="12"/>
        <v>0</v>
      </c>
      <c r="N307" s="46">
        <f>IF($B307="",0,IFERROR(INDEX('Rates &amp; Tables'!$C$61:$G$63,MATCH($I307,'Rates &amp; Tables'!$J$61:$J$63,0),MATCH($H307,'Rates &amp; Tables'!$C$60:$G$60,0)),0))</f>
        <v>0</v>
      </c>
      <c r="O307" s="44">
        <f t="shared" si="13"/>
        <v>0</v>
      </c>
      <c r="P307" s="41" t="str">
        <f t="shared" si="14"/>
        <v/>
      </c>
    </row>
    <row r="308" spans="2:16">
      <c r="B308" s="43"/>
      <c r="C308" s="43"/>
      <c r="D308" s="43"/>
      <c r="E308" s="43"/>
      <c r="F308" s="43"/>
      <c r="G308" s="43"/>
      <c r="H308" s="43"/>
      <c r="I308" s="43"/>
      <c r="J308" s="43"/>
      <c r="K308" s="43"/>
      <c r="L308" s="44">
        <f>IF($B308="",0,IF($C308="HZ",1,IFERROR(INDEX('Value Streams &amp; Delivery Mode'!$D$17:$M$22,MATCH($D308,'Value Streams &amp; Delivery Mode'!$B$17:$B$22,0),($B308-1)*2+IF($C308="POD",1,2)),0)))</f>
        <v>0</v>
      </c>
      <c r="M308" s="45">
        <f t="shared" si="12"/>
        <v>0</v>
      </c>
      <c r="N308" s="46">
        <f>IF($B308="",0,IFERROR(INDEX('Rates &amp; Tables'!$C$61:$G$63,MATCH($I308,'Rates &amp; Tables'!$J$61:$J$63,0),MATCH($H308,'Rates &amp; Tables'!$C$60:$G$60,0)),0))</f>
        <v>0</v>
      </c>
      <c r="O308" s="44">
        <f t="shared" si="13"/>
        <v>0</v>
      </c>
      <c r="P308" s="41" t="str">
        <f t="shared" si="14"/>
        <v/>
      </c>
    </row>
    <row r="309" spans="2:16">
      <c r="B309" s="43"/>
      <c r="C309" s="43"/>
      <c r="D309" s="43"/>
      <c r="E309" s="43"/>
      <c r="F309" s="43"/>
      <c r="G309" s="43"/>
      <c r="H309" s="43"/>
      <c r="I309" s="43"/>
      <c r="J309" s="43"/>
      <c r="K309" s="43"/>
      <c r="L309" s="44">
        <f>IF($B309="",0,IF($C309="HZ",1,IFERROR(INDEX('Value Streams &amp; Delivery Mode'!$D$17:$M$22,MATCH($D309,'Value Streams &amp; Delivery Mode'!$B$17:$B$22,0),($B309-1)*2+IF($C309="POD",1,2)),0)))</f>
        <v>0</v>
      </c>
      <c r="M309" s="45">
        <f t="shared" si="12"/>
        <v>0</v>
      </c>
      <c r="N309" s="46">
        <f>IF($B309="",0,IFERROR(INDEX('Rates &amp; Tables'!$C$61:$G$63,MATCH($I309,'Rates &amp; Tables'!$J$61:$J$63,0),MATCH($H309,'Rates &amp; Tables'!$C$60:$G$60,0)),0))</f>
        <v>0</v>
      </c>
      <c r="O309" s="44">
        <f t="shared" si="13"/>
        <v>0</v>
      </c>
      <c r="P309" s="41" t="str">
        <f t="shared" si="14"/>
        <v/>
      </c>
    </row>
    <row r="310" spans="2:16">
      <c r="B310" s="43"/>
      <c r="C310" s="43"/>
      <c r="D310" s="43"/>
      <c r="E310" s="43"/>
      <c r="F310" s="43"/>
      <c r="G310" s="43"/>
      <c r="H310" s="43"/>
      <c r="I310" s="43"/>
      <c r="J310" s="43"/>
      <c r="K310" s="43"/>
      <c r="L310" s="44">
        <f>IF($B310="",0,IF($C310="HZ",1,IFERROR(INDEX('Value Streams &amp; Delivery Mode'!$D$17:$M$22,MATCH($D310,'Value Streams &amp; Delivery Mode'!$B$17:$B$22,0),($B310-1)*2+IF($C310="POD",1,2)),0)))</f>
        <v>0</v>
      </c>
      <c r="M310" s="45">
        <f t="shared" si="12"/>
        <v>0</v>
      </c>
      <c r="N310" s="46">
        <f>IF($B310="",0,IFERROR(INDEX('Rates &amp; Tables'!$C$61:$G$63,MATCH($I310,'Rates &amp; Tables'!$J$61:$J$63,0),MATCH($H310,'Rates &amp; Tables'!$C$60:$G$60,0)),0))</f>
        <v>0</v>
      </c>
      <c r="O310" s="44">
        <f t="shared" si="13"/>
        <v>0</v>
      </c>
      <c r="P310" s="41" t="str">
        <f t="shared" si="14"/>
        <v/>
      </c>
    </row>
    <row r="311" spans="2:16">
      <c r="B311" s="43"/>
      <c r="C311" s="43"/>
      <c r="D311" s="43"/>
      <c r="E311" s="43"/>
      <c r="F311" s="43"/>
      <c r="G311" s="43"/>
      <c r="H311" s="43"/>
      <c r="I311" s="43"/>
      <c r="J311" s="43"/>
      <c r="K311" s="43"/>
      <c r="L311" s="44">
        <f>IF($B311="",0,IF($C311="HZ",1,IFERROR(INDEX('Value Streams &amp; Delivery Mode'!$D$17:$M$22,MATCH($D311,'Value Streams &amp; Delivery Mode'!$B$17:$B$22,0),($B311-1)*2+IF($C311="POD",1,2)),0)))</f>
        <v>0</v>
      </c>
      <c r="M311" s="45">
        <f t="shared" si="12"/>
        <v>0</v>
      </c>
      <c r="N311" s="46">
        <f>IF($B311="",0,IFERROR(INDEX('Rates &amp; Tables'!$C$61:$G$63,MATCH($I311,'Rates &amp; Tables'!$J$61:$J$63,0),MATCH($H311,'Rates &amp; Tables'!$C$60:$G$60,0)),0))</f>
        <v>0</v>
      </c>
      <c r="O311" s="44">
        <f t="shared" si="13"/>
        <v>0</v>
      </c>
      <c r="P311" s="41" t="str">
        <f t="shared" si="14"/>
        <v/>
      </c>
    </row>
    <row r="312" spans="2:16">
      <c r="B312" s="43"/>
      <c r="C312" s="43"/>
      <c r="D312" s="43"/>
      <c r="E312" s="43"/>
      <c r="F312" s="43"/>
      <c r="G312" s="43"/>
      <c r="H312" s="43"/>
      <c r="I312" s="43"/>
      <c r="J312" s="43"/>
      <c r="K312" s="43"/>
      <c r="L312" s="44">
        <f>IF($B312="",0,IF($C312="HZ",1,IFERROR(INDEX('Value Streams &amp; Delivery Mode'!$D$17:$M$22,MATCH($D312,'Value Streams &amp; Delivery Mode'!$B$17:$B$22,0),($B312-1)*2+IF($C312="POD",1,2)),0)))</f>
        <v>0</v>
      </c>
      <c r="M312" s="45">
        <f t="shared" si="12"/>
        <v>0</v>
      </c>
      <c r="N312" s="46">
        <f>IF($B312="",0,IFERROR(INDEX('Rates &amp; Tables'!$C$61:$G$63,MATCH($I312,'Rates &amp; Tables'!$J$61:$J$63,0),MATCH($H312,'Rates &amp; Tables'!$C$60:$G$60,0)),0))</f>
        <v>0</v>
      </c>
      <c r="O312" s="44">
        <f t="shared" si="13"/>
        <v>0</v>
      </c>
      <c r="P312" s="41" t="str">
        <f t="shared" si="14"/>
        <v/>
      </c>
    </row>
    <row r="313" spans="2:16">
      <c r="B313" s="43"/>
      <c r="C313" s="43"/>
      <c r="D313" s="43"/>
      <c r="E313" s="43"/>
      <c r="F313" s="43"/>
      <c r="G313" s="43"/>
      <c r="H313" s="43"/>
      <c r="I313" s="43"/>
      <c r="J313" s="43"/>
      <c r="K313" s="43"/>
      <c r="L313" s="44">
        <f>IF($B313="",0,IF($C313="HZ",1,IFERROR(INDEX('Value Streams &amp; Delivery Mode'!$D$17:$M$22,MATCH($D313,'Value Streams &amp; Delivery Mode'!$B$17:$B$22,0),($B313-1)*2+IF($C313="POD",1,2)),0)))</f>
        <v>0</v>
      </c>
      <c r="M313" s="45">
        <f t="shared" si="12"/>
        <v>0</v>
      </c>
      <c r="N313" s="46">
        <f>IF($B313="",0,IFERROR(INDEX('Rates &amp; Tables'!$C$61:$G$63,MATCH($I313,'Rates &amp; Tables'!$J$61:$J$63,0),MATCH($H313,'Rates &amp; Tables'!$C$60:$G$60,0)),0))</f>
        <v>0</v>
      </c>
      <c r="O313" s="44">
        <f t="shared" si="13"/>
        <v>0</v>
      </c>
      <c r="P313" s="41" t="str">
        <f t="shared" si="14"/>
        <v/>
      </c>
    </row>
    <row r="314" spans="2:16">
      <c r="B314" s="43"/>
      <c r="C314" s="43"/>
      <c r="D314" s="43"/>
      <c r="E314" s="43"/>
      <c r="F314" s="43"/>
      <c r="G314" s="43"/>
      <c r="H314" s="43"/>
      <c r="I314" s="43"/>
      <c r="J314" s="43"/>
      <c r="K314" s="43"/>
      <c r="L314" s="44">
        <f>IF($B314="",0,IF($C314="HZ",1,IFERROR(INDEX('Value Streams &amp; Delivery Mode'!$D$17:$M$22,MATCH($D314,'Value Streams &amp; Delivery Mode'!$B$17:$B$22,0),($B314-1)*2+IF($C314="POD",1,2)),0)))</f>
        <v>0</v>
      </c>
      <c r="M314" s="45">
        <f t="shared" si="12"/>
        <v>0</v>
      </c>
      <c r="N314" s="46">
        <f>IF($B314="",0,IFERROR(INDEX('Rates &amp; Tables'!$C$61:$G$63,MATCH($I314,'Rates &amp; Tables'!$J$61:$J$63,0),MATCH($H314,'Rates &amp; Tables'!$C$60:$G$60,0)),0))</f>
        <v>0</v>
      </c>
      <c r="O314" s="44">
        <f t="shared" si="13"/>
        <v>0</v>
      </c>
      <c r="P314" s="41" t="str">
        <f t="shared" si="14"/>
        <v/>
      </c>
    </row>
    <row r="315" spans="2:16">
      <c r="B315" s="43"/>
      <c r="C315" s="43"/>
      <c r="D315" s="43"/>
      <c r="E315" s="43"/>
      <c r="F315" s="43"/>
      <c r="G315" s="43"/>
      <c r="H315" s="43"/>
      <c r="I315" s="43"/>
      <c r="J315" s="43"/>
      <c r="K315" s="43"/>
      <c r="L315" s="44">
        <f>IF($B315="",0,IF($C315="HZ",1,IFERROR(INDEX('Value Streams &amp; Delivery Mode'!$D$17:$M$22,MATCH($D315,'Value Streams &amp; Delivery Mode'!$B$17:$B$22,0),($B315-1)*2+IF($C315="POD",1,2)),0)))</f>
        <v>0</v>
      </c>
      <c r="M315" s="45">
        <f t="shared" si="12"/>
        <v>0</v>
      </c>
      <c r="N315" s="46">
        <f>IF($B315="",0,IFERROR(INDEX('Rates &amp; Tables'!$C$61:$G$63,MATCH($I315,'Rates &amp; Tables'!$J$61:$J$63,0),MATCH($H315,'Rates &amp; Tables'!$C$60:$G$60,0)),0))</f>
        <v>0</v>
      </c>
      <c r="O315" s="44">
        <f t="shared" si="13"/>
        <v>0</v>
      </c>
      <c r="P315" s="41" t="str">
        <f t="shared" si="14"/>
        <v/>
      </c>
    </row>
    <row r="316" spans="2:16">
      <c r="B316" s="43"/>
      <c r="C316" s="43"/>
      <c r="D316" s="43"/>
      <c r="E316" s="43"/>
      <c r="F316" s="43"/>
      <c r="G316" s="43"/>
      <c r="H316" s="43"/>
      <c r="I316" s="43"/>
      <c r="J316" s="43"/>
      <c r="K316" s="43"/>
      <c r="L316" s="44">
        <f>IF($B316="",0,IF($C316="HZ",1,IFERROR(INDEX('Value Streams &amp; Delivery Mode'!$D$17:$M$22,MATCH($D316,'Value Streams &amp; Delivery Mode'!$B$17:$B$22,0),($B316-1)*2+IF($C316="POD",1,2)),0)))</f>
        <v>0</v>
      </c>
      <c r="M316" s="45">
        <f t="shared" si="12"/>
        <v>0</v>
      </c>
      <c r="N316" s="46">
        <f>IF($B316="",0,IFERROR(INDEX('Rates &amp; Tables'!$C$61:$G$63,MATCH($I316,'Rates &amp; Tables'!$J$61:$J$63,0),MATCH($H316,'Rates &amp; Tables'!$C$60:$G$60,0)),0))</f>
        <v>0</v>
      </c>
      <c r="O316" s="44">
        <f t="shared" si="13"/>
        <v>0</v>
      </c>
      <c r="P316" s="41" t="str">
        <f t="shared" si="14"/>
        <v/>
      </c>
    </row>
    <row r="317" spans="2:16">
      <c r="B317" s="43"/>
      <c r="C317" s="43"/>
      <c r="D317" s="43"/>
      <c r="E317" s="43"/>
      <c r="F317" s="43"/>
      <c r="G317" s="43"/>
      <c r="H317" s="43"/>
      <c r="I317" s="43"/>
      <c r="J317" s="43"/>
      <c r="K317" s="43"/>
      <c r="L317" s="44">
        <f>IF($B317="",0,IF($C317="HZ",1,IFERROR(INDEX('Value Streams &amp; Delivery Mode'!$D$17:$M$22,MATCH($D317,'Value Streams &amp; Delivery Mode'!$B$17:$B$22,0),($B317-1)*2+IF($C317="POD",1,2)),0)))</f>
        <v>0</v>
      </c>
      <c r="M317" s="45">
        <f t="shared" si="12"/>
        <v>0</v>
      </c>
      <c r="N317" s="46">
        <f>IF($B317="",0,IFERROR(INDEX('Rates &amp; Tables'!$C$61:$G$63,MATCH($I317,'Rates &amp; Tables'!$J$61:$J$63,0),MATCH($H317,'Rates &amp; Tables'!$C$60:$G$60,0)),0))</f>
        <v>0</v>
      </c>
      <c r="O317" s="44">
        <f t="shared" si="13"/>
        <v>0</v>
      </c>
      <c r="P317" s="41" t="str">
        <f t="shared" si="14"/>
        <v/>
      </c>
    </row>
    <row r="318" spans="2:16">
      <c r="B318" s="43"/>
      <c r="C318" s="43"/>
      <c r="D318" s="43"/>
      <c r="E318" s="43"/>
      <c r="F318" s="43"/>
      <c r="G318" s="43"/>
      <c r="H318" s="43"/>
      <c r="I318" s="43"/>
      <c r="J318" s="43"/>
      <c r="K318" s="43"/>
      <c r="L318" s="44">
        <f>IF($B318="",0,IF($C318="HZ",1,IFERROR(INDEX('Value Streams &amp; Delivery Mode'!$D$17:$M$22,MATCH($D318,'Value Streams &amp; Delivery Mode'!$B$17:$B$22,0),($B318-1)*2+IF($C318="POD",1,2)),0)))</f>
        <v>0</v>
      </c>
      <c r="M318" s="45">
        <f t="shared" si="12"/>
        <v>0</v>
      </c>
      <c r="N318" s="46">
        <f>IF($B318="",0,IFERROR(INDEX('Rates &amp; Tables'!$C$61:$G$63,MATCH($I318,'Rates &amp; Tables'!$J$61:$J$63,0),MATCH($H318,'Rates &amp; Tables'!$C$60:$G$60,0)),0))</f>
        <v>0</v>
      </c>
      <c r="O318" s="44">
        <f t="shared" si="13"/>
        <v>0</v>
      </c>
      <c r="P318" s="41" t="str">
        <f t="shared" si="14"/>
        <v/>
      </c>
    </row>
    <row r="319" spans="2:16">
      <c r="B319" s="43"/>
      <c r="C319" s="43"/>
      <c r="D319" s="43"/>
      <c r="E319" s="43"/>
      <c r="F319" s="43"/>
      <c r="G319" s="43"/>
      <c r="H319" s="43"/>
      <c r="I319" s="43"/>
      <c r="J319" s="43"/>
      <c r="K319" s="43"/>
      <c r="L319" s="44">
        <f>IF($B319="",0,IF($C319="HZ",1,IFERROR(INDEX('Value Streams &amp; Delivery Mode'!$D$17:$M$22,MATCH($D319,'Value Streams &amp; Delivery Mode'!$B$17:$B$22,0),($B319-1)*2+IF($C319="POD",1,2)),0)))</f>
        <v>0</v>
      </c>
      <c r="M319" s="45">
        <f t="shared" si="12"/>
        <v>0</v>
      </c>
      <c r="N319" s="46">
        <f>IF($B319="",0,IFERROR(INDEX('Rates &amp; Tables'!$C$61:$G$63,MATCH($I319,'Rates &amp; Tables'!$J$61:$J$63,0),MATCH($H319,'Rates &amp; Tables'!$C$60:$G$60,0)),0))</f>
        <v>0</v>
      </c>
      <c r="O319" s="44">
        <f t="shared" si="13"/>
        <v>0</v>
      </c>
      <c r="P319" s="41" t="str">
        <f t="shared" si="14"/>
        <v/>
      </c>
    </row>
    <row r="320" spans="2:16">
      <c r="B320" s="43"/>
      <c r="C320" s="43"/>
      <c r="D320" s="43"/>
      <c r="E320" s="43"/>
      <c r="F320" s="43"/>
      <c r="G320" s="43"/>
      <c r="H320" s="43"/>
      <c r="I320" s="43"/>
      <c r="J320" s="43"/>
      <c r="K320" s="43"/>
      <c r="L320" s="44">
        <f>IF($B320="",0,IF($C320="HZ",1,IFERROR(INDEX('Value Streams &amp; Delivery Mode'!$D$17:$M$22,MATCH($D320,'Value Streams &amp; Delivery Mode'!$B$17:$B$22,0),($B320-1)*2+IF($C320="POD",1,2)),0)))</f>
        <v>0</v>
      </c>
      <c r="M320" s="45">
        <f t="shared" si="12"/>
        <v>0</v>
      </c>
      <c r="N320" s="46">
        <f>IF($B320="",0,IFERROR(INDEX('Rates &amp; Tables'!$C$61:$G$63,MATCH($I320,'Rates &amp; Tables'!$J$61:$J$63,0),MATCH($H320,'Rates &amp; Tables'!$C$60:$G$60,0)),0))</f>
        <v>0</v>
      </c>
      <c r="O320" s="44">
        <f t="shared" si="13"/>
        <v>0</v>
      </c>
      <c r="P320" s="41" t="str">
        <f t="shared" si="14"/>
        <v/>
      </c>
    </row>
    <row r="321" spans="2:16">
      <c r="B321" s="43"/>
      <c r="C321" s="43"/>
      <c r="D321" s="43"/>
      <c r="E321" s="43"/>
      <c r="F321" s="43"/>
      <c r="G321" s="43"/>
      <c r="H321" s="43"/>
      <c r="I321" s="43"/>
      <c r="J321" s="43"/>
      <c r="K321" s="43"/>
      <c r="L321" s="44">
        <f>IF($B321="",0,IF($C321="HZ",1,IFERROR(INDEX('Value Streams &amp; Delivery Mode'!$D$17:$M$22,MATCH($D321,'Value Streams &amp; Delivery Mode'!$B$17:$B$22,0),($B321-1)*2+IF($C321="POD",1,2)),0)))</f>
        <v>0</v>
      </c>
      <c r="M321" s="45">
        <f t="shared" si="12"/>
        <v>0</v>
      </c>
      <c r="N321" s="46">
        <f>IF($B321="",0,IFERROR(INDEX('Rates &amp; Tables'!$C$61:$G$63,MATCH($I321,'Rates &amp; Tables'!$J$61:$J$63,0),MATCH($H321,'Rates &amp; Tables'!$C$60:$G$60,0)),0))</f>
        <v>0</v>
      </c>
      <c r="O321" s="44">
        <f t="shared" si="13"/>
        <v>0</v>
      </c>
      <c r="P321" s="41" t="str">
        <f t="shared" si="14"/>
        <v/>
      </c>
    </row>
    <row r="322" spans="2:16">
      <c r="B322" s="43"/>
      <c r="C322" s="43"/>
      <c r="D322" s="43"/>
      <c r="E322" s="43"/>
      <c r="F322" s="43"/>
      <c r="G322" s="43"/>
      <c r="H322" s="43"/>
      <c r="I322" s="43"/>
      <c r="J322" s="43"/>
      <c r="K322" s="43"/>
      <c r="L322" s="44">
        <f>IF($B322="",0,IF($C322="HZ",1,IFERROR(INDEX('Value Streams &amp; Delivery Mode'!$D$17:$M$22,MATCH($D322,'Value Streams &amp; Delivery Mode'!$B$17:$B$22,0),($B322-1)*2+IF($C322="POD",1,2)),0)))</f>
        <v>0</v>
      </c>
      <c r="M322" s="45">
        <f t="shared" si="12"/>
        <v>0</v>
      </c>
      <c r="N322" s="46">
        <f>IF($B322="",0,IFERROR(INDEX('Rates &amp; Tables'!$C$61:$G$63,MATCH($I322,'Rates &amp; Tables'!$J$61:$J$63,0),MATCH($H322,'Rates &amp; Tables'!$C$60:$G$60,0)),0))</f>
        <v>0</v>
      </c>
      <c r="O322" s="44">
        <f t="shared" si="13"/>
        <v>0</v>
      </c>
      <c r="P322" s="41" t="str">
        <f t="shared" si="14"/>
        <v/>
      </c>
    </row>
    <row r="323" spans="2:16">
      <c r="B323" s="43"/>
      <c r="C323" s="43"/>
      <c r="D323" s="43"/>
      <c r="E323" s="43"/>
      <c r="F323" s="43"/>
      <c r="G323" s="43"/>
      <c r="H323" s="43"/>
      <c r="I323" s="43"/>
      <c r="J323" s="43"/>
      <c r="K323" s="43"/>
      <c r="L323" s="44">
        <f>IF($B323="",0,IF($C323="HZ",1,IFERROR(INDEX('Value Streams &amp; Delivery Mode'!$D$17:$M$22,MATCH($D323,'Value Streams &amp; Delivery Mode'!$B$17:$B$22,0),($B323-1)*2+IF($C323="POD",1,2)),0)))</f>
        <v>0</v>
      </c>
      <c r="M323" s="45">
        <f t="shared" si="12"/>
        <v>0</v>
      </c>
      <c r="N323" s="46">
        <f>IF($B323="",0,IFERROR(INDEX('Rates &amp; Tables'!$C$61:$G$63,MATCH($I323,'Rates &amp; Tables'!$J$61:$J$63,0),MATCH($H323,'Rates &amp; Tables'!$C$60:$G$60,0)),0))</f>
        <v>0</v>
      </c>
      <c r="O323" s="44">
        <f t="shared" si="13"/>
        <v>0</v>
      </c>
      <c r="P323" s="41" t="str">
        <f t="shared" si="14"/>
        <v/>
      </c>
    </row>
    <row r="324" spans="2:16">
      <c r="B324" s="43"/>
      <c r="C324" s="43"/>
      <c r="D324" s="43"/>
      <c r="E324" s="43"/>
      <c r="F324" s="43"/>
      <c r="G324" s="43"/>
      <c r="H324" s="43"/>
      <c r="I324" s="43"/>
      <c r="J324" s="43"/>
      <c r="K324" s="43"/>
      <c r="L324" s="44">
        <f>IF($B324="",0,IF($C324="HZ",1,IFERROR(INDEX('Value Streams &amp; Delivery Mode'!$D$17:$M$22,MATCH($D324,'Value Streams &amp; Delivery Mode'!$B$17:$B$22,0),($B324-1)*2+IF($C324="POD",1,2)),0)))</f>
        <v>0</v>
      </c>
      <c r="M324" s="45">
        <f t="shared" si="12"/>
        <v>0</v>
      </c>
      <c r="N324" s="46">
        <f>IF($B324="",0,IFERROR(INDEX('Rates &amp; Tables'!$C$61:$G$63,MATCH($I324,'Rates &amp; Tables'!$J$61:$J$63,0),MATCH($H324,'Rates &amp; Tables'!$C$60:$G$60,0)),0))</f>
        <v>0</v>
      </c>
      <c r="O324" s="44">
        <f t="shared" si="13"/>
        <v>0</v>
      </c>
      <c r="P324" s="41" t="str">
        <f t="shared" si="14"/>
        <v/>
      </c>
    </row>
    <row r="325" spans="2:16">
      <c r="B325" s="43"/>
      <c r="C325" s="43"/>
      <c r="D325" s="43"/>
      <c r="E325" s="43"/>
      <c r="F325" s="43"/>
      <c r="G325" s="43"/>
      <c r="H325" s="43"/>
      <c r="I325" s="43"/>
      <c r="J325" s="43"/>
      <c r="K325" s="43"/>
      <c r="L325" s="44">
        <f>IF($B325="",0,IF($C325="HZ",1,IFERROR(INDEX('Value Streams &amp; Delivery Mode'!$D$17:$M$22,MATCH($D325,'Value Streams &amp; Delivery Mode'!$B$17:$B$22,0),($B325-1)*2+IF($C325="POD",1,2)),0)))</f>
        <v>0</v>
      </c>
      <c r="M325" s="45">
        <f t="shared" ref="M325:M388" si="15">IF($B325="",0,$K325*$L325)</f>
        <v>0</v>
      </c>
      <c r="N325" s="46">
        <f>IF($B325="",0,IFERROR(INDEX('Rates &amp; Tables'!$C$61:$G$63,MATCH($I325,'Rates &amp; Tables'!$J$61:$J$63,0),MATCH($H325,'Rates &amp; Tables'!$C$60:$G$60,0)),0))</f>
        <v>0</v>
      </c>
      <c r="O325" s="44">
        <f t="shared" ref="O325:O388" si="16">IF($B325="",0,$M325*$N325)</f>
        <v>0</v>
      </c>
      <c r="P325" s="41" t="str">
        <f t="shared" ref="P325:P388" si="17">IF($B325="","",$B325&amp;"|"&amp;$G325&amp;"|"&amp;$J325)</f>
        <v/>
      </c>
    </row>
    <row r="326" spans="2:16">
      <c r="B326" s="43"/>
      <c r="C326" s="43"/>
      <c r="D326" s="43"/>
      <c r="E326" s="43"/>
      <c r="F326" s="43"/>
      <c r="G326" s="43"/>
      <c r="H326" s="43"/>
      <c r="I326" s="43"/>
      <c r="J326" s="43"/>
      <c r="K326" s="43"/>
      <c r="L326" s="44">
        <f>IF($B326="",0,IF($C326="HZ",1,IFERROR(INDEX('Value Streams &amp; Delivery Mode'!$D$17:$M$22,MATCH($D326,'Value Streams &amp; Delivery Mode'!$B$17:$B$22,0),($B326-1)*2+IF($C326="POD",1,2)),0)))</f>
        <v>0</v>
      </c>
      <c r="M326" s="45">
        <f t="shared" si="15"/>
        <v>0</v>
      </c>
      <c r="N326" s="46">
        <f>IF($B326="",0,IFERROR(INDEX('Rates &amp; Tables'!$C$61:$G$63,MATCH($I326,'Rates &amp; Tables'!$J$61:$J$63,0),MATCH($H326,'Rates &amp; Tables'!$C$60:$G$60,0)),0))</f>
        <v>0</v>
      </c>
      <c r="O326" s="44">
        <f t="shared" si="16"/>
        <v>0</v>
      </c>
      <c r="P326" s="41" t="str">
        <f t="shared" si="17"/>
        <v/>
      </c>
    </row>
    <row r="327" spans="2:16">
      <c r="B327" s="43"/>
      <c r="C327" s="43"/>
      <c r="D327" s="43"/>
      <c r="E327" s="43"/>
      <c r="F327" s="43"/>
      <c r="G327" s="43"/>
      <c r="H327" s="43"/>
      <c r="I327" s="43"/>
      <c r="J327" s="43"/>
      <c r="K327" s="43"/>
      <c r="L327" s="44">
        <f>IF($B327="",0,IF($C327="HZ",1,IFERROR(INDEX('Value Streams &amp; Delivery Mode'!$D$17:$M$22,MATCH($D327,'Value Streams &amp; Delivery Mode'!$B$17:$B$22,0),($B327-1)*2+IF($C327="POD",1,2)),0)))</f>
        <v>0</v>
      </c>
      <c r="M327" s="45">
        <f t="shared" si="15"/>
        <v>0</v>
      </c>
      <c r="N327" s="46">
        <f>IF($B327="",0,IFERROR(INDEX('Rates &amp; Tables'!$C$61:$G$63,MATCH($I327,'Rates &amp; Tables'!$J$61:$J$63,0),MATCH($H327,'Rates &amp; Tables'!$C$60:$G$60,0)),0))</f>
        <v>0</v>
      </c>
      <c r="O327" s="44">
        <f t="shared" si="16"/>
        <v>0</v>
      </c>
      <c r="P327" s="41" t="str">
        <f t="shared" si="17"/>
        <v/>
      </c>
    </row>
    <row r="328" spans="2:16">
      <c r="B328" s="43"/>
      <c r="C328" s="43"/>
      <c r="D328" s="43"/>
      <c r="E328" s="43"/>
      <c r="F328" s="43"/>
      <c r="G328" s="43"/>
      <c r="H328" s="43"/>
      <c r="I328" s="43"/>
      <c r="J328" s="43"/>
      <c r="K328" s="43"/>
      <c r="L328" s="44">
        <f>IF($B328="",0,IF($C328="HZ",1,IFERROR(INDEX('Value Streams &amp; Delivery Mode'!$D$17:$M$22,MATCH($D328,'Value Streams &amp; Delivery Mode'!$B$17:$B$22,0),($B328-1)*2+IF($C328="POD",1,2)),0)))</f>
        <v>0</v>
      </c>
      <c r="M328" s="45">
        <f t="shared" si="15"/>
        <v>0</v>
      </c>
      <c r="N328" s="46">
        <f>IF($B328="",0,IFERROR(INDEX('Rates &amp; Tables'!$C$61:$G$63,MATCH($I328,'Rates &amp; Tables'!$J$61:$J$63,0),MATCH($H328,'Rates &amp; Tables'!$C$60:$G$60,0)),0))</f>
        <v>0</v>
      </c>
      <c r="O328" s="44">
        <f t="shared" si="16"/>
        <v>0</v>
      </c>
      <c r="P328" s="41" t="str">
        <f t="shared" si="17"/>
        <v/>
      </c>
    </row>
    <row r="329" spans="2:16">
      <c r="B329" s="43"/>
      <c r="C329" s="43"/>
      <c r="D329" s="43"/>
      <c r="E329" s="43"/>
      <c r="F329" s="43"/>
      <c r="G329" s="43"/>
      <c r="H329" s="43"/>
      <c r="I329" s="43"/>
      <c r="J329" s="43"/>
      <c r="K329" s="43"/>
      <c r="L329" s="44">
        <f>IF($B329="",0,IF($C329="HZ",1,IFERROR(INDEX('Value Streams &amp; Delivery Mode'!$D$17:$M$22,MATCH($D329,'Value Streams &amp; Delivery Mode'!$B$17:$B$22,0),($B329-1)*2+IF($C329="POD",1,2)),0)))</f>
        <v>0</v>
      </c>
      <c r="M329" s="45">
        <f t="shared" si="15"/>
        <v>0</v>
      </c>
      <c r="N329" s="46">
        <f>IF($B329="",0,IFERROR(INDEX('Rates &amp; Tables'!$C$61:$G$63,MATCH($I329,'Rates &amp; Tables'!$J$61:$J$63,0),MATCH($H329,'Rates &amp; Tables'!$C$60:$G$60,0)),0))</f>
        <v>0</v>
      </c>
      <c r="O329" s="44">
        <f t="shared" si="16"/>
        <v>0</v>
      </c>
      <c r="P329" s="41" t="str">
        <f t="shared" si="17"/>
        <v/>
      </c>
    </row>
    <row r="330" spans="2:16">
      <c r="B330" s="43"/>
      <c r="C330" s="43"/>
      <c r="D330" s="43"/>
      <c r="E330" s="43"/>
      <c r="F330" s="43"/>
      <c r="G330" s="43"/>
      <c r="H330" s="43"/>
      <c r="I330" s="43"/>
      <c r="J330" s="43"/>
      <c r="K330" s="43"/>
      <c r="L330" s="44">
        <f>IF($B330="",0,IF($C330="HZ",1,IFERROR(INDEX('Value Streams &amp; Delivery Mode'!$D$17:$M$22,MATCH($D330,'Value Streams &amp; Delivery Mode'!$B$17:$B$22,0),($B330-1)*2+IF($C330="POD",1,2)),0)))</f>
        <v>0</v>
      </c>
      <c r="M330" s="45">
        <f t="shared" si="15"/>
        <v>0</v>
      </c>
      <c r="N330" s="46">
        <f>IF($B330="",0,IFERROR(INDEX('Rates &amp; Tables'!$C$61:$G$63,MATCH($I330,'Rates &amp; Tables'!$J$61:$J$63,0),MATCH($H330,'Rates &amp; Tables'!$C$60:$G$60,0)),0))</f>
        <v>0</v>
      </c>
      <c r="O330" s="44">
        <f t="shared" si="16"/>
        <v>0</v>
      </c>
      <c r="P330" s="41" t="str">
        <f t="shared" si="17"/>
        <v/>
      </c>
    </row>
    <row r="331" spans="2:16">
      <c r="B331" s="43"/>
      <c r="C331" s="43"/>
      <c r="D331" s="43"/>
      <c r="E331" s="43"/>
      <c r="F331" s="43"/>
      <c r="G331" s="43"/>
      <c r="H331" s="43"/>
      <c r="I331" s="43"/>
      <c r="J331" s="43"/>
      <c r="K331" s="43"/>
      <c r="L331" s="44">
        <f>IF($B331="",0,IF($C331="HZ",1,IFERROR(INDEX('Value Streams &amp; Delivery Mode'!$D$17:$M$22,MATCH($D331,'Value Streams &amp; Delivery Mode'!$B$17:$B$22,0),($B331-1)*2+IF($C331="POD",1,2)),0)))</f>
        <v>0</v>
      </c>
      <c r="M331" s="45">
        <f t="shared" si="15"/>
        <v>0</v>
      </c>
      <c r="N331" s="46">
        <f>IF($B331="",0,IFERROR(INDEX('Rates &amp; Tables'!$C$61:$G$63,MATCH($I331,'Rates &amp; Tables'!$J$61:$J$63,0),MATCH($H331,'Rates &amp; Tables'!$C$60:$G$60,0)),0))</f>
        <v>0</v>
      </c>
      <c r="O331" s="44">
        <f t="shared" si="16"/>
        <v>0</v>
      </c>
      <c r="P331" s="41" t="str">
        <f t="shared" si="17"/>
        <v/>
      </c>
    </row>
    <row r="332" spans="2:16">
      <c r="B332" s="43"/>
      <c r="C332" s="43"/>
      <c r="D332" s="43"/>
      <c r="E332" s="43"/>
      <c r="F332" s="43"/>
      <c r="G332" s="43"/>
      <c r="H332" s="43"/>
      <c r="I332" s="43"/>
      <c r="J332" s="43"/>
      <c r="K332" s="43"/>
      <c r="L332" s="44">
        <f>IF($B332="",0,IF($C332="HZ",1,IFERROR(INDEX('Value Streams &amp; Delivery Mode'!$D$17:$M$22,MATCH($D332,'Value Streams &amp; Delivery Mode'!$B$17:$B$22,0),($B332-1)*2+IF($C332="POD",1,2)),0)))</f>
        <v>0</v>
      </c>
      <c r="M332" s="45">
        <f t="shared" si="15"/>
        <v>0</v>
      </c>
      <c r="N332" s="46">
        <f>IF($B332="",0,IFERROR(INDEX('Rates &amp; Tables'!$C$61:$G$63,MATCH($I332,'Rates &amp; Tables'!$J$61:$J$63,0),MATCH($H332,'Rates &amp; Tables'!$C$60:$G$60,0)),0))</f>
        <v>0</v>
      </c>
      <c r="O332" s="44">
        <f t="shared" si="16"/>
        <v>0</v>
      </c>
      <c r="P332" s="41" t="str">
        <f t="shared" si="17"/>
        <v/>
      </c>
    </row>
    <row r="333" spans="2:16">
      <c r="B333" s="43"/>
      <c r="C333" s="43"/>
      <c r="D333" s="43"/>
      <c r="E333" s="43"/>
      <c r="F333" s="43"/>
      <c r="G333" s="43"/>
      <c r="H333" s="43"/>
      <c r="I333" s="43"/>
      <c r="J333" s="43"/>
      <c r="K333" s="43"/>
      <c r="L333" s="44">
        <f>IF($B333="",0,IF($C333="HZ",1,IFERROR(INDEX('Value Streams &amp; Delivery Mode'!$D$17:$M$22,MATCH($D333,'Value Streams &amp; Delivery Mode'!$B$17:$B$22,0),($B333-1)*2+IF($C333="POD",1,2)),0)))</f>
        <v>0</v>
      </c>
      <c r="M333" s="45">
        <f t="shared" si="15"/>
        <v>0</v>
      </c>
      <c r="N333" s="46">
        <f>IF($B333="",0,IFERROR(INDEX('Rates &amp; Tables'!$C$61:$G$63,MATCH($I333,'Rates &amp; Tables'!$J$61:$J$63,0),MATCH($H333,'Rates &amp; Tables'!$C$60:$G$60,0)),0))</f>
        <v>0</v>
      </c>
      <c r="O333" s="44">
        <f t="shared" si="16"/>
        <v>0</v>
      </c>
      <c r="P333" s="41" t="str">
        <f t="shared" si="17"/>
        <v/>
      </c>
    </row>
    <row r="334" spans="2:16">
      <c r="B334" s="43"/>
      <c r="C334" s="43"/>
      <c r="D334" s="43"/>
      <c r="E334" s="43"/>
      <c r="F334" s="43"/>
      <c r="G334" s="43"/>
      <c r="H334" s="43"/>
      <c r="I334" s="43"/>
      <c r="J334" s="43"/>
      <c r="K334" s="43"/>
      <c r="L334" s="44">
        <f>IF($B334="",0,IF($C334="HZ",1,IFERROR(INDEX('Value Streams &amp; Delivery Mode'!$D$17:$M$22,MATCH($D334,'Value Streams &amp; Delivery Mode'!$B$17:$B$22,0),($B334-1)*2+IF($C334="POD",1,2)),0)))</f>
        <v>0</v>
      </c>
      <c r="M334" s="45">
        <f t="shared" si="15"/>
        <v>0</v>
      </c>
      <c r="N334" s="46">
        <f>IF($B334="",0,IFERROR(INDEX('Rates &amp; Tables'!$C$61:$G$63,MATCH($I334,'Rates &amp; Tables'!$J$61:$J$63,0),MATCH($H334,'Rates &amp; Tables'!$C$60:$G$60,0)),0))</f>
        <v>0</v>
      </c>
      <c r="O334" s="44">
        <f t="shared" si="16"/>
        <v>0</v>
      </c>
      <c r="P334" s="41" t="str">
        <f t="shared" si="17"/>
        <v/>
      </c>
    </row>
    <row r="335" spans="2:16">
      <c r="B335" s="43"/>
      <c r="C335" s="43"/>
      <c r="D335" s="43"/>
      <c r="E335" s="43"/>
      <c r="F335" s="43"/>
      <c r="G335" s="43"/>
      <c r="H335" s="43"/>
      <c r="I335" s="43"/>
      <c r="J335" s="43"/>
      <c r="K335" s="43"/>
      <c r="L335" s="44">
        <f>IF($B335="",0,IF($C335="HZ",1,IFERROR(INDEX('Value Streams &amp; Delivery Mode'!$D$17:$M$22,MATCH($D335,'Value Streams &amp; Delivery Mode'!$B$17:$B$22,0),($B335-1)*2+IF($C335="POD",1,2)),0)))</f>
        <v>0</v>
      </c>
      <c r="M335" s="45">
        <f t="shared" si="15"/>
        <v>0</v>
      </c>
      <c r="N335" s="46">
        <f>IF($B335="",0,IFERROR(INDEX('Rates &amp; Tables'!$C$61:$G$63,MATCH($I335,'Rates &amp; Tables'!$J$61:$J$63,0),MATCH($H335,'Rates &amp; Tables'!$C$60:$G$60,0)),0))</f>
        <v>0</v>
      </c>
      <c r="O335" s="44">
        <f t="shared" si="16"/>
        <v>0</v>
      </c>
      <c r="P335" s="41" t="str">
        <f t="shared" si="17"/>
        <v/>
      </c>
    </row>
    <row r="336" spans="2:16">
      <c r="B336" s="43"/>
      <c r="C336" s="43"/>
      <c r="D336" s="43"/>
      <c r="E336" s="43"/>
      <c r="F336" s="43"/>
      <c r="G336" s="43"/>
      <c r="H336" s="43"/>
      <c r="I336" s="43"/>
      <c r="J336" s="43"/>
      <c r="K336" s="43"/>
      <c r="L336" s="44">
        <f>IF($B336="",0,IF($C336="HZ",1,IFERROR(INDEX('Value Streams &amp; Delivery Mode'!$D$17:$M$22,MATCH($D336,'Value Streams &amp; Delivery Mode'!$B$17:$B$22,0),($B336-1)*2+IF($C336="POD",1,2)),0)))</f>
        <v>0</v>
      </c>
      <c r="M336" s="45">
        <f t="shared" si="15"/>
        <v>0</v>
      </c>
      <c r="N336" s="46">
        <f>IF($B336="",0,IFERROR(INDEX('Rates &amp; Tables'!$C$61:$G$63,MATCH($I336,'Rates &amp; Tables'!$J$61:$J$63,0),MATCH($H336,'Rates &amp; Tables'!$C$60:$G$60,0)),0))</f>
        <v>0</v>
      </c>
      <c r="O336" s="44">
        <f t="shared" si="16"/>
        <v>0</v>
      </c>
      <c r="P336" s="41" t="str">
        <f t="shared" si="17"/>
        <v/>
      </c>
    </row>
    <row r="337" spans="2:16">
      <c r="B337" s="43"/>
      <c r="C337" s="43"/>
      <c r="D337" s="43"/>
      <c r="E337" s="43"/>
      <c r="F337" s="43"/>
      <c r="G337" s="43"/>
      <c r="H337" s="43"/>
      <c r="I337" s="43"/>
      <c r="J337" s="43"/>
      <c r="K337" s="43"/>
      <c r="L337" s="44">
        <f>IF($B337="",0,IF($C337="HZ",1,IFERROR(INDEX('Value Streams &amp; Delivery Mode'!$D$17:$M$22,MATCH($D337,'Value Streams &amp; Delivery Mode'!$B$17:$B$22,0),($B337-1)*2+IF($C337="POD",1,2)),0)))</f>
        <v>0</v>
      </c>
      <c r="M337" s="45">
        <f t="shared" si="15"/>
        <v>0</v>
      </c>
      <c r="N337" s="46">
        <f>IF($B337="",0,IFERROR(INDEX('Rates &amp; Tables'!$C$61:$G$63,MATCH($I337,'Rates &amp; Tables'!$J$61:$J$63,0),MATCH($H337,'Rates &amp; Tables'!$C$60:$G$60,0)),0))</f>
        <v>0</v>
      </c>
      <c r="O337" s="44">
        <f t="shared" si="16"/>
        <v>0</v>
      </c>
      <c r="P337" s="41" t="str">
        <f t="shared" si="17"/>
        <v/>
      </c>
    </row>
    <row r="338" spans="2:16">
      <c r="B338" s="43"/>
      <c r="C338" s="43"/>
      <c r="D338" s="43"/>
      <c r="E338" s="43"/>
      <c r="F338" s="43"/>
      <c r="G338" s="43"/>
      <c r="H338" s="43"/>
      <c r="I338" s="43"/>
      <c r="J338" s="43"/>
      <c r="K338" s="43"/>
      <c r="L338" s="44">
        <f>IF($B338="",0,IF($C338="HZ",1,IFERROR(INDEX('Value Streams &amp; Delivery Mode'!$D$17:$M$22,MATCH($D338,'Value Streams &amp; Delivery Mode'!$B$17:$B$22,0),($B338-1)*2+IF($C338="POD",1,2)),0)))</f>
        <v>0</v>
      </c>
      <c r="M338" s="45">
        <f t="shared" si="15"/>
        <v>0</v>
      </c>
      <c r="N338" s="46">
        <f>IF($B338="",0,IFERROR(INDEX('Rates &amp; Tables'!$C$61:$G$63,MATCH($I338,'Rates &amp; Tables'!$J$61:$J$63,0),MATCH($H338,'Rates &amp; Tables'!$C$60:$G$60,0)),0))</f>
        <v>0</v>
      </c>
      <c r="O338" s="44">
        <f t="shared" si="16"/>
        <v>0</v>
      </c>
      <c r="P338" s="41" t="str">
        <f t="shared" si="17"/>
        <v/>
      </c>
    </row>
    <row r="339" spans="2:16">
      <c r="B339" s="43"/>
      <c r="C339" s="43"/>
      <c r="D339" s="43"/>
      <c r="E339" s="43"/>
      <c r="F339" s="43"/>
      <c r="G339" s="43"/>
      <c r="H339" s="43"/>
      <c r="I339" s="43"/>
      <c r="J339" s="43"/>
      <c r="K339" s="43"/>
      <c r="L339" s="44">
        <f>IF($B339="",0,IF($C339="HZ",1,IFERROR(INDEX('Value Streams &amp; Delivery Mode'!$D$17:$M$22,MATCH($D339,'Value Streams &amp; Delivery Mode'!$B$17:$B$22,0),($B339-1)*2+IF($C339="POD",1,2)),0)))</f>
        <v>0</v>
      </c>
      <c r="M339" s="45">
        <f t="shared" si="15"/>
        <v>0</v>
      </c>
      <c r="N339" s="46">
        <f>IF($B339="",0,IFERROR(INDEX('Rates &amp; Tables'!$C$61:$G$63,MATCH($I339,'Rates &amp; Tables'!$J$61:$J$63,0),MATCH($H339,'Rates &amp; Tables'!$C$60:$G$60,0)),0))</f>
        <v>0</v>
      </c>
      <c r="O339" s="44">
        <f t="shared" si="16"/>
        <v>0</v>
      </c>
      <c r="P339" s="41" t="str">
        <f t="shared" si="17"/>
        <v/>
      </c>
    </row>
    <row r="340" spans="2:16">
      <c r="B340" s="43"/>
      <c r="C340" s="43"/>
      <c r="D340" s="43"/>
      <c r="E340" s="43"/>
      <c r="F340" s="43"/>
      <c r="G340" s="43"/>
      <c r="H340" s="43"/>
      <c r="I340" s="43"/>
      <c r="J340" s="43"/>
      <c r="K340" s="43"/>
      <c r="L340" s="44">
        <f>IF($B340="",0,IF($C340="HZ",1,IFERROR(INDEX('Value Streams &amp; Delivery Mode'!$D$17:$M$22,MATCH($D340,'Value Streams &amp; Delivery Mode'!$B$17:$B$22,0),($B340-1)*2+IF($C340="POD",1,2)),0)))</f>
        <v>0</v>
      </c>
      <c r="M340" s="45">
        <f t="shared" si="15"/>
        <v>0</v>
      </c>
      <c r="N340" s="46">
        <f>IF($B340="",0,IFERROR(INDEX('Rates &amp; Tables'!$C$61:$G$63,MATCH($I340,'Rates &amp; Tables'!$J$61:$J$63,0),MATCH($H340,'Rates &amp; Tables'!$C$60:$G$60,0)),0))</f>
        <v>0</v>
      </c>
      <c r="O340" s="44">
        <f t="shared" si="16"/>
        <v>0</v>
      </c>
      <c r="P340" s="41" t="str">
        <f t="shared" si="17"/>
        <v/>
      </c>
    </row>
    <row r="341" spans="2:16">
      <c r="B341" s="43"/>
      <c r="C341" s="43"/>
      <c r="D341" s="43"/>
      <c r="E341" s="43"/>
      <c r="F341" s="43"/>
      <c r="G341" s="43"/>
      <c r="H341" s="43"/>
      <c r="I341" s="43"/>
      <c r="J341" s="43"/>
      <c r="K341" s="43"/>
      <c r="L341" s="44">
        <f>IF($B341="",0,IF($C341="HZ",1,IFERROR(INDEX('Value Streams &amp; Delivery Mode'!$D$17:$M$22,MATCH($D341,'Value Streams &amp; Delivery Mode'!$B$17:$B$22,0),($B341-1)*2+IF($C341="POD",1,2)),0)))</f>
        <v>0</v>
      </c>
      <c r="M341" s="45">
        <f t="shared" si="15"/>
        <v>0</v>
      </c>
      <c r="N341" s="46">
        <f>IF($B341="",0,IFERROR(INDEX('Rates &amp; Tables'!$C$61:$G$63,MATCH($I341,'Rates &amp; Tables'!$J$61:$J$63,0),MATCH($H341,'Rates &amp; Tables'!$C$60:$G$60,0)),0))</f>
        <v>0</v>
      </c>
      <c r="O341" s="44">
        <f t="shared" si="16"/>
        <v>0</v>
      </c>
      <c r="P341" s="41" t="str">
        <f t="shared" si="17"/>
        <v/>
      </c>
    </row>
    <row r="342" spans="2:16">
      <c r="B342" s="43"/>
      <c r="C342" s="43"/>
      <c r="D342" s="43"/>
      <c r="E342" s="43"/>
      <c r="F342" s="43"/>
      <c r="G342" s="43"/>
      <c r="H342" s="43"/>
      <c r="I342" s="43"/>
      <c r="J342" s="43"/>
      <c r="K342" s="43"/>
      <c r="L342" s="44">
        <f>IF($B342="",0,IF($C342="HZ",1,IFERROR(INDEX('Value Streams &amp; Delivery Mode'!$D$17:$M$22,MATCH($D342,'Value Streams &amp; Delivery Mode'!$B$17:$B$22,0),($B342-1)*2+IF($C342="POD",1,2)),0)))</f>
        <v>0</v>
      </c>
      <c r="M342" s="45">
        <f t="shared" si="15"/>
        <v>0</v>
      </c>
      <c r="N342" s="46">
        <f>IF($B342="",0,IFERROR(INDEX('Rates &amp; Tables'!$C$61:$G$63,MATCH($I342,'Rates &amp; Tables'!$J$61:$J$63,0),MATCH($H342,'Rates &amp; Tables'!$C$60:$G$60,0)),0))</f>
        <v>0</v>
      </c>
      <c r="O342" s="44">
        <f t="shared" si="16"/>
        <v>0</v>
      </c>
      <c r="P342" s="41" t="str">
        <f t="shared" si="17"/>
        <v/>
      </c>
    </row>
    <row r="343" spans="2:16">
      <c r="B343" s="43"/>
      <c r="C343" s="43"/>
      <c r="D343" s="43"/>
      <c r="E343" s="43"/>
      <c r="F343" s="43"/>
      <c r="G343" s="43"/>
      <c r="H343" s="43"/>
      <c r="I343" s="43"/>
      <c r="J343" s="43"/>
      <c r="K343" s="43"/>
      <c r="L343" s="44">
        <f>IF($B343="",0,IF($C343="HZ",1,IFERROR(INDEX('Value Streams &amp; Delivery Mode'!$D$17:$M$22,MATCH($D343,'Value Streams &amp; Delivery Mode'!$B$17:$B$22,0),($B343-1)*2+IF($C343="POD",1,2)),0)))</f>
        <v>0</v>
      </c>
      <c r="M343" s="45">
        <f t="shared" si="15"/>
        <v>0</v>
      </c>
      <c r="N343" s="46">
        <f>IF($B343="",0,IFERROR(INDEX('Rates &amp; Tables'!$C$61:$G$63,MATCH($I343,'Rates &amp; Tables'!$J$61:$J$63,0),MATCH($H343,'Rates &amp; Tables'!$C$60:$G$60,0)),0))</f>
        <v>0</v>
      </c>
      <c r="O343" s="44">
        <f t="shared" si="16"/>
        <v>0</v>
      </c>
      <c r="P343" s="41" t="str">
        <f t="shared" si="17"/>
        <v/>
      </c>
    </row>
    <row r="344" spans="2:16">
      <c r="B344" s="43"/>
      <c r="C344" s="43"/>
      <c r="D344" s="43"/>
      <c r="E344" s="43"/>
      <c r="F344" s="43"/>
      <c r="G344" s="43"/>
      <c r="H344" s="43"/>
      <c r="I344" s="43"/>
      <c r="J344" s="43"/>
      <c r="K344" s="43"/>
      <c r="L344" s="44">
        <f>IF($B344="",0,IF($C344="HZ",1,IFERROR(INDEX('Value Streams &amp; Delivery Mode'!$D$17:$M$22,MATCH($D344,'Value Streams &amp; Delivery Mode'!$B$17:$B$22,0),($B344-1)*2+IF($C344="POD",1,2)),0)))</f>
        <v>0</v>
      </c>
      <c r="M344" s="45">
        <f t="shared" si="15"/>
        <v>0</v>
      </c>
      <c r="N344" s="46">
        <f>IF($B344="",0,IFERROR(INDEX('Rates &amp; Tables'!$C$61:$G$63,MATCH($I344,'Rates &amp; Tables'!$J$61:$J$63,0),MATCH($H344,'Rates &amp; Tables'!$C$60:$G$60,0)),0))</f>
        <v>0</v>
      </c>
      <c r="O344" s="44">
        <f t="shared" si="16"/>
        <v>0</v>
      </c>
      <c r="P344" s="41" t="str">
        <f t="shared" si="17"/>
        <v/>
      </c>
    </row>
    <row r="345" spans="2:16">
      <c r="B345" s="43"/>
      <c r="C345" s="43"/>
      <c r="D345" s="43"/>
      <c r="E345" s="43"/>
      <c r="F345" s="43"/>
      <c r="G345" s="43"/>
      <c r="H345" s="43"/>
      <c r="I345" s="43"/>
      <c r="J345" s="43"/>
      <c r="K345" s="43"/>
      <c r="L345" s="44">
        <f>IF($B345="",0,IF($C345="HZ",1,IFERROR(INDEX('Value Streams &amp; Delivery Mode'!$D$17:$M$22,MATCH($D345,'Value Streams &amp; Delivery Mode'!$B$17:$B$22,0),($B345-1)*2+IF($C345="POD",1,2)),0)))</f>
        <v>0</v>
      </c>
      <c r="M345" s="45">
        <f t="shared" si="15"/>
        <v>0</v>
      </c>
      <c r="N345" s="46">
        <f>IF($B345="",0,IFERROR(INDEX('Rates &amp; Tables'!$C$61:$G$63,MATCH($I345,'Rates &amp; Tables'!$J$61:$J$63,0),MATCH($H345,'Rates &amp; Tables'!$C$60:$G$60,0)),0))</f>
        <v>0</v>
      </c>
      <c r="O345" s="44">
        <f t="shared" si="16"/>
        <v>0</v>
      </c>
      <c r="P345" s="41" t="str">
        <f t="shared" si="17"/>
        <v/>
      </c>
    </row>
    <row r="346" spans="2:16">
      <c r="B346" s="43"/>
      <c r="C346" s="43"/>
      <c r="D346" s="43"/>
      <c r="E346" s="43"/>
      <c r="F346" s="43"/>
      <c r="G346" s="43"/>
      <c r="H346" s="43"/>
      <c r="I346" s="43"/>
      <c r="J346" s="43"/>
      <c r="K346" s="43"/>
      <c r="L346" s="44">
        <f>IF($B346="",0,IF($C346="HZ",1,IFERROR(INDEX('Value Streams &amp; Delivery Mode'!$D$17:$M$22,MATCH($D346,'Value Streams &amp; Delivery Mode'!$B$17:$B$22,0),($B346-1)*2+IF($C346="POD",1,2)),0)))</f>
        <v>0</v>
      </c>
      <c r="M346" s="45">
        <f t="shared" si="15"/>
        <v>0</v>
      </c>
      <c r="N346" s="46">
        <f>IF($B346="",0,IFERROR(INDEX('Rates &amp; Tables'!$C$61:$G$63,MATCH($I346,'Rates &amp; Tables'!$J$61:$J$63,0),MATCH($H346,'Rates &amp; Tables'!$C$60:$G$60,0)),0))</f>
        <v>0</v>
      </c>
      <c r="O346" s="44">
        <f t="shared" si="16"/>
        <v>0</v>
      </c>
      <c r="P346" s="41" t="str">
        <f t="shared" si="17"/>
        <v/>
      </c>
    </row>
    <row r="347" spans="2:16">
      <c r="B347" s="43"/>
      <c r="C347" s="43"/>
      <c r="D347" s="43"/>
      <c r="E347" s="43"/>
      <c r="F347" s="43"/>
      <c r="G347" s="43"/>
      <c r="H347" s="43"/>
      <c r="I347" s="43"/>
      <c r="J347" s="43"/>
      <c r="K347" s="43"/>
      <c r="L347" s="44">
        <f>IF($B347="",0,IF($C347="HZ",1,IFERROR(INDEX('Value Streams &amp; Delivery Mode'!$D$17:$M$22,MATCH($D347,'Value Streams &amp; Delivery Mode'!$B$17:$B$22,0),($B347-1)*2+IF($C347="POD",1,2)),0)))</f>
        <v>0</v>
      </c>
      <c r="M347" s="45">
        <f t="shared" si="15"/>
        <v>0</v>
      </c>
      <c r="N347" s="46">
        <f>IF($B347="",0,IFERROR(INDEX('Rates &amp; Tables'!$C$61:$G$63,MATCH($I347,'Rates &amp; Tables'!$J$61:$J$63,0),MATCH($H347,'Rates &amp; Tables'!$C$60:$G$60,0)),0))</f>
        <v>0</v>
      </c>
      <c r="O347" s="44">
        <f t="shared" si="16"/>
        <v>0</v>
      </c>
      <c r="P347" s="41" t="str">
        <f t="shared" si="17"/>
        <v/>
      </c>
    </row>
    <row r="348" spans="2:16">
      <c r="B348" s="43"/>
      <c r="C348" s="43"/>
      <c r="D348" s="43"/>
      <c r="E348" s="43"/>
      <c r="F348" s="43"/>
      <c r="G348" s="43"/>
      <c r="H348" s="43"/>
      <c r="I348" s="43"/>
      <c r="J348" s="43"/>
      <c r="K348" s="43"/>
      <c r="L348" s="44">
        <f>IF($B348="",0,IF($C348="HZ",1,IFERROR(INDEX('Value Streams &amp; Delivery Mode'!$D$17:$M$22,MATCH($D348,'Value Streams &amp; Delivery Mode'!$B$17:$B$22,0),($B348-1)*2+IF($C348="POD",1,2)),0)))</f>
        <v>0</v>
      </c>
      <c r="M348" s="45">
        <f t="shared" si="15"/>
        <v>0</v>
      </c>
      <c r="N348" s="46">
        <f>IF($B348="",0,IFERROR(INDEX('Rates &amp; Tables'!$C$61:$G$63,MATCH($I348,'Rates &amp; Tables'!$J$61:$J$63,0),MATCH($H348,'Rates &amp; Tables'!$C$60:$G$60,0)),0))</f>
        <v>0</v>
      </c>
      <c r="O348" s="44">
        <f t="shared" si="16"/>
        <v>0</v>
      </c>
      <c r="P348" s="41" t="str">
        <f t="shared" si="17"/>
        <v/>
      </c>
    </row>
    <row r="349" spans="2:16">
      <c r="B349" s="43"/>
      <c r="C349" s="43"/>
      <c r="D349" s="43"/>
      <c r="E349" s="43"/>
      <c r="F349" s="43"/>
      <c r="G349" s="43"/>
      <c r="H349" s="43"/>
      <c r="I349" s="43"/>
      <c r="J349" s="43"/>
      <c r="K349" s="43"/>
      <c r="L349" s="44">
        <f>IF($B349="",0,IF($C349="HZ",1,IFERROR(INDEX('Value Streams &amp; Delivery Mode'!$D$17:$M$22,MATCH($D349,'Value Streams &amp; Delivery Mode'!$B$17:$B$22,0),($B349-1)*2+IF($C349="POD",1,2)),0)))</f>
        <v>0</v>
      </c>
      <c r="M349" s="45">
        <f t="shared" si="15"/>
        <v>0</v>
      </c>
      <c r="N349" s="46">
        <f>IF($B349="",0,IFERROR(INDEX('Rates &amp; Tables'!$C$61:$G$63,MATCH($I349,'Rates &amp; Tables'!$J$61:$J$63,0),MATCH($H349,'Rates &amp; Tables'!$C$60:$G$60,0)),0))</f>
        <v>0</v>
      </c>
      <c r="O349" s="44">
        <f t="shared" si="16"/>
        <v>0</v>
      </c>
      <c r="P349" s="41" t="str">
        <f t="shared" si="17"/>
        <v/>
      </c>
    </row>
    <row r="350" spans="2:16">
      <c r="B350" s="43"/>
      <c r="C350" s="43"/>
      <c r="D350" s="43"/>
      <c r="E350" s="43"/>
      <c r="F350" s="43"/>
      <c r="G350" s="43"/>
      <c r="H350" s="43"/>
      <c r="I350" s="43"/>
      <c r="J350" s="43"/>
      <c r="K350" s="43"/>
      <c r="L350" s="44">
        <f>IF($B350="",0,IF($C350="HZ",1,IFERROR(INDEX('Value Streams &amp; Delivery Mode'!$D$17:$M$22,MATCH($D350,'Value Streams &amp; Delivery Mode'!$B$17:$B$22,0),($B350-1)*2+IF($C350="POD",1,2)),0)))</f>
        <v>0</v>
      </c>
      <c r="M350" s="45">
        <f t="shared" si="15"/>
        <v>0</v>
      </c>
      <c r="N350" s="46">
        <f>IF($B350="",0,IFERROR(INDEX('Rates &amp; Tables'!$C$61:$G$63,MATCH($I350,'Rates &amp; Tables'!$J$61:$J$63,0),MATCH($H350,'Rates &amp; Tables'!$C$60:$G$60,0)),0))</f>
        <v>0</v>
      </c>
      <c r="O350" s="44">
        <f t="shared" si="16"/>
        <v>0</v>
      </c>
      <c r="P350" s="41" t="str">
        <f t="shared" si="17"/>
        <v/>
      </c>
    </row>
    <row r="351" spans="2:16">
      <c r="B351" s="43"/>
      <c r="C351" s="43"/>
      <c r="D351" s="43"/>
      <c r="E351" s="43"/>
      <c r="F351" s="43"/>
      <c r="G351" s="43"/>
      <c r="H351" s="43"/>
      <c r="I351" s="43"/>
      <c r="J351" s="43"/>
      <c r="K351" s="43"/>
      <c r="L351" s="44">
        <f>IF($B351="",0,IF($C351="HZ",1,IFERROR(INDEX('Value Streams &amp; Delivery Mode'!$D$17:$M$22,MATCH($D351,'Value Streams &amp; Delivery Mode'!$B$17:$B$22,0),($B351-1)*2+IF($C351="POD",1,2)),0)))</f>
        <v>0</v>
      </c>
      <c r="M351" s="45">
        <f t="shared" si="15"/>
        <v>0</v>
      </c>
      <c r="N351" s="46">
        <f>IF($B351="",0,IFERROR(INDEX('Rates &amp; Tables'!$C$61:$G$63,MATCH($I351,'Rates &amp; Tables'!$J$61:$J$63,0),MATCH($H351,'Rates &amp; Tables'!$C$60:$G$60,0)),0))</f>
        <v>0</v>
      </c>
      <c r="O351" s="44">
        <f t="shared" si="16"/>
        <v>0</v>
      </c>
      <c r="P351" s="41" t="str">
        <f t="shared" si="17"/>
        <v/>
      </c>
    </row>
    <row r="352" spans="2:16">
      <c r="B352" s="43"/>
      <c r="C352" s="43"/>
      <c r="D352" s="43"/>
      <c r="E352" s="43"/>
      <c r="F352" s="43"/>
      <c r="G352" s="43"/>
      <c r="H352" s="43"/>
      <c r="I352" s="43"/>
      <c r="J352" s="43"/>
      <c r="K352" s="43"/>
      <c r="L352" s="44">
        <f>IF($B352="",0,IF($C352="HZ",1,IFERROR(INDEX('Value Streams &amp; Delivery Mode'!$D$17:$M$22,MATCH($D352,'Value Streams &amp; Delivery Mode'!$B$17:$B$22,0),($B352-1)*2+IF($C352="POD",1,2)),0)))</f>
        <v>0</v>
      </c>
      <c r="M352" s="45">
        <f t="shared" si="15"/>
        <v>0</v>
      </c>
      <c r="N352" s="46">
        <f>IF($B352="",0,IFERROR(INDEX('Rates &amp; Tables'!$C$61:$G$63,MATCH($I352,'Rates &amp; Tables'!$J$61:$J$63,0),MATCH($H352,'Rates &amp; Tables'!$C$60:$G$60,0)),0))</f>
        <v>0</v>
      </c>
      <c r="O352" s="44">
        <f t="shared" si="16"/>
        <v>0</v>
      </c>
      <c r="P352" s="41" t="str">
        <f t="shared" si="17"/>
        <v/>
      </c>
    </row>
    <row r="353" spans="2:16">
      <c r="B353" s="43"/>
      <c r="C353" s="43"/>
      <c r="D353" s="43"/>
      <c r="E353" s="43"/>
      <c r="F353" s="43"/>
      <c r="G353" s="43"/>
      <c r="H353" s="43"/>
      <c r="I353" s="43"/>
      <c r="J353" s="43"/>
      <c r="K353" s="43"/>
      <c r="L353" s="44">
        <f>IF($B353="",0,IF($C353="HZ",1,IFERROR(INDEX('Value Streams &amp; Delivery Mode'!$D$17:$M$22,MATCH($D353,'Value Streams &amp; Delivery Mode'!$B$17:$B$22,0),($B353-1)*2+IF($C353="POD",1,2)),0)))</f>
        <v>0</v>
      </c>
      <c r="M353" s="45">
        <f t="shared" si="15"/>
        <v>0</v>
      </c>
      <c r="N353" s="46">
        <f>IF($B353="",0,IFERROR(INDEX('Rates &amp; Tables'!$C$61:$G$63,MATCH($I353,'Rates &amp; Tables'!$J$61:$J$63,0),MATCH($H353,'Rates &amp; Tables'!$C$60:$G$60,0)),0))</f>
        <v>0</v>
      </c>
      <c r="O353" s="44">
        <f t="shared" si="16"/>
        <v>0</v>
      </c>
      <c r="P353" s="41" t="str">
        <f t="shared" si="17"/>
        <v/>
      </c>
    </row>
    <row r="354" spans="2:16">
      <c r="B354" s="43"/>
      <c r="C354" s="43"/>
      <c r="D354" s="43"/>
      <c r="E354" s="43"/>
      <c r="F354" s="43"/>
      <c r="G354" s="43"/>
      <c r="H354" s="43"/>
      <c r="I354" s="43"/>
      <c r="J354" s="43"/>
      <c r="K354" s="43"/>
      <c r="L354" s="44">
        <f>IF($B354="",0,IF($C354="HZ",1,IFERROR(INDEX('Value Streams &amp; Delivery Mode'!$D$17:$M$22,MATCH($D354,'Value Streams &amp; Delivery Mode'!$B$17:$B$22,0),($B354-1)*2+IF($C354="POD",1,2)),0)))</f>
        <v>0</v>
      </c>
      <c r="M354" s="45">
        <f t="shared" si="15"/>
        <v>0</v>
      </c>
      <c r="N354" s="46">
        <f>IF($B354="",0,IFERROR(INDEX('Rates &amp; Tables'!$C$61:$G$63,MATCH($I354,'Rates &amp; Tables'!$J$61:$J$63,0),MATCH($H354,'Rates &amp; Tables'!$C$60:$G$60,0)),0))</f>
        <v>0</v>
      </c>
      <c r="O354" s="44">
        <f t="shared" si="16"/>
        <v>0</v>
      </c>
      <c r="P354" s="41" t="str">
        <f t="shared" si="17"/>
        <v/>
      </c>
    </row>
    <row r="355" spans="2:16">
      <c r="B355" s="43"/>
      <c r="C355" s="43"/>
      <c r="D355" s="43"/>
      <c r="E355" s="43"/>
      <c r="F355" s="43"/>
      <c r="G355" s="43"/>
      <c r="H355" s="43"/>
      <c r="I355" s="43"/>
      <c r="J355" s="43"/>
      <c r="K355" s="43"/>
      <c r="L355" s="44">
        <f>IF($B355="",0,IF($C355="HZ",1,IFERROR(INDEX('Value Streams &amp; Delivery Mode'!$D$17:$M$22,MATCH($D355,'Value Streams &amp; Delivery Mode'!$B$17:$B$22,0),($B355-1)*2+IF($C355="POD",1,2)),0)))</f>
        <v>0</v>
      </c>
      <c r="M355" s="45">
        <f t="shared" si="15"/>
        <v>0</v>
      </c>
      <c r="N355" s="46">
        <f>IF($B355="",0,IFERROR(INDEX('Rates &amp; Tables'!$C$61:$G$63,MATCH($I355,'Rates &amp; Tables'!$J$61:$J$63,0),MATCH($H355,'Rates &amp; Tables'!$C$60:$G$60,0)),0))</f>
        <v>0</v>
      </c>
      <c r="O355" s="44">
        <f t="shared" si="16"/>
        <v>0</v>
      </c>
      <c r="P355" s="41" t="str">
        <f t="shared" si="17"/>
        <v/>
      </c>
    </row>
    <row r="356" spans="2:16">
      <c r="B356" s="43"/>
      <c r="C356" s="43"/>
      <c r="D356" s="43"/>
      <c r="E356" s="43"/>
      <c r="F356" s="43"/>
      <c r="G356" s="43"/>
      <c r="H356" s="43"/>
      <c r="I356" s="43"/>
      <c r="J356" s="43"/>
      <c r="K356" s="43"/>
      <c r="L356" s="44">
        <f>IF($B356="",0,IF($C356="HZ",1,IFERROR(INDEX('Value Streams &amp; Delivery Mode'!$D$17:$M$22,MATCH($D356,'Value Streams &amp; Delivery Mode'!$B$17:$B$22,0),($B356-1)*2+IF($C356="POD",1,2)),0)))</f>
        <v>0</v>
      </c>
      <c r="M356" s="45">
        <f t="shared" si="15"/>
        <v>0</v>
      </c>
      <c r="N356" s="46">
        <f>IF($B356="",0,IFERROR(INDEX('Rates &amp; Tables'!$C$61:$G$63,MATCH($I356,'Rates &amp; Tables'!$J$61:$J$63,0),MATCH($H356,'Rates &amp; Tables'!$C$60:$G$60,0)),0))</f>
        <v>0</v>
      </c>
      <c r="O356" s="44">
        <f t="shared" si="16"/>
        <v>0</v>
      </c>
      <c r="P356" s="41" t="str">
        <f t="shared" si="17"/>
        <v/>
      </c>
    </row>
    <row r="357" spans="2:16">
      <c r="B357" s="43"/>
      <c r="C357" s="43"/>
      <c r="D357" s="43"/>
      <c r="E357" s="43"/>
      <c r="F357" s="43"/>
      <c r="G357" s="43"/>
      <c r="H357" s="43"/>
      <c r="I357" s="43"/>
      <c r="J357" s="43"/>
      <c r="K357" s="43"/>
      <c r="L357" s="44">
        <f>IF($B357="",0,IF($C357="HZ",1,IFERROR(INDEX('Value Streams &amp; Delivery Mode'!$D$17:$M$22,MATCH($D357,'Value Streams &amp; Delivery Mode'!$B$17:$B$22,0),($B357-1)*2+IF($C357="POD",1,2)),0)))</f>
        <v>0</v>
      </c>
      <c r="M357" s="45">
        <f t="shared" si="15"/>
        <v>0</v>
      </c>
      <c r="N357" s="46">
        <f>IF($B357="",0,IFERROR(INDEX('Rates &amp; Tables'!$C$61:$G$63,MATCH($I357,'Rates &amp; Tables'!$J$61:$J$63,0),MATCH($H357,'Rates &amp; Tables'!$C$60:$G$60,0)),0))</f>
        <v>0</v>
      </c>
      <c r="O357" s="44">
        <f t="shared" si="16"/>
        <v>0</v>
      </c>
      <c r="P357" s="41" t="str">
        <f t="shared" si="17"/>
        <v/>
      </c>
    </row>
    <row r="358" spans="2:16">
      <c r="B358" s="43"/>
      <c r="C358" s="43"/>
      <c r="D358" s="43"/>
      <c r="E358" s="43"/>
      <c r="F358" s="43"/>
      <c r="G358" s="43"/>
      <c r="H358" s="43"/>
      <c r="I358" s="43"/>
      <c r="J358" s="43"/>
      <c r="K358" s="43"/>
      <c r="L358" s="44">
        <f>IF($B358="",0,IF($C358="HZ",1,IFERROR(INDEX('Value Streams &amp; Delivery Mode'!$D$17:$M$22,MATCH($D358,'Value Streams &amp; Delivery Mode'!$B$17:$B$22,0),($B358-1)*2+IF($C358="POD",1,2)),0)))</f>
        <v>0</v>
      </c>
      <c r="M358" s="45">
        <f t="shared" si="15"/>
        <v>0</v>
      </c>
      <c r="N358" s="46">
        <f>IF($B358="",0,IFERROR(INDEX('Rates &amp; Tables'!$C$61:$G$63,MATCH($I358,'Rates &amp; Tables'!$J$61:$J$63,0),MATCH($H358,'Rates &amp; Tables'!$C$60:$G$60,0)),0))</f>
        <v>0</v>
      </c>
      <c r="O358" s="44">
        <f t="shared" si="16"/>
        <v>0</v>
      </c>
      <c r="P358" s="41" t="str">
        <f t="shared" si="17"/>
        <v/>
      </c>
    </row>
    <row r="359" spans="2:16">
      <c r="B359" s="43"/>
      <c r="C359" s="43"/>
      <c r="D359" s="43"/>
      <c r="E359" s="43"/>
      <c r="F359" s="43"/>
      <c r="G359" s="43"/>
      <c r="H359" s="43"/>
      <c r="I359" s="43"/>
      <c r="J359" s="43"/>
      <c r="K359" s="43"/>
      <c r="L359" s="44">
        <f>IF($B359="",0,IF($C359="HZ",1,IFERROR(INDEX('Value Streams &amp; Delivery Mode'!$D$17:$M$22,MATCH($D359,'Value Streams &amp; Delivery Mode'!$B$17:$B$22,0),($B359-1)*2+IF($C359="POD",1,2)),0)))</f>
        <v>0</v>
      </c>
      <c r="M359" s="45">
        <f t="shared" si="15"/>
        <v>0</v>
      </c>
      <c r="N359" s="46">
        <f>IF($B359="",0,IFERROR(INDEX('Rates &amp; Tables'!$C$61:$G$63,MATCH($I359,'Rates &amp; Tables'!$J$61:$J$63,0),MATCH($H359,'Rates &amp; Tables'!$C$60:$G$60,0)),0))</f>
        <v>0</v>
      </c>
      <c r="O359" s="44">
        <f t="shared" si="16"/>
        <v>0</v>
      </c>
      <c r="P359" s="41" t="str">
        <f t="shared" si="17"/>
        <v/>
      </c>
    </row>
    <row r="360" spans="2:16">
      <c r="B360" s="43"/>
      <c r="C360" s="43"/>
      <c r="D360" s="43"/>
      <c r="E360" s="43"/>
      <c r="F360" s="43"/>
      <c r="G360" s="43"/>
      <c r="H360" s="43"/>
      <c r="I360" s="43"/>
      <c r="J360" s="43"/>
      <c r="K360" s="43"/>
      <c r="L360" s="44">
        <f>IF($B360="",0,IF($C360="HZ",1,IFERROR(INDEX('Value Streams &amp; Delivery Mode'!$D$17:$M$22,MATCH($D360,'Value Streams &amp; Delivery Mode'!$B$17:$B$22,0),($B360-1)*2+IF($C360="POD",1,2)),0)))</f>
        <v>0</v>
      </c>
      <c r="M360" s="45">
        <f t="shared" si="15"/>
        <v>0</v>
      </c>
      <c r="N360" s="46">
        <f>IF($B360="",0,IFERROR(INDEX('Rates &amp; Tables'!$C$61:$G$63,MATCH($I360,'Rates &amp; Tables'!$J$61:$J$63,0),MATCH($H360,'Rates &amp; Tables'!$C$60:$G$60,0)),0))</f>
        <v>0</v>
      </c>
      <c r="O360" s="44">
        <f t="shared" si="16"/>
        <v>0</v>
      </c>
      <c r="P360" s="41" t="str">
        <f t="shared" si="17"/>
        <v/>
      </c>
    </row>
    <row r="361" spans="2:16">
      <c r="B361" s="43"/>
      <c r="C361" s="43"/>
      <c r="D361" s="43"/>
      <c r="E361" s="43"/>
      <c r="F361" s="43"/>
      <c r="G361" s="43"/>
      <c r="H361" s="43"/>
      <c r="I361" s="43"/>
      <c r="J361" s="43"/>
      <c r="K361" s="43"/>
      <c r="L361" s="44">
        <f>IF($B361="",0,IF($C361="HZ",1,IFERROR(INDEX('Value Streams &amp; Delivery Mode'!$D$17:$M$22,MATCH($D361,'Value Streams &amp; Delivery Mode'!$B$17:$B$22,0),($B361-1)*2+IF($C361="POD",1,2)),0)))</f>
        <v>0</v>
      </c>
      <c r="M361" s="45">
        <f t="shared" si="15"/>
        <v>0</v>
      </c>
      <c r="N361" s="46">
        <f>IF($B361="",0,IFERROR(INDEX('Rates &amp; Tables'!$C$61:$G$63,MATCH($I361,'Rates &amp; Tables'!$J$61:$J$63,0),MATCH($H361,'Rates &amp; Tables'!$C$60:$G$60,0)),0))</f>
        <v>0</v>
      </c>
      <c r="O361" s="44">
        <f t="shared" si="16"/>
        <v>0</v>
      </c>
      <c r="P361" s="41" t="str">
        <f t="shared" si="17"/>
        <v/>
      </c>
    </row>
    <row r="362" spans="2:16">
      <c r="B362" s="43"/>
      <c r="C362" s="43"/>
      <c r="D362" s="43"/>
      <c r="E362" s="43"/>
      <c r="F362" s="43"/>
      <c r="G362" s="43"/>
      <c r="H362" s="43"/>
      <c r="I362" s="43"/>
      <c r="J362" s="43"/>
      <c r="K362" s="43"/>
      <c r="L362" s="44">
        <f>IF($B362="",0,IF($C362="HZ",1,IFERROR(INDEX('Value Streams &amp; Delivery Mode'!$D$17:$M$22,MATCH($D362,'Value Streams &amp; Delivery Mode'!$B$17:$B$22,0),($B362-1)*2+IF($C362="POD",1,2)),0)))</f>
        <v>0</v>
      </c>
      <c r="M362" s="45">
        <f t="shared" si="15"/>
        <v>0</v>
      </c>
      <c r="N362" s="46">
        <f>IF($B362="",0,IFERROR(INDEX('Rates &amp; Tables'!$C$61:$G$63,MATCH($I362,'Rates &amp; Tables'!$J$61:$J$63,0),MATCH($H362,'Rates &amp; Tables'!$C$60:$G$60,0)),0))</f>
        <v>0</v>
      </c>
      <c r="O362" s="44">
        <f t="shared" si="16"/>
        <v>0</v>
      </c>
      <c r="P362" s="41" t="str">
        <f t="shared" si="17"/>
        <v/>
      </c>
    </row>
    <row r="363" spans="2:16">
      <c r="B363" s="43"/>
      <c r="C363" s="43"/>
      <c r="D363" s="43"/>
      <c r="E363" s="43"/>
      <c r="F363" s="43"/>
      <c r="G363" s="43"/>
      <c r="H363" s="43"/>
      <c r="I363" s="43"/>
      <c r="J363" s="43"/>
      <c r="K363" s="43"/>
      <c r="L363" s="44">
        <f>IF($B363="",0,IF($C363="HZ",1,IFERROR(INDEX('Value Streams &amp; Delivery Mode'!$D$17:$M$22,MATCH($D363,'Value Streams &amp; Delivery Mode'!$B$17:$B$22,0),($B363-1)*2+IF($C363="POD",1,2)),0)))</f>
        <v>0</v>
      </c>
      <c r="M363" s="45">
        <f t="shared" si="15"/>
        <v>0</v>
      </c>
      <c r="N363" s="46">
        <f>IF($B363="",0,IFERROR(INDEX('Rates &amp; Tables'!$C$61:$G$63,MATCH($I363,'Rates &amp; Tables'!$J$61:$J$63,0),MATCH($H363,'Rates &amp; Tables'!$C$60:$G$60,0)),0))</f>
        <v>0</v>
      </c>
      <c r="O363" s="44">
        <f t="shared" si="16"/>
        <v>0</v>
      </c>
      <c r="P363" s="41" t="str">
        <f t="shared" si="17"/>
        <v/>
      </c>
    </row>
    <row r="364" spans="2:16">
      <c r="B364" s="43"/>
      <c r="C364" s="43"/>
      <c r="D364" s="43"/>
      <c r="E364" s="43"/>
      <c r="F364" s="43"/>
      <c r="G364" s="43"/>
      <c r="H364" s="43"/>
      <c r="I364" s="43"/>
      <c r="J364" s="43"/>
      <c r="K364" s="43"/>
      <c r="L364" s="44">
        <f>IF($B364="",0,IF($C364="HZ",1,IFERROR(INDEX('Value Streams &amp; Delivery Mode'!$D$17:$M$22,MATCH($D364,'Value Streams &amp; Delivery Mode'!$B$17:$B$22,0),($B364-1)*2+IF($C364="POD",1,2)),0)))</f>
        <v>0</v>
      </c>
      <c r="M364" s="45">
        <f t="shared" si="15"/>
        <v>0</v>
      </c>
      <c r="N364" s="46">
        <f>IF($B364="",0,IFERROR(INDEX('Rates &amp; Tables'!$C$61:$G$63,MATCH($I364,'Rates &amp; Tables'!$J$61:$J$63,0),MATCH($H364,'Rates &amp; Tables'!$C$60:$G$60,0)),0))</f>
        <v>0</v>
      </c>
      <c r="O364" s="44">
        <f t="shared" si="16"/>
        <v>0</v>
      </c>
      <c r="P364" s="41" t="str">
        <f t="shared" si="17"/>
        <v/>
      </c>
    </row>
    <row r="365" spans="2:16">
      <c r="B365" s="43"/>
      <c r="C365" s="43"/>
      <c r="D365" s="43"/>
      <c r="E365" s="43"/>
      <c r="F365" s="43"/>
      <c r="G365" s="43"/>
      <c r="H365" s="43"/>
      <c r="I365" s="43"/>
      <c r="J365" s="43"/>
      <c r="K365" s="43"/>
      <c r="L365" s="44">
        <f>IF($B365="",0,IF($C365="HZ",1,IFERROR(INDEX('Value Streams &amp; Delivery Mode'!$D$17:$M$22,MATCH($D365,'Value Streams &amp; Delivery Mode'!$B$17:$B$22,0),($B365-1)*2+IF($C365="POD",1,2)),0)))</f>
        <v>0</v>
      </c>
      <c r="M365" s="45">
        <f t="shared" si="15"/>
        <v>0</v>
      </c>
      <c r="N365" s="46">
        <f>IF($B365="",0,IFERROR(INDEX('Rates &amp; Tables'!$C$61:$G$63,MATCH($I365,'Rates &amp; Tables'!$J$61:$J$63,0),MATCH($H365,'Rates &amp; Tables'!$C$60:$G$60,0)),0))</f>
        <v>0</v>
      </c>
      <c r="O365" s="44">
        <f t="shared" si="16"/>
        <v>0</v>
      </c>
      <c r="P365" s="41" t="str">
        <f t="shared" si="17"/>
        <v/>
      </c>
    </row>
    <row r="366" spans="2:16">
      <c r="B366" s="43"/>
      <c r="C366" s="43"/>
      <c r="D366" s="43"/>
      <c r="E366" s="43"/>
      <c r="F366" s="43"/>
      <c r="G366" s="43"/>
      <c r="H366" s="43"/>
      <c r="I366" s="43"/>
      <c r="J366" s="43"/>
      <c r="K366" s="43"/>
      <c r="L366" s="44">
        <f>IF($B366="",0,IF($C366="HZ",1,IFERROR(INDEX('Value Streams &amp; Delivery Mode'!$D$17:$M$22,MATCH($D366,'Value Streams &amp; Delivery Mode'!$B$17:$B$22,0),($B366-1)*2+IF($C366="POD",1,2)),0)))</f>
        <v>0</v>
      </c>
      <c r="M366" s="45">
        <f t="shared" si="15"/>
        <v>0</v>
      </c>
      <c r="N366" s="46">
        <f>IF($B366="",0,IFERROR(INDEX('Rates &amp; Tables'!$C$61:$G$63,MATCH($I366,'Rates &amp; Tables'!$J$61:$J$63,0),MATCH($H366,'Rates &amp; Tables'!$C$60:$G$60,0)),0))</f>
        <v>0</v>
      </c>
      <c r="O366" s="44">
        <f t="shared" si="16"/>
        <v>0</v>
      </c>
      <c r="P366" s="41" t="str">
        <f t="shared" si="17"/>
        <v/>
      </c>
    </row>
    <row r="367" spans="2:16">
      <c r="B367" s="43"/>
      <c r="C367" s="43"/>
      <c r="D367" s="43"/>
      <c r="E367" s="43"/>
      <c r="F367" s="43"/>
      <c r="G367" s="43"/>
      <c r="H367" s="43"/>
      <c r="I367" s="43"/>
      <c r="J367" s="43"/>
      <c r="K367" s="43"/>
      <c r="L367" s="44">
        <f>IF($B367="",0,IF($C367="HZ",1,IFERROR(INDEX('Value Streams &amp; Delivery Mode'!$D$17:$M$22,MATCH($D367,'Value Streams &amp; Delivery Mode'!$B$17:$B$22,0),($B367-1)*2+IF($C367="POD",1,2)),0)))</f>
        <v>0</v>
      </c>
      <c r="M367" s="45">
        <f t="shared" si="15"/>
        <v>0</v>
      </c>
      <c r="N367" s="46">
        <f>IF($B367="",0,IFERROR(INDEX('Rates &amp; Tables'!$C$61:$G$63,MATCH($I367,'Rates &amp; Tables'!$J$61:$J$63,0),MATCH($H367,'Rates &amp; Tables'!$C$60:$G$60,0)),0))</f>
        <v>0</v>
      </c>
      <c r="O367" s="44">
        <f t="shared" si="16"/>
        <v>0</v>
      </c>
      <c r="P367" s="41" t="str">
        <f t="shared" si="17"/>
        <v/>
      </c>
    </row>
    <row r="368" spans="2:16">
      <c r="B368" s="43"/>
      <c r="C368" s="43"/>
      <c r="D368" s="43"/>
      <c r="E368" s="43"/>
      <c r="F368" s="43"/>
      <c r="G368" s="43"/>
      <c r="H368" s="43"/>
      <c r="I368" s="43"/>
      <c r="J368" s="43"/>
      <c r="K368" s="43"/>
      <c r="L368" s="44">
        <f>IF($B368="",0,IF($C368="HZ",1,IFERROR(INDEX('Value Streams &amp; Delivery Mode'!$D$17:$M$22,MATCH($D368,'Value Streams &amp; Delivery Mode'!$B$17:$B$22,0),($B368-1)*2+IF($C368="POD",1,2)),0)))</f>
        <v>0</v>
      </c>
      <c r="M368" s="45">
        <f t="shared" si="15"/>
        <v>0</v>
      </c>
      <c r="N368" s="46">
        <f>IF($B368="",0,IFERROR(INDEX('Rates &amp; Tables'!$C$61:$G$63,MATCH($I368,'Rates &amp; Tables'!$J$61:$J$63,0),MATCH($H368,'Rates &amp; Tables'!$C$60:$G$60,0)),0))</f>
        <v>0</v>
      </c>
      <c r="O368" s="44">
        <f t="shared" si="16"/>
        <v>0</v>
      </c>
      <c r="P368" s="41" t="str">
        <f t="shared" si="17"/>
        <v/>
      </c>
    </row>
    <row r="369" spans="2:16">
      <c r="B369" s="43"/>
      <c r="C369" s="43"/>
      <c r="D369" s="43"/>
      <c r="E369" s="43"/>
      <c r="F369" s="43"/>
      <c r="G369" s="43"/>
      <c r="H369" s="43"/>
      <c r="I369" s="43"/>
      <c r="J369" s="43"/>
      <c r="K369" s="43"/>
      <c r="L369" s="44">
        <f>IF($B369="",0,IF($C369="HZ",1,IFERROR(INDEX('Value Streams &amp; Delivery Mode'!$D$17:$M$22,MATCH($D369,'Value Streams &amp; Delivery Mode'!$B$17:$B$22,0),($B369-1)*2+IF($C369="POD",1,2)),0)))</f>
        <v>0</v>
      </c>
      <c r="M369" s="45">
        <f t="shared" si="15"/>
        <v>0</v>
      </c>
      <c r="N369" s="46">
        <f>IF($B369="",0,IFERROR(INDEX('Rates &amp; Tables'!$C$61:$G$63,MATCH($I369,'Rates &amp; Tables'!$J$61:$J$63,0),MATCH($H369,'Rates &amp; Tables'!$C$60:$G$60,0)),0))</f>
        <v>0</v>
      </c>
      <c r="O369" s="44">
        <f t="shared" si="16"/>
        <v>0</v>
      </c>
      <c r="P369" s="41" t="str">
        <f t="shared" si="17"/>
        <v/>
      </c>
    </row>
    <row r="370" spans="2:16">
      <c r="B370" s="43"/>
      <c r="C370" s="43"/>
      <c r="D370" s="43"/>
      <c r="E370" s="43"/>
      <c r="F370" s="43"/>
      <c r="G370" s="43"/>
      <c r="H370" s="43"/>
      <c r="I370" s="43"/>
      <c r="J370" s="43"/>
      <c r="K370" s="43"/>
      <c r="L370" s="44">
        <f>IF($B370="",0,IF($C370="HZ",1,IFERROR(INDEX('Value Streams &amp; Delivery Mode'!$D$17:$M$22,MATCH($D370,'Value Streams &amp; Delivery Mode'!$B$17:$B$22,0),($B370-1)*2+IF($C370="POD",1,2)),0)))</f>
        <v>0</v>
      </c>
      <c r="M370" s="45">
        <f t="shared" si="15"/>
        <v>0</v>
      </c>
      <c r="N370" s="46">
        <f>IF($B370="",0,IFERROR(INDEX('Rates &amp; Tables'!$C$61:$G$63,MATCH($I370,'Rates &amp; Tables'!$J$61:$J$63,0),MATCH($H370,'Rates &amp; Tables'!$C$60:$G$60,0)),0))</f>
        <v>0</v>
      </c>
      <c r="O370" s="44">
        <f t="shared" si="16"/>
        <v>0</v>
      </c>
      <c r="P370" s="41" t="str">
        <f t="shared" si="17"/>
        <v/>
      </c>
    </row>
    <row r="371" spans="2:16">
      <c r="B371" s="43"/>
      <c r="C371" s="43"/>
      <c r="D371" s="43"/>
      <c r="E371" s="43"/>
      <c r="F371" s="43"/>
      <c r="G371" s="43"/>
      <c r="H371" s="43"/>
      <c r="I371" s="43"/>
      <c r="J371" s="43"/>
      <c r="K371" s="43"/>
      <c r="L371" s="44">
        <f>IF($B371="",0,IF($C371="HZ",1,IFERROR(INDEX('Value Streams &amp; Delivery Mode'!$D$17:$M$22,MATCH($D371,'Value Streams &amp; Delivery Mode'!$B$17:$B$22,0),($B371-1)*2+IF($C371="POD",1,2)),0)))</f>
        <v>0</v>
      </c>
      <c r="M371" s="45">
        <f t="shared" si="15"/>
        <v>0</v>
      </c>
      <c r="N371" s="46">
        <f>IF($B371="",0,IFERROR(INDEX('Rates &amp; Tables'!$C$61:$G$63,MATCH($I371,'Rates &amp; Tables'!$J$61:$J$63,0),MATCH($H371,'Rates &amp; Tables'!$C$60:$G$60,0)),0))</f>
        <v>0</v>
      </c>
      <c r="O371" s="44">
        <f t="shared" si="16"/>
        <v>0</v>
      </c>
      <c r="P371" s="41" t="str">
        <f t="shared" si="17"/>
        <v/>
      </c>
    </row>
    <row r="372" spans="2:16">
      <c r="B372" s="43"/>
      <c r="C372" s="43"/>
      <c r="D372" s="43"/>
      <c r="E372" s="43"/>
      <c r="F372" s="43"/>
      <c r="G372" s="43"/>
      <c r="H372" s="43"/>
      <c r="I372" s="43"/>
      <c r="J372" s="43"/>
      <c r="K372" s="43"/>
      <c r="L372" s="44">
        <f>IF($B372="",0,IF($C372="HZ",1,IFERROR(INDEX('Value Streams &amp; Delivery Mode'!$D$17:$M$22,MATCH($D372,'Value Streams &amp; Delivery Mode'!$B$17:$B$22,0),($B372-1)*2+IF($C372="POD",1,2)),0)))</f>
        <v>0</v>
      </c>
      <c r="M372" s="45">
        <f t="shared" si="15"/>
        <v>0</v>
      </c>
      <c r="N372" s="46">
        <f>IF($B372="",0,IFERROR(INDEX('Rates &amp; Tables'!$C$61:$G$63,MATCH($I372,'Rates &amp; Tables'!$J$61:$J$63,0),MATCH($H372,'Rates &amp; Tables'!$C$60:$G$60,0)),0))</f>
        <v>0</v>
      </c>
      <c r="O372" s="44">
        <f t="shared" si="16"/>
        <v>0</v>
      </c>
      <c r="P372" s="41" t="str">
        <f t="shared" si="17"/>
        <v/>
      </c>
    </row>
    <row r="373" spans="2:16">
      <c r="B373" s="43"/>
      <c r="C373" s="43"/>
      <c r="D373" s="43"/>
      <c r="E373" s="43"/>
      <c r="F373" s="43"/>
      <c r="G373" s="43"/>
      <c r="H373" s="43"/>
      <c r="I373" s="43"/>
      <c r="J373" s="43"/>
      <c r="K373" s="43"/>
      <c r="L373" s="44">
        <f>IF($B373="",0,IF($C373="HZ",1,IFERROR(INDEX('Value Streams &amp; Delivery Mode'!$D$17:$M$22,MATCH($D373,'Value Streams &amp; Delivery Mode'!$B$17:$B$22,0),($B373-1)*2+IF($C373="POD",1,2)),0)))</f>
        <v>0</v>
      </c>
      <c r="M373" s="45">
        <f t="shared" si="15"/>
        <v>0</v>
      </c>
      <c r="N373" s="46">
        <f>IF($B373="",0,IFERROR(INDEX('Rates &amp; Tables'!$C$61:$G$63,MATCH($I373,'Rates &amp; Tables'!$J$61:$J$63,0),MATCH($H373,'Rates &amp; Tables'!$C$60:$G$60,0)),0))</f>
        <v>0</v>
      </c>
      <c r="O373" s="44">
        <f t="shared" si="16"/>
        <v>0</v>
      </c>
      <c r="P373" s="41" t="str">
        <f t="shared" si="17"/>
        <v/>
      </c>
    </row>
    <row r="374" spans="2:16">
      <c r="B374" s="43"/>
      <c r="C374" s="43"/>
      <c r="D374" s="43"/>
      <c r="E374" s="43"/>
      <c r="F374" s="43"/>
      <c r="G374" s="43"/>
      <c r="H374" s="43"/>
      <c r="I374" s="43"/>
      <c r="J374" s="43"/>
      <c r="K374" s="43"/>
      <c r="L374" s="44">
        <f>IF($B374="",0,IF($C374="HZ",1,IFERROR(INDEX('Value Streams &amp; Delivery Mode'!$D$17:$M$22,MATCH($D374,'Value Streams &amp; Delivery Mode'!$B$17:$B$22,0),($B374-1)*2+IF($C374="POD",1,2)),0)))</f>
        <v>0</v>
      </c>
      <c r="M374" s="45">
        <f t="shared" si="15"/>
        <v>0</v>
      </c>
      <c r="N374" s="46">
        <f>IF($B374="",0,IFERROR(INDEX('Rates &amp; Tables'!$C$61:$G$63,MATCH($I374,'Rates &amp; Tables'!$J$61:$J$63,0),MATCH($H374,'Rates &amp; Tables'!$C$60:$G$60,0)),0))</f>
        <v>0</v>
      </c>
      <c r="O374" s="44">
        <f t="shared" si="16"/>
        <v>0</v>
      </c>
      <c r="P374" s="41" t="str">
        <f t="shared" si="17"/>
        <v/>
      </c>
    </row>
    <row r="375" spans="2:16">
      <c r="B375" s="43"/>
      <c r="C375" s="43"/>
      <c r="D375" s="43"/>
      <c r="E375" s="43"/>
      <c r="F375" s="43"/>
      <c r="G375" s="43"/>
      <c r="H375" s="43"/>
      <c r="I375" s="43"/>
      <c r="J375" s="43"/>
      <c r="K375" s="43"/>
      <c r="L375" s="44">
        <f>IF($B375="",0,IF($C375="HZ",1,IFERROR(INDEX('Value Streams &amp; Delivery Mode'!$D$17:$M$22,MATCH($D375,'Value Streams &amp; Delivery Mode'!$B$17:$B$22,0),($B375-1)*2+IF($C375="POD",1,2)),0)))</f>
        <v>0</v>
      </c>
      <c r="M375" s="45">
        <f t="shared" si="15"/>
        <v>0</v>
      </c>
      <c r="N375" s="46">
        <f>IF($B375="",0,IFERROR(INDEX('Rates &amp; Tables'!$C$61:$G$63,MATCH($I375,'Rates &amp; Tables'!$J$61:$J$63,0),MATCH($H375,'Rates &amp; Tables'!$C$60:$G$60,0)),0))</f>
        <v>0</v>
      </c>
      <c r="O375" s="44">
        <f t="shared" si="16"/>
        <v>0</v>
      </c>
      <c r="P375" s="41" t="str">
        <f t="shared" si="17"/>
        <v/>
      </c>
    </row>
    <row r="376" spans="2:16">
      <c r="B376" s="43"/>
      <c r="C376" s="43"/>
      <c r="D376" s="43"/>
      <c r="E376" s="43"/>
      <c r="F376" s="43"/>
      <c r="G376" s="43"/>
      <c r="H376" s="43"/>
      <c r="I376" s="43"/>
      <c r="J376" s="43"/>
      <c r="K376" s="43"/>
      <c r="L376" s="44">
        <f>IF($B376="",0,IF($C376="HZ",1,IFERROR(INDEX('Value Streams &amp; Delivery Mode'!$D$17:$M$22,MATCH($D376,'Value Streams &amp; Delivery Mode'!$B$17:$B$22,0),($B376-1)*2+IF($C376="POD",1,2)),0)))</f>
        <v>0</v>
      </c>
      <c r="M376" s="45">
        <f t="shared" si="15"/>
        <v>0</v>
      </c>
      <c r="N376" s="46">
        <f>IF($B376="",0,IFERROR(INDEX('Rates &amp; Tables'!$C$61:$G$63,MATCH($I376,'Rates &amp; Tables'!$J$61:$J$63,0),MATCH($H376,'Rates &amp; Tables'!$C$60:$G$60,0)),0))</f>
        <v>0</v>
      </c>
      <c r="O376" s="44">
        <f t="shared" si="16"/>
        <v>0</v>
      </c>
      <c r="P376" s="41" t="str">
        <f t="shared" si="17"/>
        <v/>
      </c>
    </row>
    <row r="377" spans="2:16">
      <c r="B377" s="43"/>
      <c r="C377" s="43"/>
      <c r="D377" s="43"/>
      <c r="E377" s="43"/>
      <c r="F377" s="43"/>
      <c r="G377" s="43"/>
      <c r="H377" s="43"/>
      <c r="I377" s="43"/>
      <c r="J377" s="43"/>
      <c r="K377" s="43"/>
      <c r="L377" s="44">
        <f>IF($B377="",0,IF($C377="HZ",1,IFERROR(INDEX('Value Streams &amp; Delivery Mode'!$D$17:$M$22,MATCH($D377,'Value Streams &amp; Delivery Mode'!$B$17:$B$22,0),($B377-1)*2+IF($C377="POD",1,2)),0)))</f>
        <v>0</v>
      </c>
      <c r="M377" s="45">
        <f t="shared" si="15"/>
        <v>0</v>
      </c>
      <c r="N377" s="46">
        <f>IF($B377="",0,IFERROR(INDEX('Rates &amp; Tables'!$C$61:$G$63,MATCH($I377,'Rates &amp; Tables'!$J$61:$J$63,0),MATCH($H377,'Rates &amp; Tables'!$C$60:$G$60,0)),0))</f>
        <v>0</v>
      </c>
      <c r="O377" s="44">
        <f t="shared" si="16"/>
        <v>0</v>
      </c>
      <c r="P377" s="41" t="str">
        <f t="shared" si="17"/>
        <v/>
      </c>
    </row>
    <row r="378" spans="2:16">
      <c r="B378" s="43"/>
      <c r="C378" s="43"/>
      <c r="D378" s="43"/>
      <c r="E378" s="43"/>
      <c r="F378" s="43"/>
      <c r="G378" s="43"/>
      <c r="H378" s="43"/>
      <c r="I378" s="43"/>
      <c r="J378" s="43"/>
      <c r="K378" s="43"/>
      <c r="L378" s="44">
        <f>IF($B378="",0,IF($C378="HZ",1,IFERROR(INDEX('Value Streams &amp; Delivery Mode'!$D$17:$M$22,MATCH($D378,'Value Streams &amp; Delivery Mode'!$B$17:$B$22,0),($B378-1)*2+IF($C378="POD",1,2)),0)))</f>
        <v>0</v>
      </c>
      <c r="M378" s="45">
        <f t="shared" si="15"/>
        <v>0</v>
      </c>
      <c r="N378" s="46">
        <f>IF($B378="",0,IFERROR(INDEX('Rates &amp; Tables'!$C$61:$G$63,MATCH($I378,'Rates &amp; Tables'!$J$61:$J$63,0),MATCH($H378,'Rates &amp; Tables'!$C$60:$G$60,0)),0))</f>
        <v>0</v>
      </c>
      <c r="O378" s="44">
        <f t="shared" si="16"/>
        <v>0</v>
      </c>
      <c r="P378" s="41" t="str">
        <f t="shared" si="17"/>
        <v/>
      </c>
    </row>
    <row r="379" spans="2:16">
      <c r="B379" s="43"/>
      <c r="C379" s="43"/>
      <c r="D379" s="43"/>
      <c r="E379" s="43"/>
      <c r="F379" s="43"/>
      <c r="G379" s="43"/>
      <c r="H379" s="43"/>
      <c r="I379" s="43"/>
      <c r="J379" s="43"/>
      <c r="K379" s="43"/>
      <c r="L379" s="44">
        <f>IF($B379="",0,IF($C379="HZ",1,IFERROR(INDEX('Value Streams &amp; Delivery Mode'!$D$17:$M$22,MATCH($D379,'Value Streams &amp; Delivery Mode'!$B$17:$B$22,0),($B379-1)*2+IF($C379="POD",1,2)),0)))</f>
        <v>0</v>
      </c>
      <c r="M379" s="45">
        <f t="shared" si="15"/>
        <v>0</v>
      </c>
      <c r="N379" s="46">
        <f>IF($B379="",0,IFERROR(INDEX('Rates &amp; Tables'!$C$61:$G$63,MATCH($I379,'Rates &amp; Tables'!$J$61:$J$63,0),MATCH($H379,'Rates &amp; Tables'!$C$60:$G$60,0)),0))</f>
        <v>0</v>
      </c>
      <c r="O379" s="44">
        <f t="shared" si="16"/>
        <v>0</v>
      </c>
      <c r="P379" s="41" t="str">
        <f t="shared" si="17"/>
        <v/>
      </c>
    </row>
    <row r="380" spans="2:16">
      <c r="B380" s="43"/>
      <c r="C380" s="43"/>
      <c r="D380" s="43"/>
      <c r="E380" s="43"/>
      <c r="F380" s="43"/>
      <c r="G380" s="43"/>
      <c r="H380" s="43"/>
      <c r="I380" s="43"/>
      <c r="J380" s="43"/>
      <c r="K380" s="43"/>
      <c r="L380" s="44">
        <f>IF($B380="",0,IF($C380="HZ",1,IFERROR(INDEX('Value Streams &amp; Delivery Mode'!$D$17:$M$22,MATCH($D380,'Value Streams &amp; Delivery Mode'!$B$17:$B$22,0),($B380-1)*2+IF($C380="POD",1,2)),0)))</f>
        <v>0</v>
      </c>
      <c r="M380" s="45">
        <f t="shared" si="15"/>
        <v>0</v>
      </c>
      <c r="N380" s="46">
        <f>IF($B380="",0,IFERROR(INDEX('Rates &amp; Tables'!$C$61:$G$63,MATCH($I380,'Rates &amp; Tables'!$J$61:$J$63,0),MATCH($H380,'Rates &amp; Tables'!$C$60:$G$60,0)),0))</f>
        <v>0</v>
      </c>
      <c r="O380" s="44">
        <f t="shared" si="16"/>
        <v>0</v>
      </c>
      <c r="P380" s="41" t="str">
        <f t="shared" si="17"/>
        <v/>
      </c>
    </row>
    <row r="381" spans="2:16">
      <c r="B381" s="43"/>
      <c r="C381" s="43"/>
      <c r="D381" s="43"/>
      <c r="E381" s="43"/>
      <c r="F381" s="43"/>
      <c r="G381" s="43"/>
      <c r="H381" s="43"/>
      <c r="I381" s="43"/>
      <c r="J381" s="43"/>
      <c r="K381" s="43"/>
      <c r="L381" s="44">
        <f>IF($B381="",0,IF($C381="HZ",1,IFERROR(INDEX('Value Streams &amp; Delivery Mode'!$D$17:$M$22,MATCH($D381,'Value Streams &amp; Delivery Mode'!$B$17:$B$22,0),($B381-1)*2+IF($C381="POD",1,2)),0)))</f>
        <v>0</v>
      </c>
      <c r="M381" s="45">
        <f t="shared" si="15"/>
        <v>0</v>
      </c>
      <c r="N381" s="46">
        <f>IF($B381="",0,IFERROR(INDEX('Rates &amp; Tables'!$C$61:$G$63,MATCH($I381,'Rates &amp; Tables'!$J$61:$J$63,0),MATCH($H381,'Rates &amp; Tables'!$C$60:$G$60,0)),0))</f>
        <v>0</v>
      </c>
      <c r="O381" s="44">
        <f t="shared" si="16"/>
        <v>0</v>
      </c>
      <c r="P381" s="41" t="str">
        <f t="shared" si="17"/>
        <v/>
      </c>
    </row>
    <row r="382" spans="2:16">
      <c r="B382" s="43"/>
      <c r="C382" s="43"/>
      <c r="D382" s="43"/>
      <c r="E382" s="43"/>
      <c r="F382" s="43"/>
      <c r="G382" s="43"/>
      <c r="H382" s="43"/>
      <c r="I382" s="43"/>
      <c r="J382" s="43"/>
      <c r="K382" s="43"/>
      <c r="L382" s="44">
        <f>IF($B382="",0,IF($C382="HZ",1,IFERROR(INDEX('Value Streams &amp; Delivery Mode'!$D$17:$M$22,MATCH($D382,'Value Streams &amp; Delivery Mode'!$B$17:$B$22,0),($B382-1)*2+IF($C382="POD",1,2)),0)))</f>
        <v>0</v>
      </c>
      <c r="M382" s="45">
        <f t="shared" si="15"/>
        <v>0</v>
      </c>
      <c r="N382" s="46">
        <f>IF($B382="",0,IFERROR(INDEX('Rates &amp; Tables'!$C$61:$G$63,MATCH($I382,'Rates &amp; Tables'!$J$61:$J$63,0),MATCH($H382,'Rates &amp; Tables'!$C$60:$G$60,0)),0))</f>
        <v>0</v>
      </c>
      <c r="O382" s="44">
        <f t="shared" si="16"/>
        <v>0</v>
      </c>
      <c r="P382" s="41" t="str">
        <f t="shared" si="17"/>
        <v/>
      </c>
    </row>
    <row r="383" spans="2:16">
      <c r="B383" s="43"/>
      <c r="C383" s="43"/>
      <c r="D383" s="43"/>
      <c r="E383" s="43"/>
      <c r="F383" s="43"/>
      <c r="G383" s="43"/>
      <c r="H383" s="43"/>
      <c r="I383" s="43"/>
      <c r="J383" s="43"/>
      <c r="K383" s="43"/>
      <c r="L383" s="44">
        <f>IF($B383="",0,IF($C383="HZ",1,IFERROR(INDEX('Value Streams &amp; Delivery Mode'!$D$17:$M$22,MATCH($D383,'Value Streams &amp; Delivery Mode'!$B$17:$B$22,0),($B383-1)*2+IF($C383="POD",1,2)),0)))</f>
        <v>0</v>
      </c>
      <c r="M383" s="45">
        <f t="shared" si="15"/>
        <v>0</v>
      </c>
      <c r="N383" s="46">
        <f>IF($B383="",0,IFERROR(INDEX('Rates &amp; Tables'!$C$61:$G$63,MATCH($I383,'Rates &amp; Tables'!$J$61:$J$63,0),MATCH($H383,'Rates &amp; Tables'!$C$60:$G$60,0)),0))</f>
        <v>0</v>
      </c>
      <c r="O383" s="44">
        <f t="shared" si="16"/>
        <v>0</v>
      </c>
      <c r="P383" s="41" t="str">
        <f t="shared" si="17"/>
        <v/>
      </c>
    </row>
    <row r="384" spans="2:16">
      <c r="B384" s="43"/>
      <c r="C384" s="43"/>
      <c r="D384" s="43"/>
      <c r="E384" s="43"/>
      <c r="F384" s="43"/>
      <c r="G384" s="43"/>
      <c r="H384" s="43"/>
      <c r="I384" s="43"/>
      <c r="J384" s="43"/>
      <c r="K384" s="43"/>
      <c r="L384" s="44">
        <f>IF($B384="",0,IF($C384="HZ",1,IFERROR(INDEX('Value Streams &amp; Delivery Mode'!$D$17:$M$22,MATCH($D384,'Value Streams &amp; Delivery Mode'!$B$17:$B$22,0),($B384-1)*2+IF($C384="POD",1,2)),0)))</f>
        <v>0</v>
      </c>
      <c r="M384" s="45">
        <f t="shared" si="15"/>
        <v>0</v>
      </c>
      <c r="N384" s="46">
        <f>IF($B384="",0,IFERROR(INDEX('Rates &amp; Tables'!$C$61:$G$63,MATCH($I384,'Rates &amp; Tables'!$J$61:$J$63,0),MATCH($H384,'Rates &amp; Tables'!$C$60:$G$60,0)),0))</f>
        <v>0</v>
      </c>
      <c r="O384" s="44">
        <f t="shared" si="16"/>
        <v>0</v>
      </c>
      <c r="P384" s="41" t="str">
        <f t="shared" si="17"/>
        <v/>
      </c>
    </row>
    <row r="385" spans="2:16">
      <c r="B385" s="43"/>
      <c r="C385" s="43"/>
      <c r="D385" s="43"/>
      <c r="E385" s="43"/>
      <c r="F385" s="43"/>
      <c r="G385" s="43"/>
      <c r="H385" s="43"/>
      <c r="I385" s="43"/>
      <c r="J385" s="43"/>
      <c r="K385" s="43"/>
      <c r="L385" s="44">
        <f>IF($B385="",0,IF($C385="HZ",1,IFERROR(INDEX('Value Streams &amp; Delivery Mode'!$D$17:$M$22,MATCH($D385,'Value Streams &amp; Delivery Mode'!$B$17:$B$22,0),($B385-1)*2+IF($C385="POD",1,2)),0)))</f>
        <v>0</v>
      </c>
      <c r="M385" s="45">
        <f t="shared" si="15"/>
        <v>0</v>
      </c>
      <c r="N385" s="46">
        <f>IF($B385="",0,IFERROR(INDEX('Rates &amp; Tables'!$C$61:$G$63,MATCH($I385,'Rates &amp; Tables'!$J$61:$J$63,0),MATCH($H385,'Rates &amp; Tables'!$C$60:$G$60,0)),0))</f>
        <v>0</v>
      </c>
      <c r="O385" s="44">
        <f t="shared" si="16"/>
        <v>0</v>
      </c>
      <c r="P385" s="41" t="str">
        <f t="shared" si="17"/>
        <v/>
      </c>
    </row>
    <row r="386" spans="2:16">
      <c r="B386" s="43"/>
      <c r="C386" s="43"/>
      <c r="D386" s="43"/>
      <c r="E386" s="43"/>
      <c r="F386" s="43"/>
      <c r="G386" s="43"/>
      <c r="H386" s="43"/>
      <c r="I386" s="43"/>
      <c r="J386" s="43"/>
      <c r="K386" s="43"/>
      <c r="L386" s="44">
        <f>IF($B386="",0,IF($C386="HZ",1,IFERROR(INDEX('Value Streams &amp; Delivery Mode'!$D$17:$M$22,MATCH($D386,'Value Streams &amp; Delivery Mode'!$B$17:$B$22,0),($B386-1)*2+IF($C386="POD",1,2)),0)))</f>
        <v>0</v>
      </c>
      <c r="M386" s="45">
        <f t="shared" si="15"/>
        <v>0</v>
      </c>
      <c r="N386" s="46">
        <f>IF($B386="",0,IFERROR(INDEX('Rates &amp; Tables'!$C$61:$G$63,MATCH($I386,'Rates &amp; Tables'!$J$61:$J$63,0),MATCH($H386,'Rates &amp; Tables'!$C$60:$G$60,0)),0))</f>
        <v>0</v>
      </c>
      <c r="O386" s="44">
        <f t="shared" si="16"/>
        <v>0</v>
      </c>
      <c r="P386" s="41" t="str">
        <f t="shared" si="17"/>
        <v/>
      </c>
    </row>
    <row r="387" spans="2:16">
      <c r="B387" s="43"/>
      <c r="C387" s="43"/>
      <c r="D387" s="43"/>
      <c r="E387" s="43"/>
      <c r="F387" s="43"/>
      <c r="G387" s="43"/>
      <c r="H387" s="43"/>
      <c r="I387" s="43"/>
      <c r="J387" s="43"/>
      <c r="K387" s="43"/>
      <c r="L387" s="44">
        <f>IF($B387="",0,IF($C387="HZ",1,IFERROR(INDEX('Value Streams &amp; Delivery Mode'!$D$17:$M$22,MATCH($D387,'Value Streams &amp; Delivery Mode'!$B$17:$B$22,0),($B387-1)*2+IF($C387="POD",1,2)),0)))</f>
        <v>0</v>
      </c>
      <c r="M387" s="45">
        <f t="shared" si="15"/>
        <v>0</v>
      </c>
      <c r="N387" s="46">
        <f>IF($B387="",0,IFERROR(INDEX('Rates &amp; Tables'!$C$61:$G$63,MATCH($I387,'Rates &amp; Tables'!$J$61:$J$63,0),MATCH($H387,'Rates &amp; Tables'!$C$60:$G$60,0)),0))</f>
        <v>0</v>
      </c>
      <c r="O387" s="44">
        <f t="shared" si="16"/>
        <v>0</v>
      </c>
      <c r="P387" s="41" t="str">
        <f t="shared" si="17"/>
        <v/>
      </c>
    </row>
    <row r="388" spans="2:16">
      <c r="B388" s="43"/>
      <c r="C388" s="43"/>
      <c r="D388" s="43"/>
      <c r="E388" s="43"/>
      <c r="F388" s="43"/>
      <c r="G388" s="43"/>
      <c r="H388" s="43"/>
      <c r="I388" s="43"/>
      <c r="J388" s="43"/>
      <c r="K388" s="43"/>
      <c r="L388" s="44">
        <f>IF($B388="",0,IF($C388="HZ",1,IFERROR(INDEX('Value Streams &amp; Delivery Mode'!$D$17:$M$22,MATCH($D388,'Value Streams &amp; Delivery Mode'!$B$17:$B$22,0),($B388-1)*2+IF($C388="POD",1,2)),0)))</f>
        <v>0</v>
      </c>
      <c r="M388" s="45">
        <f t="shared" si="15"/>
        <v>0</v>
      </c>
      <c r="N388" s="46">
        <f>IF($B388="",0,IFERROR(INDEX('Rates &amp; Tables'!$C$61:$G$63,MATCH($I388,'Rates &amp; Tables'!$J$61:$J$63,0),MATCH($H388,'Rates &amp; Tables'!$C$60:$G$60,0)),0))</f>
        <v>0</v>
      </c>
      <c r="O388" s="44">
        <f t="shared" si="16"/>
        <v>0</v>
      </c>
      <c r="P388" s="41" t="str">
        <f t="shared" si="17"/>
        <v/>
      </c>
    </row>
    <row r="389" spans="2:16">
      <c r="B389" s="43"/>
      <c r="C389" s="43"/>
      <c r="D389" s="43"/>
      <c r="E389" s="43"/>
      <c r="F389" s="43"/>
      <c r="G389" s="43"/>
      <c r="H389" s="43"/>
      <c r="I389" s="43"/>
      <c r="J389" s="43"/>
      <c r="K389" s="43"/>
      <c r="L389" s="44">
        <f>IF($B389="",0,IF($C389="HZ",1,IFERROR(INDEX('Value Streams &amp; Delivery Mode'!$D$17:$M$22,MATCH($D389,'Value Streams &amp; Delivery Mode'!$B$17:$B$22,0),($B389-1)*2+IF($C389="POD",1,2)),0)))</f>
        <v>0</v>
      </c>
      <c r="M389" s="45">
        <f t="shared" ref="M389:M424" si="18">IF($B389="",0,$K389*$L389)</f>
        <v>0</v>
      </c>
      <c r="N389" s="46">
        <f>IF($B389="",0,IFERROR(INDEX('Rates &amp; Tables'!$C$61:$G$63,MATCH($I389,'Rates &amp; Tables'!$J$61:$J$63,0),MATCH($H389,'Rates &amp; Tables'!$C$60:$G$60,0)),0))</f>
        <v>0</v>
      </c>
      <c r="O389" s="44">
        <f t="shared" ref="O389:O424" si="19">IF($B389="",0,$M389*$N389)</f>
        <v>0</v>
      </c>
      <c r="P389" s="41" t="str">
        <f t="shared" ref="P389:P424" si="20">IF($B389="","",$B389&amp;"|"&amp;$G389&amp;"|"&amp;$J389)</f>
        <v/>
      </c>
    </row>
    <row r="390" spans="2:16">
      <c r="B390" s="43"/>
      <c r="C390" s="43"/>
      <c r="D390" s="43"/>
      <c r="E390" s="43"/>
      <c r="F390" s="43"/>
      <c r="G390" s="43"/>
      <c r="H390" s="43"/>
      <c r="I390" s="43"/>
      <c r="J390" s="43"/>
      <c r="K390" s="43"/>
      <c r="L390" s="44">
        <f>IF($B390="",0,IF($C390="HZ",1,IFERROR(INDEX('Value Streams &amp; Delivery Mode'!$D$17:$M$22,MATCH($D390,'Value Streams &amp; Delivery Mode'!$B$17:$B$22,0),($B390-1)*2+IF($C390="POD",1,2)),0)))</f>
        <v>0</v>
      </c>
      <c r="M390" s="45">
        <f t="shared" si="18"/>
        <v>0</v>
      </c>
      <c r="N390" s="46">
        <f>IF($B390="",0,IFERROR(INDEX('Rates &amp; Tables'!$C$61:$G$63,MATCH($I390,'Rates &amp; Tables'!$J$61:$J$63,0),MATCH($H390,'Rates &amp; Tables'!$C$60:$G$60,0)),0))</f>
        <v>0</v>
      </c>
      <c r="O390" s="44">
        <f t="shared" si="19"/>
        <v>0</v>
      </c>
      <c r="P390" s="41" t="str">
        <f t="shared" si="20"/>
        <v/>
      </c>
    </row>
    <row r="391" spans="2:16">
      <c r="B391" s="43"/>
      <c r="C391" s="43"/>
      <c r="D391" s="43"/>
      <c r="E391" s="43"/>
      <c r="F391" s="43"/>
      <c r="G391" s="43"/>
      <c r="H391" s="43"/>
      <c r="I391" s="43"/>
      <c r="J391" s="43"/>
      <c r="K391" s="43"/>
      <c r="L391" s="44">
        <f>IF($B391="",0,IF($C391="HZ",1,IFERROR(INDEX('Value Streams &amp; Delivery Mode'!$D$17:$M$22,MATCH($D391,'Value Streams &amp; Delivery Mode'!$B$17:$B$22,0),($B391-1)*2+IF($C391="POD",1,2)),0)))</f>
        <v>0</v>
      </c>
      <c r="M391" s="45">
        <f t="shared" si="18"/>
        <v>0</v>
      </c>
      <c r="N391" s="46">
        <f>IF($B391="",0,IFERROR(INDEX('Rates &amp; Tables'!$C$61:$G$63,MATCH($I391,'Rates &amp; Tables'!$J$61:$J$63,0),MATCH($H391,'Rates &amp; Tables'!$C$60:$G$60,0)),0))</f>
        <v>0</v>
      </c>
      <c r="O391" s="44">
        <f t="shared" si="19"/>
        <v>0</v>
      </c>
      <c r="P391" s="41" t="str">
        <f t="shared" si="20"/>
        <v/>
      </c>
    </row>
    <row r="392" spans="2:16">
      <c r="B392" s="43"/>
      <c r="C392" s="43"/>
      <c r="D392" s="43"/>
      <c r="E392" s="43"/>
      <c r="F392" s="43"/>
      <c r="G392" s="43"/>
      <c r="H392" s="43"/>
      <c r="I392" s="43"/>
      <c r="J392" s="43"/>
      <c r="K392" s="43"/>
      <c r="L392" s="44">
        <f>IF($B392="",0,IF($C392="HZ",1,IFERROR(INDEX('Value Streams &amp; Delivery Mode'!$D$17:$M$22,MATCH($D392,'Value Streams &amp; Delivery Mode'!$B$17:$B$22,0),($B392-1)*2+IF($C392="POD",1,2)),0)))</f>
        <v>0</v>
      </c>
      <c r="M392" s="45">
        <f t="shared" si="18"/>
        <v>0</v>
      </c>
      <c r="N392" s="46">
        <f>IF($B392="",0,IFERROR(INDEX('Rates &amp; Tables'!$C$61:$G$63,MATCH($I392,'Rates &amp; Tables'!$J$61:$J$63,0),MATCH($H392,'Rates &amp; Tables'!$C$60:$G$60,0)),0))</f>
        <v>0</v>
      </c>
      <c r="O392" s="44">
        <f t="shared" si="19"/>
        <v>0</v>
      </c>
      <c r="P392" s="41" t="str">
        <f t="shared" si="20"/>
        <v/>
      </c>
    </row>
    <row r="393" spans="2:16">
      <c r="B393" s="43"/>
      <c r="C393" s="43"/>
      <c r="D393" s="43"/>
      <c r="E393" s="43"/>
      <c r="F393" s="43"/>
      <c r="G393" s="43"/>
      <c r="H393" s="43"/>
      <c r="I393" s="43"/>
      <c r="J393" s="43"/>
      <c r="K393" s="43"/>
      <c r="L393" s="44">
        <f>IF($B393="",0,IF($C393="HZ",1,IFERROR(INDEX('Value Streams &amp; Delivery Mode'!$D$17:$M$22,MATCH($D393,'Value Streams &amp; Delivery Mode'!$B$17:$B$22,0),($B393-1)*2+IF($C393="POD",1,2)),0)))</f>
        <v>0</v>
      </c>
      <c r="M393" s="45">
        <f t="shared" si="18"/>
        <v>0</v>
      </c>
      <c r="N393" s="46">
        <f>IF($B393="",0,IFERROR(INDEX('Rates &amp; Tables'!$C$61:$G$63,MATCH($I393,'Rates &amp; Tables'!$J$61:$J$63,0),MATCH($H393,'Rates &amp; Tables'!$C$60:$G$60,0)),0))</f>
        <v>0</v>
      </c>
      <c r="O393" s="44">
        <f t="shared" si="19"/>
        <v>0</v>
      </c>
      <c r="P393" s="41" t="str">
        <f t="shared" si="20"/>
        <v/>
      </c>
    </row>
    <row r="394" spans="2:16">
      <c r="B394" s="43"/>
      <c r="C394" s="43"/>
      <c r="D394" s="43"/>
      <c r="E394" s="43"/>
      <c r="F394" s="43"/>
      <c r="G394" s="43"/>
      <c r="H394" s="43"/>
      <c r="I394" s="43"/>
      <c r="J394" s="43"/>
      <c r="K394" s="43"/>
      <c r="L394" s="44">
        <f>IF($B394="",0,IF($C394="HZ",1,IFERROR(INDEX('Value Streams &amp; Delivery Mode'!$D$17:$M$22,MATCH($D394,'Value Streams &amp; Delivery Mode'!$B$17:$B$22,0),($B394-1)*2+IF($C394="POD",1,2)),0)))</f>
        <v>0</v>
      </c>
      <c r="M394" s="45">
        <f t="shared" si="18"/>
        <v>0</v>
      </c>
      <c r="N394" s="46">
        <f>IF($B394="",0,IFERROR(INDEX('Rates &amp; Tables'!$C$61:$G$63,MATCH($I394,'Rates &amp; Tables'!$J$61:$J$63,0),MATCH($H394,'Rates &amp; Tables'!$C$60:$G$60,0)),0))</f>
        <v>0</v>
      </c>
      <c r="O394" s="44">
        <f t="shared" si="19"/>
        <v>0</v>
      </c>
      <c r="P394" s="41" t="str">
        <f t="shared" si="20"/>
        <v/>
      </c>
    </row>
    <row r="395" spans="2:16">
      <c r="B395" s="43"/>
      <c r="C395" s="43"/>
      <c r="D395" s="43"/>
      <c r="E395" s="43"/>
      <c r="F395" s="43"/>
      <c r="G395" s="43"/>
      <c r="H395" s="43"/>
      <c r="I395" s="43"/>
      <c r="J395" s="43"/>
      <c r="K395" s="43"/>
      <c r="L395" s="44">
        <f>IF($B395="",0,IF($C395="HZ",1,IFERROR(INDEX('Value Streams &amp; Delivery Mode'!$D$17:$M$22,MATCH($D395,'Value Streams &amp; Delivery Mode'!$B$17:$B$22,0),($B395-1)*2+IF($C395="POD",1,2)),0)))</f>
        <v>0</v>
      </c>
      <c r="M395" s="45">
        <f t="shared" si="18"/>
        <v>0</v>
      </c>
      <c r="N395" s="46">
        <f>IF($B395="",0,IFERROR(INDEX('Rates &amp; Tables'!$C$61:$G$63,MATCH($I395,'Rates &amp; Tables'!$J$61:$J$63,0),MATCH($H395,'Rates &amp; Tables'!$C$60:$G$60,0)),0))</f>
        <v>0</v>
      </c>
      <c r="O395" s="44">
        <f t="shared" si="19"/>
        <v>0</v>
      </c>
      <c r="P395" s="41" t="str">
        <f t="shared" si="20"/>
        <v/>
      </c>
    </row>
    <row r="396" spans="2:16">
      <c r="B396" s="43"/>
      <c r="C396" s="43"/>
      <c r="D396" s="43"/>
      <c r="E396" s="43"/>
      <c r="F396" s="43"/>
      <c r="G396" s="43"/>
      <c r="H396" s="43"/>
      <c r="I396" s="43"/>
      <c r="J396" s="43"/>
      <c r="K396" s="43"/>
      <c r="L396" s="44">
        <f>IF($B396="",0,IF($C396="HZ",1,IFERROR(INDEX('Value Streams &amp; Delivery Mode'!$D$17:$M$22,MATCH($D396,'Value Streams &amp; Delivery Mode'!$B$17:$B$22,0),($B396-1)*2+IF($C396="POD",1,2)),0)))</f>
        <v>0</v>
      </c>
      <c r="M396" s="45">
        <f t="shared" si="18"/>
        <v>0</v>
      </c>
      <c r="N396" s="46">
        <f>IF($B396="",0,IFERROR(INDEX('Rates &amp; Tables'!$C$61:$G$63,MATCH($I396,'Rates &amp; Tables'!$J$61:$J$63,0),MATCH($H396,'Rates &amp; Tables'!$C$60:$G$60,0)),0))</f>
        <v>0</v>
      </c>
      <c r="O396" s="44">
        <f t="shared" si="19"/>
        <v>0</v>
      </c>
      <c r="P396" s="41" t="str">
        <f t="shared" si="20"/>
        <v/>
      </c>
    </row>
    <row r="397" spans="2:16">
      <c r="B397" s="43"/>
      <c r="C397" s="43"/>
      <c r="D397" s="43"/>
      <c r="E397" s="43"/>
      <c r="F397" s="43"/>
      <c r="G397" s="43"/>
      <c r="H397" s="43"/>
      <c r="I397" s="43"/>
      <c r="J397" s="43"/>
      <c r="K397" s="43"/>
      <c r="L397" s="44">
        <f>IF($B397="",0,IF($C397="HZ",1,IFERROR(INDEX('Value Streams &amp; Delivery Mode'!$D$17:$M$22,MATCH($D397,'Value Streams &amp; Delivery Mode'!$B$17:$B$22,0),($B397-1)*2+IF($C397="POD",1,2)),0)))</f>
        <v>0</v>
      </c>
      <c r="M397" s="45">
        <f t="shared" si="18"/>
        <v>0</v>
      </c>
      <c r="N397" s="46">
        <f>IF($B397="",0,IFERROR(INDEX('Rates &amp; Tables'!$C$61:$G$63,MATCH($I397,'Rates &amp; Tables'!$J$61:$J$63,0),MATCH($H397,'Rates &amp; Tables'!$C$60:$G$60,0)),0))</f>
        <v>0</v>
      </c>
      <c r="O397" s="44">
        <f t="shared" si="19"/>
        <v>0</v>
      </c>
      <c r="P397" s="41" t="str">
        <f t="shared" si="20"/>
        <v/>
      </c>
    </row>
    <row r="398" spans="2:16">
      <c r="B398" s="43"/>
      <c r="C398" s="43"/>
      <c r="D398" s="43"/>
      <c r="E398" s="43"/>
      <c r="F398" s="43"/>
      <c r="G398" s="43"/>
      <c r="H398" s="43"/>
      <c r="I398" s="43"/>
      <c r="J398" s="43"/>
      <c r="K398" s="43"/>
      <c r="L398" s="44">
        <f>IF($B398="",0,IF($C398="HZ",1,IFERROR(INDEX('Value Streams &amp; Delivery Mode'!$D$17:$M$22,MATCH($D398,'Value Streams &amp; Delivery Mode'!$B$17:$B$22,0),($B398-1)*2+IF($C398="POD",1,2)),0)))</f>
        <v>0</v>
      </c>
      <c r="M398" s="45">
        <f t="shared" si="18"/>
        <v>0</v>
      </c>
      <c r="N398" s="46">
        <f>IF($B398="",0,IFERROR(INDEX('Rates &amp; Tables'!$C$61:$G$63,MATCH($I398,'Rates &amp; Tables'!$J$61:$J$63,0),MATCH($H398,'Rates &amp; Tables'!$C$60:$G$60,0)),0))</f>
        <v>0</v>
      </c>
      <c r="O398" s="44">
        <f t="shared" si="19"/>
        <v>0</v>
      </c>
      <c r="P398" s="41" t="str">
        <f t="shared" si="20"/>
        <v/>
      </c>
    </row>
    <row r="399" spans="2:16">
      <c r="B399" s="43"/>
      <c r="C399" s="43"/>
      <c r="D399" s="43"/>
      <c r="E399" s="43"/>
      <c r="F399" s="43"/>
      <c r="G399" s="43"/>
      <c r="H399" s="43"/>
      <c r="I399" s="43"/>
      <c r="J399" s="43"/>
      <c r="K399" s="43"/>
      <c r="L399" s="44">
        <f>IF($B399="",0,IF($C399="HZ",1,IFERROR(INDEX('Value Streams &amp; Delivery Mode'!$D$17:$M$22,MATCH($D399,'Value Streams &amp; Delivery Mode'!$B$17:$B$22,0),($B399-1)*2+IF($C399="POD",1,2)),0)))</f>
        <v>0</v>
      </c>
      <c r="M399" s="45">
        <f t="shared" si="18"/>
        <v>0</v>
      </c>
      <c r="N399" s="46">
        <f>IF($B399="",0,IFERROR(INDEX('Rates &amp; Tables'!$C$61:$G$63,MATCH($I399,'Rates &amp; Tables'!$J$61:$J$63,0),MATCH($H399,'Rates &amp; Tables'!$C$60:$G$60,0)),0))</f>
        <v>0</v>
      </c>
      <c r="O399" s="44">
        <f t="shared" si="19"/>
        <v>0</v>
      </c>
      <c r="P399" s="41" t="str">
        <f t="shared" si="20"/>
        <v/>
      </c>
    </row>
    <row r="400" spans="2:16">
      <c r="B400" s="43"/>
      <c r="C400" s="43"/>
      <c r="D400" s="43"/>
      <c r="E400" s="43"/>
      <c r="F400" s="43"/>
      <c r="G400" s="43"/>
      <c r="H400" s="43"/>
      <c r="I400" s="43"/>
      <c r="J400" s="43"/>
      <c r="K400" s="43"/>
      <c r="L400" s="44">
        <f>IF($B400="",0,IF($C400="HZ",1,IFERROR(INDEX('Value Streams &amp; Delivery Mode'!$D$17:$M$22,MATCH($D400,'Value Streams &amp; Delivery Mode'!$B$17:$B$22,0),($B400-1)*2+IF($C400="POD",1,2)),0)))</f>
        <v>0</v>
      </c>
      <c r="M400" s="45">
        <f t="shared" si="18"/>
        <v>0</v>
      </c>
      <c r="N400" s="46">
        <f>IF($B400="",0,IFERROR(INDEX('Rates &amp; Tables'!$C$61:$G$63,MATCH($I400,'Rates &amp; Tables'!$J$61:$J$63,0),MATCH($H400,'Rates &amp; Tables'!$C$60:$G$60,0)),0))</f>
        <v>0</v>
      </c>
      <c r="O400" s="44">
        <f t="shared" si="19"/>
        <v>0</v>
      </c>
      <c r="P400" s="41" t="str">
        <f t="shared" si="20"/>
        <v/>
      </c>
    </row>
    <row r="401" spans="2:16">
      <c r="B401" s="43"/>
      <c r="C401" s="43"/>
      <c r="D401" s="43"/>
      <c r="E401" s="43"/>
      <c r="F401" s="43"/>
      <c r="G401" s="43"/>
      <c r="H401" s="43"/>
      <c r="I401" s="43"/>
      <c r="J401" s="43"/>
      <c r="K401" s="43"/>
      <c r="L401" s="44">
        <f>IF($B401="",0,IF($C401="HZ",1,IFERROR(INDEX('Value Streams &amp; Delivery Mode'!$D$17:$M$22,MATCH($D401,'Value Streams &amp; Delivery Mode'!$B$17:$B$22,0),($B401-1)*2+IF($C401="POD",1,2)),0)))</f>
        <v>0</v>
      </c>
      <c r="M401" s="45">
        <f t="shared" si="18"/>
        <v>0</v>
      </c>
      <c r="N401" s="46">
        <f>IF($B401="",0,IFERROR(INDEX('Rates &amp; Tables'!$C$61:$G$63,MATCH($I401,'Rates &amp; Tables'!$J$61:$J$63,0),MATCH($H401,'Rates &amp; Tables'!$C$60:$G$60,0)),0))</f>
        <v>0</v>
      </c>
      <c r="O401" s="44">
        <f t="shared" si="19"/>
        <v>0</v>
      </c>
      <c r="P401" s="41" t="str">
        <f t="shared" si="20"/>
        <v/>
      </c>
    </row>
    <row r="402" spans="2:16">
      <c r="B402" s="43"/>
      <c r="C402" s="43"/>
      <c r="D402" s="43"/>
      <c r="E402" s="43"/>
      <c r="F402" s="43"/>
      <c r="G402" s="43"/>
      <c r="H402" s="43"/>
      <c r="I402" s="43"/>
      <c r="J402" s="43"/>
      <c r="K402" s="43"/>
      <c r="L402" s="44">
        <f>IF($B402="",0,IF($C402="HZ",1,IFERROR(INDEX('Value Streams &amp; Delivery Mode'!$D$17:$M$22,MATCH($D402,'Value Streams &amp; Delivery Mode'!$B$17:$B$22,0),($B402-1)*2+IF($C402="POD",1,2)),0)))</f>
        <v>0</v>
      </c>
      <c r="M402" s="45">
        <f t="shared" si="18"/>
        <v>0</v>
      </c>
      <c r="N402" s="46">
        <f>IF($B402="",0,IFERROR(INDEX('Rates &amp; Tables'!$C$61:$G$63,MATCH($I402,'Rates &amp; Tables'!$J$61:$J$63,0),MATCH($H402,'Rates &amp; Tables'!$C$60:$G$60,0)),0))</f>
        <v>0</v>
      </c>
      <c r="O402" s="44">
        <f t="shared" si="19"/>
        <v>0</v>
      </c>
      <c r="P402" s="41" t="str">
        <f t="shared" si="20"/>
        <v/>
      </c>
    </row>
    <row r="403" spans="2:16">
      <c r="B403" s="43"/>
      <c r="C403" s="43"/>
      <c r="D403" s="43"/>
      <c r="E403" s="43"/>
      <c r="F403" s="43"/>
      <c r="G403" s="43"/>
      <c r="H403" s="43"/>
      <c r="I403" s="43"/>
      <c r="J403" s="43"/>
      <c r="K403" s="43"/>
      <c r="L403" s="44">
        <f>IF($B403="",0,IF($C403="HZ",1,IFERROR(INDEX('Value Streams &amp; Delivery Mode'!$D$17:$M$22,MATCH($D403,'Value Streams &amp; Delivery Mode'!$B$17:$B$22,0),($B403-1)*2+IF($C403="POD",1,2)),0)))</f>
        <v>0</v>
      </c>
      <c r="M403" s="45">
        <f t="shared" si="18"/>
        <v>0</v>
      </c>
      <c r="N403" s="46">
        <f>IF($B403="",0,IFERROR(INDEX('Rates &amp; Tables'!$C$61:$G$63,MATCH($I403,'Rates &amp; Tables'!$J$61:$J$63,0),MATCH($H403,'Rates &amp; Tables'!$C$60:$G$60,0)),0))</f>
        <v>0</v>
      </c>
      <c r="O403" s="44">
        <f t="shared" si="19"/>
        <v>0</v>
      </c>
      <c r="P403" s="41" t="str">
        <f t="shared" si="20"/>
        <v/>
      </c>
    </row>
    <row r="404" spans="2:16">
      <c r="B404" s="43"/>
      <c r="C404" s="43"/>
      <c r="D404" s="43"/>
      <c r="E404" s="43"/>
      <c r="F404" s="43"/>
      <c r="G404" s="43"/>
      <c r="H404" s="43"/>
      <c r="I404" s="43"/>
      <c r="J404" s="43"/>
      <c r="K404" s="43"/>
      <c r="L404" s="44">
        <f>IF($B404="",0,IF($C404="HZ",1,IFERROR(INDEX('Value Streams &amp; Delivery Mode'!$D$17:$M$22,MATCH($D404,'Value Streams &amp; Delivery Mode'!$B$17:$B$22,0),($B404-1)*2+IF($C404="POD",1,2)),0)))</f>
        <v>0</v>
      </c>
      <c r="M404" s="45">
        <f t="shared" si="18"/>
        <v>0</v>
      </c>
      <c r="N404" s="46">
        <f>IF($B404="",0,IFERROR(INDEX('Rates &amp; Tables'!$C$61:$G$63,MATCH($I404,'Rates &amp; Tables'!$J$61:$J$63,0),MATCH($H404,'Rates &amp; Tables'!$C$60:$G$60,0)),0))</f>
        <v>0</v>
      </c>
      <c r="O404" s="44">
        <f t="shared" si="19"/>
        <v>0</v>
      </c>
      <c r="P404" s="41" t="str">
        <f t="shared" si="20"/>
        <v/>
      </c>
    </row>
    <row r="405" spans="2:16">
      <c r="B405" s="43"/>
      <c r="C405" s="43"/>
      <c r="D405" s="43"/>
      <c r="E405" s="43"/>
      <c r="F405" s="43"/>
      <c r="G405" s="43"/>
      <c r="H405" s="43"/>
      <c r="I405" s="43"/>
      <c r="J405" s="43"/>
      <c r="K405" s="43"/>
      <c r="L405" s="44">
        <f>IF($B405="",0,IF($C405="HZ",1,IFERROR(INDEX('Value Streams &amp; Delivery Mode'!$D$17:$M$22,MATCH($D405,'Value Streams &amp; Delivery Mode'!$B$17:$B$22,0),($B405-1)*2+IF($C405="POD",1,2)),0)))</f>
        <v>0</v>
      </c>
      <c r="M405" s="45">
        <f t="shared" si="18"/>
        <v>0</v>
      </c>
      <c r="N405" s="46">
        <f>IF($B405="",0,IFERROR(INDEX('Rates &amp; Tables'!$C$61:$G$63,MATCH($I405,'Rates &amp; Tables'!$J$61:$J$63,0),MATCH($H405,'Rates &amp; Tables'!$C$60:$G$60,0)),0))</f>
        <v>0</v>
      </c>
      <c r="O405" s="44">
        <f t="shared" si="19"/>
        <v>0</v>
      </c>
      <c r="P405" s="41" t="str">
        <f t="shared" si="20"/>
        <v/>
      </c>
    </row>
    <row r="406" spans="2:16">
      <c r="B406" s="43"/>
      <c r="C406" s="43"/>
      <c r="D406" s="43"/>
      <c r="E406" s="43"/>
      <c r="F406" s="43"/>
      <c r="G406" s="43"/>
      <c r="H406" s="43"/>
      <c r="I406" s="43"/>
      <c r="J406" s="43"/>
      <c r="K406" s="43"/>
      <c r="L406" s="44">
        <f>IF($B406="",0,IF($C406="HZ",1,IFERROR(INDEX('Value Streams &amp; Delivery Mode'!$D$17:$M$22,MATCH($D406,'Value Streams &amp; Delivery Mode'!$B$17:$B$22,0),($B406-1)*2+IF($C406="POD",1,2)),0)))</f>
        <v>0</v>
      </c>
      <c r="M406" s="45">
        <f t="shared" si="18"/>
        <v>0</v>
      </c>
      <c r="N406" s="46">
        <f>IF($B406="",0,IFERROR(INDEX('Rates &amp; Tables'!$C$61:$G$63,MATCH($I406,'Rates &amp; Tables'!$J$61:$J$63,0),MATCH($H406,'Rates &amp; Tables'!$C$60:$G$60,0)),0))</f>
        <v>0</v>
      </c>
      <c r="O406" s="44">
        <f t="shared" si="19"/>
        <v>0</v>
      </c>
      <c r="P406" s="41" t="str">
        <f t="shared" si="20"/>
        <v/>
      </c>
    </row>
    <row r="407" spans="2:16">
      <c r="B407" s="43"/>
      <c r="C407" s="43"/>
      <c r="D407" s="43"/>
      <c r="E407" s="43"/>
      <c r="F407" s="43"/>
      <c r="G407" s="43"/>
      <c r="H407" s="43"/>
      <c r="I407" s="43"/>
      <c r="J407" s="43"/>
      <c r="K407" s="43"/>
      <c r="L407" s="44">
        <f>IF($B407="",0,IF($C407="HZ",1,IFERROR(INDEX('Value Streams &amp; Delivery Mode'!$D$17:$M$22,MATCH($D407,'Value Streams &amp; Delivery Mode'!$B$17:$B$22,0),($B407-1)*2+IF($C407="POD",1,2)),0)))</f>
        <v>0</v>
      </c>
      <c r="M407" s="45">
        <f t="shared" si="18"/>
        <v>0</v>
      </c>
      <c r="N407" s="46">
        <f>IF($B407="",0,IFERROR(INDEX('Rates &amp; Tables'!$C$61:$G$63,MATCH($I407,'Rates &amp; Tables'!$J$61:$J$63,0),MATCH($H407,'Rates &amp; Tables'!$C$60:$G$60,0)),0))</f>
        <v>0</v>
      </c>
      <c r="O407" s="44">
        <f t="shared" si="19"/>
        <v>0</v>
      </c>
      <c r="P407" s="41" t="str">
        <f t="shared" si="20"/>
        <v/>
      </c>
    </row>
    <row r="408" spans="2:16">
      <c r="B408" s="43"/>
      <c r="C408" s="43"/>
      <c r="D408" s="43"/>
      <c r="E408" s="43"/>
      <c r="F408" s="43"/>
      <c r="G408" s="43"/>
      <c r="H408" s="43"/>
      <c r="I408" s="43"/>
      <c r="J408" s="43"/>
      <c r="K408" s="43"/>
      <c r="L408" s="44">
        <f>IF($B408="",0,IF($C408="HZ",1,IFERROR(INDEX('Value Streams &amp; Delivery Mode'!$D$17:$M$22,MATCH($D408,'Value Streams &amp; Delivery Mode'!$B$17:$B$22,0),($B408-1)*2+IF($C408="POD",1,2)),0)))</f>
        <v>0</v>
      </c>
      <c r="M408" s="45">
        <f t="shared" si="18"/>
        <v>0</v>
      </c>
      <c r="N408" s="46">
        <f>IF($B408="",0,IFERROR(INDEX('Rates &amp; Tables'!$C$61:$G$63,MATCH($I408,'Rates &amp; Tables'!$J$61:$J$63,0),MATCH($H408,'Rates &amp; Tables'!$C$60:$G$60,0)),0))</f>
        <v>0</v>
      </c>
      <c r="O408" s="44">
        <f t="shared" si="19"/>
        <v>0</v>
      </c>
      <c r="P408" s="41" t="str">
        <f t="shared" si="20"/>
        <v/>
      </c>
    </row>
    <row r="409" spans="2:16">
      <c r="B409" s="43"/>
      <c r="C409" s="43"/>
      <c r="D409" s="43"/>
      <c r="E409" s="43"/>
      <c r="F409" s="43"/>
      <c r="G409" s="43"/>
      <c r="H409" s="43"/>
      <c r="I409" s="43"/>
      <c r="J409" s="43"/>
      <c r="K409" s="43"/>
      <c r="L409" s="44">
        <f>IF($B409="",0,IF($C409="HZ",1,IFERROR(INDEX('Value Streams &amp; Delivery Mode'!$D$17:$M$22,MATCH($D409,'Value Streams &amp; Delivery Mode'!$B$17:$B$22,0),($B409-1)*2+IF($C409="POD",1,2)),0)))</f>
        <v>0</v>
      </c>
      <c r="M409" s="45">
        <f t="shared" si="18"/>
        <v>0</v>
      </c>
      <c r="N409" s="46">
        <f>IF($B409="",0,IFERROR(INDEX('Rates &amp; Tables'!$C$61:$G$63,MATCH($I409,'Rates &amp; Tables'!$J$61:$J$63,0),MATCH($H409,'Rates &amp; Tables'!$C$60:$G$60,0)),0))</f>
        <v>0</v>
      </c>
      <c r="O409" s="44">
        <f t="shared" si="19"/>
        <v>0</v>
      </c>
      <c r="P409" s="41" t="str">
        <f t="shared" si="20"/>
        <v/>
      </c>
    </row>
    <row r="410" spans="2:16">
      <c r="B410" s="43"/>
      <c r="C410" s="43"/>
      <c r="D410" s="43"/>
      <c r="E410" s="43"/>
      <c r="F410" s="43"/>
      <c r="G410" s="43"/>
      <c r="H410" s="43"/>
      <c r="I410" s="43"/>
      <c r="J410" s="43"/>
      <c r="K410" s="43"/>
      <c r="L410" s="44">
        <f>IF($B410="",0,IF($C410="HZ",1,IFERROR(INDEX('Value Streams &amp; Delivery Mode'!$D$17:$M$22,MATCH($D410,'Value Streams &amp; Delivery Mode'!$B$17:$B$22,0),($B410-1)*2+IF($C410="POD",1,2)),0)))</f>
        <v>0</v>
      </c>
      <c r="M410" s="45">
        <f t="shared" si="18"/>
        <v>0</v>
      </c>
      <c r="N410" s="46">
        <f>IF($B410="",0,IFERROR(INDEX('Rates &amp; Tables'!$C$61:$G$63,MATCH($I410,'Rates &amp; Tables'!$J$61:$J$63,0),MATCH($H410,'Rates &amp; Tables'!$C$60:$G$60,0)),0))</f>
        <v>0</v>
      </c>
      <c r="O410" s="44">
        <f t="shared" si="19"/>
        <v>0</v>
      </c>
      <c r="P410" s="41" t="str">
        <f t="shared" si="20"/>
        <v/>
      </c>
    </row>
    <row r="411" spans="2:16">
      <c r="B411" s="43"/>
      <c r="C411" s="43"/>
      <c r="D411" s="43"/>
      <c r="E411" s="43"/>
      <c r="F411" s="43"/>
      <c r="G411" s="43"/>
      <c r="H411" s="43"/>
      <c r="I411" s="43"/>
      <c r="J411" s="43"/>
      <c r="K411" s="43"/>
      <c r="L411" s="44">
        <f>IF($B411="",0,IF($C411="HZ",1,IFERROR(INDEX('Value Streams &amp; Delivery Mode'!$D$17:$M$22,MATCH($D411,'Value Streams &amp; Delivery Mode'!$B$17:$B$22,0),($B411-1)*2+IF($C411="POD",1,2)),0)))</f>
        <v>0</v>
      </c>
      <c r="M411" s="45">
        <f t="shared" si="18"/>
        <v>0</v>
      </c>
      <c r="N411" s="46">
        <f>IF($B411="",0,IFERROR(INDEX('Rates &amp; Tables'!$C$61:$G$63,MATCH($I411,'Rates &amp; Tables'!$J$61:$J$63,0),MATCH($H411,'Rates &amp; Tables'!$C$60:$G$60,0)),0))</f>
        <v>0</v>
      </c>
      <c r="O411" s="44">
        <f t="shared" si="19"/>
        <v>0</v>
      </c>
      <c r="P411" s="41" t="str">
        <f t="shared" si="20"/>
        <v/>
      </c>
    </row>
    <row r="412" spans="2:16">
      <c r="B412" s="43"/>
      <c r="C412" s="43"/>
      <c r="D412" s="43"/>
      <c r="E412" s="43"/>
      <c r="F412" s="43"/>
      <c r="G412" s="43"/>
      <c r="H412" s="43"/>
      <c r="I412" s="43"/>
      <c r="J412" s="43"/>
      <c r="K412" s="43"/>
      <c r="L412" s="44">
        <f>IF($B412="",0,IF($C412="HZ",1,IFERROR(INDEX('Value Streams &amp; Delivery Mode'!$D$17:$M$22,MATCH($D412,'Value Streams &amp; Delivery Mode'!$B$17:$B$22,0),($B412-1)*2+IF($C412="POD",1,2)),0)))</f>
        <v>0</v>
      </c>
      <c r="M412" s="45">
        <f t="shared" si="18"/>
        <v>0</v>
      </c>
      <c r="N412" s="46">
        <f>IF($B412="",0,IFERROR(INDEX('Rates &amp; Tables'!$C$61:$G$63,MATCH($I412,'Rates &amp; Tables'!$J$61:$J$63,0),MATCH($H412,'Rates &amp; Tables'!$C$60:$G$60,0)),0))</f>
        <v>0</v>
      </c>
      <c r="O412" s="44">
        <f t="shared" si="19"/>
        <v>0</v>
      </c>
      <c r="P412" s="41" t="str">
        <f t="shared" si="20"/>
        <v/>
      </c>
    </row>
    <row r="413" spans="2:16">
      <c r="B413" s="43"/>
      <c r="C413" s="43"/>
      <c r="D413" s="43"/>
      <c r="E413" s="43"/>
      <c r="F413" s="43"/>
      <c r="G413" s="43"/>
      <c r="H413" s="43"/>
      <c r="I413" s="43"/>
      <c r="J413" s="43"/>
      <c r="K413" s="43"/>
      <c r="L413" s="44">
        <f>IF($B413="",0,IF($C413="HZ",1,IFERROR(INDEX('Value Streams &amp; Delivery Mode'!$D$17:$M$22,MATCH($D413,'Value Streams &amp; Delivery Mode'!$B$17:$B$22,0),($B413-1)*2+IF($C413="POD",1,2)),0)))</f>
        <v>0</v>
      </c>
      <c r="M413" s="45">
        <f t="shared" si="18"/>
        <v>0</v>
      </c>
      <c r="N413" s="46">
        <f>IF($B413="",0,IFERROR(INDEX('Rates &amp; Tables'!$C$61:$G$63,MATCH($I413,'Rates &amp; Tables'!$J$61:$J$63,0),MATCH($H413,'Rates &amp; Tables'!$C$60:$G$60,0)),0))</f>
        <v>0</v>
      </c>
      <c r="O413" s="44">
        <f t="shared" si="19"/>
        <v>0</v>
      </c>
      <c r="P413" s="41" t="str">
        <f t="shared" si="20"/>
        <v/>
      </c>
    </row>
    <row r="414" spans="2:16">
      <c r="B414" s="43"/>
      <c r="C414" s="43"/>
      <c r="D414" s="43"/>
      <c r="E414" s="43"/>
      <c r="F414" s="43"/>
      <c r="G414" s="43"/>
      <c r="H414" s="43"/>
      <c r="I414" s="43"/>
      <c r="J414" s="43"/>
      <c r="K414" s="43"/>
      <c r="L414" s="44">
        <f>IF($B414="",0,IF($C414="HZ",1,IFERROR(INDEX('Value Streams &amp; Delivery Mode'!$D$17:$M$22,MATCH($D414,'Value Streams &amp; Delivery Mode'!$B$17:$B$22,0),($B414-1)*2+IF($C414="POD",1,2)),0)))</f>
        <v>0</v>
      </c>
      <c r="M414" s="45">
        <f t="shared" si="18"/>
        <v>0</v>
      </c>
      <c r="N414" s="46">
        <f>IF($B414="",0,IFERROR(INDEX('Rates &amp; Tables'!$C$61:$G$63,MATCH($I414,'Rates &amp; Tables'!$J$61:$J$63,0),MATCH($H414,'Rates &amp; Tables'!$C$60:$G$60,0)),0))</f>
        <v>0</v>
      </c>
      <c r="O414" s="44">
        <f t="shared" si="19"/>
        <v>0</v>
      </c>
      <c r="P414" s="41" t="str">
        <f t="shared" si="20"/>
        <v/>
      </c>
    </row>
    <row r="415" spans="2:16">
      <c r="B415" s="43"/>
      <c r="C415" s="43"/>
      <c r="D415" s="43"/>
      <c r="E415" s="43"/>
      <c r="F415" s="43"/>
      <c r="G415" s="43"/>
      <c r="H415" s="43"/>
      <c r="I415" s="43"/>
      <c r="J415" s="43"/>
      <c r="K415" s="43"/>
      <c r="L415" s="44">
        <f>IF($B415="",0,IF($C415="HZ",1,IFERROR(INDEX('Value Streams &amp; Delivery Mode'!$D$17:$M$22,MATCH($D415,'Value Streams &amp; Delivery Mode'!$B$17:$B$22,0),($B415-1)*2+IF($C415="POD",1,2)),0)))</f>
        <v>0</v>
      </c>
      <c r="M415" s="45">
        <f t="shared" si="18"/>
        <v>0</v>
      </c>
      <c r="N415" s="46">
        <f>IF($B415="",0,IFERROR(INDEX('Rates &amp; Tables'!$C$61:$G$63,MATCH($I415,'Rates &amp; Tables'!$J$61:$J$63,0),MATCH($H415,'Rates &amp; Tables'!$C$60:$G$60,0)),0))</f>
        <v>0</v>
      </c>
      <c r="O415" s="44">
        <f t="shared" si="19"/>
        <v>0</v>
      </c>
      <c r="P415" s="41" t="str">
        <f t="shared" si="20"/>
        <v/>
      </c>
    </row>
    <row r="416" spans="2:16">
      <c r="B416" s="43"/>
      <c r="C416" s="43"/>
      <c r="D416" s="43"/>
      <c r="E416" s="43"/>
      <c r="F416" s="43"/>
      <c r="G416" s="43"/>
      <c r="H416" s="43"/>
      <c r="I416" s="43"/>
      <c r="J416" s="43"/>
      <c r="K416" s="43"/>
      <c r="L416" s="44">
        <f>IF($B416="",0,IF($C416="HZ",1,IFERROR(INDEX('Value Streams &amp; Delivery Mode'!$D$17:$M$22,MATCH($D416,'Value Streams &amp; Delivery Mode'!$B$17:$B$22,0),($B416-1)*2+IF($C416="POD",1,2)),0)))</f>
        <v>0</v>
      </c>
      <c r="M416" s="45">
        <f t="shared" si="18"/>
        <v>0</v>
      </c>
      <c r="N416" s="46">
        <f>IF($B416="",0,IFERROR(INDEX('Rates &amp; Tables'!$C$61:$G$63,MATCH($I416,'Rates &amp; Tables'!$J$61:$J$63,0),MATCH($H416,'Rates &amp; Tables'!$C$60:$G$60,0)),0))</f>
        <v>0</v>
      </c>
      <c r="O416" s="44">
        <f t="shared" si="19"/>
        <v>0</v>
      </c>
      <c r="P416" s="41" t="str">
        <f t="shared" si="20"/>
        <v/>
      </c>
    </row>
    <row r="417" spans="2:16">
      <c r="B417" s="43"/>
      <c r="C417" s="43"/>
      <c r="D417" s="43"/>
      <c r="E417" s="43"/>
      <c r="F417" s="43"/>
      <c r="G417" s="43"/>
      <c r="H417" s="43"/>
      <c r="I417" s="43"/>
      <c r="J417" s="43"/>
      <c r="K417" s="43"/>
      <c r="L417" s="44">
        <f>IF($B417="",0,IF($C417="HZ",1,IFERROR(INDEX('Value Streams &amp; Delivery Mode'!$D$17:$M$22,MATCH($D417,'Value Streams &amp; Delivery Mode'!$B$17:$B$22,0),($B417-1)*2+IF($C417="POD",1,2)),0)))</f>
        <v>0</v>
      </c>
      <c r="M417" s="45">
        <f t="shared" si="18"/>
        <v>0</v>
      </c>
      <c r="N417" s="46">
        <f>IF($B417="",0,IFERROR(INDEX('Rates &amp; Tables'!$C$61:$G$63,MATCH($I417,'Rates &amp; Tables'!$J$61:$J$63,0),MATCH($H417,'Rates &amp; Tables'!$C$60:$G$60,0)),0))</f>
        <v>0</v>
      </c>
      <c r="O417" s="44">
        <f t="shared" si="19"/>
        <v>0</v>
      </c>
      <c r="P417" s="41" t="str">
        <f t="shared" si="20"/>
        <v/>
      </c>
    </row>
    <row r="418" spans="2:16">
      <c r="B418" s="43"/>
      <c r="C418" s="43"/>
      <c r="D418" s="43"/>
      <c r="E418" s="43"/>
      <c r="F418" s="43"/>
      <c r="G418" s="43"/>
      <c r="H418" s="43"/>
      <c r="I418" s="43"/>
      <c r="J418" s="43"/>
      <c r="K418" s="43"/>
      <c r="L418" s="44">
        <f>IF($B418="",0,IF($C418="HZ",1,IFERROR(INDEX('Value Streams &amp; Delivery Mode'!$D$17:$M$22,MATCH($D418,'Value Streams &amp; Delivery Mode'!$B$17:$B$22,0),($B418-1)*2+IF($C418="POD",1,2)),0)))</f>
        <v>0</v>
      </c>
      <c r="M418" s="45">
        <f t="shared" si="18"/>
        <v>0</v>
      </c>
      <c r="N418" s="46">
        <f>IF($B418="",0,IFERROR(INDEX('Rates &amp; Tables'!$C$61:$G$63,MATCH($I418,'Rates &amp; Tables'!$J$61:$J$63,0),MATCH($H418,'Rates &amp; Tables'!$C$60:$G$60,0)),0))</f>
        <v>0</v>
      </c>
      <c r="O418" s="44">
        <f t="shared" si="19"/>
        <v>0</v>
      </c>
      <c r="P418" s="41" t="str">
        <f t="shared" si="20"/>
        <v/>
      </c>
    </row>
    <row r="419" spans="2:16">
      <c r="B419" s="43"/>
      <c r="C419" s="43"/>
      <c r="D419" s="43"/>
      <c r="E419" s="43"/>
      <c r="F419" s="43"/>
      <c r="G419" s="43"/>
      <c r="H419" s="43"/>
      <c r="I419" s="43"/>
      <c r="J419" s="43"/>
      <c r="K419" s="43"/>
      <c r="L419" s="44">
        <f>IF($B419="",0,IF($C419="HZ",1,IFERROR(INDEX('Value Streams &amp; Delivery Mode'!$D$17:$M$22,MATCH($D419,'Value Streams &amp; Delivery Mode'!$B$17:$B$22,0),($B419-1)*2+IF($C419="POD",1,2)),0)))</f>
        <v>0</v>
      </c>
      <c r="M419" s="45">
        <f t="shared" si="18"/>
        <v>0</v>
      </c>
      <c r="N419" s="46">
        <f>IF($B419="",0,IFERROR(INDEX('Rates &amp; Tables'!$C$61:$G$63,MATCH($I419,'Rates &amp; Tables'!$J$61:$J$63,0),MATCH($H419,'Rates &amp; Tables'!$C$60:$G$60,0)),0))</f>
        <v>0</v>
      </c>
      <c r="O419" s="44">
        <f t="shared" si="19"/>
        <v>0</v>
      </c>
      <c r="P419" s="41" t="str">
        <f t="shared" si="20"/>
        <v/>
      </c>
    </row>
    <row r="420" spans="2:16">
      <c r="B420" s="43"/>
      <c r="C420" s="43"/>
      <c r="D420" s="43"/>
      <c r="E420" s="43"/>
      <c r="F420" s="43"/>
      <c r="G420" s="43"/>
      <c r="H420" s="43"/>
      <c r="I420" s="43"/>
      <c r="J420" s="43"/>
      <c r="K420" s="43"/>
      <c r="L420" s="44">
        <f>IF($B420="",0,IF($C420="HZ",1,IFERROR(INDEX('Value Streams &amp; Delivery Mode'!$D$17:$M$22,MATCH($D420,'Value Streams &amp; Delivery Mode'!$B$17:$B$22,0),($B420-1)*2+IF($C420="POD",1,2)),0)))</f>
        <v>0</v>
      </c>
      <c r="M420" s="45">
        <f t="shared" si="18"/>
        <v>0</v>
      </c>
      <c r="N420" s="46">
        <f>IF($B420="",0,IFERROR(INDEX('Rates &amp; Tables'!$C$61:$G$63,MATCH($I420,'Rates &amp; Tables'!$J$61:$J$63,0),MATCH($H420,'Rates &amp; Tables'!$C$60:$G$60,0)),0))</f>
        <v>0</v>
      </c>
      <c r="O420" s="44">
        <f t="shared" si="19"/>
        <v>0</v>
      </c>
      <c r="P420" s="41" t="str">
        <f t="shared" si="20"/>
        <v/>
      </c>
    </row>
    <row r="421" spans="2:16">
      <c r="B421" s="43"/>
      <c r="C421" s="43"/>
      <c r="D421" s="43"/>
      <c r="E421" s="43"/>
      <c r="F421" s="43"/>
      <c r="G421" s="43"/>
      <c r="H421" s="43"/>
      <c r="I421" s="43"/>
      <c r="J421" s="43"/>
      <c r="K421" s="43"/>
      <c r="L421" s="44">
        <f>IF($B421="",0,IF($C421="HZ",1,IFERROR(INDEX('Value Streams &amp; Delivery Mode'!$D$17:$M$22,MATCH($D421,'Value Streams &amp; Delivery Mode'!$B$17:$B$22,0),($B421-1)*2+IF($C421="POD",1,2)),0)))</f>
        <v>0</v>
      </c>
      <c r="M421" s="45">
        <f t="shared" si="18"/>
        <v>0</v>
      </c>
      <c r="N421" s="46">
        <f>IF($B421="",0,IFERROR(INDEX('Rates &amp; Tables'!$C$61:$G$63,MATCH($I421,'Rates &amp; Tables'!$J$61:$J$63,0),MATCH($H421,'Rates &amp; Tables'!$C$60:$G$60,0)),0))</f>
        <v>0</v>
      </c>
      <c r="O421" s="44">
        <f t="shared" si="19"/>
        <v>0</v>
      </c>
      <c r="P421" s="41" t="str">
        <f t="shared" si="20"/>
        <v/>
      </c>
    </row>
    <row r="422" spans="2:16">
      <c r="B422" s="43"/>
      <c r="C422" s="43"/>
      <c r="D422" s="43"/>
      <c r="E422" s="43"/>
      <c r="F422" s="43"/>
      <c r="G422" s="43"/>
      <c r="H422" s="43"/>
      <c r="I422" s="43"/>
      <c r="J422" s="43"/>
      <c r="K422" s="43"/>
      <c r="L422" s="44">
        <f>IF($B422="",0,IF($C422="HZ",1,IFERROR(INDEX('Value Streams &amp; Delivery Mode'!$D$17:$M$22,MATCH($D422,'Value Streams &amp; Delivery Mode'!$B$17:$B$22,0),($B422-1)*2+IF($C422="POD",1,2)),0)))</f>
        <v>0</v>
      </c>
      <c r="M422" s="45">
        <f t="shared" si="18"/>
        <v>0</v>
      </c>
      <c r="N422" s="46">
        <f>IF($B422="",0,IFERROR(INDEX('Rates &amp; Tables'!$C$61:$G$63,MATCH($I422,'Rates &amp; Tables'!$J$61:$J$63,0),MATCH($H422,'Rates &amp; Tables'!$C$60:$G$60,0)),0))</f>
        <v>0</v>
      </c>
      <c r="O422" s="44">
        <f t="shared" si="19"/>
        <v>0</v>
      </c>
      <c r="P422" s="41" t="str">
        <f t="shared" si="20"/>
        <v/>
      </c>
    </row>
    <row r="423" spans="2:16">
      <c r="B423" s="43"/>
      <c r="C423" s="43"/>
      <c r="D423" s="43"/>
      <c r="E423" s="43"/>
      <c r="F423" s="43"/>
      <c r="G423" s="43"/>
      <c r="H423" s="43"/>
      <c r="I423" s="43"/>
      <c r="J423" s="43"/>
      <c r="K423" s="43"/>
      <c r="L423" s="44">
        <f>IF($B423="",0,IF($C423="HZ",1,IFERROR(INDEX('Value Streams &amp; Delivery Mode'!$D$17:$M$22,MATCH($D423,'Value Streams &amp; Delivery Mode'!$B$17:$B$22,0),($B423-1)*2+IF($C423="POD",1,2)),0)))</f>
        <v>0</v>
      </c>
      <c r="M423" s="45">
        <f t="shared" si="18"/>
        <v>0</v>
      </c>
      <c r="N423" s="46">
        <f>IF($B423="",0,IFERROR(INDEX('Rates &amp; Tables'!$C$61:$G$63,MATCH($I423,'Rates &amp; Tables'!$J$61:$J$63,0),MATCH($H423,'Rates &amp; Tables'!$C$60:$G$60,0)),0))</f>
        <v>0</v>
      </c>
      <c r="O423" s="44">
        <f t="shared" si="19"/>
        <v>0</v>
      </c>
      <c r="P423" s="41" t="str">
        <f t="shared" si="20"/>
        <v/>
      </c>
    </row>
    <row r="424" spans="2:16">
      <c r="B424" s="43"/>
      <c r="C424" s="43"/>
      <c r="D424" s="43"/>
      <c r="E424" s="43"/>
      <c r="F424" s="43"/>
      <c r="G424" s="43"/>
      <c r="H424" s="43"/>
      <c r="I424" s="43"/>
      <c r="J424" s="43"/>
      <c r="K424" s="43"/>
      <c r="L424" s="44">
        <f>IF($B424="",0,IF($C424="HZ",1,IFERROR(INDEX('Value Streams &amp; Delivery Mode'!$D$17:$M$22,MATCH($D424,'Value Streams &amp; Delivery Mode'!$B$17:$B$22,0),($B424-1)*2+IF($C424="POD",1,2)),0)))</f>
        <v>0</v>
      </c>
      <c r="M424" s="45">
        <f t="shared" si="18"/>
        <v>0</v>
      </c>
      <c r="N424" s="46">
        <f>IF($B424="",0,IFERROR(INDEX('Rates &amp; Tables'!$C$61:$G$63,MATCH($I424,'Rates &amp; Tables'!$J$61:$J$63,0),MATCH($H424,'Rates &amp; Tables'!$C$60:$G$60,0)),0))</f>
        <v>0</v>
      </c>
      <c r="O424" s="44">
        <f t="shared" si="19"/>
        <v>0</v>
      </c>
      <c r="P424" s="41" t="str">
        <f t="shared" si="20"/>
        <v/>
      </c>
    </row>
  </sheetData>
  <mergeCells count="2">
    <mergeCell ref="A1:P1"/>
    <mergeCell ref="A2:P2"/>
  </mergeCells>
  <dataValidations count="5">
    <dataValidation type="list" allowBlank="1" sqref="G5:G424" xr:uid="{00000000-0002-0000-0500-000000000000}">
      <formula1>"BSA,DEV,TEST,MNT,PM,OTH"</formula1>
      <formula2>0</formula2>
    </dataValidation>
    <dataValidation type="list" allowBlank="1" sqref="H5:H424" xr:uid="{00000000-0002-0000-0500-000001000000}">
      <formula1>"E1,E2,E3,E4,E5"</formula1>
      <formula2>0</formula2>
    </dataValidation>
    <dataValidation type="list" allowBlank="1" sqref="I5:I424" xr:uid="{00000000-0002-0000-0500-000002000000}">
      <formula1>"ON,OFF,NEAR"</formula1>
      <formula2>0</formula2>
    </dataValidation>
    <dataValidation type="list" allowBlank="1" sqref="J5:J424" xr:uid="{00000000-0002-0000-0500-000003000000}">
      <formula1>"FTC,PT,FTE,MGCC"</formula1>
      <formula2>0</formula2>
    </dataValidation>
    <dataValidation type="list" allowBlank="1" sqref="C5:C424" xr:uid="{00000000-0002-0000-0500-000004000000}">
      <formula1>"POD,TEAM,HZ"</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1"/>
  <sheetViews>
    <sheetView topLeftCell="A16" zoomScaleNormal="100" workbookViewId="0">
      <selection activeCell="A24" sqref="A24"/>
    </sheetView>
  </sheetViews>
  <sheetFormatPr defaultColWidth="8.6328125" defaultRowHeight="14.5"/>
  <cols>
    <col min="1" max="1" width="2.453125" customWidth="1"/>
    <col min="2" max="2" width="30" customWidth="1"/>
    <col min="3" max="3" width="100" customWidth="1"/>
  </cols>
  <sheetData>
    <row r="1" spans="1:6" ht="25.5" customHeight="1">
      <c r="A1" s="59" t="s">
        <v>361</v>
      </c>
      <c r="B1" s="59"/>
      <c r="C1" s="59"/>
      <c r="D1" s="59"/>
      <c r="E1" s="59"/>
      <c r="F1" s="59"/>
    </row>
    <row r="2" spans="1:6" ht="15" customHeight="1">
      <c r="A2" s="60" t="s">
        <v>362</v>
      </c>
      <c r="B2" s="60"/>
      <c r="C2" s="60"/>
      <c r="D2" s="60"/>
      <c r="E2" s="60"/>
      <c r="F2" s="60"/>
    </row>
    <row r="4" spans="1:6" ht="15" customHeight="1">
      <c r="A4" s="63" t="s">
        <v>363</v>
      </c>
      <c r="B4" s="63"/>
      <c r="C4" s="63"/>
    </row>
    <row r="5" spans="1:6" ht="43.5" customHeight="1">
      <c r="B5" s="12" t="s">
        <v>346</v>
      </c>
      <c r="C5" s="13" t="s">
        <v>364</v>
      </c>
    </row>
    <row r="6" spans="1:6" ht="43.5" customHeight="1">
      <c r="B6" s="12" t="s">
        <v>347</v>
      </c>
      <c r="C6" s="13" t="s">
        <v>365</v>
      </c>
    </row>
    <row r="7" spans="1:6" ht="43.5" customHeight="1">
      <c r="B7" s="12" t="s">
        <v>348</v>
      </c>
      <c r="C7" s="13" t="s">
        <v>366</v>
      </c>
    </row>
    <row r="8" spans="1:6" ht="43.5" customHeight="1">
      <c r="B8" s="12" t="s">
        <v>351</v>
      </c>
      <c r="C8" s="13" t="s">
        <v>367</v>
      </c>
    </row>
    <row r="9" spans="1:6" ht="43.5" customHeight="1">
      <c r="B9" s="12" t="s">
        <v>350</v>
      </c>
      <c r="C9" s="13" t="s">
        <v>368</v>
      </c>
    </row>
    <row r="10" spans="1:6" ht="43.5" customHeight="1">
      <c r="B10" s="12" t="s">
        <v>369</v>
      </c>
      <c r="C10" s="13" t="s">
        <v>370</v>
      </c>
    </row>
    <row r="11" spans="1:6" ht="43.5" customHeight="1">
      <c r="B11" s="12" t="s">
        <v>355</v>
      </c>
      <c r="C11" s="13" t="s">
        <v>371</v>
      </c>
    </row>
    <row r="12" spans="1:6" ht="15" customHeight="1">
      <c r="A12" s="63" t="s">
        <v>372</v>
      </c>
      <c r="B12" s="63"/>
      <c r="C12" s="63"/>
    </row>
    <row r="13" spans="1:6" ht="43.5" customHeight="1">
      <c r="B13" s="12" t="s">
        <v>373</v>
      </c>
      <c r="C13" s="13" t="s">
        <v>374</v>
      </c>
    </row>
    <row r="14" spans="1:6" ht="43.5" customHeight="1">
      <c r="B14" s="12" t="s">
        <v>375</v>
      </c>
      <c r="C14" s="13" t="s">
        <v>376</v>
      </c>
    </row>
    <row r="15" spans="1:6" ht="43.5" customHeight="1">
      <c r="B15" s="12" t="s">
        <v>377</v>
      </c>
      <c r="C15" s="13" t="s">
        <v>378</v>
      </c>
    </row>
    <row r="16" spans="1:6" ht="43.5" customHeight="1">
      <c r="B16" s="12" t="s">
        <v>379</v>
      </c>
      <c r="C16" s="13" t="s">
        <v>380</v>
      </c>
    </row>
    <row r="17" spans="1:3" ht="43.5" customHeight="1">
      <c r="B17" s="12" t="s">
        <v>381</v>
      </c>
      <c r="C17" s="13" t="s">
        <v>382</v>
      </c>
    </row>
    <row r="18" spans="1:3" ht="15" customHeight="1">
      <c r="A18" s="63" t="s">
        <v>383</v>
      </c>
      <c r="B18" s="63"/>
      <c r="C18" s="63"/>
    </row>
    <row r="19" spans="1:3" ht="43.5" customHeight="1">
      <c r="B19" s="12" t="s">
        <v>384</v>
      </c>
      <c r="C19" s="13" t="s">
        <v>385</v>
      </c>
    </row>
    <row r="20" spans="1:3" ht="43.5" customHeight="1">
      <c r="B20" s="12" t="s">
        <v>386</v>
      </c>
      <c r="C20" s="13" t="s">
        <v>387</v>
      </c>
    </row>
    <row r="21" spans="1:3" ht="43.5" customHeight="1">
      <c r="B21" s="12" t="s">
        <v>388</v>
      </c>
      <c r="C21" s="13" t="s">
        <v>389</v>
      </c>
    </row>
  </sheetData>
  <mergeCells count="5">
    <mergeCell ref="A1:F1"/>
    <mergeCell ref="A2:F2"/>
    <mergeCell ref="A4:C4"/>
    <mergeCell ref="A12:C12"/>
    <mergeCell ref="A18:C18"/>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77"/>
  <sheetViews>
    <sheetView topLeftCell="A5" zoomScaleNormal="100" workbookViewId="0">
      <selection sqref="A1:J1"/>
    </sheetView>
  </sheetViews>
  <sheetFormatPr defaultColWidth="8.6328125" defaultRowHeight="14.5"/>
  <cols>
    <col min="1" max="1" width="2.453125" customWidth="1"/>
    <col min="2" max="2" width="46" customWidth="1"/>
    <col min="3" max="8" width="13" customWidth="1"/>
    <col min="9" max="9" width="3" customWidth="1"/>
    <col min="10" max="10" width="62" customWidth="1"/>
  </cols>
  <sheetData>
    <row r="1" spans="1:10" ht="25.5" customHeight="1">
      <c r="A1" s="59" t="s">
        <v>390</v>
      </c>
      <c r="B1" s="59"/>
      <c r="C1" s="59"/>
      <c r="D1" s="59"/>
      <c r="E1" s="59"/>
      <c r="F1" s="59"/>
      <c r="G1" s="59"/>
      <c r="H1" s="59"/>
      <c r="I1" s="59"/>
      <c r="J1" s="59"/>
    </row>
    <row r="2" spans="1:10" ht="15" customHeight="1">
      <c r="A2" s="60" t="s">
        <v>391</v>
      </c>
      <c r="B2" s="60"/>
      <c r="C2" s="60"/>
      <c r="D2" s="60"/>
      <c r="E2" s="60"/>
      <c r="F2" s="60"/>
      <c r="G2" s="60"/>
      <c r="H2" s="60"/>
      <c r="I2" s="60"/>
      <c r="J2" s="60"/>
    </row>
    <row r="4" spans="1:10" ht="15" customHeight="1">
      <c r="A4" s="63" t="s">
        <v>392</v>
      </c>
      <c r="B4" s="63"/>
      <c r="C4" s="63"/>
      <c r="D4" s="63"/>
      <c r="E4" s="63"/>
      <c r="F4" s="63"/>
      <c r="G4" s="63"/>
      <c r="H4" s="63"/>
      <c r="I4" s="63"/>
      <c r="J4" s="63"/>
    </row>
    <row r="5" spans="1:10" ht="22">
      <c r="B5" s="6" t="s">
        <v>7</v>
      </c>
      <c r="C5" s="6" t="s">
        <v>393</v>
      </c>
      <c r="D5" s="6" t="s">
        <v>82</v>
      </c>
      <c r="E5" s="6" t="s">
        <v>289</v>
      </c>
      <c r="F5" s="6" t="s">
        <v>394</v>
      </c>
      <c r="G5" s="6"/>
      <c r="H5" s="6"/>
      <c r="I5" s="6" t="s">
        <v>85</v>
      </c>
    </row>
    <row r="6" spans="1:10" ht="24" customHeight="1">
      <c r="B6" s="7" t="s">
        <v>395</v>
      </c>
      <c r="C6" s="18">
        <f>SUMIFS('Seat Planner'!$M$5:$M$424,'Seat Planner'!$B$5:$B$424,1)</f>
        <v>0</v>
      </c>
      <c r="D6" s="18">
        <f>'Logic Tree'!$C$7</f>
        <v>48.510291666666731</v>
      </c>
      <c r="E6" s="10">
        <f t="shared" ref="E6:E20" si="0">C6-D6</f>
        <v>-48.510291666666731</v>
      </c>
      <c r="F6" s="1" t="str">
        <f t="shared" ref="F6:F20" si="1">IF(ABS(E6)&lt;=0.55,"OK","CHECK")</f>
        <v>CHECK</v>
      </c>
      <c r="J6" s="2" t="s">
        <v>396</v>
      </c>
    </row>
    <row r="7" spans="1:10" ht="24" customHeight="1">
      <c r="B7" s="7" t="s">
        <v>397</v>
      </c>
      <c r="C7" s="18">
        <f>SUMIFS('Seat Planner'!$M$5:$M$424,'Seat Planner'!$B$5:$B$424,1,'Seat Planner'!$J$5:$J$424,"FTC")+SUMIFS('Seat Planner'!$M$5:$M$424,'Seat Planner'!$B$5:$B$424,1,'Seat Planner'!$J$5:$J$424,"PT")</f>
        <v>0</v>
      </c>
      <c r="D7" s="18">
        <f>'Logic Tree'!$C$8</f>
        <v>38.14779166666667</v>
      </c>
      <c r="E7" s="10">
        <f t="shared" si="0"/>
        <v>-38.14779166666667</v>
      </c>
      <c r="F7" s="1" t="str">
        <f t="shared" si="1"/>
        <v>CHECK</v>
      </c>
      <c r="J7" s="2" t="s">
        <v>398</v>
      </c>
    </row>
    <row r="8" spans="1:10" ht="24" customHeight="1">
      <c r="B8" s="7" t="s">
        <v>399</v>
      </c>
      <c r="C8" s="18">
        <f>SUMIFS('Seat Planner'!$M$5:$M$424,'Seat Planner'!$B$5:$B$424,1,'Seat Planner'!$J$5:$J$424,"FTC")</f>
        <v>0</v>
      </c>
      <c r="D8" s="18">
        <f>'Logic Tree'!$C$63</f>
        <v>38.14779166666667</v>
      </c>
      <c r="E8" s="10">
        <f t="shared" si="0"/>
        <v>-38.14779166666667</v>
      </c>
      <c r="F8" s="1" t="str">
        <f t="shared" si="1"/>
        <v>CHECK</v>
      </c>
      <c r="J8" s="2" t="s">
        <v>400</v>
      </c>
    </row>
    <row r="9" spans="1:10" ht="24" customHeight="1">
      <c r="B9" s="7" t="s">
        <v>401</v>
      </c>
      <c r="C9" s="18">
        <f>SUMIFS('Seat Planner'!$M$5:$M$424,'Seat Planner'!$B$5:$B$424,1,'Seat Planner'!$J$5:$J$424,"PT")</f>
        <v>0</v>
      </c>
      <c r="D9" s="18">
        <f>'Logic Tree'!$C$57</f>
        <v>0</v>
      </c>
      <c r="E9" s="10">
        <f t="shared" si="0"/>
        <v>0</v>
      </c>
      <c r="F9" s="1" t="str">
        <f t="shared" si="1"/>
        <v>OK</v>
      </c>
      <c r="J9" s="2" t="s">
        <v>402</v>
      </c>
    </row>
    <row r="10" spans="1:10" ht="24" customHeight="1">
      <c r="B10" s="7" t="s">
        <v>180</v>
      </c>
      <c r="C10" s="18">
        <f>SUMIFS('Seat Planner'!$M$5:$M$424,'Seat Planner'!$B$5:$B$424,1,'Seat Planner'!$J$5:$J$424,"FTE")</f>
        <v>0</v>
      </c>
      <c r="D10" s="18">
        <f>'Logic Tree'!$C$9</f>
        <v>9.7791666666666615</v>
      </c>
      <c r="E10" s="10">
        <f t="shared" si="0"/>
        <v>-9.7791666666666615</v>
      </c>
      <c r="F10" s="1" t="str">
        <f t="shared" si="1"/>
        <v>CHECK</v>
      </c>
      <c r="J10" s="2"/>
    </row>
    <row r="11" spans="1:10" ht="24" customHeight="1">
      <c r="B11" s="7" t="s">
        <v>182</v>
      </c>
      <c r="C11" s="18">
        <f>SUMIFS('Seat Planner'!$M$5:$M$424,'Seat Planner'!$B$5:$B$424,1,'Seat Planner'!$J$5:$J$424,"MGCC")</f>
        <v>0</v>
      </c>
      <c r="D11" s="18">
        <f>'Logic Tree'!$C$10</f>
        <v>0.58333333333333304</v>
      </c>
      <c r="E11" s="10">
        <f t="shared" si="0"/>
        <v>-0.58333333333333304</v>
      </c>
      <c r="F11" s="1" t="str">
        <f t="shared" si="1"/>
        <v>CHECK</v>
      </c>
      <c r="J11" s="2"/>
    </row>
    <row r="12" spans="1:10" ht="24" customHeight="1">
      <c r="B12" s="7" t="s">
        <v>403</v>
      </c>
      <c r="C12" s="18">
        <f>SUMIFS('Seat Planner'!$M$5:$M$424,'Seat Planner'!$B$5:$B$424,1,'Seat Planner'!$J$5:$J$424,"FTC",'Seat Planner'!$I$5:$I$424,"ON")+SUMIFS('Seat Planner'!$M$5:$M$424,'Seat Planner'!$B$5:$B$424,1,'Seat Planner'!$J$5:$J$424,"PT",'Seat Planner'!$I$5:$I$424,"ON")</f>
        <v>0</v>
      </c>
      <c r="D12" s="18">
        <f>'Logic Tree'!$C$11</f>
        <v>36.231124999999999</v>
      </c>
      <c r="E12" s="10">
        <f t="shared" si="0"/>
        <v>-36.231124999999999</v>
      </c>
      <c r="F12" s="1" t="str">
        <f t="shared" si="1"/>
        <v>CHECK</v>
      </c>
      <c r="J12" s="2" t="s">
        <v>404</v>
      </c>
    </row>
    <row r="13" spans="1:10" ht="24" customHeight="1">
      <c r="B13" s="7" t="s">
        <v>405</v>
      </c>
      <c r="C13" s="18">
        <f>SUMIFS('Seat Planner'!$M$5:$M$424,'Seat Planner'!$B$5:$B$424,1,'Seat Planner'!$J$5:$J$424,"FTC",'Seat Planner'!$I$5:$I$424,"OFF")+SUMIFS('Seat Planner'!$M$5:$M$424,'Seat Planner'!$B$5:$B$424,1,'Seat Planner'!$J$5:$J$424,"PT",'Seat Planner'!$I$5:$I$424,"OFF")</f>
        <v>0</v>
      </c>
      <c r="D13" s="18">
        <f>'Logic Tree'!$C$12</f>
        <v>1.9166666666666701</v>
      </c>
      <c r="E13" s="10">
        <f t="shared" si="0"/>
        <v>-1.9166666666666701</v>
      </c>
      <c r="F13" s="1" t="str">
        <f t="shared" si="1"/>
        <v>CHECK</v>
      </c>
      <c r="J13" s="2" t="s">
        <v>406</v>
      </c>
    </row>
    <row r="14" spans="1:10" ht="24" customHeight="1">
      <c r="B14" s="7" t="s">
        <v>407</v>
      </c>
      <c r="C14" s="18">
        <f>SUMIFS('Seat Planner'!$M$5:$M$424,'Seat Planner'!$B$5:$B$424,1,'Seat Planner'!$J$5:$J$424,"FTC",'Seat Planner'!$I$5:$I$424,"NEAR")+SUMIFS('Seat Planner'!$M$5:$M$424,'Seat Planner'!$B$5:$B$424,1,'Seat Planner'!$J$5:$J$424,"PT",'Seat Planner'!$I$5:$I$424,"NEAR")</f>
        <v>0</v>
      </c>
      <c r="D14" s="18">
        <f>'Logic Tree'!$C$13</f>
        <v>0</v>
      </c>
      <c r="E14" s="10">
        <f t="shared" si="0"/>
        <v>0</v>
      </c>
      <c r="F14" s="1" t="str">
        <f t="shared" si="1"/>
        <v>OK</v>
      </c>
      <c r="J14" s="2"/>
    </row>
    <row r="15" spans="1:10" ht="24" customHeight="1">
      <c r="B15" s="7" t="s">
        <v>408</v>
      </c>
      <c r="C15" s="18">
        <f>SUMIFS('Seat Planner'!$M$5:$M$424,'Seat Planner'!$B$5:$B$424,1,'Seat Planner'!$J$5:$J$424,"FTC",'Seat Planner'!$G$5:$G$424,"BSA")+SUMIFS('Seat Planner'!$M$5:$M$424,'Seat Planner'!$B$5:$B$424,1,'Seat Planner'!$J$5:$J$424,"PT",'Seat Planner'!$G$5:$G$424,"BSA")</f>
        <v>0</v>
      </c>
      <c r="D15" s="18">
        <f>'Logic Tree'!$D$20</f>
        <v>0</v>
      </c>
      <c r="E15" s="10">
        <f t="shared" si="0"/>
        <v>0</v>
      </c>
      <c r="F15" s="1" t="str">
        <f t="shared" si="1"/>
        <v>OK</v>
      </c>
      <c r="J15" s="2" t="s">
        <v>409</v>
      </c>
    </row>
    <row r="16" spans="1:10" ht="24" customHeight="1">
      <c r="B16" s="7" t="s">
        <v>410</v>
      </c>
      <c r="C16" s="18">
        <f>SUMIFS('Seat Planner'!$M$5:$M$424,'Seat Planner'!$B$5:$B$424,1,'Seat Planner'!$J$5:$J$424,"FTC",'Seat Planner'!$G$5:$G$424,"DEV")+SUMIFS('Seat Planner'!$M$5:$M$424,'Seat Planner'!$B$5:$B$424,1,'Seat Planner'!$J$5:$J$424,"PT",'Seat Planner'!$G$5:$G$424,"DEV")</f>
        <v>0</v>
      </c>
      <c r="D16" s="18">
        <f>'Logic Tree'!$D$21</f>
        <v>37.693624999999969</v>
      </c>
      <c r="E16" s="10">
        <f t="shared" si="0"/>
        <v>-37.693624999999969</v>
      </c>
      <c r="F16" s="1" t="str">
        <f t="shared" si="1"/>
        <v>CHECK</v>
      </c>
      <c r="J16" s="2" t="s">
        <v>409</v>
      </c>
    </row>
    <row r="17" spans="1:10" ht="24" customHeight="1">
      <c r="B17" s="7" t="s">
        <v>411</v>
      </c>
      <c r="C17" s="18">
        <f>SUMIFS('Seat Planner'!$M$5:$M$424,'Seat Planner'!$B$5:$B$424,1,'Seat Planner'!$J$5:$J$424,"FTC",'Seat Planner'!$G$5:$G$424,"TEST")+SUMIFS('Seat Planner'!$M$5:$M$424,'Seat Planner'!$B$5:$B$424,1,'Seat Planner'!$J$5:$J$424,"PT",'Seat Planner'!$G$5:$G$424,"TEST")</f>
        <v>0</v>
      </c>
      <c r="D17" s="18">
        <f>'Logic Tree'!$D$22</f>
        <v>0.25</v>
      </c>
      <c r="E17" s="10">
        <f t="shared" si="0"/>
        <v>-0.25</v>
      </c>
      <c r="F17" s="1" t="str">
        <f t="shared" si="1"/>
        <v>OK</v>
      </c>
      <c r="J17" s="2" t="s">
        <v>409</v>
      </c>
    </row>
    <row r="18" spans="1:10" ht="24" customHeight="1">
      <c r="B18" s="7" t="s">
        <v>412</v>
      </c>
      <c r="C18" s="18">
        <f>SUMIFS('Seat Planner'!$M$5:$M$424,'Seat Planner'!$B$5:$B$424,1,'Seat Planner'!$J$5:$J$424,"FTC",'Seat Planner'!$G$5:$G$424,"MNT")+SUMIFS('Seat Planner'!$M$5:$M$424,'Seat Planner'!$B$5:$B$424,1,'Seat Planner'!$J$5:$J$424,"PT",'Seat Planner'!$G$5:$G$424,"MNT")</f>
        <v>0</v>
      </c>
      <c r="D18" s="18">
        <f>'Logic Tree'!$D$23</f>
        <v>0</v>
      </c>
      <c r="E18" s="10">
        <f t="shared" si="0"/>
        <v>0</v>
      </c>
      <c r="F18" s="1" t="str">
        <f t="shared" si="1"/>
        <v>OK</v>
      </c>
      <c r="J18" s="2" t="s">
        <v>409</v>
      </c>
    </row>
    <row r="19" spans="1:10" ht="24" customHeight="1">
      <c r="B19" s="7" t="s">
        <v>413</v>
      </c>
      <c r="C19" s="18">
        <f>SUMIFS('Seat Planner'!$M$5:$M$424,'Seat Planner'!$B$5:$B$424,1,'Seat Planner'!$J$5:$J$424,"FTC",'Seat Planner'!$G$5:$G$424,"PM")+SUMIFS('Seat Planner'!$M$5:$M$424,'Seat Planner'!$B$5:$B$424,1,'Seat Planner'!$J$5:$J$424,"PT",'Seat Planner'!$G$5:$G$424,"PM")</f>
        <v>0</v>
      </c>
      <c r="D19" s="18">
        <f>'Logic Tree'!$D$24</f>
        <v>0</v>
      </c>
      <c r="E19" s="10">
        <f t="shared" si="0"/>
        <v>0</v>
      </c>
      <c r="F19" s="1" t="str">
        <f t="shared" si="1"/>
        <v>OK</v>
      </c>
      <c r="J19" s="2" t="s">
        <v>409</v>
      </c>
    </row>
    <row r="20" spans="1:10" ht="24" customHeight="1">
      <c r="B20" s="7" t="s">
        <v>414</v>
      </c>
      <c r="C20" s="18">
        <f>SUMIFS('Seat Planner'!$M$5:$M$424,'Seat Planner'!$B$5:$B$424,1,'Seat Planner'!$J$5:$J$424,"FTC",'Seat Planner'!$G$5:$G$424,"OTH")+SUMIFS('Seat Planner'!$M$5:$M$424,'Seat Planner'!$B$5:$B$424,1,'Seat Planner'!$J$5:$J$424,"PT",'Seat Planner'!$G$5:$G$424,"OTH")</f>
        <v>0</v>
      </c>
      <c r="D20" s="18">
        <f>'Logic Tree'!$D$25</f>
        <v>0</v>
      </c>
      <c r="E20" s="10">
        <f t="shared" si="0"/>
        <v>0</v>
      </c>
      <c r="F20" s="1" t="str">
        <f t="shared" si="1"/>
        <v>OK</v>
      </c>
      <c r="J20" s="2" t="s">
        <v>409</v>
      </c>
    </row>
    <row r="21" spans="1:10" ht="22">
      <c r="B21" s="12" t="s">
        <v>415</v>
      </c>
      <c r="C21" s="27">
        <f>MAX(ABS(E6),ABS(E7),ABS(E8),ABS(E9),ABS(E10),ABS(E11),ABS(E12),ABS(E13),ABS(E14),ABS(E15),ABS(E16),ABS(E17),ABS(E18),ABS(E19),ABS(E20))</f>
        <v>48.510291666666731</v>
      </c>
      <c r="J21" s="2" t="s">
        <v>416</v>
      </c>
    </row>
    <row r="23" spans="1:10" ht="15" customHeight="1">
      <c r="A23" s="63" t="s">
        <v>417</v>
      </c>
      <c r="B23" s="63"/>
      <c r="C23" s="63"/>
      <c r="D23" s="63"/>
      <c r="E23" s="63"/>
      <c r="F23" s="63"/>
      <c r="G23" s="63"/>
      <c r="H23" s="63"/>
      <c r="I23" s="63"/>
      <c r="J23" s="63"/>
    </row>
    <row r="24" spans="1:10" ht="22">
      <c r="B24" s="6" t="s">
        <v>7</v>
      </c>
      <c r="C24" s="6" t="s">
        <v>120</v>
      </c>
      <c r="D24" s="6" t="s">
        <v>121</v>
      </c>
      <c r="E24" s="6" t="s">
        <v>122</v>
      </c>
      <c r="F24" s="6" t="s">
        <v>123</v>
      </c>
      <c r="G24" s="6" t="s">
        <v>124</v>
      </c>
      <c r="H24" s="6"/>
      <c r="I24" s="6" t="s">
        <v>85</v>
      </c>
    </row>
    <row r="25" spans="1:10" ht="22">
      <c r="B25" s="7" t="s">
        <v>418</v>
      </c>
      <c r="C25" s="18">
        <f>SUMIFS('Seat Planner'!$M$5:$M$424,'Seat Planner'!$B$5:$B$424,1)</f>
        <v>0</v>
      </c>
      <c r="D25" s="18">
        <f>SUMIFS('Seat Planner'!$M$5:$M$424,'Seat Planner'!$B$5:$B$424,2)</f>
        <v>0</v>
      </c>
      <c r="E25" s="18">
        <f>SUMIFS('Seat Planner'!$M$5:$M$424,'Seat Planner'!$B$5:$B$424,3)</f>
        <v>0</v>
      </c>
      <c r="F25" s="18">
        <f>SUMIFS('Seat Planner'!$M$5:$M$424,'Seat Planner'!$B$5:$B$424,4)</f>
        <v>0</v>
      </c>
      <c r="G25" s="18">
        <f>SUMIFS('Seat Planner'!$M$5:$M$424,'Seat Planner'!$B$5:$B$424,5)</f>
        <v>0</v>
      </c>
      <c r="J25" s="2" t="s">
        <v>419</v>
      </c>
    </row>
    <row r="26" spans="1:10">
      <c r="B26" s="13" t="s">
        <v>420</v>
      </c>
      <c r="C26" s="18">
        <f>'Logic Tree'!C125</f>
        <v>48.510291666666731</v>
      </c>
      <c r="D26" s="18">
        <f>'Logic Tree'!D125</f>
        <v>36.28727838829171</v>
      </c>
      <c r="E26" s="18">
        <f>'Logic Tree'!E125</f>
        <v>29.309682100919311</v>
      </c>
      <c r="F26" s="18">
        <f>'Logic Tree'!F125</f>
        <v>25.14371289492972</v>
      </c>
      <c r="G26" s="18">
        <f>'Logic Tree'!G125</f>
        <v>22.656882453587009</v>
      </c>
    </row>
    <row r="27" spans="1:10">
      <c r="B27" s="16" t="s">
        <v>421</v>
      </c>
      <c r="C27" s="10">
        <f>C25-C26</f>
        <v>-48.510291666666731</v>
      </c>
      <c r="D27" s="10">
        <f>D25-D26</f>
        <v>-36.28727838829171</v>
      </c>
      <c r="E27" s="10">
        <f>E25-E26</f>
        <v>-29.309682100919311</v>
      </c>
      <c r="F27" s="10">
        <f>F25-F26</f>
        <v>-25.14371289492972</v>
      </c>
      <c r="G27" s="10">
        <f>G25-G26</f>
        <v>-22.656882453587009</v>
      </c>
    </row>
    <row r="29" spans="1:10" ht="22">
      <c r="B29" s="7" t="s">
        <v>422</v>
      </c>
      <c r="C29" s="18">
        <f>SUMIFS('Seat Planner'!$M$5:$M$424,'Seat Planner'!$B$5:$B$424,1,'Seat Planner'!$J$5:$J$424,"FTC")</f>
        <v>0</v>
      </c>
      <c r="D29" s="18">
        <f>SUMIFS('Seat Planner'!$M$5:$M$424,'Seat Planner'!$B$5:$B$424,2,'Seat Planner'!$J$5:$J$424,"FTC")</f>
        <v>0</v>
      </c>
      <c r="E29" s="18">
        <f>SUMIFS('Seat Planner'!$M$5:$M$424,'Seat Planner'!$B$5:$B$424,3,'Seat Planner'!$J$5:$J$424,"FTC")</f>
        <v>0</v>
      </c>
      <c r="F29" s="18">
        <f>SUMIFS('Seat Planner'!$M$5:$M$424,'Seat Planner'!$B$5:$B$424,4,'Seat Planner'!$J$5:$J$424,"FTC")</f>
        <v>0</v>
      </c>
      <c r="G29" s="18">
        <f>SUMIFS('Seat Planner'!$M$5:$M$424,'Seat Planner'!$B$5:$B$424,5,'Seat Planner'!$J$5:$J$424,"FTC")</f>
        <v>0</v>
      </c>
      <c r="J29" s="2" t="s">
        <v>423</v>
      </c>
    </row>
    <row r="30" spans="1:10">
      <c r="B30" s="13" t="s">
        <v>420</v>
      </c>
      <c r="C30" s="18">
        <f>'Logic Tree'!C124</f>
        <v>38.147791666666734</v>
      </c>
      <c r="D30" s="18">
        <f>'Logic Tree'!D124</f>
        <v>27.570160539430194</v>
      </c>
      <c r="E30" s="18">
        <f>'Logic Tree'!E124</f>
        <v>21.547729970763204</v>
      </c>
      <c r="F30" s="18">
        <f>'Logic Tree'!F124</f>
        <v>12.57185644746486</v>
      </c>
      <c r="G30" s="18">
        <f>'Logic Tree'!G124</f>
        <v>11.328441226793505</v>
      </c>
    </row>
    <row r="31" spans="1:10">
      <c r="B31" s="16" t="s">
        <v>421</v>
      </c>
      <c r="C31" s="10">
        <f>C29-C30</f>
        <v>-38.147791666666734</v>
      </c>
      <c r="D31" s="10">
        <f>D29-D30</f>
        <v>-27.570160539430194</v>
      </c>
      <c r="E31" s="10">
        <f>E29-E30</f>
        <v>-21.547729970763204</v>
      </c>
      <c r="F31" s="10">
        <f>F29-F30</f>
        <v>-12.57185644746486</v>
      </c>
      <c r="G31" s="10">
        <f>G29-G30</f>
        <v>-11.328441226793505</v>
      </c>
    </row>
    <row r="33" spans="1:10">
      <c r="B33" s="7" t="s">
        <v>424</v>
      </c>
      <c r="C33" s="18">
        <f>SUMIFS('Seat Planner'!$M$5:$M$424,'Seat Planner'!$B$5:$B$424,1,'Seat Planner'!$J$5:$J$424,"PT")</f>
        <v>0</v>
      </c>
      <c r="D33" s="18">
        <f>SUMIFS('Seat Planner'!$M$5:$M$424,'Seat Planner'!$B$5:$B$424,2,'Seat Planner'!$J$5:$J$424,"PT")</f>
        <v>0</v>
      </c>
      <c r="E33" s="18">
        <f>SUMIFS('Seat Planner'!$M$5:$M$424,'Seat Planner'!$B$5:$B$424,3,'Seat Planner'!$J$5:$J$424,"PT")</f>
        <v>0</v>
      </c>
      <c r="F33" s="18">
        <f>SUMIFS('Seat Planner'!$M$5:$M$424,'Seat Planner'!$B$5:$B$424,4,'Seat Planner'!$J$5:$J$424,"PT")</f>
        <v>0</v>
      </c>
      <c r="G33" s="18">
        <f>SUMIFS('Seat Planner'!$M$5:$M$424,'Seat Planner'!$B$5:$B$424,5,'Seat Planner'!$J$5:$J$424,"PT")</f>
        <v>0</v>
      </c>
    </row>
    <row r="34" spans="1:10">
      <c r="B34" s="13" t="s">
        <v>420</v>
      </c>
      <c r="C34" s="18">
        <f>'Logic Tree'!C123</f>
        <v>0</v>
      </c>
      <c r="D34" s="18">
        <f>'Logic Tree'!D123</f>
        <v>0</v>
      </c>
      <c r="E34" s="18">
        <f>'Logic Tree'!E123</f>
        <v>0</v>
      </c>
      <c r="F34" s="18">
        <f>'Logic Tree'!F123</f>
        <v>0</v>
      </c>
      <c r="G34" s="18">
        <f>'Logic Tree'!G123</f>
        <v>0</v>
      </c>
    </row>
    <row r="35" spans="1:10">
      <c r="B35" s="16" t="s">
        <v>421</v>
      </c>
      <c r="C35" s="10">
        <f>C33-C34</f>
        <v>0</v>
      </c>
      <c r="D35" s="10">
        <f>D33-D34</f>
        <v>0</v>
      </c>
      <c r="E35" s="10">
        <f>E33-E34</f>
        <v>0</v>
      </c>
      <c r="F35" s="10">
        <f>F33-F34</f>
        <v>0</v>
      </c>
      <c r="G35" s="10">
        <f>G33-G34</f>
        <v>0</v>
      </c>
    </row>
    <row r="37" spans="1:10">
      <c r="B37" s="7" t="s">
        <v>425</v>
      </c>
      <c r="C37" s="18">
        <f>SUMIFS('Seat Planner'!$M$5:$M$424,'Seat Planner'!$B$5:$B$424,1,'Seat Planner'!$J$5:$J$424,"FTE")</f>
        <v>0</v>
      </c>
      <c r="D37" s="18">
        <f>SUMIFS('Seat Planner'!$M$5:$M$424,'Seat Planner'!$B$5:$B$424,2,'Seat Planner'!$J$5:$J$424,"FTE")</f>
        <v>0</v>
      </c>
      <c r="E37" s="18">
        <f>SUMIFS('Seat Planner'!$M$5:$M$424,'Seat Planner'!$B$5:$B$424,3,'Seat Planner'!$J$5:$J$424,"FTE")</f>
        <v>0</v>
      </c>
      <c r="F37" s="18">
        <f>SUMIFS('Seat Planner'!$M$5:$M$424,'Seat Planner'!$B$5:$B$424,4,'Seat Planner'!$J$5:$J$424,"FTE")</f>
        <v>0</v>
      </c>
      <c r="G37" s="18">
        <f>SUMIFS('Seat Planner'!$M$5:$M$424,'Seat Planner'!$B$5:$B$424,5,'Seat Planner'!$J$5:$J$424,"FTE")</f>
        <v>0</v>
      </c>
    </row>
    <row r="38" spans="1:10">
      <c r="B38" s="13" t="s">
        <v>420</v>
      </c>
      <c r="C38" s="18">
        <f>'Logic Tree'!C121</f>
        <v>9.7791666666666615</v>
      </c>
      <c r="D38" s="18">
        <f>'Logic Tree'!D121</f>
        <v>8.2670847007382644</v>
      </c>
      <c r="E38" s="18">
        <f>'Logic Tree'!E121</f>
        <v>7.3882394526706161</v>
      </c>
      <c r="F38" s="18">
        <f>'Logic Tree'!F121</f>
        <v>8.7113681479683169</v>
      </c>
      <c r="G38" s="18">
        <f>'Logic Tree'!G121</f>
        <v>7.9177915889977628</v>
      </c>
    </row>
    <row r="39" spans="1:10">
      <c r="B39" s="16" t="s">
        <v>421</v>
      </c>
      <c r="C39" s="10">
        <f>C37-C38</f>
        <v>-9.7791666666666615</v>
      </c>
      <c r="D39" s="10">
        <f>D37-D38</f>
        <v>-8.2670847007382644</v>
      </c>
      <c r="E39" s="10">
        <f>E37-E38</f>
        <v>-7.3882394526706161</v>
      </c>
      <c r="F39" s="10">
        <f>F37-F38</f>
        <v>-8.7113681479683169</v>
      </c>
      <c r="G39" s="10">
        <f>G37-G38</f>
        <v>-7.9177915889977628</v>
      </c>
    </row>
    <row r="41" spans="1:10">
      <c r="B41" s="7" t="s">
        <v>426</v>
      </c>
      <c r="C41" s="18">
        <f>SUMIFS('Seat Planner'!$M$5:$M$424,'Seat Planner'!$B$5:$B$424,1,'Seat Planner'!$J$5:$J$424,"MGCC")</f>
        <v>0</v>
      </c>
      <c r="D41" s="18">
        <f>SUMIFS('Seat Planner'!$M$5:$M$424,'Seat Planner'!$B$5:$B$424,2,'Seat Planner'!$J$5:$J$424,"MGCC")</f>
        <v>0</v>
      </c>
      <c r="E41" s="18">
        <f>SUMIFS('Seat Planner'!$M$5:$M$424,'Seat Planner'!$B$5:$B$424,3,'Seat Planner'!$J$5:$J$424,"MGCC")</f>
        <v>0</v>
      </c>
      <c r="F41" s="18">
        <f>SUMIFS('Seat Planner'!$M$5:$M$424,'Seat Planner'!$B$5:$B$424,4,'Seat Planner'!$J$5:$J$424,"MGCC")</f>
        <v>0</v>
      </c>
      <c r="G41" s="18">
        <f>SUMIFS('Seat Planner'!$M$5:$M$424,'Seat Planner'!$B$5:$B$424,5,'Seat Planner'!$J$5:$J$424,"MGCC")</f>
        <v>0</v>
      </c>
    </row>
    <row r="42" spans="1:10">
      <c r="B42" s="13" t="s">
        <v>420</v>
      </c>
      <c r="C42" s="18">
        <f>'Logic Tree'!C122</f>
        <v>0.58333333333333304</v>
      </c>
      <c r="D42" s="18">
        <f>'Logic Tree'!D122</f>
        <v>0.45003314812325079</v>
      </c>
      <c r="E42" s="18">
        <f>'Logic Tree'!E122</f>
        <v>0.37371267748548942</v>
      </c>
      <c r="F42" s="18">
        <f>'Logic Tree'!F122</f>
        <v>3.860488299496545</v>
      </c>
      <c r="G42" s="18">
        <f>'Logic Tree'!G122</f>
        <v>3.4106496377957418</v>
      </c>
    </row>
    <row r="43" spans="1:10">
      <c r="B43" s="16" t="s">
        <v>421</v>
      </c>
      <c r="C43" s="10">
        <f>C41-C42</f>
        <v>-0.58333333333333304</v>
      </c>
      <c r="D43" s="10">
        <f>D41-D42</f>
        <v>-0.45003314812325079</v>
      </c>
      <c r="E43" s="10">
        <f>E41-E42</f>
        <v>-0.37371267748548942</v>
      </c>
      <c r="F43" s="10">
        <f>F41-F42</f>
        <v>-3.860488299496545</v>
      </c>
      <c r="G43" s="10">
        <f>G41-G42</f>
        <v>-3.4106496377957418</v>
      </c>
    </row>
    <row r="45" spans="1:10" ht="15" customHeight="1">
      <c r="A45" s="63" t="s">
        <v>427</v>
      </c>
      <c r="B45" s="63"/>
      <c r="C45" s="63"/>
      <c r="D45" s="63"/>
      <c r="E45" s="63"/>
      <c r="F45" s="63"/>
      <c r="G45" s="63"/>
      <c r="H45" s="63"/>
      <c r="I45" s="63"/>
      <c r="J45" s="63"/>
    </row>
    <row r="46" spans="1:10" ht="22">
      <c r="B46" s="6" t="s">
        <v>428</v>
      </c>
      <c r="C46" s="6" t="s">
        <v>120</v>
      </c>
      <c r="D46" s="6" t="s">
        <v>121</v>
      </c>
      <c r="E46" s="6" t="s">
        <v>122</v>
      </c>
      <c r="F46" s="6" t="s">
        <v>123</v>
      </c>
      <c r="G46" s="6" t="s">
        <v>124</v>
      </c>
      <c r="H46" s="6"/>
      <c r="I46" s="6" t="s">
        <v>429</v>
      </c>
    </row>
    <row r="47" spans="1:10" ht="39.75" customHeight="1">
      <c r="B47" s="7" t="s">
        <v>430</v>
      </c>
      <c r="C47" s="21">
        <f>IF(SUMIFS('Seat Planner'!$M$5:$M$424,'Seat Planner'!$B$5:$B$424,1)=0,0,(SUMIFS('Seat Planner'!$M$5:$M$424,'Seat Planner'!$B$5:$B$424,1,'Seat Planner'!$J$5:$J$424,"FTC")+SUMIFS('Seat Planner'!$M$5:$M$424,'Seat Planner'!$B$5:$B$424,1,'Seat Planner'!$J$5:$J$424,"PT"))/SUMIFS('Seat Planner'!$M$5:$M$424,'Seat Planner'!$B$5:$B$424,1))</f>
        <v>0</v>
      </c>
      <c r="D47" s="21">
        <f>IF(SUMIFS('Seat Planner'!$M$5:$M$424,'Seat Planner'!$B$5:$B$424,2)=0,0,(SUMIFS('Seat Planner'!$M$5:$M$424,'Seat Planner'!$B$5:$B$424,2,'Seat Planner'!$J$5:$J$424,"FTC")+SUMIFS('Seat Planner'!$M$5:$M$424,'Seat Planner'!$B$5:$B$424,2,'Seat Planner'!$J$5:$J$424,"PT"))/SUMIFS('Seat Planner'!$M$5:$M$424,'Seat Planner'!$B$5:$B$424,2))</f>
        <v>0</v>
      </c>
      <c r="E47" s="21">
        <f>IF(SUMIFS('Seat Planner'!$M$5:$M$424,'Seat Planner'!$B$5:$B$424,3)=0,0,(SUMIFS('Seat Planner'!$M$5:$M$424,'Seat Planner'!$B$5:$B$424,3,'Seat Planner'!$J$5:$J$424,"FTC")+SUMIFS('Seat Planner'!$M$5:$M$424,'Seat Planner'!$B$5:$B$424,3,'Seat Planner'!$J$5:$J$424,"PT"))/SUMIFS('Seat Planner'!$M$5:$M$424,'Seat Planner'!$B$5:$B$424,3))</f>
        <v>0</v>
      </c>
      <c r="F47" s="21">
        <f>IF(SUMIFS('Seat Planner'!$M$5:$M$424,'Seat Planner'!$B$5:$B$424,4)=0,0,(SUMIFS('Seat Planner'!$M$5:$M$424,'Seat Planner'!$B$5:$B$424,4,'Seat Planner'!$J$5:$J$424,"FTC")+SUMIFS('Seat Planner'!$M$5:$M$424,'Seat Planner'!$B$5:$B$424,4,'Seat Planner'!$J$5:$J$424,"PT"))/SUMIFS('Seat Planner'!$M$5:$M$424,'Seat Planner'!$B$5:$B$424,4))</f>
        <v>0</v>
      </c>
      <c r="G47" s="21">
        <f>IF(SUMIFS('Seat Planner'!$M$5:$M$424,'Seat Planner'!$B$5:$B$424,5)=0,0,(SUMIFS('Seat Planner'!$M$5:$M$424,'Seat Planner'!$B$5:$B$424,5,'Seat Planner'!$J$5:$J$424,"FTC")+SUMIFS('Seat Planner'!$M$5:$M$424,'Seat Planner'!$B$5:$B$424,5,'Seat Planner'!$J$5:$J$424,"PT"))/SUMIFS('Seat Planner'!$M$5:$M$424,'Seat Planner'!$B$5:$B$424,5))</f>
        <v>0</v>
      </c>
      <c r="I47" s="47">
        <f>'Rates &amp; Tables'!$C$55</f>
        <v>0.5</v>
      </c>
      <c r="J47" s="2" t="s">
        <v>431</v>
      </c>
    </row>
    <row r="48" spans="1:10">
      <c r="B48" s="7" t="s">
        <v>432</v>
      </c>
      <c r="C48" s="21">
        <f>IF((SUMIFS('Seat Planner'!$M$5:$M$424,'Seat Planner'!$B$5:$B$424,1,'Seat Planner'!$G$5:$G$424,"DEV")+SUMIFS('Seat Planner'!$M$5:$M$424,'Seat Planner'!$B$5:$B$424,1,'Seat Planner'!$G$5:$G$424,"TEST"))=0,0,(SUMIFS('Seat Planner'!$M$5:$M$424,'Seat Planner'!$B$5:$B$424,1,'Seat Planner'!$G$5:$G$424,"DEV",'Seat Planner'!$J$5:$J$424,"FTC")+SUMIFS('Seat Planner'!$M$5:$M$424,'Seat Planner'!$B$5:$B$424,1,'Seat Planner'!$G$5:$G$424,"TEST",'Seat Planner'!$J$5:$J$424,"FTC")+SUMIFS('Seat Planner'!$M$5:$M$424,'Seat Planner'!$B$5:$B$424,1,'Seat Planner'!$G$5:$G$424,"DEV",'Seat Planner'!$J$5:$J$424,"PT")+SUMIFS('Seat Planner'!$M$5:$M$424,'Seat Planner'!$B$5:$B$424,1,'Seat Planner'!$G$5:$G$424,"TEST",'Seat Planner'!$J$5:$J$424,"PT"))/(SUMIFS('Seat Planner'!$M$5:$M$424,'Seat Planner'!$B$5:$B$424,1,'Seat Planner'!$G$5:$G$424,"DEV")+SUMIFS('Seat Planner'!$M$5:$M$424,'Seat Planner'!$B$5:$B$424,1,'Seat Planner'!$G$5:$G$424,"TEST")))</f>
        <v>0</v>
      </c>
      <c r="D48" s="21">
        <f>IF((SUMIFS('Seat Planner'!$M$5:$M$424,'Seat Planner'!$B$5:$B$424,2,'Seat Planner'!$G$5:$G$424,"DEV")+SUMIFS('Seat Planner'!$M$5:$M$424,'Seat Planner'!$B$5:$B$424,2,'Seat Planner'!$G$5:$G$424,"TEST"))=0,0,(SUMIFS('Seat Planner'!$M$5:$M$424,'Seat Planner'!$B$5:$B$424,2,'Seat Planner'!$G$5:$G$424,"DEV",'Seat Planner'!$J$5:$J$424,"FTC")+SUMIFS('Seat Planner'!$M$5:$M$424,'Seat Planner'!$B$5:$B$424,2,'Seat Planner'!$G$5:$G$424,"TEST",'Seat Planner'!$J$5:$J$424,"FTC")+SUMIFS('Seat Planner'!$M$5:$M$424,'Seat Planner'!$B$5:$B$424,2,'Seat Planner'!$G$5:$G$424,"DEV",'Seat Planner'!$J$5:$J$424,"PT")+SUMIFS('Seat Planner'!$M$5:$M$424,'Seat Planner'!$B$5:$B$424,2,'Seat Planner'!$G$5:$G$424,"TEST",'Seat Planner'!$J$5:$J$424,"PT"))/(SUMIFS('Seat Planner'!$M$5:$M$424,'Seat Planner'!$B$5:$B$424,2,'Seat Planner'!$G$5:$G$424,"DEV")+SUMIFS('Seat Planner'!$M$5:$M$424,'Seat Planner'!$B$5:$B$424,2,'Seat Planner'!$G$5:$G$424,"TEST")))</f>
        <v>0</v>
      </c>
      <c r="E48" s="21">
        <f>IF((SUMIFS('Seat Planner'!$M$5:$M$424,'Seat Planner'!$B$5:$B$424,3,'Seat Planner'!$G$5:$G$424,"DEV")+SUMIFS('Seat Planner'!$M$5:$M$424,'Seat Planner'!$B$5:$B$424,3,'Seat Planner'!$G$5:$G$424,"TEST"))=0,0,(SUMIFS('Seat Planner'!$M$5:$M$424,'Seat Planner'!$B$5:$B$424,3,'Seat Planner'!$G$5:$G$424,"DEV",'Seat Planner'!$J$5:$J$424,"FTC")+SUMIFS('Seat Planner'!$M$5:$M$424,'Seat Planner'!$B$5:$B$424,3,'Seat Planner'!$G$5:$G$424,"TEST",'Seat Planner'!$J$5:$J$424,"FTC")+SUMIFS('Seat Planner'!$M$5:$M$424,'Seat Planner'!$B$5:$B$424,3,'Seat Planner'!$G$5:$G$424,"DEV",'Seat Planner'!$J$5:$J$424,"PT")+SUMIFS('Seat Planner'!$M$5:$M$424,'Seat Planner'!$B$5:$B$424,3,'Seat Planner'!$G$5:$G$424,"TEST",'Seat Planner'!$J$5:$J$424,"PT"))/(SUMIFS('Seat Planner'!$M$5:$M$424,'Seat Planner'!$B$5:$B$424,3,'Seat Planner'!$G$5:$G$424,"DEV")+SUMIFS('Seat Planner'!$M$5:$M$424,'Seat Planner'!$B$5:$B$424,3,'Seat Planner'!$G$5:$G$424,"TEST")))</f>
        <v>0</v>
      </c>
      <c r="F48" s="21">
        <f>IF((SUMIFS('Seat Planner'!$M$5:$M$424,'Seat Planner'!$B$5:$B$424,4,'Seat Planner'!$G$5:$G$424,"DEV")+SUMIFS('Seat Planner'!$M$5:$M$424,'Seat Planner'!$B$5:$B$424,4,'Seat Planner'!$G$5:$G$424,"TEST"))=0,0,(SUMIFS('Seat Planner'!$M$5:$M$424,'Seat Planner'!$B$5:$B$424,4,'Seat Planner'!$G$5:$G$424,"DEV",'Seat Planner'!$J$5:$J$424,"FTC")+SUMIFS('Seat Planner'!$M$5:$M$424,'Seat Planner'!$B$5:$B$424,4,'Seat Planner'!$G$5:$G$424,"TEST",'Seat Planner'!$J$5:$J$424,"FTC")+SUMIFS('Seat Planner'!$M$5:$M$424,'Seat Planner'!$B$5:$B$424,4,'Seat Planner'!$G$5:$G$424,"DEV",'Seat Planner'!$J$5:$J$424,"PT")+SUMIFS('Seat Planner'!$M$5:$M$424,'Seat Planner'!$B$5:$B$424,4,'Seat Planner'!$G$5:$G$424,"TEST",'Seat Planner'!$J$5:$J$424,"PT"))/(SUMIFS('Seat Planner'!$M$5:$M$424,'Seat Planner'!$B$5:$B$424,4,'Seat Planner'!$G$5:$G$424,"DEV")+SUMIFS('Seat Planner'!$M$5:$M$424,'Seat Planner'!$B$5:$B$424,4,'Seat Planner'!$G$5:$G$424,"TEST")))</f>
        <v>0</v>
      </c>
      <c r="G48" s="21">
        <f>IF((SUMIFS('Seat Planner'!$M$5:$M$424,'Seat Planner'!$B$5:$B$424,5,'Seat Planner'!$G$5:$G$424,"DEV")+SUMIFS('Seat Planner'!$M$5:$M$424,'Seat Planner'!$B$5:$B$424,5,'Seat Planner'!$G$5:$G$424,"TEST"))=0,0,(SUMIFS('Seat Planner'!$M$5:$M$424,'Seat Planner'!$B$5:$B$424,5,'Seat Planner'!$G$5:$G$424,"DEV",'Seat Planner'!$J$5:$J$424,"FTC")+SUMIFS('Seat Planner'!$M$5:$M$424,'Seat Planner'!$B$5:$B$424,5,'Seat Planner'!$G$5:$G$424,"TEST",'Seat Planner'!$J$5:$J$424,"FTC")+SUMIFS('Seat Planner'!$M$5:$M$424,'Seat Planner'!$B$5:$B$424,5,'Seat Planner'!$G$5:$G$424,"DEV",'Seat Planner'!$J$5:$J$424,"PT")+SUMIFS('Seat Planner'!$M$5:$M$424,'Seat Planner'!$B$5:$B$424,5,'Seat Planner'!$G$5:$G$424,"TEST",'Seat Planner'!$J$5:$J$424,"PT"))/(SUMIFS('Seat Planner'!$M$5:$M$424,'Seat Planner'!$B$5:$B$424,5,'Seat Planner'!$G$5:$G$424,"DEV")+SUMIFS('Seat Planner'!$M$5:$M$424,'Seat Planner'!$B$5:$B$424,5,'Seat Planner'!$G$5:$G$424,"TEST")))</f>
        <v>0</v>
      </c>
      <c r="I48" s="47">
        <f>'Rates &amp; Tables'!$C$56</f>
        <v>0.55000000000000004</v>
      </c>
    </row>
    <row r="49" spans="1:10">
      <c r="B49" s="7" t="s">
        <v>433</v>
      </c>
      <c r="C49" s="21">
        <f>IF(SUMIFS('Seat Planner'!$M$5:$M$424,'Seat Planner'!$B$5:$B$424,1)=0,0,SUMIFS('Seat Planner'!$M$5:$M$424,'Seat Planner'!$B$5:$B$424,1,'Seat Planner'!$I$5:$I$424,"OFF")/SUMIFS('Seat Planner'!$M$5:$M$424,'Seat Planner'!$B$5:$B$424,1))</f>
        <v>0</v>
      </c>
      <c r="D49" s="21">
        <f>IF(SUMIFS('Seat Planner'!$M$5:$M$424,'Seat Planner'!$B$5:$B$424,2)=0,0,SUMIFS('Seat Planner'!$M$5:$M$424,'Seat Planner'!$B$5:$B$424,2,'Seat Planner'!$I$5:$I$424,"OFF")/SUMIFS('Seat Planner'!$M$5:$M$424,'Seat Planner'!$B$5:$B$424,2))</f>
        <v>0</v>
      </c>
      <c r="E49" s="21">
        <f>IF(SUMIFS('Seat Planner'!$M$5:$M$424,'Seat Planner'!$B$5:$B$424,3)=0,0,SUMIFS('Seat Planner'!$M$5:$M$424,'Seat Planner'!$B$5:$B$424,3,'Seat Planner'!$I$5:$I$424,"OFF")/SUMIFS('Seat Planner'!$M$5:$M$424,'Seat Planner'!$B$5:$B$424,3))</f>
        <v>0</v>
      </c>
      <c r="F49" s="21">
        <f>IF(SUMIFS('Seat Planner'!$M$5:$M$424,'Seat Planner'!$B$5:$B$424,4)=0,0,SUMIFS('Seat Planner'!$M$5:$M$424,'Seat Planner'!$B$5:$B$424,4,'Seat Planner'!$I$5:$I$424,"OFF")/SUMIFS('Seat Planner'!$M$5:$M$424,'Seat Planner'!$B$5:$B$424,4))</f>
        <v>0</v>
      </c>
      <c r="G49" s="21">
        <f>IF(SUMIFS('Seat Planner'!$M$5:$M$424,'Seat Planner'!$B$5:$B$424,5)=0,0,SUMIFS('Seat Planner'!$M$5:$M$424,'Seat Planner'!$B$5:$B$424,5,'Seat Planner'!$I$5:$I$424,"OFF")/SUMIFS('Seat Planner'!$M$5:$M$424,'Seat Planner'!$B$5:$B$424,5))</f>
        <v>0</v>
      </c>
      <c r="I49" s="47">
        <f>'Logic Tree'!C134</f>
        <v>8.7257371502782483E-2</v>
      </c>
    </row>
    <row r="50" spans="1:10" ht="24">
      <c r="B50" s="16" t="s">
        <v>434</v>
      </c>
      <c r="C50" s="48" t="str">
        <f>IF('Logic Tree'!$D$68=0,"n/a","measured")</f>
        <v>measured</v>
      </c>
      <c r="D50" s="1" t="str">
        <f>IF('Logic Tree'!$D$68=0,"n/a",IF(AND(D47&gt;='Rates &amp; Tables'!$C$55-0.005,D48&gt;='Rates &amp; Tables'!$C$56-0.005),"OK","CHECK"))</f>
        <v>CHECK</v>
      </c>
      <c r="E50" s="1" t="str">
        <f>IF('Logic Tree'!$D$68=0,"n/a",IF(AND(E47&gt;='Rates &amp; Tables'!$C$55-0.005,E48&gt;='Rates &amp; Tables'!$C$56-0.005),"OK","CHECK"))</f>
        <v>CHECK</v>
      </c>
      <c r="F50" s="1" t="str">
        <f>IF('Logic Tree'!$D$68=0,"n/a",IF(AND(F47&gt;='Rates &amp; Tables'!$C$55-0.005,F48&gt;='Rates &amp; Tables'!$C$56-0.005),"OK","CHECK"))</f>
        <v>CHECK</v>
      </c>
      <c r="G50" s="1" t="str">
        <f>IF('Logic Tree'!$D$68=0,"n/a",IF(AND(G47&gt;='Rates &amp; Tables'!$C$55-0.005,G48&gt;='Rates &amp; Tables'!$C$56-0.005),"OK","CHECK"))</f>
        <v>CHECK</v>
      </c>
    </row>
    <row r="52" spans="1:10" ht="15" customHeight="1">
      <c r="A52" s="63" t="s">
        <v>435</v>
      </c>
      <c r="B52" s="63"/>
      <c r="C52" s="63"/>
      <c r="D52" s="63"/>
      <c r="E52" s="63"/>
      <c r="F52" s="63"/>
      <c r="G52" s="63"/>
      <c r="H52" s="63"/>
      <c r="I52" s="63"/>
      <c r="J52" s="63"/>
    </row>
    <row r="53" spans="1:10" ht="22">
      <c r="B53" s="6" t="s">
        <v>347</v>
      </c>
      <c r="C53" s="6" t="s">
        <v>120</v>
      </c>
      <c r="D53" s="6" t="s">
        <v>121</v>
      </c>
      <c r="E53" s="6" t="s">
        <v>122</v>
      </c>
      <c r="F53" s="6" t="s">
        <v>123</v>
      </c>
      <c r="G53" s="6" t="s">
        <v>124</v>
      </c>
      <c r="H53" s="6"/>
      <c r="I53" s="6" t="s">
        <v>85</v>
      </c>
    </row>
    <row r="54" spans="1:10">
      <c r="B54" s="13" t="s">
        <v>436</v>
      </c>
      <c r="C54" s="21" t="str">
        <f>IF(SUMIFS('Seat Planner'!$M$5:$M$424,'Seat Planner'!$B$5:$B$424,1,'Seat Planner'!$C$5:$C$424,"POD",'Seat Planner'!$D$5:$D$424,1)=0,"",(SUMIFS('Seat Planner'!$M$5:$M$424,'Seat Planner'!$B$5:$B$424,1,'Seat Planner'!$C$5:$C$424,"POD",'Seat Planner'!$D$5:$D$424,1,'Seat Planner'!$J$5:$J$424,"FTC")+SUMIFS('Seat Planner'!$M$5:$M$424,'Seat Planner'!$B$5:$B$424,1,'Seat Planner'!$C$5:$C$424,"POD",'Seat Planner'!$D$5:$D$424,1,'Seat Planner'!$J$5:$J$424,"PT"))/SUMIFS('Seat Planner'!$M$5:$M$424,'Seat Planner'!$B$5:$B$424,1,'Seat Planner'!$C$5:$C$424,"POD",'Seat Planner'!$D$5:$D$424,1))</f>
        <v/>
      </c>
      <c r="D54" s="21" t="str">
        <f>IF(SUMIFS('Seat Planner'!$M$5:$M$424,'Seat Planner'!$B$5:$B$424,2,'Seat Planner'!$C$5:$C$424,"POD",'Seat Planner'!$D$5:$D$424,1)=0,"",(SUMIFS('Seat Planner'!$M$5:$M$424,'Seat Planner'!$B$5:$B$424,2,'Seat Planner'!$C$5:$C$424,"POD",'Seat Planner'!$D$5:$D$424,1,'Seat Planner'!$J$5:$J$424,"FTC")+SUMIFS('Seat Planner'!$M$5:$M$424,'Seat Planner'!$B$5:$B$424,2,'Seat Planner'!$C$5:$C$424,"POD",'Seat Planner'!$D$5:$D$424,1,'Seat Planner'!$J$5:$J$424,"PT"))/SUMIFS('Seat Planner'!$M$5:$M$424,'Seat Planner'!$B$5:$B$424,2,'Seat Planner'!$C$5:$C$424,"POD",'Seat Planner'!$D$5:$D$424,1))</f>
        <v/>
      </c>
      <c r="E54" s="21" t="str">
        <f>IF(SUMIFS('Seat Planner'!$M$5:$M$424,'Seat Planner'!$B$5:$B$424,3,'Seat Planner'!$C$5:$C$424,"POD",'Seat Planner'!$D$5:$D$424,1)=0,"",(SUMIFS('Seat Planner'!$M$5:$M$424,'Seat Planner'!$B$5:$B$424,3,'Seat Planner'!$C$5:$C$424,"POD",'Seat Planner'!$D$5:$D$424,1,'Seat Planner'!$J$5:$J$424,"FTC")+SUMIFS('Seat Planner'!$M$5:$M$424,'Seat Planner'!$B$5:$B$424,3,'Seat Planner'!$C$5:$C$424,"POD",'Seat Planner'!$D$5:$D$424,1,'Seat Planner'!$J$5:$J$424,"PT"))/SUMIFS('Seat Planner'!$M$5:$M$424,'Seat Planner'!$B$5:$B$424,3,'Seat Planner'!$C$5:$C$424,"POD",'Seat Planner'!$D$5:$D$424,1))</f>
        <v/>
      </c>
      <c r="F54" s="21" t="str">
        <f>IF(SUMIFS('Seat Planner'!$M$5:$M$424,'Seat Planner'!$B$5:$B$424,4,'Seat Planner'!$C$5:$C$424,"POD",'Seat Planner'!$D$5:$D$424,1)=0,"",(SUMIFS('Seat Planner'!$M$5:$M$424,'Seat Planner'!$B$5:$B$424,4,'Seat Planner'!$C$5:$C$424,"POD",'Seat Planner'!$D$5:$D$424,1,'Seat Planner'!$J$5:$J$424,"FTC")+SUMIFS('Seat Planner'!$M$5:$M$424,'Seat Planner'!$B$5:$B$424,4,'Seat Planner'!$C$5:$C$424,"POD",'Seat Planner'!$D$5:$D$424,1,'Seat Planner'!$J$5:$J$424,"PT"))/SUMIFS('Seat Planner'!$M$5:$M$424,'Seat Planner'!$B$5:$B$424,4,'Seat Planner'!$C$5:$C$424,"POD",'Seat Planner'!$D$5:$D$424,1))</f>
        <v/>
      </c>
      <c r="G54" s="21" t="str">
        <f>IF(SUMIFS('Seat Planner'!$M$5:$M$424,'Seat Planner'!$B$5:$B$424,5,'Seat Planner'!$C$5:$C$424,"POD",'Seat Planner'!$D$5:$D$424,1)=0,"",(SUMIFS('Seat Planner'!$M$5:$M$424,'Seat Planner'!$B$5:$B$424,5,'Seat Planner'!$C$5:$C$424,"POD",'Seat Planner'!$D$5:$D$424,1,'Seat Planner'!$J$5:$J$424,"FTC")+SUMIFS('Seat Planner'!$M$5:$M$424,'Seat Planner'!$B$5:$B$424,5,'Seat Planner'!$C$5:$C$424,"POD",'Seat Planner'!$D$5:$D$424,1,'Seat Planner'!$J$5:$J$424,"PT"))/SUMIFS('Seat Planner'!$M$5:$M$424,'Seat Planner'!$B$5:$B$424,5,'Seat Planner'!$C$5:$C$424,"POD",'Seat Planner'!$D$5:$D$424,1))</f>
        <v/>
      </c>
    </row>
    <row r="55" spans="1:10">
      <c r="B55" s="13" t="s">
        <v>437</v>
      </c>
      <c r="C55" s="21" t="str">
        <f>IF(SUMIFS('Seat Planner'!$M$5:$M$424,'Seat Planner'!$B$5:$B$424,1,'Seat Planner'!$C$5:$C$424,"TEAM",'Seat Planner'!$D$5:$D$424,1)=0,"",(SUMIFS('Seat Planner'!$M$5:$M$424,'Seat Planner'!$B$5:$B$424,1,'Seat Planner'!$C$5:$C$424,"TEAM",'Seat Planner'!$D$5:$D$424,1,'Seat Planner'!$J$5:$J$424,"FTC")+SUMIFS('Seat Planner'!$M$5:$M$424,'Seat Planner'!$B$5:$B$424,1,'Seat Planner'!$C$5:$C$424,"TEAM",'Seat Planner'!$D$5:$D$424,1,'Seat Planner'!$J$5:$J$424,"PT"))/SUMIFS('Seat Planner'!$M$5:$M$424,'Seat Planner'!$B$5:$B$424,1,'Seat Planner'!$C$5:$C$424,"TEAM",'Seat Planner'!$D$5:$D$424,1))</f>
        <v/>
      </c>
      <c r="D55" s="21" t="str">
        <f>IF(SUMIFS('Seat Planner'!$M$5:$M$424,'Seat Planner'!$B$5:$B$424,2,'Seat Planner'!$C$5:$C$424,"TEAM",'Seat Planner'!$D$5:$D$424,1)=0,"",(SUMIFS('Seat Planner'!$M$5:$M$424,'Seat Planner'!$B$5:$B$424,2,'Seat Planner'!$C$5:$C$424,"TEAM",'Seat Planner'!$D$5:$D$424,1,'Seat Planner'!$J$5:$J$424,"FTC")+SUMIFS('Seat Planner'!$M$5:$M$424,'Seat Planner'!$B$5:$B$424,2,'Seat Planner'!$C$5:$C$424,"TEAM",'Seat Planner'!$D$5:$D$424,1,'Seat Planner'!$J$5:$J$424,"PT"))/SUMIFS('Seat Planner'!$M$5:$M$424,'Seat Planner'!$B$5:$B$424,2,'Seat Planner'!$C$5:$C$424,"TEAM",'Seat Planner'!$D$5:$D$424,1))</f>
        <v/>
      </c>
      <c r="E55" s="21" t="str">
        <f>IF(SUMIFS('Seat Planner'!$M$5:$M$424,'Seat Planner'!$B$5:$B$424,3,'Seat Planner'!$C$5:$C$424,"TEAM",'Seat Planner'!$D$5:$D$424,1)=0,"",(SUMIFS('Seat Planner'!$M$5:$M$424,'Seat Planner'!$B$5:$B$424,3,'Seat Planner'!$C$5:$C$424,"TEAM",'Seat Planner'!$D$5:$D$424,1,'Seat Planner'!$J$5:$J$424,"FTC")+SUMIFS('Seat Planner'!$M$5:$M$424,'Seat Planner'!$B$5:$B$424,3,'Seat Planner'!$C$5:$C$424,"TEAM",'Seat Planner'!$D$5:$D$424,1,'Seat Planner'!$J$5:$J$424,"PT"))/SUMIFS('Seat Planner'!$M$5:$M$424,'Seat Planner'!$B$5:$B$424,3,'Seat Planner'!$C$5:$C$424,"TEAM",'Seat Planner'!$D$5:$D$424,1))</f>
        <v/>
      </c>
      <c r="F55" s="21" t="str">
        <f>IF(SUMIFS('Seat Planner'!$M$5:$M$424,'Seat Planner'!$B$5:$B$424,4,'Seat Planner'!$C$5:$C$424,"TEAM",'Seat Planner'!$D$5:$D$424,1)=0,"",(SUMIFS('Seat Planner'!$M$5:$M$424,'Seat Planner'!$B$5:$B$424,4,'Seat Planner'!$C$5:$C$424,"TEAM",'Seat Planner'!$D$5:$D$424,1,'Seat Planner'!$J$5:$J$424,"FTC")+SUMIFS('Seat Planner'!$M$5:$M$424,'Seat Planner'!$B$5:$B$424,4,'Seat Planner'!$C$5:$C$424,"TEAM",'Seat Planner'!$D$5:$D$424,1,'Seat Planner'!$J$5:$J$424,"PT"))/SUMIFS('Seat Planner'!$M$5:$M$424,'Seat Planner'!$B$5:$B$424,4,'Seat Planner'!$C$5:$C$424,"TEAM",'Seat Planner'!$D$5:$D$424,1))</f>
        <v/>
      </c>
      <c r="G55" s="21" t="str">
        <f>IF(SUMIFS('Seat Planner'!$M$5:$M$424,'Seat Planner'!$B$5:$B$424,5,'Seat Planner'!$C$5:$C$424,"TEAM",'Seat Planner'!$D$5:$D$424,1)=0,"",(SUMIFS('Seat Planner'!$M$5:$M$424,'Seat Planner'!$B$5:$B$424,5,'Seat Planner'!$C$5:$C$424,"TEAM",'Seat Planner'!$D$5:$D$424,1,'Seat Planner'!$J$5:$J$424,"FTC")+SUMIFS('Seat Planner'!$M$5:$M$424,'Seat Planner'!$B$5:$B$424,5,'Seat Planner'!$C$5:$C$424,"TEAM",'Seat Planner'!$D$5:$D$424,1,'Seat Planner'!$J$5:$J$424,"PT"))/SUMIFS('Seat Planner'!$M$5:$M$424,'Seat Planner'!$B$5:$B$424,5,'Seat Planner'!$C$5:$C$424,"TEAM",'Seat Planner'!$D$5:$D$424,1))</f>
        <v/>
      </c>
    </row>
    <row r="56" spans="1:10">
      <c r="B56" s="13" t="s">
        <v>438</v>
      </c>
      <c r="C56" s="21" t="str">
        <f>IF(SUMIFS('Seat Planner'!$M$5:$M$424,'Seat Planner'!$B$5:$B$424,1,'Seat Planner'!$C$5:$C$424,"POD",'Seat Planner'!$D$5:$D$424,2)=0,"",(SUMIFS('Seat Planner'!$M$5:$M$424,'Seat Planner'!$B$5:$B$424,1,'Seat Planner'!$C$5:$C$424,"POD",'Seat Planner'!$D$5:$D$424,2,'Seat Planner'!$J$5:$J$424,"FTC")+SUMIFS('Seat Planner'!$M$5:$M$424,'Seat Planner'!$B$5:$B$424,1,'Seat Planner'!$C$5:$C$424,"POD",'Seat Planner'!$D$5:$D$424,2,'Seat Planner'!$J$5:$J$424,"PT"))/SUMIFS('Seat Planner'!$M$5:$M$424,'Seat Planner'!$B$5:$B$424,1,'Seat Planner'!$C$5:$C$424,"POD",'Seat Planner'!$D$5:$D$424,2))</f>
        <v/>
      </c>
      <c r="D56" s="21" t="str">
        <f>IF(SUMIFS('Seat Planner'!$M$5:$M$424,'Seat Planner'!$B$5:$B$424,2,'Seat Planner'!$C$5:$C$424,"POD",'Seat Planner'!$D$5:$D$424,2)=0,"",(SUMIFS('Seat Planner'!$M$5:$M$424,'Seat Planner'!$B$5:$B$424,2,'Seat Planner'!$C$5:$C$424,"POD",'Seat Planner'!$D$5:$D$424,2,'Seat Planner'!$J$5:$J$424,"FTC")+SUMIFS('Seat Planner'!$M$5:$M$424,'Seat Planner'!$B$5:$B$424,2,'Seat Planner'!$C$5:$C$424,"POD",'Seat Planner'!$D$5:$D$424,2,'Seat Planner'!$J$5:$J$424,"PT"))/SUMIFS('Seat Planner'!$M$5:$M$424,'Seat Planner'!$B$5:$B$424,2,'Seat Planner'!$C$5:$C$424,"POD",'Seat Planner'!$D$5:$D$424,2))</f>
        <v/>
      </c>
      <c r="E56" s="21" t="str">
        <f>IF(SUMIFS('Seat Planner'!$M$5:$M$424,'Seat Planner'!$B$5:$B$424,3,'Seat Planner'!$C$5:$C$424,"POD",'Seat Planner'!$D$5:$D$424,2)=0,"",(SUMIFS('Seat Planner'!$M$5:$M$424,'Seat Planner'!$B$5:$B$424,3,'Seat Planner'!$C$5:$C$424,"POD",'Seat Planner'!$D$5:$D$424,2,'Seat Planner'!$J$5:$J$424,"FTC")+SUMIFS('Seat Planner'!$M$5:$M$424,'Seat Planner'!$B$5:$B$424,3,'Seat Planner'!$C$5:$C$424,"POD",'Seat Planner'!$D$5:$D$424,2,'Seat Planner'!$J$5:$J$424,"PT"))/SUMIFS('Seat Planner'!$M$5:$M$424,'Seat Planner'!$B$5:$B$424,3,'Seat Planner'!$C$5:$C$424,"POD",'Seat Planner'!$D$5:$D$424,2))</f>
        <v/>
      </c>
      <c r="F56" s="21" t="str">
        <f>IF(SUMIFS('Seat Planner'!$M$5:$M$424,'Seat Planner'!$B$5:$B$424,4,'Seat Planner'!$C$5:$C$424,"POD",'Seat Planner'!$D$5:$D$424,2)=0,"",(SUMIFS('Seat Planner'!$M$5:$M$424,'Seat Planner'!$B$5:$B$424,4,'Seat Planner'!$C$5:$C$424,"POD",'Seat Planner'!$D$5:$D$424,2,'Seat Planner'!$J$5:$J$424,"FTC")+SUMIFS('Seat Planner'!$M$5:$M$424,'Seat Planner'!$B$5:$B$424,4,'Seat Planner'!$C$5:$C$424,"POD",'Seat Planner'!$D$5:$D$424,2,'Seat Planner'!$J$5:$J$424,"PT"))/SUMIFS('Seat Planner'!$M$5:$M$424,'Seat Planner'!$B$5:$B$424,4,'Seat Planner'!$C$5:$C$424,"POD",'Seat Planner'!$D$5:$D$424,2))</f>
        <v/>
      </c>
      <c r="G56" s="21" t="str">
        <f>IF(SUMIFS('Seat Planner'!$M$5:$M$424,'Seat Planner'!$B$5:$B$424,5,'Seat Planner'!$C$5:$C$424,"POD",'Seat Planner'!$D$5:$D$424,2)=0,"",(SUMIFS('Seat Planner'!$M$5:$M$424,'Seat Planner'!$B$5:$B$424,5,'Seat Planner'!$C$5:$C$424,"POD",'Seat Planner'!$D$5:$D$424,2,'Seat Planner'!$J$5:$J$424,"FTC")+SUMIFS('Seat Planner'!$M$5:$M$424,'Seat Planner'!$B$5:$B$424,5,'Seat Planner'!$C$5:$C$424,"POD",'Seat Planner'!$D$5:$D$424,2,'Seat Planner'!$J$5:$J$424,"PT"))/SUMIFS('Seat Planner'!$M$5:$M$424,'Seat Planner'!$B$5:$B$424,5,'Seat Planner'!$C$5:$C$424,"POD",'Seat Planner'!$D$5:$D$424,2))</f>
        <v/>
      </c>
    </row>
    <row r="57" spans="1:10">
      <c r="B57" s="13" t="s">
        <v>439</v>
      </c>
      <c r="C57" s="21" t="str">
        <f>IF(SUMIFS('Seat Planner'!$M$5:$M$424,'Seat Planner'!$B$5:$B$424,1,'Seat Planner'!$C$5:$C$424,"TEAM",'Seat Planner'!$D$5:$D$424,2)=0,"",(SUMIFS('Seat Planner'!$M$5:$M$424,'Seat Planner'!$B$5:$B$424,1,'Seat Planner'!$C$5:$C$424,"TEAM",'Seat Planner'!$D$5:$D$424,2,'Seat Planner'!$J$5:$J$424,"FTC")+SUMIFS('Seat Planner'!$M$5:$M$424,'Seat Planner'!$B$5:$B$424,1,'Seat Planner'!$C$5:$C$424,"TEAM",'Seat Planner'!$D$5:$D$424,2,'Seat Planner'!$J$5:$J$424,"PT"))/SUMIFS('Seat Planner'!$M$5:$M$424,'Seat Planner'!$B$5:$B$424,1,'Seat Planner'!$C$5:$C$424,"TEAM",'Seat Planner'!$D$5:$D$424,2))</f>
        <v/>
      </c>
      <c r="D57" s="21" t="str">
        <f>IF(SUMIFS('Seat Planner'!$M$5:$M$424,'Seat Planner'!$B$5:$B$424,2,'Seat Planner'!$C$5:$C$424,"TEAM",'Seat Planner'!$D$5:$D$424,2)=0,"",(SUMIFS('Seat Planner'!$M$5:$M$424,'Seat Planner'!$B$5:$B$424,2,'Seat Planner'!$C$5:$C$424,"TEAM",'Seat Planner'!$D$5:$D$424,2,'Seat Planner'!$J$5:$J$424,"FTC")+SUMIFS('Seat Planner'!$M$5:$M$424,'Seat Planner'!$B$5:$B$424,2,'Seat Planner'!$C$5:$C$424,"TEAM",'Seat Planner'!$D$5:$D$424,2,'Seat Planner'!$J$5:$J$424,"PT"))/SUMIFS('Seat Planner'!$M$5:$M$424,'Seat Planner'!$B$5:$B$424,2,'Seat Planner'!$C$5:$C$424,"TEAM",'Seat Planner'!$D$5:$D$424,2))</f>
        <v/>
      </c>
      <c r="E57" s="21" t="str">
        <f>IF(SUMIFS('Seat Planner'!$M$5:$M$424,'Seat Planner'!$B$5:$B$424,3,'Seat Planner'!$C$5:$C$424,"TEAM",'Seat Planner'!$D$5:$D$424,2)=0,"",(SUMIFS('Seat Planner'!$M$5:$M$424,'Seat Planner'!$B$5:$B$424,3,'Seat Planner'!$C$5:$C$424,"TEAM",'Seat Planner'!$D$5:$D$424,2,'Seat Planner'!$J$5:$J$424,"FTC")+SUMIFS('Seat Planner'!$M$5:$M$424,'Seat Planner'!$B$5:$B$424,3,'Seat Planner'!$C$5:$C$424,"TEAM",'Seat Planner'!$D$5:$D$424,2,'Seat Planner'!$J$5:$J$424,"PT"))/SUMIFS('Seat Planner'!$M$5:$M$424,'Seat Planner'!$B$5:$B$424,3,'Seat Planner'!$C$5:$C$424,"TEAM",'Seat Planner'!$D$5:$D$424,2))</f>
        <v/>
      </c>
      <c r="F57" s="21" t="str">
        <f>IF(SUMIFS('Seat Planner'!$M$5:$M$424,'Seat Planner'!$B$5:$B$424,4,'Seat Planner'!$C$5:$C$424,"TEAM",'Seat Planner'!$D$5:$D$424,2)=0,"",(SUMIFS('Seat Planner'!$M$5:$M$424,'Seat Planner'!$B$5:$B$424,4,'Seat Planner'!$C$5:$C$424,"TEAM",'Seat Planner'!$D$5:$D$424,2,'Seat Planner'!$J$5:$J$424,"FTC")+SUMIFS('Seat Planner'!$M$5:$M$424,'Seat Planner'!$B$5:$B$424,4,'Seat Planner'!$C$5:$C$424,"TEAM",'Seat Planner'!$D$5:$D$424,2,'Seat Planner'!$J$5:$J$424,"PT"))/SUMIFS('Seat Planner'!$M$5:$M$424,'Seat Planner'!$B$5:$B$424,4,'Seat Planner'!$C$5:$C$424,"TEAM",'Seat Planner'!$D$5:$D$424,2))</f>
        <v/>
      </c>
      <c r="G57" s="21" t="str">
        <f>IF(SUMIFS('Seat Planner'!$M$5:$M$424,'Seat Planner'!$B$5:$B$424,5,'Seat Planner'!$C$5:$C$424,"TEAM",'Seat Planner'!$D$5:$D$424,2)=0,"",(SUMIFS('Seat Planner'!$M$5:$M$424,'Seat Planner'!$B$5:$B$424,5,'Seat Planner'!$C$5:$C$424,"TEAM",'Seat Planner'!$D$5:$D$424,2,'Seat Planner'!$J$5:$J$424,"FTC")+SUMIFS('Seat Planner'!$M$5:$M$424,'Seat Planner'!$B$5:$B$424,5,'Seat Planner'!$C$5:$C$424,"TEAM",'Seat Planner'!$D$5:$D$424,2,'Seat Planner'!$J$5:$J$424,"PT"))/SUMIFS('Seat Planner'!$M$5:$M$424,'Seat Planner'!$B$5:$B$424,5,'Seat Planner'!$C$5:$C$424,"TEAM",'Seat Planner'!$D$5:$D$424,2))</f>
        <v/>
      </c>
    </row>
    <row r="58" spans="1:10">
      <c r="B58" s="13" t="s">
        <v>440</v>
      </c>
      <c r="C58" s="21" t="str">
        <f>IF(SUMIFS('Seat Planner'!$M$5:$M$424,'Seat Planner'!$B$5:$B$424,1,'Seat Planner'!$C$5:$C$424,"POD",'Seat Planner'!$D$5:$D$424,3)=0,"",(SUMIFS('Seat Planner'!$M$5:$M$424,'Seat Planner'!$B$5:$B$424,1,'Seat Planner'!$C$5:$C$424,"POD",'Seat Planner'!$D$5:$D$424,3,'Seat Planner'!$J$5:$J$424,"FTC")+SUMIFS('Seat Planner'!$M$5:$M$424,'Seat Planner'!$B$5:$B$424,1,'Seat Planner'!$C$5:$C$424,"POD",'Seat Planner'!$D$5:$D$424,3,'Seat Planner'!$J$5:$J$424,"PT"))/SUMIFS('Seat Planner'!$M$5:$M$424,'Seat Planner'!$B$5:$B$424,1,'Seat Planner'!$C$5:$C$424,"POD",'Seat Planner'!$D$5:$D$424,3))</f>
        <v/>
      </c>
      <c r="D58" s="21" t="str">
        <f>IF(SUMIFS('Seat Planner'!$M$5:$M$424,'Seat Planner'!$B$5:$B$424,2,'Seat Planner'!$C$5:$C$424,"POD",'Seat Planner'!$D$5:$D$424,3)=0,"",(SUMIFS('Seat Planner'!$M$5:$M$424,'Seat Planner'!$B$5:$B$424,2,'Seat Planner'!$C$5:$C$424,"POD",'Seat Planner'!$D$5:$D$424,3,'Seat Planner'!$J$5:$J$424,"FTC")+SUMIFS('Seat Planner'!$M$5:$M$424,'Seat Planner'!$B$5:$B$424,2,'Seat Planner'!$C$5:$C$424,"POD",'Seat Planner'!$D$5:$D$424,3,'Seat Planner'!$J$5:$J$424,"PT"))/SUMIFS('Seat Planner'!$M$5:$M$424,'Seat Planner'!$B$5:$B$424,2,'Seat Planner'!$C$5:$C$424,"POD",'Seat Planner'!$D$5:$D$424,3))</f>
        <v/>
      </c>
      <c r="E58" s="21" t="str">
        <f>IF(SUMIFS('Seat Planner'!$M$5:$M$424,'Seat Planner'!$B$5:$B$424,3,'Seat Planner'!$C$5:$C$424,"POD",'Seat Planner'!$D$5:$D$424,3)=0,"",(SUMIFS('Seat Planner'!$M$5:$M$424,'Seat Planner'!$B$5:$B$424,3,'Seat Planner'!$C$5:$C$424,"POD",'Seat Planner'!$D$5:$D$424,3,'Seat Planner'!$J$5:$J$424,"FTC")+SUMIFS('Seat Planner'!$M$5:$M$424,'Seat Planner'!$B$5:$B$424,3,'Seat Planner'!$C$5:$C$424,"POD",'Seat Planner'!$D$5:$D$424,3,'Seat Planner'!$J$5:$J$424,"PT"))/SUMIFS('Seat Planner'!$M$5:$M$424,'Seat Planner'!$B$5:$B$424,3,'Seat Planner'!$C$5:$C$424,"POD",'Seat Planner'!$D$5:$D$424,3))</f>
        <v/>
      </c>
      <c r="F58" s="21" t="str">
        <f>IF(SUMIFS('Seat Planner'!$M$5:$M$424,'Seat Planner'!$B$5:$B$424,4,'Seat Planner'!$C$5:$C$424,"POD",'Seat Planner'!$D$5:$D$424,3)=0,"",(SUMIFS('Seat Planner'!$M$5:$M$424,'Seat Planner'!$B$5:$B$424,4,'Seat Planner'!$C$5:$C$424,"POD",'Seat Planner'!$D$5:$D$424,3,'Seat Planner'!$J$5:$J$424,"FTC")+SUMIFS('Seat Planner'!$M$5:$M$424,'Seat Planner'!$B$5:$B$424,4,'Seat Planner'!$C$5:$C$424,"POD",'Seat Planner'!$D$5:$D$424,3,'Seat Planner'!$J$5:$J$424,"PT"))/SUMIFS('Seat Planner'!$M$5:$M$424,'Seat Planner'!$B$5:$B$424,4,'Seat Planner'!$C$5:$C$424,"POD",'Seat Planner'!$D$5:$D$424,3))</f>
        <v/>
      </c>
      <c r="G58" s="21" t="str">
        <f>IF(SUMIFS('Seat Planner'!$M$5:$M$424,'Seat Planner'!$B$5:$B$424,5,'Seat Planner'!$C$5:$C$424,"POD",'Seat Planner'!$D$5:$D$424,3)=0,"",(SUMIFS('Seat Planner'!$M$5:$M$424,'Seat Planner'!$B$5:$B$424,5,'Seat Planner'!$C$5:$C$424,"POD",'Seat Planner'!$D$5:$D$424,3,'Seat Planner'!$J$5:$J$424,"FTC")+SUMIFS('Seat Planner'!$M$5:$M$424,'Seat Planner'!$B$5:$B$424,5,'Seat Planner'!$C$5:$C$424,"POD",'Seat Planner'!$D$5:$D$424,3,'Seat Planner'!$J$5:$J$424,"PT"))/SUMIFS('Seat Planner'!$M$5:$M$424,'Seat Planner'!$B$5:$B$424,5,'Seat Planner'!$C$5:$C$424,"POD",'Seat Planner'!$D$5:$D$424,3))</f>
        <v/>
      </c>
    </row>
    <row r="59" spans="1:10">
      <c r="B59" s="13" t="s">
        <v>441</v>
      </c>
      <c r="C59" s="21" t="str">
        <f>IF(SUMIFS('Seat Planner'!$M$5:$M$424,'Seat Planner'!$B$5:$B$424,1,'Seat Planner'!$C$5:$C$424,"TEAM",'Seat Planner'!$D$5:$D$424,3)=0,"",(SUMIFS('Seat Planner'!$M$5:$M$424,'Seat Planner'!$B$5:$B$424,1,'Seat Planner'!$C$5:$C$424,"TEAM",'Seat Planner'!$D$5:$D$424,3,'Seat Planner'!$J$5:$J$424,"FTC")+SUMIFS('Seat Planner'!$M$5:$M$424,'Seat Planner'!$B$5:$B$424,1,'Seat Planner'!$C$5:$C$424,"TEAM",'Seat Planner'!$D$5:$D$424,3,'Seat Planner'!$J$5:$J$424,"PT"))/SUMIFS('Seat Planner'!$M$5:$M$424,'Seat Planner'!$B$5:$B$424,1,'Seat Planner'!$C$5:$C$424,"TEAM",'Seat Planner'!$D$5:$D$424,3))</f>
        <v/>
      </c>
      <c r="D59" s="21" t="str">
        <f>IF(SUMIFS('Seat Planner'!$M$5:$M$424,'Seat Planner'!$B$5:$B$424,2,'Seat Planner'!$C$5:$C$424,"TEAM",'Seat Planner'!$D$5:$D$424,3)=0,"",(SUMIFS('Seat Planner'!$M$5:$M$424,'Seat Planner'!$B$5:$B$424,2,'Seat Planner'!$C$5:$C$424,"TEAM",'Seat Planner'!$D$5:$D$424,3,'Seat Planner'!$J$5:$J$424,"FTC")+SUMIFS('Seat Planner'!$M$5:$M$424,'Seat Planner'!$B$5:$B$424,2,'Seat Planner'!$C$5:$C$424,"TEAM",'Seat Planner'!$D$5:$D$424,3,'Seat Planner'!$J$5:$J$424,"PT"))/SUMIFS('Seat Planner'!$M$5:$M$424,'Seat Planner'!$B$5:$B$424,2,'Seat Planner'!$C$5:$C$424,"TEAM",'Seat Planner'!$D$5:$D$424,3))</f>
        <v/>
      </c>
      <c r="E59" s="21" t="str">
        <f>IF(SUMIFS('Seat Planner'!$M$5:$M$424,'Seat Planner'!$B$5:$B$424,3,'Seat Planner'!$C$5:$C$424,"TEAM",'Seat Planner'!$D$5:$D$424,3)=0,"",(SUMIFS('Seat Planner'!$M$5:$M$424,'Seat Planner'!$B$5:$B$424,3,'Seat Planner'!$C$5:$C$424,"TEAM",'Seat Planner'!$D$5:$D$424,3,'Seat Planner'!$J$5:$J$424,"FTC")+SUMIFS('Seat Planner'!$M$5:$M$424,'Seat Planner'!$B$5:$B$424,3,'Seat Planner'!$C$5:$C$424,"TEAM",'Seat Planner'!$D$5:$D$424,3,'Seat Planner'!$J$5:$J$424,"PT"))/SUMIFS('Seat Planner'!$M$5:$M$424,'Seat Planner'!$B$5:$B$424,3,'Seat Planner'!$C$5:$C$424,"TEAM",'Seat Planner'!$D$5:$D$424,3))</f>
        <v/>
      </c>
      <c r="F59" s="21" t="str">
        <f>IF(SUMIFS('Seat Planner'!$M$5:$M$424,'Seat Planner'!$B$5:$B$424,4,'Seat Planner'!$C$5:$C$424,"TEAM",'Seat Planner'!$D$5:$D$424,3)=0,"",(SUMIFS('Seat Planner'!$M$5:$M$424,'Seat Planner'!$B$5:$B$424,4,'Seat Planner'!$C$5:$C$424,"TEAM",'Seat Planner'!$D$5:$D$424,3,'Seat Planner'!$J$5:$J$424,"FTC")+SUMIFS('Seat Planner'!$M$5:$M$424,'Seat Planner'!$B$5:$B$424,4,'Seat Planner'!$C$5:$C$424,"TEAM",'Seat Planner'!$D$5:$D$424,3,'Seat Planner'!$J$5:$J$424,"PT"))/SUMIFS('Seat Planner'!$M$5:$M$424,'Seat Planner'!$B$5:$B$424,4,'Seat Planner'!$C$5:$C$424,"TEAM",'Seat Planner'!$D$5:$D$424,3))</f>
        <v/>
      </c>
      <c r="G59" s="21" t="str">
        <f>IF(SUMIFS('Seat Planner'!$M$5:$M$424,'Seat Planner'!$B$5:$B$424,5,'Seat Planner'!$C$5:$C$424,"TEAM",'Seat Planner'!$D$5:$D$424,3)=0,"",(SUMIFS('Seat Planner'!$M$5:$M$424,'Seat Planner'!$B$5:$B$424,5,'Seat Planner'!$C$5:$C$424,"TEAM",'Seat Planner'!$D$5:$D$424,3,'Seat Planner'!$J$5:$J$424,"FTC")+SUMIFS('Seat Planner'!$M$5:$M$424,'Seat Planner'!$B$5:$B$424,5,'Seat Planner'!$C$5:$C$424,"TEAM",'Seat Planner'!$D$5:$D$424,3,'Seat Planner'!$J$5:$J$424,"PT"))/SUMIFS('Seat Planner'!$M$5:$M$424,'Seat Planner'!$B$5:$B$424,5,'Seat Planner'!$C$5:$C$424,"TEAM",'Seat Planner'!$D$5:$D$424,3))</f>
        <v/>
      </c>
    </row>
    <row r="60" spans="1:10">
      <c r="B60" s="13" t="s">
        <v>442</v>
      </c>
      <c r="C60" s="21" t="str">
        <f>IF(SUMIFS('Seat Planner'!$M$5:$M$424,'Seat Planner'!$B$5:$B$424,1,'Seat Planner'!$C$5:$C$424,"POD",'Seat Planner'!$D$5:$D$424,4)=0,"",(SUMIFS('Seat Planner'!$M$5:$M$424,'Seat Planner'!$B$5:$B$424,1,'Seat Planner'!$C$5:$C$424,"POD",'Seat Planner'!$D$5:$D$424,4,'Seat Planner'!$J$5:$J$424,"FTC")+SUMIFS('Seat Planner'!$M$5:$M$424,'Seat Planner'!$B$5:$B$424,1,'Seat Planner'!$C$5:$C$424,"POD",'Seat Planner'!$D$5:$D$424,4,'Seat Planner'!$J$5:$J$424,"PT"))/SUMIFS('Seat Planner'!$M$5:$M$424,'Seat Planner'!$B$5:$B$424,1,'Seat Planner'!$C$5:$C$424,"POD",'Seat Planner'!$D$5:$D$424,4))</f>
        <v/>
      </c>
      <c r="D60" s="21" t="str">
        <f>IF(SUMIFS('Seat Planner'!$M$5:$M$424,'Seat Planner'!$B$5:$B$424,2,'Seat Planner'!$C$5:$C$424,"POD",'Seat Planner'!$D$5:$D$424,4)=0,"",(SUMIFS('Seat Planner'!$M$5:$M$424,'Seat Planner'!$B$5:$B$424,2,'Seat Planner'!$C$5:$C$424,"POD",'Seat Planner'!$D$5:$D$424,4,'Seat Planner'!$J$5:$J$424,"FTC")+SUMIFS('Seat Planner'!$M$5:$M$424,'Seat Planner'!$B$5:$B$424,2,'Seat Planner'!$C$5:$C$424,"POD",'Seat Planner'!$D$5:$D$424,4,'Seat Planner'!$J$5:$J$424,"PT"))/SUMIFS('Seat Planner'!$M$5:$M$424,'Seat Planner'!$B$5:$B$424,2,'Seat Planner'!$C$5:$C$424,"POD",'Seat Planner'!$D$5:$D$424,4))</f>
        <v/>
      </c>
      <c r="E60" s="21" t="str">
        <f>IF(SUMIFS('Seat Planner'!$M$5:$M$424,'Seat Planner'!$B$5:$B$424,3,'Seat Planner'!$C$5:$C$424,"POD",'Seat Planner'!$D$5:$D$424,4)=0,"",(SUMIFS('Seat Planner'!$M$5:$M$424,'Seat Planner'!$B$5:$B$424,3,'Seat Planner'!$C$5:$C$424,"POD",'Seat Planner'!$D$5:$D$424,4,'Seat Planner'!$J$5:$J$424,"FTC")+SUMIFS('Seat Planner'!$M$5:$M$424,'Seat Planner'!$B$5:$B$424,3,'Seat Planner'!$C$5:$C$424,"POD",'Seat Planner'!$D$5:$D$424,4,'Seat Planner'!$J$5:$J$424,"PT"))/SUMIFS('Seat Planner'!$M$5:$M$424,'Seat Planner'!$B$5:$B$424,3,'Seat Planner'!$C$5:$C$424,"POD",'Seat Planner'!$D$5:$D$424,4))</f>
        <v/>
      </c>
      <c r="F60" s="21" t="str">
        <f>IF(SUMIFS('Seat Planner'!$M$5:$M$424,'Seat Planner'!$B$5:$B$424,4,'Seat Planner'!$C$5:$C$424,"POD",'Seat Planner'!$D$5:$D$424,4)=0,"",(SUMIFS('Seat Planner'!$M$5:$M$424,'Seat Planner'!$B$5:$B$424,4,'Seat Planner'!$C$5:$C$424,"POD",'Seat Planner'!$D$5:$D$424,4,'Seat Planner'!$J$5:$J$424,"FTC")+SUMIFS('Seat Planner'!$M$5:$M$424,'Seat Planner'!$B$5:$B$424,4,'Seat Planner'!$C$5:$C$424,"POD",'Seat Planner'!$D$5:$D$424,4,'Seat Planner'!$J$5:$J$424,"PT"))/SUMIFS('Seat Planner'!$M$5:$M$424,'Seat Planner'!$B$5:$B$424,4,'Seat Planner'!$C$5:$C$424,"POD",'Seat Planner'!$D$5:$D$424,4))</f>
        <v/>
      </c>
      <c r="G60" s="21" t="str">
        <f>IF(SUMIFS('Seat Planner'!$M$5:$M$424,'Seat Planner'!$B$5:$B$424,5,'Seat Planner'!$C$5:$C$424,"POD",'Seat Planner'!$D$5:$D$424,4)=0,"",(SUMIFS('Seat Planner'!$M$5:$M$424,'Seat Planner'!$B$5:$B$424,5,'Seat Planner'!$C$5:$C$424,"POD",'Seat Planner'!$D$5:$D$424,4,'Seat Planner'!$J$5:$J$424,"FTC")+SUMIFS('Seat Planner'!$M$5:$M$424,'Seat Planner'!$B$5:$B$424,5,'Seat Planner'!$C$5:$C$424,"POD",'Seat Planner'!$D$5:$D$424,4,'Seat Planner'!$J$5:$J$424,"PT"))/SUMIFS('Seat Planner'!$M$5:$M$424,'Seat Planner'!$B$5:$B$424,5,'Seat Planner'!$C$5:$C$424,"POD",'Seat Planner'!$D$5:$D$424,4))</f>
        <v/>
      </c>
    </row>
    <row r="61" spans="1:10">
      <c r="B61" s="13" t="s">
        <v>443</v>
      </c>
      <c r="C61" s="21" t="str">
        <f>IF(SUMIFS('Seat Planner'!$M$5:$M$424,'Seat Planner'!$B$5:$B$424,1,'Seat Planner'!$C$5:$C$424,"TEAM",'Seat Planner'!$D$5:$D$424,4)=0,"",(SUMIFS('Seat Planner'!$M$5:$M$424,'Seat Planner'!$B$5:$B$424,1,'Seat Planner'!$C$5:$C$424,"TEAM",'Seat Planner'!$D$5:$D$424,4,'Seat Planner'!$J$5:$J$424,"FTC")+SUMIFS('Seat Planner'!$M$5:$M$424,'Seat Planner'!$B$5:$B$424,1,'Seat Planner'!$C$5:$C$424,"TEAM",'Seat Planner'!$D$5:$D$424,4,'Seat Planner'!$J$5:$J$424,"PT"))/SUMIFS('Seat Planner'!$M$5:$M$424,'Seat Planner'!$B$5:$B$424,1,'Seat Planner'!$C$5:$C$424,"TEAM",'Seat Planner'!$D$5:$D$424,4))</f>
        <v/>
      </c>
      <c r="D61" s="21" t="str">
        <f>IF(SUMIFS('Seat Planner'!$M$5:$M$424,'Seat Planner'!$B$5:$B$424,2,'Seat Planner'!$C$5:$C$424,"TEAM",'Seat Planner'!$D$5:$D$424,4)=0,"",(SUMIFS('Seat Planner'!$M$5:$M$424,'Seat Planner'!$B$5:$B$424,2,'Seat Planner'!$C$5:$C$424,"TEAM",'Seat Planner'!$D$5:$D$424,4,'Seat Planner'!$J$5:$J$424,"FTC")+SUMIFS('Seat Planner'!$M$5:$M$424,'Seat Planner'!$B$5:$B$424,2,'Seat Planner'!$C$5:$C$424,"TEAM",'Seat Planner'!$D$5:$D$424,4,'Seat Planner'!$J$5:$J$424,"PT"))/SUMIFS('Seat Planner'!$M$5:$M$424,'Seat Planner'!$B$5:$B$424,2,'Seat Planner'!$C$5:$C$424,"TEAM",'Seat Planner'!$D$5:$D$424,4))</f>
        <v/>
      </c>
      <c r="E61" s="21" t="str">
        <f>IF(SUMIFS('Seat Planner'!$M$5:$M$424,'Seat Planner'!$B$5:$B$424,3,'Seat Planner'!$C$5:$C$424,"TEAM",'Seat Planner'!$D$5:$D$424,4)=0,"",(SUMIFS('Seat Planner'!$M$5:$M$424,'Seat Planner'!$B$5:$B$424,3,'Seat Planner'!$C$5:$C$424,"TEAM",'Seat Planner'!$D$5:$D$424,4,'Seat Planner'!$J$5:$J$424,"FTC")+SUMIFS('Seat Planner'!$M$5:$M$424,'Seat Planner'!$B$5:$B$424,3,'Seat Planner'!$C$5:$C$424,"TEAM",'Seat Planner'!$D$5:$D$424,4,'Seat Planner'!$J$5:$J$424,"PT"))/SUMIFS('Seat Planner'!$M$5:$M$424,'Seat Planner'!$B$5:$B$424,3,'Seat Planner'!$C$5:$C$424,"TEAM",'Seat Planner'!$D$5:$D$424,4))</f>
        <v/>
      </c>
      <c r="F61" s="21" t="str">
        <f>IF(SUMIFS('Seat Planner'!$M$5:$M$424,'Seat Planner'!$B$5:$B$424,4,'Seat Planner'!$C$5:$C$424,"TEAM",'Seat Planner'!$D$5:$D$424,4)=0,"",(SUMIFS('Seat Planner'!$M$5:$M$424,'Seat Planner'!$B$5:$B$424,4,'Seat Planner'!$C$5:$C$424,"TEAM",'Seat Planner'!$D$5:$D$424,4,'Seat Planner'!$J$5:$J$424,"FTC")+SUMIFS('Seat Planner'!$M$5:$M$424,'Seat Planner'!$B$5:$B$424,4,'Seat Planner'!$C$5:$C$424,"TEAM",'Seat Planner'!$D$5:$D$424,4,'Seat Planner'!$J$5:$J$424,"PT"))/SUMIFS('Seat Planner'!$M$5:$M$424,'Seat Planner'!$B$5:$B$424,4,'Seat Planner'!$C$5:$C$424,"TEAM",'Seat Planner'!$D$5:$D$424,4))</f>
        <v/>
      </c>
      <c r="G61" s="21" t="str">
        <f>IF(SUMIFS('Seat Planner'!$M$5:$M$424,'Seat Planner'!$B$5:$B$424,5,'Seat Planner'!$C$5:$C$424,"TEAM",'Seat Planner'!$D$5:$D$424,4)=0,"",(SUMIFS('Seat Planner'!$M$5:$M$424,'Seat Planner'!$B$5:$B$424,5,'Seat Planner'!$C$5:$C$424,"TEAM",'Seat Planner'!$D$5:$D$424,4,'Seat Planner'!$J$5:$J$424,"FTC")+SUMIFS('Seat Planner'!$M$5:$M$424,'Seat Planner'!$B$5:$B$424,5,'Seat Planner'!$C$5:$C$424,"TEAM",'Seat Planner'!$D$5:$D$424,4,'Seat Planner'!$J$5:$J$424,"PT"))/SUMIFS('Seat Planner'!$M$5:$M$424,'Seat Planner'!$B$5:$B$424,5,'Seat Planner'!$C$5:$C$424,"TEAM",'Seat Planner'!$D$5:$D$424,4))</f>
        <v/>
      </c>
    </row>
    <row r="62" spans="1:10">
      <c r="B62" s="13" t="s">
        <v>444</v>
      </c>
      <c r="C62" s="21" t="str">
        <f>IF(SUMIFS('Seat Planner'!$M$5:$M$424,'Seat Planner'!$B$5:$B$424,1,'Seat Planner'!$C$5:$C$424,"POD",'Seat Planner'!$D$5:$D$424,5)=0,"",(SUMIFS('Seat Planner'!$M$5:$M$424,'Seat Planner'!$B$5:$B$424,1,'Seat Planner'!$C$5:$C$424,"POD",'Seat Planner'!$D$5:$D$424,5,'Seat Planner'!$J$5:$J$424,"FTC")+SUMIFS('Seat Planner'!$M$5:$M$424,'Seat Planner'!$B$5:$B$424,1,'Seat Planner'!$C$5:$C$424,"POD",'Seat Planner'!$D$5:$D$424,5,'Seat Planner'!$J$5:$J$424,"PT"))/SUMIFS('Seat Planner'!$M$5:$M$424,'Seat Planner'!$B$5:$B$424,1,'Seat Planner'!$C$5:$C$424,"POD",'Seat Planner'!$D$5:$D$424,5))</f>
        <v/>
      </c>
      <c r="D62" s="21" t="str">
        <f>IF(SUMIFS('Seat Planner'!$M$5:$M$424,'Seat Planner'!$B$5:$B$424,2,'Seat Planner'!$C$5:$C$424,"POD",'Seat Planner'!$D$5:$D$424,5)=0,"",(SUMIFS('Seat Planner'!$M$5:$M$424,'Seat Planner'!$B$5:$B$424,2,'Seat Planner'!$C$5:$C$424,"POD",'Seat Planner'!$D$5:$D$424,5,'Seat Planner'!$J$5:$J$424,"FTC")+SUMIFS('Seat Planner'!$M$5:$M$424,'Seat Planner'!$B$5:$B$424,2,'Seat Planner'!$C$5:$C$424,"POD",'Seat Planner'!$D$5:$D$424,5,'Seat Planner'!$J$5:$J$424,"PT"))/SUMIFS('Seat Planner'!$M$5:$M$424,'Seat Planner'!$B$5:$B$424,2,'Seat Planner'!$C$5:$C$424,"POD",'Seat Planner'!$D$5:$D$424,5))</f>
        <v/>
      </c>
      <c r="E62" s="21" t="str">
        <f>IF(SUMIFS('Seat Planner'!$M$5:$M$424,'Seat Planner'!$B$5:$B$424,3,'Seat Planner'!$C$5:$C$424,"POD",'Seat Planner'!$D$5:$D$424,5)=0,"",(SUMIFS('Seat Planner'!$M$5:$M$424,'Seat Planner'!$B$5:$B$424,3,'Seat Planner'!$C$5:$C$424,"POD",'Seat Planner'!$D$5:$D$424,5,'Seat Planner'!$J$5:$J$424,"FTC")+SUMIFS('Seat Planner'!$M$5:$M$424,'Seat Planner'!$B$5:$B$424,3,'Seat Planner'!$C$5:$C$424,"POD",'Seat Planner'!$D$5:$D$424,5,'Seat Planner'!$J$5:$J$424,"PT"))/SUMIFS('Seat Planner'!$M$5:$M$424,'Seat Planner'!$B$5:$B$424,3,'Seat Planner'!$C$5:$C$424,"POD",'Seat Planner'!$D$5:$D$424,5))</f>
        <v/>
      </c>
      <c r="F62" s="21" t="str">
        <f>IF(SUMIFS('Seat Planner'!$M$5:$M$424,'Seat Planner'!$B$5:$B$424,4,'Seat Planner'!$C$5:$C$424,"POD",'Seat Planner'!$D$5:$D$424,5)=0,"",(SUMIFS('Seat Planner'!$M$5:$M$424,'Seat Planner'!$B$5:$B$424,4,'Seat Planner'!$C$5:$C$424,"POD",'Seat Planner'!$D$5:$D$424,5,'Seat Planner'!$J$5:$J$424,"FTC")+SUMIFS('Seat Planner'!$M$5:$M$424,'Seat Planner'!$B$5:$B$424,4,'Seat Planner'!$C$5:$C$424,"POD",'Seat Planner'!$D$5:$D$424,5,'Seat Planner'!$J$5:$J$424,"PT"))/SUMIFS('Seat Planner'!$M$5:$M$424,'Seat Planner'!$B$5:$B$424,4,'Seat Planner'!$C$5:$C$424,"POD",'Seat Planner'!$D$5:$D$424,5))</f>
        <v/>
      </c>
      <c r="G62" s="21" t="str">
        <f>IF(SUMIFS('Seat Planner'!$M$5:$M$424,'Seat Planner'!$B$5:$B$424,5,'Seat Planner'!$C$5:$C$424,"POD",'Seat Planner'!$D$5:$D$424,5)=0,"",(SUMIFS('Seat Planner'!$M$5:$M$424,'Seat Planner'!$B$5:$B$424,5,'Seat Planner'!$C$5:$C$424,"POD",'Seat Planner'!$D$5:$D$424,5,'Seat Planner'!$J$5:$J$424,"FTC")+SUMIFS('Seat Planner'!$M$5:$M$424,'Seat Planner'!$B$5:$B$424,5,'Seat Planner'!$C$5:$C$424,"POD",'Seat Planner'!$D$5:$D$424,5,'Seat Planner'!$J$5:$J$424,"PT"))/SUMIFS('Seat Planner'!$M$5:$M$424,'Seat Planner'!$B$5:$B$424,5,'Seat Planner'!$C$5:$C$424,"POD",'Seat Planner'!$D$5:$D$424,5))</f>
        <v/>
      </c>
    </row>
    <row r="63" spans="1:10">
      <c r="B63" s="13" t="s">
        <v>445</v>
      </c>
      <c r="C63" s="21" t="str">
        <f>IF(SUMIFS('Seat Planner'!$M$5:$M$424,'Seat Planner'!$B$5:$B$424,1,'Seat Planner'!$C$5:$C$424,"TEAM",'Seat Planner'!$D$5:$D$424,5)=0,"",(SUMIFS('Seat Planner'!$M$5:$M$424,'Seat Planner'!$B$5:$B$424,1,'Seat Planner'!$C$5:$C$424,"TEAM",'Seat Planner'!$D$5:$D$424,5,'Seat Planner'!$J$5:$J$424,"FTC")+SUMIFS('Seat Planner'!$M$5:$M$424,'Seat Planner'!$B$5:$B$424,1,'Seat Planner'!$C$5:$C$424,"TEAM",'Seat Planner'!$D$5:$D$424,5,'Seat Planner'!$J$5:$J$424,"PT"))/SUMIFS('Seat Planner'!$M$5:$M$424,'Seat Planner'!$B$5:$B$424,1,'Seat Planner'!$C$5:$C$424,"TEAM",'Seat Planner'!$D$5:$D$424,5))</f>
        <v/>
      </c>
      <c r="D63" s="21" t="str">
        <f>IF(SUMIFS('Seat Planner'!$M$5:$M$424,'Seat Planner'!$B$5:$B$424,2,'Seat Planner'!$C$5:$C$424,"TEAM",'Seat Planner'!$D$5:$D$424,5)=0,"",(SUMIFS('Seat Planner'!$M$5:$M$424,'Seat Planner'!$B$5:$B$424,2,'Seat Planner'!$C$5:$C$424,"TEAM",'Seat Planner'!$D$5:$D$424,5,'Seat Planner'!$J$5:$J$424,"FTC")+SUMIFS('Seat Planner'!$M$5:$M$424,'Seat Planner'!$B$5:$B$424,2,'Seat Planner'!$C$5:$C$424,"TEAM",'Seat Planner'!$D$5:$D$424,5,'Seat Planner'!$J$5:$J$424,"PT"))/SUMIFS('Seat Planner'!$M$5:$M$424,'Seat Planner'!$B$5:$B$424,2,'Seat Planner'!$C$5:$C$424,"TEAM",'Seat Planner'!$D$5:$D$424,5))</f>
        <v/>
      </c>
      <c r="E63" s="21" t="str">
        <f>IF(SUMIFS('Seat Planner'!$M$5:$M$424,'Seat Planner'!$B$5:$B$424,3,'Seat Planner'!$C$5:$C$424,"TEAM",'Seat Planner'!$D$5:$D$424,5)=0,"",(SUMIFS('Seat Planner'!$M$5:$M$424,'Seat Planner'!$B$5:$B$424,3,'Seat Planner'!$C$5:$C$424,"TEAM",'Seat Planner'!$D$5:$D$424,5,'Seat Planner'!$J$5:$J$424,"FTC")+SUMIFS('Seat Planner'!$M$5:$M$424,'Seat Planner'!$B$5:$B$424,3,'Seat Planner'!$C$5:$C$424,"TEAM",'Seat Planner'!$D$5:$D$424,5,'Seat Planner'!$J$5:$J$424,"PT"))/SUMIFS('Seat Planner'!$M$5:$M$424,'Seat Planner'!$B$5:$B$424,3,'Seat Planner'!$C$5:$C$424,"TEAM",'Seat Planner'!$D$5:$D$424,5))</f>
        <v/>
      </c>
      <c r="F63" s="21" t="str">
        <f>IF(SUMIFS('Seat Planner'!$M$5:$M$424,'Seat Planner'!$B$5:$B$424,4,'Seat Planner'!$C$5:$C$424,"TEAM",'Seat Planner'!$D$5:$D$424,5)=0,"",(SUMIFS('Seat Planner'!$M$5:$M$424,'Seat Planner'!$B$5:$B$424,4,'Seat Planner'!$C$5:$C$424,"TEAM",'Seat Planner'!$D$5:$D$424,5,'Seat Planner'!$J$5:$J$424,"FTC")+SUMIFS('Seat Planner'!$M$5:$M$424,'Seat Planner'!$B$5:$B$424,4,'Seat Planner'!$C$5:$C$424,"TEAM",'Seat Planner'!$D$5:$D$424,5,'Seat Planner'!$J$5:$J$424,"PT"))/SUMIFS('Seat Planner'!$M$5:$M$424,'Seat Planner'!$B$5:$B$424,4,'Seat Planner'!$C$5:$C$424,"TEAM",'Seat Planner'!$D$5:$D$424,5))</f>
        <v/>
      </c>
      <c r="G63" s="21" t="str">
        <f>IF(SUMIFS('Seat Planner'!$M$5:$M$424,'Seat Planner'!$B$5:$B$424,5,'Seat Planner'!$C$5:$C$424,"TEAM",'Seat Planner'!$D$5:$D$424,5)=0,"",(SUMIFS('Seat Planner'!$M$5:$M$424,'Seat Planner'!$B$5:$B$424,5,'Seat Planner'!$C$5:$C$424,"TEAM",'Seat Planner'!$D$5:$D$424,5,'Seat Planner'!$J$5:$J$424,"FTC")+SUMIFS('Seat Planner'!$M$5:$M$424,'Seat Planner'!$B$5:$B$424,5,'Seat Planner'!$C$5:$C$424,"TEAM",'Seat Planner'!$D$5:$D$424,5,'Seat Planner'!$J$5:$J$424,"PT"))/SUMIFS('Seat Planner'!$M$5:$M$424,'Seat Planner'!$B$5:$B$424,5,'Seat Planner'!$C$5:$C$424,"TEAM",'Seat Planner'!$D$5:$D$424,5))</f>
        <v/>
      </c>
    </row>
    <row r="64" spans="1:10">
      <c r="B64" s="13" t="s">
        <v>446</v>
      </c>
      <c r="C64" s="21" t="str">
        <f>IF(SUMIFS('Seat Planner'!$M$5:$M$424,'Seat Planner'!$B$5:$B$424,1,'Seat Planner'!$C$5:$C$424,"POD",'Seat Planner'!$D$5:$D$424,6)=0,"",(SUMIFS('Seat Planner'!$M$5:$M$424,'Seat Planner'!$B$5:$B$424,1,'Seat Planner'!$C$5:$C$424,"POD",'Seat Planner'!$D$5:$D$424,6,'Seat Planner'!$J$5:$J$424,"FTC")+SUMIFS('Seat Planner'!$M$5:$M$424,'Seat Planner'!$B$5:$B$424,1,'Seat Planner'!$C$5:$C$424,"POD",'Seat Planner'!$D$5:$D$424,6,'Seat Planner'!$J$5:$J$424,"PT"))/SUMIFS('Seat Planner'!$M$5:$M$424,'Seat Planner'!$B$5:$B$424,1,'Seat Planner'!$C$5:$C$424,"POD",'Seat Planner'!$D$5:$D$424,6))</f>
        <v/>
      </c>
      <c r="D64" s="21" t="str">
        <f>IF(SUMIFS('Seat Planner'!$M$5:$M$424,'Seat Planner'!$B$5:$B$424,2,'Seat Planner'!$C$5:$C$424,"POD",'Seat Planner'!$D$5:$D$424,6)=0,"",(SUMIFS('Seat Planner'!$M$5:$M$424,'Seat Planner'!$B$5:$B$424,2,'Seat Planner'!$C$5:$C$424,"POD",'Seat Planner'!$D$5:$D$424,6,'Seat Planner'!$J$5:$J$424,"FTC")+SUMIFS('Seat Planner'!$M$5:$M$424,'Seat Planner'!$B$5:$B$424,2,'Seat Planner'!$C$5:$C$424,"POD",'Seat Planner'!$D$5:$D$424,6,'Seat Planner'!$J$5:$J$424,"PT"))/SUMIFS('Seat Planner'!$M$5:$M$424,'Seat Planner'!$B$5:$B$424,2,'Seat Planner'!$C$5:$C$424,"POD",'Seat Planner'!$D$5:$D$424,6))</f>
        <v/>
      </c>
      <c r="E64" s="21" t="str">
        <f>IF(SUMIFS('Seat Planner'!$M$5:$M$424,'Seat Planner'!$B$5:$B$424,3,'Seat Planner'!$C$5:$C$424,"POD",'Seat Planner'!$D$5:$D$424,6)=0,"",(SUMIFS('Seat Planner'!$M$5:$M$424,'Seat Planner'!$B$5:$B$424,3,'Seat Planner'!$C$5:$C$424,"POD",'Seat Planner'!$D$5:$D$424,6,'Seat Planner'!$J$5:$J$424,"FTC")+SUMIFS('Seat Planner'!$M$5:$M$424,'Seat Planner'!$B$5:$B$424,3,'Seat Planner'!$C$5:$C$424,"POD",'Seat Planner'!$D$5:$D$424,6,'Seat Planner'!$J$5:$J$424,"PT"))/SUMIFS('Seat Planner'!$M$5:$M$424,'Seat Planner'!$B$5:$B$424,3,'Seat Planner'!$C$5:$C$424,"POD",'Seat Planner'!$D$5:$D$424,6))</f>
        <v/>
      </c>
      <c r="F64" s="21" t="str">
        <f>IF(SUMIFS('Seat Planner'!$M$5:$M$424,'Seat Planner'!$B$5:$B$424,4,'Seat Planner'!$C$5:$C$424,"POD",'Seat Planner'!$D$5:$D$424,6)=0,"",(SUMIFS('Seat Planner'!$M$5:$M$424,'Seat Planner'!$B$5:$B$424,4,'Seat Planner'!$C$5:$C$424,"POD",'Seat Planner'!$D$5:$D$424,6,'Seat Planner'!$J$5:$J$424,"FTC")+SUMIFS('Seat Planner'!$M$5:$M$424,'Seat Planner'!$B$5:$B$424,4,'Seat Planner'!$C$5:$C$424,"POD",'Seat Planner'!$D$5:$D$424,6,'Seat Planner'!$J$5:$J$424,"PT"))/SUMIFS('Seat Planner'!$M$5:$M$424,'Seat Planner'!$B$5:$B$424,4,'Seat Planner'!$C$5:$C$424,"POD",'Seat Planner'!$D$5:$D$424,6))</f>
        <v/>
      </c>
      <c r="G64" s="21" t="str">
        <f>IF(SUMIFS('Seat Planner'!$M$5:$M$424,'Seat Planner'!$B$5:$B$424,5,'Seat Planner'!$C$5:$C$424,"POD",'Seat Planner'!$D$5:$D$424,6)=0,"",(SUMIFS('Seat Planner'!$M$5:$M$424,'Seat Planner'!$B$5:$B$424,5,'Seat Planner'!$C$5:$C$424,"POD",'Seat Planner'!$D$5:$D$424,6,'Seat Planner'!$J$5:$J$424,"FTC")+SUMIFS('Seat Planner'!$M$5:$M$424,'Seat Planner'!$B$5:$B$424,5,'Seat Planner'!$C$5:$C$424,"POD",'Seat Planner'!$D$5:$D$424,6,'Seat Planner'!$J$5:$J$424,"PT"))/SUMIFS('Seat Planner'!$M$5:$M$424,'Seat Planner'!$B$5:$B$424,5,'Seat Planner'!$C$5:$C$424,"POD",'Seat Planner'!$D$5:$D$424,6))</f>
        <v/>
      </c>
    </row>
    <row r="65" spans="1:10">
      <c r="B65" s="13" t="s">
        <v>447</v>
      </c>
      <c r="C65" s="21" t="str">
        <f>IF(SUMIFS('Seat Planner'!$M$5:$M$424,'Seat Planner'!$B$5:$B$424,1,'Seat Planner'!$C$5:$C$424,"TEAM",'Seat Planner'!$D$5:$D$424,6)=0,"",(SUMIFS('Seat Planner'!$M$5:$M$424,'Seat Planner'!$B$5:$B$424,1,'Seat Planner'!$C$5:$C$424,"TEAM",'Seat Planner'!$D$5:$D$424,6,'Seat Planner'!$J$5:$J$424,"FTC")+SUMIFS('Seat Planner'!$M$5:$M$424,'Seat Planner'!$B$5:$B$424,1,'Seat Planner'!$C$5:$C$424,"TEAM",'Seat Planner'!$D$5:$D$424,6,'Seat Planner'!$J$5:$J$424,"PT"))/SUMIFS('Seat Planner'!$M$5:$M$424,'Seat Planner'!$B$5:$B$424,1,'Seat Planner'!$C$5:$C$424,"TEAM",'Seat Planner'!$D$5:$D$424,6))</f>
        <v/>
      </c>
      <c r="D65" s="21" t="str">
        <f>IF(SUMIFS('Seat Planner'!$M$5:$M$424,'Seat Planner'!$B$5:$B$424,2,'Seat Planner'!$C$5:$C$424,"TEAM",'Seat Planner'!$D$5:$D$424,6)=0,"",(SUMIFS('Seat Planner'!$M$5:$M$424,'Seat Planner'!$B$5:$B$424,2,'Seat Planner'!$C$5:$C$424,"TEAM",'Seat Planner'!$D$5:$D$424,6,'Seat Planner'!$J$5:$J$424,"FTC")+SUMIFS('Seat Planner'!$M$5:$M$424,'Seat Planner'!$B$5:$B$424,2,'Seat Planner'!$C$5:$C$424,"TEAM",'Seat Planner'!$D$5:$D$424,6,'Seat Planner'!$J$5:$J$424,"PT"))/SUMIFS('Seat Planner'!$M$5:$M$424,'Seat Planner'!$B$5:$B$424,2,'Seat Planner'!$C$5:$C$424,"TEAM",'Seat Planner'!$D$5:$D$424,6))</f>
        <v/>
      </c>
      <c r="E65" s="21" t="str">
        <f>IF(SUMIFS('Seat Planner'!$M$5:$M$424,'Seat Planner'!$B$5:$B$424,3,'Seat Planner'!$C$5:$C$424,"TEAM",'Seat Planner'!$D$5:$D$424,6)=0,"",(SUMIFS('Seat Planner'!$M$5:$M$424,'Seat Planner'!$B$5:$B$424,3,'Seat Planner'!$C$5:$C$424,"TEAM",'Seat Planner'!$D$5:$D$424,6,'Seat Planner'!$J$5:$J$424,"FTC")+SUMIFS('Seat Planner'!$M$5:$M$424,'Seat Planner'!$B$5:$B$424,3,'Seat Planner'!$C$5:$C$424,"TEAM",'Seat Planner'!$D$5:$D$424,6,'Seat Planner'!$J$5:$J$424,"PT"))/SUMIFS('Seat Planner'!$M$5:$M$424,'Seat Planner'!$B$5:$B$424,3,'Seat Planner'!$C$5:$C$424,"TEAM",'Seat Planner'!$D$5:$D$424,6))</f>
        <v/>
      </c>
      <c r="F65" s="21" t="str">
        <f>IF(SUMIFS('Seat Planner'!$M$5:$M$424,'Seat Planner'!$B$5:$B$424,4,'Seat Planner'!$C$5:$C$424,"TEAM",'Seat Planner'!$D$5:$D$424,6)=0,"",(SUMIFS('Seat Planner'!$M$5:$M$424,'Seat Planner'!$B$5:$B$424,4,'Seat Planner'!$C$5:$C$424,"TEAM",'Seat Planner'!$D$5:$D$424,6,'Seat Planner'!$J$5:$J$424,"FTC")+SUMIFS('Seat Planner'!$M$5:$M$424,'Seat Planner'!$B$5:$B$424,4,'Seat Planner'!$C$5:$C$424,"TEAM",'Seat Planner'!$D$5:$D$424,6,'Seat Planner'!$J$5:$J$424,"PT"))/SUMIFS('Seat Planner'!$M$5:$M$424,'Seat Planner'!$B$5:$B$424,4,'Seat Planner'!$C$5:$C$424,"TEAM",'Seat Planner'!$D$5:$D$424,6))</f>
        <v/>
      </c>
      <c r="G65" s="21" t="str">
        <f>IF(SUMIFS('Seat Planner'!$M$5:$M$424,'Seat Planner'!$B$5:$B$424,5,'Seat Planner'!$C$5:$C$424,"TEAM",'Seat Planner'!$D$5:$D$424,6)=0,"",(SUMIFS('Seat Planner'!$M$5:$M$424,'Seat Planner'!$B$5:$B$424,5,'Seat Planner'!$C$5:$C$424,"TEAM",'Seat Planner'!$D$5:$D$424,6,'Seat Planner'!$J$5:$J$424,"FTC")+SUMIFS('Seat Planner'!$M$5:$M$424,'Seat Planner'!$B$5:$B$424,5,'Seat Planner'!$C$5:$C$424,"TEAM",'Seat Planner'!$D$5:$D$424,6,'Seat Planner'!$J$5:$J$424,"PT"))/SUMIFS('Seat Planner'!$M$5:$M$424,'Seat Planner'!$B$5:$B$424,5,'Seat Planner'!$C$5:$C$424,"TEAM",'Seat Planner'!$D$5:$D$424,6))</f>
        <v/>
      </c>
    </row>
    <row r="66" spans="1:10" ht="39.75" customHeight="1">
      <c r="B66" s="16" t="s">
        <v>448</v>
      </c>
      <c r="C66" s="11" t="str">
        <f>IF(COUNT(C54:C65)=0,"",MIN(C54:C65))</f>
        <v/>
      </c>
      <c r="D66" s="11" t="str">
        <f>IF(COUNT(D54:D65)=0,"",MIN(D54:D65))</f>
        <v/>
      </c>
      <c r="E66" s="11" t="str">
        <f>IF(COUNT(E54:E65)=0,"",MIN(E54:E65))</f>
        <v/>
      </c>
      <c r="F66" s="11" t="str">
        <f>IF(COUNT(F54:F65)=0,"",MIN(F54:F65))</f>
        <v/>
      </c>
      <c r="G66" s="11" t="str">
        <f>IF(COUNT(G54:G65)=0,"",MIN(G54:G65))</f>
        <v/>
      </c>
      <c r="J66" s="2" t="s">
        <v>449</v>
      </c>
    </row>
    <row r="67" spans="1:10">
      <c r="B67" s="7" t="s">
        <v>450</v>
      </c>
      <c r="C67" s="1" t="str">
        <f>IF(C66="","",IF(C66&gt;='Rates &amp; Tables'!$C$57-0.005,"OK","CHECK"))</f>
        <v/>
      </c>
      <c r="D67" s="1" t="str">
        <f>IF(D66="","",IF(D66&gt;='Rates &amp; Tables'!$C$57-0.005,"OK","CHECK"))</f>
        <v/>
      </c>
      <c r="E67" s="1" t="str">
        <f>IF(E66="","",IF(E66&gt;='Rates &amp; Tables'!$C$57-0.005,"OK","CHECK"))</f>
        <v/>
      </c>
      <c r="F67" s="1" t="str">
        <f>IF(F66="","",IF(F66&gt;='Rates &amp; Tables'!$C$57-0.005,"OK","CHECK"))</f>
        <v/>
      </c>
      <c r="G67" s="1" t="str">
        <f>IF(G66="","",IF(G66&gt;='Rates &amp; Tables'!$C$57-0.005,"OK","CHECK"))</f>
        <v/>
      </c>
    </row>
    <row r="69" spans="1:10" ht="15" customHeight="1">
      <c r="A69" s="63" t="s">
        <v>451</v>
      </c>
      <c r="B69" s="63"/>
      <c r="C69" s="63"/>
      <c r="D69" s="63"/>
      <c r="E69" s="63"/>
      <c r="F69" s="63"/>
      <c r="G69" s="63"/>
      <c r="H69" s="63"/>
      <c r="I69" s="63"/>
      <c r="J69" s="63"/>
    </row>
    <row r="70" spans="1:10">
      <c r="B70" s="6" t="s">
        <v>428</v>
      </c>
      <c r="C70" s="6" t="s">
        <v>452</v>
      </c>
      <c r="D70" s="6"/>
      <c r="E70" s="6"/>
      <c r="F70" s="6"/>
      <c r="G70" s="6"/>
      <c r="H70" s="6"/>
      <c r="I70" s="6"/>
      <c r="J70" s="6" t="s">
        <v>85</v>
      </c>
    </row>
    <row r="71" spans="1:10" ht="25.5" customHeight="1">
      <c r="B71" s="7" t="s">
        <v>453</v>
      </c>
      <c r="C71" s="8">
        <f>SUMPRODUCT(--('Seat Planner'!$B$5:$B$424&lt;&gt;""))</f>
        <v>0</v>
      </c>
      <c r="J71" s="2" t="s">
        <v>454</v>
      </c>
    </row>
    <row r="72" spans="1:10" ht="25.5" customHeight="1">
      <c r="B72" s="12" t="s">
        <v>455</v>
      </c>
      <c r="C72" s="28">
        <f>SUMPRODUCT(--('Seat Planner'!$B$5:$B$424&lt;&gt;""),--(MOD(ROUND('Seat Planner'!$M$5:$M$424*2,2),1)&lt;&gt;0))</f>
        <v>0</v>
      </c>
      <c r="J72" s="2" t="s">
        <v>456</v>
      </c>
    </row>
    <row r="73" spans="1:10" ht="25.5" customHeight="1">
      <c r="B73" s="7" t="s">
        <v>457</v>
      </c>
      <c r="C73" s="8">
        <f>SUMPRODUCT(--('Seat Planner'!$B$5:$B$424&lt;&gt;""),--('Seat Planner'!$M$5:$M$424&gt;0),--('Seat Planner'!$M$5:$M$424&lt;0.5))</f>
        <v>0</v>
      </c>
      <c r="J73" s="2" t="s">
        <v>458</v>
      </c>
    </row>
    <row r="74" spans="1:10" ht="25.5" customHeight="1">
      <c r="B74" s="7" t="s">
        <v>459</v>
      </c>
      <c r="C74" s="8">
        <f>IF(AND(COUNTIF('Seat Planner'!$P$5:$P$424,"3|BSA|FTC")&gt;0,COUNTIF('Seat Planner'!$P$5:$P$424,"4|BSA|FTC")=0),1,0)+IF(AND(COUNTIF('Seat Planner'!$P$5:$P$424,"3|DEV|FTC")&gt;0,COUNTIF('Seat Planner'!$P$5:$P$424,"4|DEV|FTC")=0),1,0)+IF(AND(COUNTIF('Seat Planner'!$P$5:$P$424,"3|TEST|FTC")&gt;0,COUNTIF('Seat Planner'!$P$5:$P$424,"4|TEST|FTC")=0),1,0)+IF(AND(COUNTIF('Seat Planner'!$P$5:$P$424,"3|MNT|FTC")&gt;0,COUNTIF('Seat Planner'!$P$5:$P$424,"4|MNT|FTC")=0),1,0)+IF(AND(COUNTIF('Seat Planner'!$P$5:$P$424,"3|PM|FTC")&gt;0,COUNTIF('Seat Planner'!$P$5:$P$424,"4|PM|FTC")=0),1,0)+IF(AND(COUNTIF('Seat Planner'!$P$5:$P$424,"3|OTH|FTC")&gt;0,COUNTIF('Seat Planner'!$P$5:$P$424,"4|OTH|FTC")=0),1,0)</f>
        <v>0</v>
      </c>
      <c r="J74" s="2" t="s">
        <v>460</v>
      </c>
    </row>
    <row r="75" spans="1:10" ht="25.5" customHeight="1">
      <c r="B75" s="7" t="s">
        <v>461</v>
      </c>
      <c r="C75" s="49">
        <f>SUMIFS('Seat Planner'!$O$5:$O$424,'Seat Planner'!$B$5:$B$424,1)</f>
        <v>0</v>
      </c>
      <c r="J75" s="2" t="s">
        <v>462</v>
      </c>
    </row>
    <row r="76" spans="1:10" ht="25.5" customHeight="1">
      <c r="B76" s="7" t="s">
        <v>463</v>
      </c>
      <c r="C76" s="49">
        <f>SUMIFS('Seat Planner'!$O$5:$O$424,'Seat Planner'!$B$5:$B$424,5)</f>
        <v>0</v>
      </c>
      <c r="J76" s="2"/>
    </row>
    <row r="77" spans="1:10" ht="25.5" customHeight="1">
      <c r="B77" s="12" t="s">
        <v>464</v>
      </c>
      <c r="C77" s="47">
        <f>IF(C75=0,0,1-C76/C75)</f>
        <v>0</v>
      </c>
      <c r="J77" s="2" t="s">
        <v>465</v>
      </c>
    </row>
  </sheetData>
  <mergeCells count="7">
    <mergeCell ref="A52:J52"/>
    <mergeCell ref="A69:J69"/>
    <mergeCell ref="A1:J1"/>
    <mergeCell ref="A2:J2"/>
    <mergeCell ref="A4:J4"/>
    <mergeCell ref="A23:J23"/>
    <mergeCell ref="A45:J4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65"/>
  <sheetViews>
    <sheetView zoomScaleNormal="100" workbookViewId="0">
      <selection sqref="A1:I1"/>
    </sheetView>
  </sheetViews>
  <sheetFormatPr defaultColWidth="8.6328125" defaultRowHeight="14.5"/>
  <cols>
    <col min="1" max="1" width="2.453125" customWidth="1"/>
    <col min="2" max="2" width="34" customWidth="1"/>
    <col min="3" max="8" width="13" customWidth="1"/>
    <col min="9" max="9" width="14" customWidth="1"/>
    <col min="10" max="10" width="7" customWidth="1"/>
    <col min="11" max="11" width="78" customWidth="1"/>
  </cols>
  <sheetData>
    <row r="1" spans="1:9" ht="25.5" customHeight="1">
      <c r="A1" s="59" t="s">
        <v>466</v>
      </c>
      <c r="B1" s="59"/>
      <c r="C1" s="59"/>
      <c r="D1" s="59"/>
      <c r="E1" s="59"/>
      <c r="F1" s="59"/>
      <c r="G1" s="59"/>
      <c r="H1" s="59"/>
      <c r="I1" s="59"/>
    </row>
    <row r="2" spans="1:9" ht="15" customHeight="1">
      <c r="A2" s="60" t="s">
        <v>467</v>
      </c>
      <c r="B2" s="60"/>
      <c r="C2" s="60"/>
      <c r="D2" s="60"/>
      <c r="E2" s="60"/>
      <c r="F2" s="60"/>
      <c r="G2" s="60"/>
      <c r="H2" s="60"/>
      <c r="I2" s="60"/>
    </row>
    <row r="4" spans="1:9" ht="15" customHeight="1">
      <c r="A4" s="63" t="s">
        <v>468</v>
      </c>
      <c r="B4" s="63"/>
      <c r="C4" s="63"/>
      <c r="D4" s="63"/>
      <c r="E4" s="63"/>
      <c r="F4" s="63"/>
      <c r="G4" s="63"/>
      <c r="H4" s="63"/>
      <c r="I4" s="63"/>
    </row>
    <row r="5" spans="1:9">
      <c r="B5" s="6" t="s">
        <v>102</v>
      </c>
      <c r="C5" s="6" t="s">
        <v>469</v>
      </c>
      <c r="D5" s="6" t="s">
        <v>470</v>
      </c>
      <c r="E5" s="6" t="s">
        <v>471</v>
      </c>
      <c r="F5" s="6" t="s">
        <v>428</v>
      </c>
      <c r="G5" s="6" t="s">
        <v>472</v>
      </c>
      <c r="H5" s="6" t="s">
        <v>473</v>
      </c>
      <c r="I5" s="6" t="s">
        <v>24</v>
      </c>
    </row>
    <row r="6" spans="1:9">
      <c r="B6" s="7" t="s">
        <v>474</v>
      </c>
      <c r="C6" s="33">
        <v>0.35</v>
      </c>
      <c r="D6" s="33">
        <v>0.3</v>
      </c>
      <c r="E6" s="33">
        <v>0.5</v>
      </c>
      <c r="F6" s="33">
        <v>0.55000000000000004</v>
      </c>
      <c r="G6" s="33">
        <v>0.45</v>
      </c>
      <c r="H6" s="33">
        <v>0.4</v>
      </c>
      <c r="I6" s="24">
        <f t="shared" ref="I6:I11" si="0">SUMPRODUCT($C$12:$H$12,C6:H6)</f>
        <v>0.45250000000000001</v>
      </c>
    </row>
    <row r="7" spans="1:9">
      <c r="B7" s="7" t="s">
        <v>475</v>
      </c>
      <c r="C7" s="33">
        <v>0.35</v>
      </c>
      <c r="D7" s="33">
        <v>0.22</v>
      </c>
      <c r="E7" s="33">
        <v>0.2</v>
      </c>
      <c r="F7" s="33">
        <v>0.4</v>
      </c>
      <c r="G7" s="33">
        <v>0.25</v>
      </c>
      <c r="H7" s="33">
        <v>0.32</v>
      </c>
      <c r="I7" s="24">
        <f t="shared" si="0"/>
        <v>0.29500000000000004</v>
      </c>
    </row>
    <row r="8" spans="1:9">
      <c r="B8" s="7" t="s">
        <v>476</v>
      </c>
      <c r="C8" s="33">
        <v>0.35</v>
      </c>
      <c r="D8" s="33">
        <v>0.3</v>
      </c>
      <c r="E8" s="33">
        <v>0.55000000000000004</v>
      </c>
      <c r="F8" s="33">
        <v>0.6</v>
      </c>
      <c r="G8" s="33">
        <v>0.5</v>
      </c>
      <c r="H8" s="33">
        <v>0.4</v>
      </c>
      <c r="I8" s="24">
        <f t="shared" si="0"/>
        <v>0.48249999999999998</v>
      </c>
    </row>
    <row r="9" spans="1:9">
      <c r="B9" s="7" t="s">
        <v>477</v>
      </c>
      <c r="C9" s="33">
        <v>0.35</v>
      </c>
      <c r="D9" s="33">
        <v>0.3</v>
      </c>
      <c r="E9" s="33">
        <v>0.55000000000000004</v>
      </c>
      <c r="F9" s="33">
        <v>0.6</v>
      </c>
      <c r="G9" s="33">
        <v>0.5</v>
      </c>
      <c r="H9" s="33">
        <v>0.4</v>
      </c>
      <c r="I9" s="24">
        <f t="shared" si="0"/>
        <v>0.48249999999999998</v>
      </c>
    </row>
    <row r="10" spans="1:9">
      <c r="B10" s="7" t="s">
        <v>478</v>
      </c>
      <c r="C10" s="33">
        <v>0.22</v>
      </c>
      <c r="D10" s="33">
        <v>0.2</v>
      </c>
      <c r="E10" s="33">
        <v>0.32</v>
      </c>
      <c r="F10" s="33">
        <v>0.38</v>
      </c>
      <c r="G10" s="33">
        <v>0.3</v>
      </c>
      <c r="H10" s="33">
        <v>0.3</v>
      </c>
      <c r="I10" s="24">
        <f t="shared" si="0"/>
        <v>0.30399999999999999</v>
      </c>
    </row>
    <row r="11" spans="1:9">
      <c r="B11" s="7" t="s">
        <v>479</v>
      </c>
      <c r="C11" s="33">
        <v>0.3</v>
      </c>
      <c r="D11" s="33">
        <v>0.25</v>
      </c>
      <c r="E11" s="33">
        <v>0.4</v>
      </c>
      <c r="F11" s="33">
        <v>0.45</v>
      </c>
      <c r="G11" s="33">
        <v>0.4</v>
      </c>
      <c r="H11" s="33">
        <v>0.45</v>
      </c>
      <c r="I11" s="24">
        <f t="shared" si="0"/>
        <v>0.39</v>
      </c>
    </row>
    <row r="12" spans="1:9" ht="24">
      <c r="B12" s="7" t="s">
        <v>480</v>
      </c>
      <c r="C12" s="33">
        <v>0.15</v>
      </c>
      <c r="D12" s="33">
        <v>0.1</v>
      </c>
      <c r="E12" s="33">
        <v>0.3</v>
      </c>
      <c r="F12" s="33">
        <v>0.25</v>
      </c>
      <c r="G12" s="33">
        <v>0.05</v>
      </c>
      <c r="H12" s="33">
        <v>0.15</v>
      </c>
      <c r="I12" s="50">
        <f>SUM(C12:H12)</f>
        <v>1</v>
      </c>
    </row>
    <row r="13" spans="1:9" ht="30" customHeight="1">
      <c r="B13" s="64" t="s">
        <v>481</v>
      </c>
      <c r="C13" s="64"/>
      <c r="D13" s="64"/>
      <c r="E13" s="64"/>
      <c r="F13" s="64"/>
      <c r="G13" s="64"/>
      <c r="H13" s="64"/>
      <c r="I13" s="64"/>
    </row>
    <row r="15" spans="1:9" ht="15" customHeight="1">
      <c r="A15" s="63" t="s">
        <v>482</v>
      </c>
      <c r="B15" s="63"/>
      <c r="C15" s="63"/>
      <c r="D15" s="63"/>
      <c r="E15" s="63"/>
      <c r="F15" s="63"/>
      <c r="G15" s="63"/>
      <c r="H15" s="63"/>
      <c r="I15" s="63"/>
    </row>
    <row r="16" spans="1:9">
      <c r="B16" s="6" t="s">
        <v>81</v>
      </c>
      <c r="C16" s="6" t="s">
        <v>469</v>
      </c>
      <c r="D16" s="6" t="s">
        <v>470</v>
      </c>
      <c r="E16" s="6" t="s">
        <v>471</v>
      </c>
      <c r="F16" s="6" t="s">
        <v>428</v>
      </c>
      <c r="G16" s="6" t="s">
        <v>472</v>
      </c>
      <c r="H16" s="6" t="s">
        <v>473</v>
      </c>
      <c r="I16" s="6" t="s">
        <v>279</v>
      </c>
    </row>
    <row r="17" spans="1:9">
      <c r="B17" s="7" t="s">
        <v>86</v>
      </c>
      <c r="C17" s="33">
        <v>0.7</v>
      </c>
      <c r="D17" s="33">
        <v>0.2</v>
      </c>
      <c r="E17" s="33">
        <v>0</v>
      </c>
      <c r="F17" s="33">
        <v>0</v>
      </c>
      <c r="G17" s="33">
        <v>0</v>
      </c>
      <c r="H17" s="33">
        <v>0.1</v>
      </c>
      <c r="I17" s="39">
        <f t="shared" ref="I17:I22" si="1">SUM(C17:H17)</f>
        <v>0.99999999999999989</v>
      </c>
    </row>
    <row r="18" spans="1:9">
      <c r="B18" s="7" t="s">
        <v>88</v>
      </c>
      <c r="C18" s="33">
        <v>0</v>
      </c>
      <c r="D18" s="33">
        <v>0.15</v>
      </c>
      <c r="E18" s="33">
        <v>0.7</v>
      </c>
      <c r="F18" s="33">
        <v>0</v>
      </c>
      <c r="G18" s="33">
        <v>0.1</v>
      </c>
      <c r="H18" s="33">
        <v>0.05</v>
      </c>
      <c r="I18" s="39">
        <f t="shared" si="1"/>
        <v>1</v>
      </c>
    </row>
    <row r="19" spans="1:9">
      <c r="B19" s="7" t="s">
        <v>90</v>
      </c>
      <c r="C19" s="33">
        <v>0</v>
      </c>
      <c r="D19" s="33">
        <v>0</v>
      </c>
      <c r="E19" s="33">
        <v>0</v>
      </c>
      <c r="F19" s="33">
        <v>0.9</v>
      </c>
      <c r="G19" s="33">
        <v>0.1</v>
      </c>
      <c r="H19" s="33">
        <v>0</v>
      </c>
      <c r="I19" s="39">
        <f t="shared" si="1"/>
        <v>1</v>
      </c>
    </row>
    <row r="20" spans="1:9">
      <c r="B20" s="7" t="s">
        <v>92</v>
      </c>
      <c r="C20" s="33">
        <v>0</v>
      </c>
      <c r="D20" s="33">
        <v>0</v>
      </c>
      <c r="E20" s="33">
        <v>0.1</v>
      </c>
      <c r="F20" s="33">
        <v>0.1</v>
      </c>
      <c r="G20" s="33">
        <v>0</v>
      </c>
      <c r="H20" s="33">
        <v>0.8</v>
      </c>
      <c r="I20" s="39">
        <f t="shared" si="1"/>
        <v>1</v>
      </c>
    </row>
    <row r="21" spans="1:9">
      <c r="B21" s="7" t="s">
        <v>94</v>
      </c>
      <c r="C21" s="33">
        <v>0.2</v>
      </c>
      <c r="D21" s="33">
        <v>0</v>
      </c>
      <c r="E21" s="33">
        <v>0</v>
      </c>
      <c r="F21" s="33">
        <v>0</v>
      </c>
      <c r="G21" s="33">
        <v>0</v>
      </c>
      <c r="H21" s="33">
        <v>0.8</v>
      </c>
      <c r="I21" s="39">
        <f t="shared" si="1"/>
        <v>1</v>
      </c>
    </row>
    <row r="22" spans="1:9">
      <c r="B22" s="7" t="s">
        <v>96</v>
      </c>
      <c r="C22" s="33">
        <v>0</v>
      </c>
      <c r="D22" s="33">
        <v>0.55000000000000004</v>
      </c>
      <c r="E22" s="33">
        <v>0</v>
      </c>
      <c r="F22" s="33">
        <v>0</v>
      </c>
      <c r="G22" s="33">
        <v>0.2</v>
      </c>
      <c r="H22" s="33">
        <v>0.25</v>
      </c>
      <c r="I22" s="39">
        <f t="shared" si="1"/>
        <v>1</v>
      </c>
    </row>
    <row r="23" spans="1:9" ht="30" customHeight="1">
      <c r="B23" s="64" t="s">
        <v>483</v>
      </c>
      <c r="C23" s="64"/>
      <c r="D23" s="64"/>
      <c r="E23" s="64"/>
      <c r="F23" s="64"/>
      <c r="G23" s="64"/>
      <c r="H23" s="64"/>
      <c r="I23" s="64"/>
    </row>
    <row r="25" spans="1:9" ht="15" customHeight="1">
      <c r="A25" s="63" t="s">
        <v>484</v>
      </c>
      <c r="B25" s="63"/>
      <c r="C25" s="63"/>
      <c r="D25" s="63"/>
      <c r="E25" s="63"/>
      <c r="F25" s="63"/>
      <c r="G25" s="63"/>
      <c r="H25" s="63"/>
      <c r="I25" s="63"/>
    </row>
    <row r="26" spans="1:9">
      <c r="B26" s="6" t="s">
        <v>102</v>
      </c>
      <c r="C26" s="6" t="s">
        <v>485</v>
      </c>
      <c r="D26" s="6"/>
      <c r="E26" s="6"/>
      <c r="F26" s="6"/>
      <c r="G26" s="6"/>
      <c r="H26" s="6"/>
      <c r="I26" s="6" t="s">
        <v>486</v>
      </c>
    </row>
    <row r="27" spans="1:9" ht="25.5" customHeight="1">
      <c r="B27" s="7" t="s">
        <v>474</v>
      </c>
      <c r="C27" s="33">
        <v>0.85</v>
      </c>
      <c r="I27" s="2" t="s">
        <v>487</v>
      </c>
    </row>
    <row r="28" spans="1:9" ht="25.5" customHeight="1">
      <c r="B28" s="7" t="s">
        <v>475</v>
      </c>
      <c r="C28" s="33">
        <v>0.45</v>
      </c>
      <c r="I28" s="2" t="s">
        <v>488</v>
      </c>
    </row>
    <row r="29" spans="1:9" ht="25.5" customHeight="1">
      <c r="B29" s="7" t="s">
        <v>476</v>
      </c>
      <c r="C29" s="33">
        <v>0.78</v>
      </c>
      <c r="I29" s="2" t="s">
        <v>489</v>
      </c>
    </row>
    <row r="30" spans="1:9" ht="25.5" customHeight="1">
      <c r="B30" s="7" t="s">
        <v>477</v>
      </c>
      <c r="C30" s="33">
        <v>0.78</v>
      </c>
      <c r="I30" s="2" t="s">
        <v>490</v>
      </c>
    </row>
    <row r="31" spans="1:9" ht="25.5" customHeight="1">
      <c r="B31" s="7" t="s">
        <v>478</v>
      </c>
      <c r="C31" s="33">
        <v>0.12</v>
      </c>
      <c r="I31" s="2" t="s">
        <v>491</v>
      </c>
    </row>
    <row r="32" spans="1:9" ht="25.5" customHeight="1">
      <c r="B32" s="7" t="s">
        <v>479</v>
      </c>
      <c r="C32" s="33">
        <v>0.55000000000000004</v>
      </c>
      <c r="I32" s="2" t="s">
        <v>492</v>
      </c>
    </row>
    <row r="34" spans="1:9" ht="15" customHeight="1">
      <c r="A34" s="63" t="s">
        <v>493</v>
      </c>
      <c r="B34" s="63"/>
      <c r="C34" s="63"/>
      <c r="D34" s="63"/>
      <c r="E34" s="63"/>
      <c r="F34" s="63"/>
      <c r="G34" s="63"/>
      <c r="H34" s="63"/>
      <c r="I34" s="63"/>
    </row>
    <row r="35" spans="1:9" ht="22">
      <c r="B35" s="6" t="s">
        <v>494</v>
      </c>
      <c r="C35" s="6" t="s">
        <v>160</v>
      </c>
      <c r="D35" s="6"/>
      <c r="E35" s="6"/>
      <c r="F35" s="6"/>
      <c r="G35" s="6"/>
      <c r="H35" s="6"/>
      <c r="I35" s="6" t="s">
        <v>495</v>
      </c>
    </row>
    <row r="36" spans="1:9" ht="39.75" customHeight="1">
      <c r="B36" s="7" t="s">
        <v>496</v>
      </c>
      <c r="C36" s="33">
        <v>1</v>
      </c>
      <c r="I36" s="2" t="s">
        <v>497</v>
      </c>
    </row>
    <row r="37" spans="1:9" ht="39.75" customHeight="1">
      <c r="B37" s="7" t="s">
        <v>498</v>
      </c>
      <c r="C37" s="33">
        <v>0.85</v>
      </c>
      <c r="I37" s="2" t="s">
        <v>499</v>
      </c>
    </row>
    <row r="38" spans="1:9" ht="39.75" customHeight="1">
      <c r="B38" s="7" t="s">
        <v>500</v>
      </c>
      <c r="C38" s="33">
        <v>0.55000000000000004</v>
      </c>
      <c r="I38" s="2" t="s">
        <v>501</v>
      </c>
    </row>
    <row r="39" spans="1:9" ht="39.75" customHeight="1">
      <c r="B39" s="7" t="s">
        <v>502</v>
      </c>
      <c r="C39" s="33">
        <v>0.8</v>
      </c>
      <c r="I39" s="2" t="s">
        <v>503</v>
      </c>
    </row>
    <row r="41" spans="1:9" ht="30" customHeight="1">
      <c r="B41" s="64" t="s">
        <v>504</v>
      </c>
      <c r="C41" s="64"/>
      <c r="D41" s="64"/>
      <c r="E41" s="64"/>
      <c r="F41" s="64"/>
      <c r="G41" s="64"/>
      <c r="H41" s="64"/>
      <c r="I41" s="64"/>
    </row>
    <row r="43" spans="1:9" ht="15" customHeight="1">
      <c r="A43" s="63" t="s">
        <v>505</v>
      </c>
      <c r="B43" s="63"/>
      <c r="C43" s="63"/>
      <c r="D43" s="63"/>
      <c r="E43" s="63"/>
      <c r="F43" s="63"/>
      <c r="G43" s="63"/>
      <c r="H43" s="63"/>
      <c r="I43" s="63"/>
    </row>
    <row r="44" spans="1:9">
      <c r="B44" s="6" t="s">
        <v>119</v>
      </c>
      <c r="C44" s="6" t="s">
        <v>120</v>
      </c>
      <c r="D44" s="6" t="s">
        <v>121</v>
      </c>
      <c r="E44" s="6" t="s">
        <v>122</v>
      </c>
      <c r="F44" s="6" t="s">
        <v>123</v>
      </c>
      <c r="G44" s="6" t="s">
        <v>124</v>
      </c>
      <c r="H44" s="6"/>
      <c r="I44" s="6" t="s">
        <v>125</v>
      </c>
    </row>
    <row r="45" spans="1:9" ht="30" customHeight="1">
      <c r="B45" s="7" t="s">
        <v>506</v>
      </c>
      <c r="C45" s="33">
        <v>0.25</v>
      </c>
      <c r="D45" s="33">
        <v>0.55000000000000004</v>
      </c>
      <c r="E45" s="33">
        <v>0.75</v>
      </c>
      <c r="F45" s="33">
        <v>0.85</v>
      </c>
      <c r="G45" s="33">
        <v>0.9</v>
      </c>
      <c r="I45" s="2" t="s">
        <v>507</v>
      </c>
    </row>
    <row r="46" spans="1:9" ht="30" customHeight="1">
      <c r="B46" s="7" t="s">
        <v>508</v>
      </c>
      <c r="C46" s="33">
        <v>0.02</v>
      </c>
      <c r="D46" s="33">
        <v>0.05</v>
      </c>
      <c r="E46" s="33">
        <v>7.0000000000000007E-2</v>
      </c>
      <c r="F46" s="33">
        <v>0.09</v>
      </c>
      <c r="G46" s="33">
        <v>0.11</v>
      </c>
      <c r="I46" s="2" t="s">
        <v>509</v>
      </c>
    </row>
    <row r="47" spans="1:9" ht="30" customHeight="1">
      <c r="B47" s="7" t="s">
        <v>510</v>
      </c>
      <c r="C47" s="33">
        <v>0.03</v>
      </c>
      <c r="D47" s="33">
        <v>0.06</v>
      </c>
      <c r="E47" s="33">
        <v>0.08</v>
      </c>
      <c r="F47" s="33">
        <v>0.1</v>
      </c>
      <c r="G47" s="33">
        <v>0.12</v>
      </c>
      <c r="I47" s="2" t="s">
        <v>511</v>
      </c>
    </row>
    <row r="49" spans="1:10" ht="15" customHeight="1">
      <c r="A49" s="63" t="s">
        <v>512</v>
      </c>
      <c r="B49" s="63"/>
      <c r="C49" s="63"/>
      <c r="D49" s="63"/>
      <c r="E49" s="63"/>
      <c r="F49" s="63"/>
      <c r="G49" s="63"/>
      <c r="H49" s="63"/>
      <c r="I49" s="63"/>
    </row>
    <row r="50" spans="1:10">
      <c r="B50" s="6" t="s">
        <v>513</v>
      </c>
      <c r="C50" s="6" t="s">
        <v>8</v>
      </c>
      <c r="D50" s="6"/>
      <c r="E50" s="6"/>
      <c r="F50" s="6"/>
      <c r="G50" s="6"/>
      <c r="H50" s="6"/>
      <c r="I50" s="6" t="s">
        <v>85</v>
      </c>
    </row>
    <row r="51" spans="1:10" ht="33.75" customHeight="1">
      <c r="B51" s="7" t="s">
        <v>514</v>
      </c>
      <c r="C51" s="33">
        <v>0.5</v>
      </c>
      <c r="I51" s="2" t="s">
        <v>515</v>
      </c>
    </row>
    <row r="52" spans="1:10" ht="33.75" customHeight="1">
      <c r="B52" s="7" t="s">
        <v>516</v>
      </c>
      <c r="C52" s="33">
        <v>0.6</v>
      </c>
      <c r="I52" s="2" t="s">
        <v>517</v>
      </c>
    </row>
    <row r="53" spans="1:10" ht="33.75" customHeight="1">
      <c r="B53" s="7" t="s">
        <v>518</v>
      </c>
      <c r="C53" s="33">
        <v>0.7</v>
      </c>
      <c r="I53" s="2" t="s">
        <v>519</v>
      </c>
    </row>
    <row r="54" spans="1:10" ht="33.75" customHeight="1">
      <c r="B54" s="7" t="s">
        <v>520</v>
      </c>
      <c r="C54" s="33">
        <v>0.35</v>
      </c>
      <c r="I54" s="2" t="s">
        <v>521</v>
      </c>
    </row>
    <row r="55" spans="1:10" ht="33.75" customHeight="1">
      <c r="B55" s="7" t="s">
        <v>522</v>
      </c>
      <c r="C55" s="33">
        <v>0.5</v>
      </c>
      <c r="I55" s="2" t="s">
        <v>523</v>
      </c>
    </row>
    <row r="56" spans="1:10" ht="33.75" customHeight="1">
      <c r="B56" s="7" t="s">
        <v>524</v>
      </c>
      <c r="C56" s="33">
        <v>0.55000000000000004</v>
      </c>
      <c r="I56" s="2" t="s">
        <v>525</v>
      </c>
    </row>
    <row r="57" spans="1:10" ht="33.75" customHeight="1">
      <c r="B57" s="7" t="s">
        <v>526</v>
      </c>
      <c r="C57" s="33">
        <v>0.55000000000000004</v>
      </c>
      <c r="I57" s="2" t="s">
        <v>527</v>
      </c>
    </row>
    <row r="59" spans="1:10" ht="15" customHeight="1">
      <c r="A59" s="63" t="s">
        <v>528</v>
      </c>
      <c r="B59" s="63"/>
      <c r="C59" s="63"/>
      <c r="D59" s="63"/>
      <c r="E59" s="63"/>
      <c r="F59" s="63"/>
      <c r="G59" s="63"/>
      <c r="H59" s="63"/>
      <c r="I59" s="63"/>
    </row>
    <row r="60" spans="1:10">
      <c r="B60" s="6" t="s">
        <v>529</v>
      </c>
      <c r="C60" s="6" t="s">
        <v>530</v>
      </c>
      <c r="D60" s="6" t="s">
        <v>531</v>
      </c>
      <c r="E60" s="6" t="s">
        <v>532</v>
      </c>
      <c r="F60" s="6" t="s">
        <v>533</v>
      </c>
      <c r="G60" s="6" t="s">
        <v>534</v>
      </c>
    </row>
    <row r="61" spans="1:10">
      <c r="B61" s="7" t="s">
        <v>535</v>
      </c>
      <c r="C61" s="51">
        <v>0.72</v>
      </c>
      <c r="D61" s="51">
        <v>1</v>
      </c>
      <c r="E61" s="51">
        <v>1.35</v>
      </c>
      <c r="F61" s="51">
        <v>1.85</v>
      </c>
      <c r="G61" s="51">
        <v>2.5499999999999998</v>
      </c>
      <c r="J61" s="41" t="s">
        <v>536</v>
      </c>
    </row>
    <row r="62" spans="1:10">
      <c r="B62" s="7" t="s">
        <v>537</v>
      </c>
      <c r="C62" s="51">
        <v>0.22</v>
      </c>
      <c r="D62" s="51">
        <v>0.3</v>
      </c>
      <c r="E62" s="51">
        <v>0.42</v>
      </c>
      <c r="F62" s="51">
        <v>0.6</v>
      </c>
      <c r="G62" s="51">
        <v>0.85</v>
      </c>
      <c r="J62" s="41" t="s">
        <v>538</v>
      </c>
    </row>
    <row r="63" spans="1:10">
      <c r="B63" s="7" t="s">
        <v>539</v>
      </c>
      <c r="C63" s="51">
        <v>0.45</v>
      </c>
      <c r="D63" s="51">
        <v>0.62</v>
      </c>
      <c r="E63" s="51">
        <v>0.84</v>
      </c>
      <c r="F63" s="51">
        <v>1.1499999999999999</v>
      </c>
      <c r="G63" s="51">
        <v>1.58</v>
      </c>
      <c r="J63" s="41" t="s">
        <v>540</v>
      </c>
    </row>
    <row r="65" spans="2:9" ht="24" customHeight="1">
      <c r="B65" s="64" t="s">
        <v>541</v>
      </c>
      <c r="C65" s="64"/>
      <c r="D65" s="64"/>
      <c r="E65" s="64"/>
      <c r="F65" s="64"/>
      <c r="G65" s="64"/>
      <c r="H65" s="64"/>
      <c r="I65" s="64"/>
    </row>
  </sheetData>
  <mergeCells count="13">
    <mergeCell ref="A49:I49"/>
    <mergeCell ref="A59:I59"/>
    <mergeCell ref="B65:I65"/>
    <mergeCell ref="B23:I23"/>
    <mergeCell ref="A25:I25"/>
    <mergeCell ref="A34:I34"/>
    <mergeCell ref="B41:I41"/>
    <mergeCell ref="A43:I43"/>
    <mergeCell ref="A1:I1"/>
    <mergeCell ref="A2:I2"/>
    <mergeCell ref="A4:I4"/>
    <mergeCell ref="B13:I13"/>
    <mergeCell ref="A15:I15"/>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O149"/>
  <sheetViews>
    <sheetView zoomScaleNormal="100" workbookViewId="0">
      <pane xSplit="3" ySplit="4" topLeftCell="D5" activePane="bottomRight" state="frozen"/>
      <selection pane="topRight" activeCell="D1" sqref="D1"/>
      <selection pane="bottomLeft" activeCell="A5" sqref="A5"/>
      <selection pane="bottomRight" sqref="A1:AO1"/>
    </sheetView>
  </sheetViews>
  <sheetFormatPr defaultColWidth="8.6328125" defaultRowHeight="14.5"/>
  <cols>
    <col min="1" max="1" width="2.453125" customWidth="1"/>
    <col min="2" max="2" width="9" customWidth="1"/>
    <col min="3" max="3" width="28" customWidth="1"/>
    <col min="4" max="4" width="30" customWidth="1"/>
    <col min="5" max="5" width="32" customWidth="1"/>
    <col min="6" max="6" width="8" customWidth="1"/>
    <col min="7" max="7" width="6" customWidth="1"/>
    <col min="8" max="8" width="18" customWidth="1"/>
    <col min="9" max="9" width="8" customWidth="1"/>
    <col min="10" max="12" width="11" customWidth="1"/>
    <col min="13" max="13" width="12" customWidth="1"/>
    <col min="14" max="16" width="10" customWidth="1"/>
    <col min="17" max="17" width="8" customWidth="1"/>
    <col min="18" max="18" width="10" customWidth="1"/>
    <col min="19" max="19" width="9" customWidth="1"/>
    <col min="20" max="20" width="11" customWidth="1"/>
    <col min="21" max="22" width="8" customWidth="1"/>
    <col min="23" max="23" width="9" customWidth="1"/>
    <col min="24" max="24" width="7" customWidth="1"/>
    <col min="25" max="26" width="8" customWidth="1"/>
    <col min="27" max="27" width="10" customWidth="1"/>
    <col min="28" max="28" width="9" customWidth="1"/>
    <col min="29" max="29" width="13" customWidth="1"/>
    <col min="30" max="30" width="9" customWidth="1"/>
    <col min="31" max="32" width="6" customWidth="1"/>
    <col min="33" max="35" width="7" customWidth="1"/>
    <col min="36" max="36" width="10" customWidth="1"/>
    <col min="37" max="38" width="9" customWidth="1"/>
    <col min="39" max="39" width="20" customWidth="1"/>
    <col min="40" max="40" width="13" customWidth="1"/>
    <col min="41" max="41" width="10" customWidth="1"/>
  </cols>
  <sheetData>
    <row r="1" spans="1:41" ht="25.5" customHeight="1">
      <c r="A1" s="59" t="s">
        <v>542</v>
      </c>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row>
    <row r="2" spans="1:41" ht="15" customHeight="1">
      <c r="A2" s="60" t="s">
        <v>543</v>
      </c>
      <c r="B2" s="60"/>
      <c r="C2" s="60"/>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row>
    <row r="4" spans="1:41">
      <c r="B4" s="6" t="s">
        <v>544</v>
      </c>
      <c r="C4" s="6" t="s">
        <v>545</v>
      </c>
      <c r="D4" s="52" t="s">
        <v>546</v>
      </c>
      <c r="E4" s="6" t="s">
        <v>248</v>
      </c>
      <c r="F4" s="6" t="s">
        <v>547</v>
      </c>
      <c r="G4" s="6" t="s">
        <v>548</v>
      </c>
      <c r="H4" s="6" t="s">
        <v>549</v>
      </c>
      <c r="I4" s="6" t="s">
        <v>550</v>
      </c>
      <c r="J4" s="6" t="s">
        <v>551</v>
      </c>
      <c r="K4" s="6" t="s">
        <v>552</v>
      </c>
      <c r="L4" s="6" t="s">
        <v>553</v>
      </c>
      <c r="M4" s="6" t="s">
        <v>554</v>
      </c>
      <c r="N4" s="6" t="s">
        <v>555</v>
      </c>
      <c r="O4" s="6" t="s">
        <v>74</v>
      </c>
      <c r="P4" s="6" t="s">
        <v>76</v>
      </c>
      <c r="Q4" s="6" t="s">
        <v>86</v>
      </c>
      <c r="R4" s="6" t="s">
        <v>88</v>
      </c>
      <c r="S4" s="6" t="s">
        <v>90</v>
      </c>
      <c r="T4" s="6" t="s">
        <v>92</v>
      </c>
      <c r="U4" s="6" t="s">
        <v>94</v>
      </c>
      <c r="V4" s="6" t="s">
        <v>96</v>
      </c>
      <c r="W4" s="6" t="s">
        <v>556</v>
      </c>
      <c r="X4" s="6" t="s">
        <v>557</v>
      </c>
      <c r="Y4" s="6" t="s">
        <v>558</v>
      </c>
      <c r="Z4" s="6" t="s">
        <v>559</v>
      </c>
      <c r="AA4" s="6" t="s">
        <v>560</v>
      </c>
      <c r="AB4" s="6" t="s">
        <v>561</v>
      </c>
      <c r="AC4" s="6" t="s">
        <v>562</v>
      </c>
      <c r="AD4" s="6" t="s">
        <v>563</v>
      </c>
      <c r="AE4" s="6" t="s">
        <v>564</v>
      </c>
      <c r="AF4" s="6" t="s">
        <v>565</v>
      </c>
      <c r="AG4" s="6" t="s">
        <v>566</v>
      </c>
      <c r="AH4" s="6" t="s">
        <v>567</v>
      </c>
      <c r="AI4" s="6" t="s">
        <v>568</v>
      </c>
      <c r="AJ4" s="6" t="s">
        <v>569</v>
      </c>
      <c r="AK4" s="6" t="s">
        <v>570</v>
      </c>
      <c r="AL4" s="6" t="s">
        <v>571</v>
      </c>
      <c r="AM4" s="6" t="s">
        <v>572</v>
      </c>
      <c r="AN4" s="6" t="s">
        <v>573</v>
      </c>
      <c r="AO4" s="6" t="s">
        <v>574</v>
      </c>
    </row>
    <row r="5" spans="1:41">
      <c r="B5" s="34">
        <v>13476</v>
      </c>
      <c r="C5" s="7" t="s">
        <v>575</v>
      </c>
      <c r="D5" s="13" t="s">
        <v>576</v>
      </c>
      <c r="E5" s="13" t="s">
        <v>577</v>
      </c>
      <c r="F5" s="53" t="s">
        <v>578</v>
      </c>
      <c r="G5" s="53" t="s">
        <v>108</v>
      </c>
      <c r="H5" s="13" t="s">
        <v>579</v>
      </c>
      <c r="I5" s="53" t="s">
        <v>580</v>
      </c>
      <c r="J5" s="54">
        <v>122.538625</v>
      </c>
      <c r="K5" s="54">
        <v>57.149875000000002</v>
      </c>
      <c r="L5" s="54">
        <v>23.3020833333333</v>
      </c>
      <c r="M5" s="54">
        <v>42.086666666666702</v>
      </c>
      <c r="N5" s="54">
        <v>28.733208333333302</v>
      </c>
      <c r="O5" s="54">
        <v>28.4166666666667</v>
      </c>
      <c r="P5" s="54">
        <v>0</v>
      </c>
      <c r="Q5" s="54">
        <v>5.62916666666667</v>
      </c>
      <c r="R5" s="54">
        <v>32.895708333333303</v>
      </c>
      <c r="S5" s="54">
        <v>16.2083333333333</v>
      </c>
      <c r="T5" s="54">
        <v>1.0333333333333301</v>
      </c>
      <c r="U5" s="54">
        <v>1.3</v>
      </c>
      <c r="V5" s="54">
        <v>8.3333333333333301E-2</v>
      </c>
      <c r="W5" s="55">
        <v>0.88077908768221702</v>
      </c>
      <c r="X5" s="53" t="s">
        <v>581</v>
      </c>
      <c r="Y5" s="53" t="s">
        <v>582</v>
      </c>
      <c r="Z5" s="53" t="s">
        <v>583</v>
      </c>
      <c r="AA5" s="53">
        <v>1</v>
      </c>
      <c r="AB5" s="53">
        <v>3</v>
      </c>
      <c r="AC5" s="34">
        <v>0</v>
      </c>
      <c r="AD5" s="34">
        <v>50</v>
      </c>
      <c r="AE5" s="34">
        <v>0</v>
      </c>
      <c r="AF5" s="34">
        <v>0</v>
      </c>
      <c r="AG5" s="34">
        <v>102</v>
      </c>
      <c r="AH5" s="34">
        <v>217</v>
      </c>
      <c r="AI5" s="34">
        <v>596</v>
      </c>
      <c r="AJ5" s="34">
        <v>66</v>
      </c>
      <c r="AK5" s="34">
        <v>33</v>
      </c>
      <c r="AL5" s="34">
        <v>966</v>
      </c>
      <c r="AM5" s="13" t="s">
        <v>584</v>
      </c>
      <c r="AN5" s="54">
        <v>5</v>
      </c>
      <c r="AO5" s="56">
        <f>--($D5='START HERE'!$C$5)</f>
        <v>0</v>
      </c>
    </row>
    <row r="6" spans="1:41">
      <c r="B6" s="34">
        <v>12038</v>
      </c>
      <c r="C6" s="7" t="s">
        <v>585</v>
      </c>
      <c r="D6" s="13" t="s">
        <v>576</v>
      </c>
      <c r="E6" s="13" t="s">
        <v>586</v>
      </c>
      <c r="F6" s="53" t="s">
        <v>578</v>
      </c>
      <c r="G6" s="53" t="s">
        <v>110</v>
      </c>
      <c r="H6" s="13" t="s">
        <v>587</v>
      </c>
      <c r="I6" s="53" t="s">
        <v>588</v>
      </c>
      <c r="J6" s="54">
        <v>40.290416666666701</v>
      </c>
      <c r="K6" s="54">
        <v>19.246666666666702</v>
      </c>
      <c r="L6" s="54">
        <v>4.1333333333333302</v>
      </c>
      <c r="M6" s="54">
        <v>16.910416666666698</v>
      </c>
      <c r="N6" s="54">
        <v>2.54666666666667</v>
      </c>
      <c r="O6" s="54">
        <v>16.7</v>
      </c>
      <c r="P6" s="54">
        <v>0</v>
      </c>
      <c r="Q6" s="54">
        <v>0</v>
      </c>
      <c r="R6" s="54">
        <v>13.3925</v>
      </c>
      <c r="S6" s="54">
        <v>5.8541666666666696</v>
      </c>
      <c r="T6" s="54">
        <v>0</v>
      </c>
      <c r="U6" s="54">
        <v>0</v>
      </c>
      <c r="V6" s="54">
        <v>0</v>
      </c>
      <c r="W6" s="55">
        <v>0.94847823613969395</v>
      </c>
      <c r="X6" s="53" t="s">
        <v>581</v>
      </c>
      <c r="Y6" s="53" t="s">
        <v>583</v>
      </c>
      <c r="Z6" s="53" t="s">
        <v>583</v>
      </c>
      <c r="AA6" s="53">
        <v>1</v>
      </c>
      <c r="AB6" s="53">
        <v>3</v>
      </c>
      <c r="AC6" s="34">
        <v>0</v>
      </c>
      <c r="AD6" s="34">
        <v>10</v>
      </c>
      <c r="AE6" s="34">
        <v>2</v>
      </c>
      <c r="AF6" s="34">
        <v>0</v>
      </c>
      <c r="AG6" s="34">
        <v>28</v>
      </c>
      <c r="AH6" s="34">
        <v>18</v>
      </c>
      <c r="AI6" s="34">
        <v>122</v>
      </c>
      <c r="AJ6" s="34">
        <v>28</v>
      </c>
      <c r="AK6" s="34">
        <v>98</v>
      </c>
      <c r="AL6" s="34">
        <v>540</v>
      </c>
      <c r="AM6" s="13" t="s">
        <v>584</v>
      </c>
      <c r="AN6" s="54">
        <v>12.313000000000001</v>
      </c>
      <c r="AO6" s="56">
        <f>--($D6='START HERE'!$C$5)</f>
        <v>0</v>
      </c>
    </row>
    <row r="7" spans="1:41">
      <c r="B7" s="34">
        <v>13676</v>
      </c>
      <c r="C7" s="7" t="s">
        <v>589</v>
      </c>
      <c r="D7" s="13" t="s">
        <v>576</v>
      </c>
      <c r="E7" s="13" t="s">
        <v>577</v>
      </c>
      <c r="F7" s="53" t="s">
        <v>590</v>
      </c>
      <c r="G7" s="53" t="s">
        <v>110</v>
      </c>
      <c r="H7" s="13" t="s">
        <v>587</v>
      </c>
      <c r="I7" s="53" t="s">
        <v>588</v>
      </c>
      <c r="J7" s="54">
        <v>16.0416666666667</v>
      </c>
      <c r="K7" s="54">
        <v>11.5729166666667</v>
      </c>
      <c r="L7" s="54">
        <v>2.3333333333333299</v>
      </c>
      <c r="M7" s="54">
        <v>2.1354166666666701</v>
      </c>
      <c r="N7" s="54">
        <v>3.1187499999999999</v>
      </c>
      <c r="O7" s="54">
        <v>8.4541666666666693</v>
      </c>
      <c r="P7" s="54">
        <v>0</v>
      </c>
      <c r="Q7" s="54">
        <v>2.7875000000000001</v>
      </c>
      <c r="R7" s="54">
        <v>7.0062499999999996</v>
      </c>
      <c r="S7" s="54">
        <v>1.7791666666666699</v>
      </c>
      <c r="T7" s="54">
        <v>0</v>
      </c>
      <c r="U7" s="54">
        <v>0</v>
      </c>
      <c r="V7" s="54">
        <v>0</v>
      </c>
      <c r="W7" s="55">
        <v>0.93766233766233797</v>
      </c>
      <c r="X7" s="53" t="s">
        <v>581</v>
      </c>
      <c r="Y7" s="53" t="s">
        <v>583</v>
      </c>
      <c r="Z7" s="53" t="s">
        <v>583</v>
      </c>
      <c r="AA7" s="53">
        <v>1</v>
      </c>
      <c r="AB7" s="53">
        <v>3</v>
      </c>
      <c r="AC7" s="34">
        <v>0</v>
      </c>
      <c r="AD7" s="34">
        <v>0</v>
      </c>
      <c r="AE7" s="34">
        <v>0</v>
      </c>
      <c r="AF7" s="34">
        <v>1</v>
      </c>
      <c r="AG7" s="34">
        <v>1</v>
      </c>
      <c r="AH7" s="34">
        <v>2</v>
      </c>
      <c r="AI7" s="34">
        <v>9</v>
      </c>
      <c r="AJ7" s="34">
        <v>1</v>
      </c>
      <c r="AK7" s="34">
        <v>0</v>
      </c>
      <c r="AL7" s="34">
        <v>62</v>
      </c>
      <c r="AM7" s="13" t="s">
        <v>584</v>
      </c>
      <c r="AN7" s="54">
        <v>11.573</v>
      </c>
      <c r="AO7" s="56">
        <f>--($D7='START HERE'!$C$5)</f>
        <v>0</v>
      </c>
    </row>
    <row r="8" spans="1:41">
      <c r="B8" s="34">
        <v>9992</v>
      </c>
      <c r="C8" s="7" t="s">
        <v>591</v>
      </c>
      <c r="D8" s="13" t="s">
        <v>576</v>
      </c>
      <c r="E8" s="13" t="s">
        <v>586</v>
      </c>
      <c r="F8" s="53" t="s">
        <v>578</v>
      </c>
      <c r="G8" s="53" t="s">
        <v>110</v>
      </c>
      <c r="H8" s="13" t="s">
        <v>587</v>
      </c>
      <c r="I8" s="53" t="s">
        <v>588</v>
      </c>
      <c r="J8" s="54">
        <v>12.725</v>
      </c>
      <c r="K8" s="54">
        <v>7.2083333333333304</v>
      </c>
      <c r="L8" s="54">
        <v>2.99583333333333</v>
      </c>
      <c r="M8" s="54">
        <v>2.5208333333333299</v>
      </c>
      <c r="N8" s="54">
        <v>0.29166666666666702</v>
      </c>
      <c r="O8" s="54">
        <v>6.9166666666666696</v>
      </c>
      <c r="P8" s="54">
        <v>0</v>
      </c>
      <c r="Q8" s="54">
        <v>0</v>
      </c>
      <c r="R8" s="54">
        <v>7.125</v>
      </c>
      <c r="S8" s="54">
        <v>8.3333333333333301E-2</v>
      </c>
      <c r="T8" s="54">
        <v>0</v>
      </c>
      <c r="U8" s="54">
        <v>0</v>
      </c>
      <c r="V8" s="54">
        <v>0</v>
      </c>
      <c r="W8" s="55">
        <v>0.93778650949574305</v>
      </c>
      <c r="X8" s="53" t="s">
        <v>592</v>
      </c>
      <c r="Y8" s="53" t="s">
        <v>583</v>
      </c>
      <c r="Z8" s="53" t="s">
        <v>583</v>
      </c>
      <c r="AA8" s="53">
        <v>1</v>
      </c>
      <c r="AB8" s="53">
        <v>3</v>
      </c>
      <c r="AC8" s="34">
        <v>0</v>
      </c>
      <c r="AD8" s="34">
        <v>0</v>
      </c>
      <c r="AE8" s="34">
        <v>0</v>
      </c>
      <c r="AF8" s="34">
        <v>1</v>
      </c>
      <c r="AG8" s="34">
        <v>13</v>
      </c>
      <c r="AH8" s="34">
        <v>16</v>
      </c>
      <c r="AI8" s="34">
        <v>30</v>
      </c>
      <c r="AJ8" s="34">
        <v>18</v>
      </c>
      <c r="AK8" s="34">
        <v>62</v>
      </c>
      <c r="AL8" s="34">
        <v>316</v>
      </c>
      <c r="AM8" s="13" t="s">
        <v>593</v>
      </c>
      <c r="AN8" s="54">
        <v>7.2080000000000002</v>
      </c>
      <c r="AO8" s="56">
        <f>--($D8='START HERE'!$C$5)</f>
        <v>0</v>
      </c>
    </row>
    <row r="9" spans="1:41">
      <c r="B9" s="34">
        <v>9928</v>
      </c>
      <c r="C9" s="7" t="s">
        <v>594</v>
      </c>
      <c r="D9" s="13" t="s">
        <v>576</v>
      </c>
      <c r="E9" s="13" t="s">
        <v>577</v>
      </c>
      <c r="F9" s="53" t="s">
        <v>595</v>
      </c>
      <c r="G9" s="53" t="s">
        <v>113</v>
      </c>
      <c r="H9" s="13" t="s">
        <v>596</v>
      </c>
      <c r="I9" s="53" t="s">
        <v>597</v>
      </c>
      <c r="J9" s="54">
        <v>2.3970833333333301</v>
      </c>
      <c r="K9" s="54">
        <v>1.3970833333333299</v>
      </c>
      <c r="L9" s="54">
        <v>1</v>
      </c>
      <c r="M9" s="54">
        <v>0</v>
      </c>
      <c r="N9" s="54">
        <v>1.3970833333333299</v>
      </c>
      <c r="O9" s="54">
        <v>0</v>
      </c>
      <c r="P9" s="54">
        <v>0</v>
      </c>
      <c r="Q9" s="54">
        <v>0</v>
      </c>
      <c r="R9" s="54">
        <v>1.3970833333333299</v>
      </c>
      <c r="S9" s="54">
        <v>0</v>
      </c>
      <c r="T9" s="54">
        <v>0</v>
      </c>
      <c r="U9" s="54">
        <v>0</v>
      </c>
      <c r="V9" s="54">
        <v>0</v>
      </c>
      <c r="W9" s="55">
        <v>0.86441856422735996</v>
      </c>
      <c r="X9" s="53" t="s">
        <v>581</v>
      </c>
      <c r="Y9" s="53" t="s">
        <v>583</v>
      </c>
      <c r="Z9" s="53" t="s">
        <v>583</v>
      </c>
      <c r="AA9" s="53">
        <v>2</v>
      </c>
      <c r="AB9" s="53">
        <v>1</v>
      </c>
      <c r="AC9" s="34">
        <v>0</v>
      </c>
      <c r="AD9" s="34">
        <v>400</v>
      </c>
      <c r="AE9" s="34">
        <v>0</v>
      </c>
      <c r="AF9" s="34">
        <v>0</v>
      </c>
      <c r="AG9" s="34">
        <v>11</v>
      </c>
      <c r="AH9" s="34">
        <v>10</v>
      </c>
      <c r="AI9" s="34">
        <v>40</v>
      </c>
      <c r="AJ9" s="34">
        <v>15</v>
      </c>
      <c r="AK9" s="34">
        <v>13</v>
      </c>
      <c r="AL9" s="34">
        <v>171</v>
      </c>
      <c r="AM9" s="13" t="s">
        <v>593</v>
      </c>
      <c r="AN9" s="54">
        <v>0.89400000000000002</v>
      </c>
      <c r="AO9" s="56">
        <f>--($D9='START HERE'!$C$5)</f>
        <v>0</v>
      </c>
    </row>
    <row r="10" spans="1:41">
      <c r="B10" s="34">
        <v>12607</v>
      </c>
      <c r="C10" s="7" t="s">
        <v>598</v>
      </c>
      <c r="D10" s="13" t="s">
        <v>576</v>
      </c>
      <c r="E10" s="13" t="s">
        <v>577</v>
      </c>
      <c r="F10" s="53" t="s">
        <v>590</v>
      </c>
      <c r="G10" s="53" t="s">
        <v>113</v>
      </c>
      <c r="H10" s="13" t="s">
        <v>596</v>
      </c>
      <c r="I10" s="53" t="s">
        <v>597</v>
      </c>
      <c r="J10" s="54">
        <v>2.3374999999999999</v>
      </c>
      <c r="K10" s="54">
        <v>1.3374999999999999</v>
      </c>
      <c r="L10" s="54">
        <v>0</v>
      </c>
      <c r="M10" s="54">
        <v>1</v>
      </c>
      <c r="N10" s="54">
        <v>0.5</v>
      </c>
      <c r="O10" s="54">
        <v>0.83750000000000002</v>
      </c>
      <c r="P10" s="54">
        <v>0</v>
      </c>
      <c r="Q10" s="54">
        <v>0</v>
      </c>
      <c r="R10" s="54">
        <v>1.3374999999999999</v>
      </c>
      <c r="S10" s="54">
        <v>0</v>
      </c>
      <c r="T10" s="54">
        <v>0</v>
      </c>
      <c r="U10" s="54">
        <v>0</v>
      </c>
      <c r="V10" s="54">
        <v>0</v>
      </c>
      <c r="W10" s="55">
        <v>1</v>
      </c>
      <c r="X10" s="53" t="s">
        <v>581</v>
      </c>
      <c r="Y10" s="53" t="s">
        <v>583</v>
      </c>
      <c r="Z10" s="53" t="s">
        <v>583</v>
      </c>
      <c r="AA10" s="53">
        <v>1</v>
      </c>
      <c r="AB10" s="53">
        <v>3</v>
      </c>
      <c r="AC10" s="34">
        <v>0</v>
      </c>
      <c r="AD10" s="34">
        <v>0</v>
      </c>
      <c r="AE10" s="34">
        <v>0</v>
      </c>
      <c r="AF10" s="34">
        <v>0</v>
      </c>
      <c r="AG10" s="34">
        <v>8</v>
      </c>
      <c r="AH10" s="34">
        <v>2</v>
      </c>
      <c r="AI10" s="34">
        <v>4</v>
      </c>
      <c r="AJ10" s="34">
        <v>6</v>
      </c>
      <c r="AK10" s="34">
        <v>9</v>
      </c>
      <c r="AL10" s="34">
        <v>77</v>
      </c>
      <c r="AM10" s="13" t="s">
        <v>584</v>
      </c>
      <c r="AN10" s="54">
        <v>0.85599999999999998</v>
      </c>
      <c r="AO10" s="56">
        <f>--($D10='START HERE'!$C$5)</f>
        <v>0</v>
      </c>
    </row>
    <row r="11" spans="1:41">
      <c r="B11" s="34">
        <v>13139</v>
      </c>
      <c r="C11" s="7" t="s">
        <v>599</v>
      </c>
      <c r="D11" s="13" t="s">
        <v>576</v>
      </c>
      <c r="E11" s="13" t="s">
        <v>586</v>
      </c>
      <c r="F11" s="53" t="s">
        <v>590</v>
      </c>
      <c r="G11" s="53" t="s">
        <v>113</v>
      </c>
      <c r="H11" s="13" t="s">
        <v>596</v>
      </c>
      <c r="I11" s="53" t="s">
        <v>597</v>
      </c>
      <c r="J11" s="54">
        <v>1.99166666666667</v>
      </c>
      <c r="K11" s="54">
        <v>0</v>
      </c>
      <c r="L11" s="54">
        <v>1.3</v>
      </c>
      <c r="M11" s="54">
        <v>0.69166666666666698</v>
      </c>
      <c r="N11" s="54">
        <v>0</v>
      </c>
      <c r="O11" s="54">
        <v>0</v>
      </c>
      <c r="P11" s="54">
        <v>0</v>
      </c>
      <c r="Q11" s="54">
        <v>0</v>
      </c>
      <c r="R11" s="54">
        <v>0</v>
      </c>
      <c r="S11" s="54">
        <v>0</v>
      </c>
      <c r="T11" s="54">
        <v>0</v>
      </c>
      <c r="U11" s="54">
        <v>0</v>
      </c>
      <c r="V11" s="54">
        <v>0</v>
      </c>
      <c r="W11" s="55">
        <v>1</v>
      </c>
      <c r="X11" s="53" t="s">
        <v>581</v>
      </c>
      <c r="Y11" s="53" t="s">
        <v>583</v>
      </c>
      <c r="Z11" s="53" t="s">
        <v>583</v>
      </c>
      <c r="AA11" s="53">
        <v>1</v>
      </c>
      <c r="AB11" s="53">
        <v>1</v>
      </c>
      <c r="AC11" s="34">
        <v>0</v>
      </c>
      <c r="AD11" s="34">
        <v>0</v>
      </c>
      <c r="AE11" s="34">
        <v>0</v>
      </c>
      <c r="AF11" s="34">
        <v>0</v>
      </c>
      <c r="AG11" s="34">
        <v>4</v>
      </c>
      <c r="AH11" s="34">
        <v>9</v>
      </c>
      <c r="AI11" s="34">
        <v>5</v>
      </c>
      <c r="AJ11" s="34">
        <v>4</v>
      </c>
      <c r="AK11" s="34">
        <v>2</v>
      </c>
      <c r="AL11" s="34">
        <v>63</v>
      </c>
      <c r="AM11" s="13" t="s">
        <v>584</v>
      </c>
      <c r="AN11" s="54">
        <v>0</v>
      </c>
      <c r="AO11" s="56">
        <f>--($D11='START HERE'!$C$5)</f>
        <v>0</v>
      </c>
    </row>
    <row r="12" spans="1:41">
      <c r="B12" s="34">
        <v>12654</v>
      </c>
      <c r="C12" s="7" t="s">
        <v>600</v>
      </c>
      <c r="D12" s="13" t="s">
        <v>576</v>
      </c>
      <c r="E12" s="13" t="s">
        <v>577</v>
      </c>
      <c r="F12" s="53" t="s">
        <v>590</v>
      </c>
      <c r="G12" s="53" t="s">
        <v>113</v>
      </c>
      <c r="H12" s="13" t="s">
        <v>596</v>
      </c>
      <c r="I12" s="53" t="s">
        <v>597</v>
      </c>
      <c r="J12" s="54">
        <v>0.25</v>
      </c>
      <c r="K12" s="54">
        <v>0</v>
      </c>
      <c r="L12" s="54">
        <v>0.25</v>
      </c>
      <c r="M12" s="54">
        <v>0</v>
      </c>
      <c r="N12" s="54">
        <v>0</v>
      </c>
      <c r="O12" s="54">
        <v>0</v>
      </c>
      <c r="P12" s="54">
        <v>0</v>
      </c>
      <c r="Q12" s="54">
        <v>0</v>
      </c>
      <c r="R12" s="54">
        <v>0</v>
      </c>
      <c r="S12" s="54">
        <v>0</v>
      </c>
      <c r="T12" s="54">
        <v>0</v>
      </c>
      <c r="U12" s="54">
        <v>0</v>
      </c>
      <c r="V12" s="54">
        <v>0</v>
      </c>
      <c r="W12" s="55">
        <v>1</v>
      </c>
      <c r="X12" s="53" t="s">
        <v>592</v>
      </c>
      <c r="Y12" s="53" t="s">
        <v>583</v>
      </c>
      <c r="Z12" s="53" t="s">
        <v>583</v>
      </c>
      <c r="AA12" s="53" t="s">
        <v>601</v>
      </c>
      <c r="AB12" s="53" t="s">
        <v>601</v>
      </c>
      <c r="AC12" s="34">
        <v>0</v>
      </c>
      <c r="AD12" s="34">
        <v>0</v>
      </c>
      <c r="AE12" s="34">
        <v>0</v>
      </c>
      <c r="AF12" s="34">
        <v>0</v>
      </c>
      <c r="AG12" s="34">
        <v>0</v>
      </c>
      <c r="AH12" s="34">
        <v>0</v>
      </c>
      <c r="AI12" s="34">
        <v>0</v>
      </c>
      <c r="AJ12" s="34">
        <v>0</v>
      </c>
      <c r="AK12" s="34">
        <v>1</v>
      </c>
      <c r="AL12" s="34">
        <v>2</v>
      </c>
      <c r="AM12" s="13" t="s">
        <v>593</v>
      </c>
      <c r="AN12" s="54">
        <v>0</v>
      </c>
      <c r="AO12" s="56">
        <f>--($D12='START HERE'!$C$5)</f>
        <v>0</v>
      </c>
    </row>
    <row r="13" spans="1:41">
      <c r="B13" s="34">
        <v>12527</v>
      </c>
      <c r="C13" s="7" t="s">
        <v>602</v>
      </c>
      <c r="D13" s="13" t="s">
        <v>576</v>
      </c>
      <c r="E13" s="13" t="s">
        <v>586</v>
      </c>
      <c r="F13" s="53" t="s">
        <v>578</v>
      </c>
      <c r="G13" s="53" t="s">
        <v>113</v>
      </c>
      <c r="H13" s="13" t="s">
        <v>596</v>
      </c>
      <c r="I13" s="53" t="s">
        <v>597</v>
      </c>
      <c r="J13" s="54">
        <v>0.133333333333333</v>
      </c>
      <c r="K13" s="54">
        <v>0.108333333333333</v>
      </c>
      <c r="L13" s="54">
        <v>0</v>
      </c>
      <c r="M13" s="54">
        <v>2.5000000000000001E-2</v>
      </c>
      <c r="N13" s="54">
        <v>0</v>
      </c>
      <c r="O13" s="54">
        <v>0.108333333333333</v>
      </c>
      <c r="P13" s="54">
        <v>0</v>
      </c>
      <c r="Q13" s="54">
        <v>0</v>
      </c>
      <c r="R13" s="54">
        <v>0</v>
      </c>
      <c r="S13" s="54">
        <v>0.108333333333333</v>
      </c>
      <c r="T13" s="54">
        <v>0</v>
      </c>
      <c r="U13" s="54">
        <v>0</v>
      </c>
      <c r="V13" s="54">
        <v>0</v>
      </c>
      <c r="W13" s="55">
        <v>1</v>
      </c>
      <c r="X13" s="53" t="s">
        <v>581</v>
      </c>
      <c r="Y13" s="53" t="s">
        <v>583</v>
      </c>
      <c r="Z13" s="53" t="s">
        <v>583</v>
      </c>
      <c r="AA13" s="53">
        <v>1</v>
      </c>
      <c r="AB13" s="53">
        <v>3</v>
      </c>
      <c r="AC13" s="34">
        <v>0</v>
      </c>
      <c r="AD13" s="34">
        <v>0</v>
      </c>
      <c r="AE13" s="34">
        <v>0</v>
      </c>
      <c r="AF13" s="34">
        <v>0</v>
      </c>
      <c r="AG13" s="34">
        <v>2</v>
      </c>
      <c r="AH13" s="34">
        <v>0</v>
      </c>
      <c r="AI13" s="34">
        <v>0</v>
      </c>
      <c r="AJ13" s="34">
        <v>1</v>
      </c>
      <c r="AK13" s="34">
        <v>0</v>
      </c>
      <c r="AL13" s="34">
        <v>51</v>
      </c>
      <c r="AM13" s="13" t="s">
        <v>584</v>
      </c>
      <c r="AN13" s="54">
        <v>0.108</v>
      </c>
      <c r="AO13" s="56">
        <f>--($D13='START HERE'!$C$5)</f>
        <v>0</v>
      </c>
    </row>
    <row r="14" spans="1:41">
      <c r="B14" s="34">
        <v>9926</v>
      </c>
      <c r="C14" s="7" t="s">
        <v>603</v>
      </c>
      <c r="D14" s="13" t="s">
        <v>576</v>
      </c>
      <c r="E14" s="13" t="s">
        <v>577</v>
      </c>
      <c r="F14" s="53" t="s">
        <v>590</v>
      </c>
      <c r="G14" s="53" t="s">
        <v>113</v>
      </c>
      <c r="H14" s="13" t="s">
        <v>596</v>
      </c>
      <c r="I14" s="53" t="s">
        <v>597</v>
      </c>
      <c r="J14" s="54">
        <v>7.4999999999999997E-2</v>
      </c>
      <c r="K14" s="54">
        <v>7.4999999999999997E-2</v>
      </c>
      <c r="L14" s="54">
        <v>0</v>
      </c>
      <c r="M14" s="54">
        <v>0</v>
      </c>
      <c r="N14" s="54">
        <v>7.4999999999999997E-2</v>
      </c>
      <c r="O14" s="54">
        <v>0</v>
      </c>
      <c r="P14" s="54">
        <v>0</v>
      </c>
      <c r="Q14" s="54">
        <v>0</v>
      </c>
      <c r="R14" s="54">
        <v>7.4999999999999997E-2</v>
      </c>
      <c r="S14" s="54">
        <v>0</v>
      </c>
      <c r="T14" s="54">
        <v>0</v>
      </c>
      <c r="U14" s="54">
        <v>0</v>
      </c>
      <c r="V14" s="54">
        <v>0</v>
      </c>
      <c r="W14" s="55">
        <v>0</v>
      </c>
      <c r="X14" s="53" t="s">
        <v>592</v>
      </c>
      <c r="Y14" s="53" t="s">
        <v>583</v>
      </c>
      <c r="Z14" s="53" t="s">
        <v>583</v>
      </c>
      <c r="AA14" s="53">
        <v>2</v>
      </c>
      <c r="AB14" s="53">
        <v>1</v>
      </c>
      <c r="AC14" s="34">
        <v>0</v>
      </c>
      <c r="AD14" s="34">
        <v>0</v>
      </c>
      <c r="AE14" s="34">
        <v>0</v>
      </c>
      <c r="AF14" s="34">
        <v>0</v>
      </c>
      <c r="AG14" s="34">
        <v>2</v>
      </c>
      <c r="AH14" s="34">
        <v>7</v>
      </c>
      <c r="AI14" s="34">
        <v>36</v>
      </c>
      <c r="AJ14" s="34">
        <v>2</v>
      </c>
      <c r="AK14" s="34">
        <v>1</v>
      </c>
      <c r="AL14" s="34">
        <v>34</v>
      </c>
      <c r="AM14" s="13" t="s">
        <v>593</v>
      </c>
      <c r="AN14" s="54">
        <v>4.8000000000000001E-2</v>
      </c>
      <c r="AO14" s="56">
        <f>--($D14='START HERE'!$C$5)</f>
        <v>0</v>
      </c>
    </row>
    <row r="15" spans="1:41">
      <c r="B15" s="34">
        <v>9796</v>
      </c>
      <c r="C15" s="7" t="s">
        <v>604</v>
      </c>
      <c r="D15" s="13" t="s">
        <v>605</v>
      </c>
      <c r="E15" s="13" t="s">
        <v>606</v>
      </c>
      <c r="F15" s="53" t="s">
        <v>149</v>
      </c>
      <c r="G15" s="53" t="s">
        <v>109</v>
      </c>
      <c r="H15" s="13" t="s">
        <v>607</v>
      </c>
      <c r="I15" s="53" t="s">
        <v>608</v>
      </c>
      <c r="J15" s="54">
        <v>67.313124999999999</v>
      </c>
      <c r="K15" s="54">
        <v>59.558958333333401</v>
      </c>
      <c r="L15" s="54">
        <v>7.75416666666667</v>
      </c>
      <c r="M15" s="54">
        <v>0</v>
      </c>
      <c r="N15" s="54">
        <v>59.392291666666701</v>
      </c>
      <c r="O15" s="54">
        <v>0</v>
      </c>
      <c r="P15" s="54">
        <v>0.16666666666666699</v>
      </c>
      <c r="Q15" s="54">
        <v>0.25</v>
      </c>
      <c r="R15" s="54">
        <v>59.308958333333401</v>
      </c>
      <c r="S15" s="54">
        <v>0</v>
      </c>
      <c r="T15" s="54">
        <v>0</v>
      </c>
      <c r="U15" s="54">
        <v>0</v>
      </c>
      <c r="V15" s="54">
        <v>0</v>
      </c>
      <c r="W15" s="55">
        <v>0.71176374097424</v>
      </c>
      <c r="X15" s="53" t="s">
        <v>592</v>
      </c>
      <c r="Y15" s="53" t="s">
        <v>583</v>
      </c>
      <c r="Z15" s="53" t="s">
        <v>582</v>
      </c>
      <c r="AA15" s="53">
        <v>3</v>
      </c>
      <c r="AB15" s="53">
        <v>1</v>
      </c>
      <c r="AC15" s="34">
        <v>2621006</v>
      </c>
      <c r="AD15" s="34">
        <v>989</v>
      </c>
      <c r="AE15" s="34">
        <v>0</v>
      </c>
      <c r="AF15" s="34">
        <v>0</v>
      </c>
      <c r="AG15" s="34">
        <v>118</v>
      </c>
      <c r="AH15" s="34">
        <v>62</v>
      </c>
      <c r="AI15" s="34">
        <v>491</v>
      </c>
      <c r="AJ15" s="34">
        <v>62</v>
      </c>
      <c r="AK15" s="34">
        <v>72</v>
      </c>
      <c r="AL15" s="34">
        <v>602</v>
      </c>
      <c r="AM15" s="13" t="s">
        <v>584</v>
      </c>
      <c r="AN15" s="54">
        <v>0</v>
      </c>
      <c r="AO15" s="56">
        <f>--($D15='START HERE'!$C$5)</f>
        <v>0</v>
      </c>
    </row>
    <row r="16" spans="1:41">
      <c r="B16" s="34">
        <v>9800</v>
      </c>
      <c r="C16" s="7" t="s">
        <v>609</v>
      </c>
      <c r="D16" s="13" t="s">
        <v>605</v>
      </c>
      <c r="E16" s="13" t="s">
        <v>610</v>
      </c>
      <c r="F16" s="53" t="s">
        <v>149</v>
      </c>
      <c r="G16" s="53" t="s">
        <v>109</v>
      </c>
      <c r="H16" s="13" t="s">
        <v>607</v>
      </c>
      <c r="I16" s="53" t="s">
        <v>608</v>
      </c>
      <c r="J16" s="54">
        <v>22.745916666666702</v>
      </c>
      <c r="K16" s="54">
        <v>20.8921666666667</v>
      </c>
      <c r="L16" s="54">
        <v>1.85375</v>
      </c>
      <c r="M16" s="54">
        <v>0</v>
      </c>
      <c r="N16" s="54">
        <v>20.1421666666667</v>
      </c>
      <c r="O16" s="54">
        <v>0</v>
      </c>
      <c r="P16" s="54">
        <v>0.75</v>
      </c>
      <c r="Q16" s="54">
        <v>0</v>
      </c>
      <c r="R16" s="54">
        <v>20.8921666666667</v>
      </c>
      <c r="S16" s="54">
        <v>0</v>
      </c>
      <c r="T16" s="54">
        <v>0</v>
      </c>
      <c r="U16" s="54">
        <v>0</v>
      </c>
      <c r="V16" s="54">
        <v>0</v>
      </c>
      <c r="W16" s="55">
        <v>0.94285787558939205</v>
      </c>
      <c r="X16" s="53" t="s">
        <v>592</v>
      </c>
      <c r="Y16" s="53" t="s">
        <v>583</v>
      </c>
      <c r="Z16" s="53" t="s">
        <v>582</v>
      </c>
      <c r="AA16" s="53">
        <v>3</v>
      </c>
      <c r="AB16" s="53">
        <v>1</v>
      </c>
      <c r="AC16" s="34">
        <v>1526471</v>
      </c>
      <c r="AD16" s="34">
        <v>838</v>
      </c>
      <c r="AE16" s="34">
        <v>0</v>
      </c>
      <c r="AF16" s="34">
        <v>0</v>
      </c>
      <c r="AG16" s="34">
        <v>66</v>
      </c>
      <c r="AH16" s="34">
        <v>14</v>
      </c>
      <c r="AI16" s="34">
        <v>80</v>
      </c>
      <c r="AJ16" s="34">
        <v>48</v>
      </c>
      <c r="AK16" s="34">
        <v>182</v>
      </c>
      <c r="AL16" s="34">
        <v>550</v>
      </c>
      <c r="AM16" s="13" t="s">
        <v>584</v>
      </c>
      <c r="AN16" s="54">
        <v>0</v>
      </c>
      <c r="AO16" s="56">
        <f>--($D16='START HERE'!$C$5)</f>
        <v>0</v>
      </c>
    </row>
    <row r="17" spans="2:41">
      <c r="B17" s="34">
        <v>9802</v>
      </c>
      <c r="C17" s="7" t="s">
        <v>611</v>
      </c>
      <c r="D17" s="13" t="s">
        <v>605</v>
      </c>
      <c r="E17" s="13" t="s">
        <v>612</v>
      </c>
      <c r="F17" s="53" t="s">
        <v>590</v>
      </c>
      <c r="G17" s="53" t="s">
        <v>109</v>
      </c>
      <c r="H17" s="13" t="s">
        <v>607</v>
      </c>
      <c r="I17" s="53" t="s">
        <v>608</v>
      </c>
      <c r="J17" s="54">
        <v>17.607791666666699</v>
      </c>
      <c r="K17" s="54">
        <v>15.953625000000001</v>
      </c>
      <c r="L17" s="54">
        <v>1.6541666666666699</v>
      </c>
      <c r="M17" s="54">
        <v>0</v>
      </c>
      <c r="N17" s="54">
        <v>15.953625000000001</v>
      </c>
      <c r="O17" s="54">
        <v>0</v>
      </c>
      <c r="P17" s="54">
        <v>0</v>
      </c>
      <c r="Q17" s="54">
        <v>0</v>
      </c>
      <c r="R17" s="54">
        <v>15.953625000000001</v>
      </c>
      <c r="S17" s="54">
        <v>0</v>
      </c>
      <c r="T17" s="54">
        <v>0</v>
      </c>
      <c r="U17" s="54">
        <v>0</v>
      </c>
      <c r="V17" s="54">
        <v>0</v>
      </c>
      <c r="W17" s="55">
        <v>0.98287216596819105</v>
      </c>
      <c r="X17" s="53" t="s">
        <v>592</v>
      </c>
      <c r="Y17" s="53" t="s">
        <v>583</v>
      </c>
      <c r="Z17" s="53" t="s">
        <v>582</v>
      </c>
      <c r="AA17" s="53">
        <v>3</v>
      </c>
      <c r="AB17" s="53">
        <v>1</v>
      </c>
      <c r="AC17" s="34">
        <v>726045</v>
      </c>
      <c r="AD17" s="34">
        <v>187</v>
      </c>
      <c r="AE17" s="34">
        <v>0</v>
      </c>
      <c r="AF17" s="34">
        <v>0</v>
      </c>
      <c r="AG17" s="34">
        <v>32</v>
      </c>
      <c r="AH17" s="34">
        <v>7</v>
      </c>
      <c r="AI17" s="34">
        <v>30</v>
      </c>
      <c r="AJ17" s="34">
        <v>17</v>
      </c>
      <c r="AK17" s="34">
        <v>18</v>
      </c>
      <c r="AL17" s="34">
        <v>183</v>
      </c>
      <c r="AM17" s="13" t="s">
        <v>584</v>
      </c>
      <c r="AN17" s="54">
        <v>0</v>
      </c>
      <c r="AO17" s="56">
        <f>--($D17='START HERE'!$C$5)</f>
        <v>0</v>
      </c>
    </row>
    <row r="18" spans="2:41">
      <c r="B18" s="34">
        <v>9808</v>
      </c>
      <c r="C18" s="7" t="s">
        <v>613</v>
      </c>
      <c r="D18" s="13" t="s">
        <v>605</v>
      </c>
      <c r="E18" s="13" t="s">
        <v>614</v>
      </c>
      <c r="F18" s="53" t="s">
        <v>615</v>
      </c>
      <c r="G18" s="53" t="s">
        <v>109</v>
      </c>
      <c r="H18" s="13" t="s">
        <v>607</v>
      </c>
      <c r="I18" s="53" t="s">
        <v>608</v>
      </c>
      <c r="J18" s="54">
        <v>16.689458333333299</v>
      </c>
      <c r="K18" s="54">
        <v>13.5457083333333</v>
      </c>
      <c r="L18" s="54">
        <v>3.1437499999999998</v>
      </c>
      <c r="M18" s="54">
        <v>0</v>
      </c>
      <c r="N18" s="54">
        <v>13.5457083333333</v>
      </c>
      <c r="O18" s="54">
        <v>0</v>
      </c>
      <c r="P18" s="54">
        <v>0</v>
      </c>
      <c r="Q18" s="54">
        <v>0.4375</v>
      </c>
      <c r="R18" s="54">
        <v>13.1082083333333</v>
      </c>
      <c r="S18" s="54">
        <v>0</v>
      </c>
      <c r="T18" s="54">
        <v>0</v>
      </c>
      <c r="U18" s="54">
        <v>0</v>
      </c>
      <c r="V18" s="54">
        <v>0</v>
      </c>
      <c r="W18" s="55">
        <v>0.72662384189620699</v>
      </c>
      <c r="X18" s="53" t="s">
        <v>592</v>
      </c>
      <c r="Y18" s="53" t="s">
        <v>583</v>
      </c>
      <c r="Z18" s="53" t="s">
        <v>582</v>
      </c>
      <c r="AA18" s="53">
        <v>3</v>
      </c>
      <c r="AB18" s="53">
        <v>1</v>
      </c>
      <c r="AC18" s="34">
        <v>1954166</v>
      </c>
      <c r="AD18" s="34">
        <v>1335</v>
      </c>
      <c r="AE18" s="34">
        <v>0</v>
      </c>
      <c r="AF18" s="34">
        <v>0</v>
      </c>
      <c r="AG18" s="34">
        <v>135</v>
      </c>
      <c r="AH18" s="34">
        <v>13</v>
      </c>
      <c r="AI18" s="34">
        <v>67</v>
      </c>
      <c r="AJ18" s="34">
        <v>83</v>
      </c>
      <c r="AK18" s="34">
        <v>83</v>
      </c>
      <c r="AL18" s="34">
        <v>613</v>
      </c>
      <c r="AM18" s="13" t="s">
        <v>584</v>
      </c>
      <c r="AN18" s="54">
        <v>0</v>
      </c>
      <c r="AO18" s="56">
        <f>--($D18='START HERE'!$C$5)</f>
        <v>0</v>
      </c>
    </row>
    <row r="19" spans="2:41">
      <c r="B19" s="34">
        <v>9980</v>
      </c>
      <c r="C19" s="7" t="s">
        <v>616</v>
      </c>
      <c r="D19" s="13" t="s">
        <v>605</v>
      </c>
      <c r="E19" s="13" t="s">
        <v>612</v>
      </c>
      <c r="F19" s="53" t="s">
        <v>149</v>
      </c>
      <c r="G19" s="53" t="s">
        <v>109</v>
      </c>
      <c r="H19" s="13" t="s">
        <v>607</v>
      </c>
      <c r="I19" s="53" t="s">
        <v>608</v>
      </c>
      <c r="J19" s="54">
        <v>13.7485416666667</v>
      </c>
      <c r="K19" s="54">
        <v>12.606875</v>
      </c>
      <c r="L19" s="54">
        <v>1.1416666666666699</v>
      </c>
      <c r="M19" s="54">
        <v>0</v>
      </c>
      <c r="N19" s="54">
        <v>12.606875</v>
      </c>
      <c r="O19" s="54">
        <v>0</v>
      </c>
      <c r="P19" s="54">
        <v>0</v>
      </c>
      <c r="Q19" s="54">
        <v>0</v>
      </c>
      <c r="R19" s="54">
        <v>12.606875</v>
      </c>
      <c r="S19" s="54">
        <v>0</v>
      </c>
      <c r="T19" s="54">
        <v>0</v>
      </c>
      <c r="U19" s="54">
        <v>0</v>
      </c>
      <c r="V19" s="54">
        <v>0</v>
      </c>
      <c r="W19" s="55">
        <v>0.81496522358432</v>
      </c>
      <c r="X19" s="53" t="s">
        <v>592</v>
      </c>
      <c r="Y19" s="53" t="s">
        <v>583</v>
      </c>
      <c r="Z19" s="53" t="s">
        <v>582</v>
      </c>
      <c r="AA19" s="53">
        <v>3</v>
      </c>
      <c r="AB19" s="53">
        <v>1</v>
      </c>
      <c r="AC19" s="34">
        <v>608760</v>
      </c>
      <c r="AD19" s="34">
        <v>296</v>
      </c>
      <c r="AE19" s="34">
        <v>0</v>
      </c>
      <c r="AF19" s="34">
        <v>0</v>
      </c>
      <c r="AG19" s="34">
        <v>28</v>
      </c>
      <c r="AH19" s="34">
        <v>9</v>
      </c>
      <c r="AI19" s="34">
        <v>16</v>
      </c>
      <c r="AJ19" s="34">
        <v>19</v>
      </c>
      <c r="AK19" s="34">
        <v>121</v>
      </c>
      <c r="AL19" s="34">
        <v>459</v>
      </c>
      <c r="AM19" s="13" t="s">
        <v>584</v>
      </c>
      <c r="AN19" s="54">
        <v>0</v>
      </c>
      <c r="AO19" s="56">
        <f>--($D19='START HERE'!$C$5)</f>
        <v>0</v>
      </c>
    </row>
    <row r="20" spans="2:41" ht="24">
      <c r="B20" s="34">
        <v>9948</v>
      </c>
      <c r="C20" s="7" t="s">
        <v>617</v>
      </c>
      <c r="D20" s="13" t="s">
        <v>605</v>
      </c>
      <c r="E20" s="13" t="s">
        <v>614</v>
      </c>
      <c r="F20" s="53" t="s">
        <v>595</v>
      </c>
      <c r="G20" s="53" t="s">
        <v>109</v>
      </c>
      <c r="H20" s="13" t="s">
        <v>607</v>
      </c>
      <c r="I20" s="53" t="s">
        <v>608</v>
      </c>
      <c r="J20" s="54">
        <v>12.115541666666701</v>
      </c>
      <c r="K20" s="54">
        <v>9.2697083333333303</v>
      </c>
      <c r="L20" s="54">
        <v>2.8458333333333301</v>
      </c>
      <c r="M20" s="54">
        <v>0</v>
      </c>
      <c r="N20" s="54">
        <v>9.2697083333333303</v>
      </c>
      <c r="O20" s="54">
        <v>0</v>
      </c>
      <c r="P20" s="54">
        <v>0</v>
      </c>
      <c r="Q20" s="54">
        <v>1</v>
      </c>
      <c r="R20" s="54">
        <v>8.2697083333333303</v>
      </c>
      <c r="S20" s="54">
        <v>0</v>
      </c>
      <c r="T20" s="54">
        <v>0</v>
      </c>
      <c r="U20" s="54">
        <v>0</v>
      </c>
      <c r="V20" s="54">
        <v>0</v>
      </c>
      <c r="W20" s="55">
        <v>0.77129926093550605</v>
      </c>
      <c r="X20" s="53" t="s">
        <v>592</v>
      </c>
      <c r="Y20" s="53" t="s">
        <v>583</v>
      </c>
      <c r="Z20" s="53" t="s">
        <v>582</v>
      </c>
      <c r="AA20" s="53">
        <v>3</v>
      </c>
      <c r="AB20" s="53">
        <v>1</v>
      </c>
      <c r="AC20" s="34">
        <v>244574</v>
      </c>
      <c r="AD20" s="34">
        <v>257</v>
      </c>
      <c r="AE20" s="34">
        <v>0</v>
      </c>
      <c r="AF20" s="34">
        <v>0</v>
      </c>
      <c r="AG20" s="34">
        <v>112</v>
      </c>
      <c r="AH20" s="34">
        <v>10</v>
      </c>
      <c r="AI20" s="34">
        <v>27</v>
      </c>
      <c r="AJ20" s="34">
        <v>78</v>
      </c>
      <c r="AK20" s="34">
        <v>10</v>
      </c>
      <c r="AL20" s="34">
        <v>327</v>
      </c>
      <c r="AM20" s="13" t="s">
        <v>584</v>
      </c>
      <c r="AN20" s="54">
        <v>0</v>
      </c>
      <c r="AO20" s="56">
        <f>--($D20='START HERE'!$C$5)</f>
        <v>0</v>
      </c>
    </row>
    <row r="21" spans="2:41">
      <c r="B21" s="34">
        <v>9804</v>
      </c>
      <c r="C21" s="7" t="s">
        <v>618</v>
      </c>
      <c r="D21" s="13" t="s">
        <v>605</v>
      </c>
      <c r="E21" s="13" t="s">
        <v>614</v>
      </c>
      <c r="F21" s="53" t="s">
        <v>149</v>
      </c>
      <c r="G21" s="53" t="s">
        <v>109</v>
      </c>
      <c r="H21" s="13" t="s">
        <v>607</v>
      </c>
      <c r="I21" s="53" t="s">
        <v>608</v>
      </c>
      <c r="J21" s="54">
        <v>11.53</v>
      </c>
      <c r="K21" s="54">
        <v>10.7841666666667</v>
      </c>
      <c r="L21" s="54">
        <v>0.74583333333333302</v>
      </c>
      <c r="M21" s="54">
        <v>0</v>
      </c>
      <c r="N21" s="54">
        <v>8.9112500000000008</v>
      </c>
      <c r="O21" s="54">
        <v>0</v>
      </c>
      <c r="P21" s="54">
        <v>1.8729166666666699</v>
      </c>
      <c r="Q21" s="54">
        <v>0</v>
      </c>
      <c r="R21" s="54">
        <v>10.7841666666667</v>
      </c>
      <c r="S21" s="54">
        <v>0</v>
      </c>
      <c r="T21" s="54">
        <v>0</v>
      </c>
      <c r="U21" s="54">
        <v>0</v>
      </c>
      <c r="V21" s="54">
        <v>0</v>
      </c>
      <c r="W21" s="55">
        <v>0.833044232437121</v>
      </c>
      <c r="X21" s="53" t="s">
        <v>592</v>
      </c>
      <c r="Y21" s="53" t="s">
        <v>583</v>
      </c>
      <c r="Z21" s="53" t="s">
        <v>582</v>
      </c>
      <c r="AA21" s="53">
        <v>3</v>
      </c>
      <c r="AB21" s="53">
        <v>1</v>
      </c>
      <c r="AC21" s="34">
        <v>760605</v>
      </c>
      <c r="AD21" s="34">
        <v>356</v>
      </c>
      <c r="AE21" s="34">
        <v>0</v>
      </c>
      <c r="AF21" s="34">
        <v>0</v>
      </c>
      <c r="AG21" s="34">
        <v>20</v>
      </c>
      <c r="AH21" s="34">
        <v>8</v>
      </c>
      <c r="AI21" s="34">
        <v>37</v>
      </c>
      <c r="AJ21" s="34">
        <v>18</v>
      </c>
      <c r="AK21" s="34">
        <v>37</v>
      </c>
      <c r="AL21" s="34">
        <v>258</v>
      </c>
      <c r="AM21" s="13" t="s">
        <v>584</v>
      </c>
      <c r="AN21" s="54">
        <v>0</v>
      </c>
      <c r="AO21" s="56">
        <f>--($D21='START HERE'!$C$5)</f>
        <v>0</v>
      </c>
    </row>
    <row r="22" spans="2:41">
      <c r="B22" s="34">
        <v>9807</v>
      </c>
      <c r="C22" s="7" t="s">
        <v>619</v>
      </c>
      <c r="D22" s="13" t="s">
        <v>605</v>
      </c>
      <c r="E22" s="13" t="s">
        <v>610</v>
      </c>
      <c r="F22" s="53" t="s">
        <v>149</v>
      </c>
      <c r="G22" s="53" t="s">
        <v>109</v>
      </c>
      <c r="H22" s="13" t="s">
        <v>607</v>
      </c>
      <c r="I22" s="53" t="s">
        <v>608</v>
      </c>
      <c r="J22" s="54">
        <v>11.252083333333299</v>
      </c>
      <c r="K22" s="54">
        <v>9.7687500000000007</v>
      </c>
      <c r="L22" s="54">
        <v>1.4833333333333301</v>
      </c>
      <c r="M22" s="54">
        <v>0</v>
      </c>
      <c r="N22" s="54">
        <v>9.7687500000000007</v>
      </c>
      <c r="O22" s="54">
        <v>0</v>
      </c>
      <c r="P22" s="54">
        <v>0</v>
      </c>
      <c r="Q22" s="54">
        <v>0</v>
      </c>
      <c r="R22" s="54">
        <v>9.7687500000000007</v>
      </c>
      <c r="S22" s="54">
        <v>0</v>
      </c>
      <c r="T22" s="54">
        <v>0</v>
      </c>
      <c r="U22" s="54">
        <v>0</v>
      </c>
      <c r="V22" s="54">
        <v>0</v>
      </c>
      <c r="W22" s="55">
        <v>0.85632290316607995</v>
      </c>
      <c r="X22" s="53" t="s">
        <v>592</v>
      </c>
      <c r="Y22" s="53" t="s">
        <v>583</v>
      </c>
      <c r="Z22" s="53" t="s">
        <v>583</v>
      </c>
      <c r="AA22" s="53">
        <v>3</v>
      </c>
      <c r="AB22" s="53">
        <v>1</v>
      </c>
      <c r="AC22" s="34">
        <v>1358360</v>
      </c>
      <c r="AD22" s="34">
        <v>775</v>
      </c>
      <c r="AE22" s="34">
        <v>0</v>
      </c>
      <c r="AF22" s="34">
        <v>0</v>
      </c>
      <c r="AG22" s="34">
        <v>79</v>
      </c>
      <c r="AH22" s="34">
        <v>11</v>
      </c>
      <c r="AI22" s="34">
        <v>33</v>
      </c>
      <c r="AJ22" s="34">
        <v>30</v>
      </c>
      <c r="AK22" s="34">
        <v>25</v>
      </c>
      <c r="AL22" s="34">
        <v>206</v>
      </c>
      <c r="AM22" s="13" t="s">
        <v>584</v>
      </c>
      <c r="AN22" s="54">
        <v>0</v>
      </c>
      <c r="AO22" s="56">
        <f>--($D22='START HERE'!$C$5)</f>
        <v>0</v>
      </c>
    </row>
    <row r="23" spans="2:41">
      <c r="B23" s="34">
        <v>9803</v>
      </c>
      <c r="C23" s="7" t="s">
        <v>620</v>
      </c>
      <c r="D23" s="13" t="s">
        <v>605</v>
      </c>
      <c r="E23" s="13" t="s">
        <v>610</v>
      </c>
      <c r="F23" s="53" t="s">
        <v>149</v>
      </c>
      <c r="G23" s="53" t="s">
        <v>109</v>
      </c>
      <c r="H23" s="13" t="s">
        <v>607</v>
      </c>
      <c r="I23" s="53" t="s">
        <v>608</v>
      </c>
      <c r="J23" s="54">
        <v>9.6545833333333295</v>
      </c>
      <c r="K23" s="54">
        <v>8.8045833333333299</v>
      </c>
      <c r="L23" s="54">
        <v>0.85</v>
      </c>
      <c r="M23" s="54">
        <v>0</v>
      </c>
      <c r="N23" s="54">
        <v>8.8045833333333299</v>
      </c>
      <c r="O23" s="54">
        <v>0</v>
      </c>
      <c r="P23" s="54">
        <v>0</v>
      </c>
      <c r="Q23" s="54">
        <v>0.25</v>
      </c>
      <c r="R23" s="54">
        <v>8.5545833333333299</v>
      </c>
      <c r="S23" s="54">
        <v>0</v>
      </c>
      <c r="T23" s="54">
        <v>0</v>
      </c>
      <c r="U23" s="54">
        <v>0</v>
      </c>
      <c r="V23" s="54">
        <v>0</v>
      </c>
      <c r="W23" s="55">
        <v>0.94821112597643598</v>
      </c>
      <c r="X23" s="53" t="s">
        <v>592</v>
      </c>
      <c r="Y23" s="53" t="s">
        <v>583</v>
      </c>
      <c r="Z23" s="53" t="s">
        <v>582</v>
      </c>
      <c r="AA23" s="53">
        <v>3</v>
      </c>
      <c r="AB23" s="53">
        <v>1</v>
      </c>
      <c r="AC23" s="34">
        <v>794523</v>
      </c>
      <c r="AD23" s="34">
        <v>35</v>
      </c>
      <c r="AE23" s="34">
        <v>0</v>
      </c>
      <c r="AF23" s="34">
        <v>0</v>
      </c>
      <c r="AG23" s="34">
        <v>6</v>
      </c>
      <c r="AH23" s="34">
        <v>19</v>
      </c>
      <c r="AI23" s="34">
        <v>284</v>
      </c>
      <c r="AJ23" s="34">
        <v>3</v>
      </c>
      <c r="AK23" s="34">
        <v>75</v>
      </c>
      <c r="AL23" s="34">
        <v>128</v>
      </c>
      <c r="AM23" s="13" t="s">
        <v>584</v>
      </c>
      <c r="AN23" s="54">
        <v>0</v>
      </c>
      <c r="AO23" s="56">
        <f>--($D23='START HERE'!$C$5)</f>
        <v>0</v>
      </c>
    </row>
    <row r="24" spans="2:41">
      <c r="B24" s="34">
        <v>9810</v>
      </c>
      <c r="C24" s="7" t="s">
        <v>621</v>
      </c>
      <c r="D24" s="13" t="s">
        <v>605</v>
      </c>
      <c r="E24" s="13" t="s">
        <v>622</v>
      </c>
      <c r="F24" s="53" t="s">
        <v>595</v>
      </c>
      <c r="G24" s="53" t="s">
        <v>109</v>
      </c>
      <c r="H24" s="13" t="s">
        <v>607</v>
      </c>
      <c r="I24" s="53" t="s">
        <v>608</v>
      </c>
      <c r="J24" s="54">
        <v>8.7974999999999994</v>
      </c>
      <c r="K24" s="54">
        <v>7.6683333333333303</v>
      </c>
      <c r="L24" s="54">
        <v>1.12916666666667</v>
      </c>
      <c r="M24" s="54">
        <v>0</v>
      </c>
      <c r="N24" s="54">
        <v>3.9849999999999999</v>
      </c>
      <c r="O24" s="54">
        <v>0</v>
      </c>
      <c r="P24" s="54">
        <v>3.68333333333333</v>
      </c>
      <c r="Q24" s="54">
        <v>0</v>
      </c>
      <c r="R24" s="54">
        <v>7.6683333333333303</v>
      </c>
      <c r="S24" s="54">
        <v>0</v>
      </c>
      <c r="T24" s="54">
        <v>0</v>
      </c>
      <c r="U24" s="54">
        <v>0</v>
      </c>
      <c r="V24" s="54">
        <v>0</v>
      </c>
      <c r="W24" s="55">
        <v>0.75561238988349</v>
      </c>
      <c r="X24" s="53" t="s">
        <v>592</v>
      </c>
      <c r="Y24" s="53" t="s">
        <v>583</v>
      </c>
      <c r="Z24" s="53" t="s">
        <v>582</v>
      </c>
      <c r="AA24" s="53">
        <v>3</v>
      </c>
      <c r="AB24" s="53">
        <v>1</v>
      </c>
      <c r="AC24" s="34">
        <v>894522</v>
      </c>
      <c r="AD24" s="34">
        <v>334</v>
      </c>
      <c r="AE24" s="34">
        <v>0</v>
      </c>
      <c r="AF24" s="34">
        <v>0</v>
      </c>
      <c r="AG24" s="34">
        <v>26</v>
      </c>
      <c r="AH24" s="34">
        <v>10</v>
      </c>
      <c r="AI24" s="34">
        <v>44</v>
      </c>
      <c r="AJ24" s="34">
        <v>7</v>
      </c>
      <c r="AK24" s="34">
        <v>48</v>
      </c>
      <c r="AL24" s="34">
        <v>149</v>
      </c>
      <c r="AM24" s="13" t="s">
        <v>584</v>
      </c>
      <c r="AN24" s="54">
        <v>0</v>
      </c>
      <c r="AO24" s="56">
        <f>--($D24='START HERE'!$C$5)</f>
        <v>0</v>
      </c>
    </row>
    <row r="25" spans="2:41">
      <c r="B25" s="34">
        <v>9823</v>
      </c>
      <c r="C25" s="7" t="s">
        <v>623</v>
      </c>
      <c r="D25" s="13" t="s">
        <v>605</v>
      </c>
      <c r="E25" s="13" t="s">
        <v>622</v>
      </c>
      <c r="F25" s="53" t="s">
        <v>590</v>
      </c>
      <c r="G25" s="53" t="s">
        <v>109</v>
      </c>
      <c r="H25" s="13" t="s">
        <v>607</v>
      </c>
      <c r="I25" s="53" t="s">
        <v>608</v>
      </c>
      <c r="J25" s="54">
        <v>8.1892083333333403</v>
      </c>
      <c r="K25" s="54">
        <v>6.72670833333334</v>
      </c>
      <c r="L25" s="54">
        <v>1.4624999999999999</v>
      </c>
      <c r="M25" s="54">
        <v>0</v>
      </c>
      <c r="N25" s="54">
        <v>6.72670833333334</v>
      </c>
      <c r="O25" s="54">
        <v>0</v>
      </c>
      <c r="P25" s="54">
        <v>0</v>
      </c>
      <c r="Q25" s="54">
        <v>1</v>
      </c>
      <c r="R25" s="54">
        <v>5.72670833333334</v>
      </c>
      <c r="S25" s="54">
        <v>0</v>
      </c>
      <c r="T25" s="54">
        <v>0</v>
      </c>
      <c r="U25" s="54">
        <v>0</v>
      </c>
      <c r="V25" s="54">
        <v>0</v>
      </c>
      <c r="W25" s="55">
        <v>0.72808726932293999</v>
      </c>
      <c r="X25" s="53" t="s">
        <v>592</v>
      </c>
      <c r="Y25" s="53" t="s">
        <v>583</v>
      </c>
      <c r="Z25" s="53" t="s">
        <v>582</v>
      </c>
      <c r="AA25" s="53">
        <v>3</v>
      </c>
      <c r="AB25" s="53">
        <v>1</v>
      </c>
      <c r="AC25" s="34">
        <v>233631</v>
      </c>
      <c r="AD25" s="34">
        <v>242</v>
      </c>
      <c r="AE25" s="34">
        <v>0</v>
      </c>
      <c r="AF25" s="34">
        <v>1</v>
      </c>
      <c r="AG25" s="34">
        <v>24</v>
      </c>
      <c r="AH25" s="34">
        <v>6</v>
      </c>
      <c r="AI25" s="34">
        <v>48</v>
      </c>
      <c r="AJ25" s="34">
        <v>11</v>
      </c>
      <c r="AK25" s="34">
        <v>4</v>
      </c>
      <c r="AL25" s="34">
        <v>144</v>
      </c>
      <c r="AM25" s="13" t="s">
        <v>584</v>
      </c>
      <c r="AN25" s="54">
        <v>0</v>
      </c>
      <c r="AO25" s="56">
        <f>--($D25='START HERE'!$C$5)</f>
        <v>0</v>
      </c>
    </row>
    <row r="26" spans="2:41">
      <c r="B26" s="34">
        <v>9806</v>
      </c>
      <c r="C26" s="7" t="s">
        <v>624</v>
      </c>
      <c r="D26" s="13" t="s">
        <v>605</v>
      </c>
      <c r="E26" s="13" t="s">
        <v>610</v>
      </c>
      <c r="F26" s="53" t="s">
        <v>149</v>
      </c>
      <c r="G26" s="53" t="s">
        <v>109</v>
      </c>
      <c r="H26" s="13" t="s">
        <v>607</v>
      </c>
      <c r="I26" s="53" t="s">
        <v>608</v>
      </c>
      <c r="J26" s="54">
        <v>6.3137499999999998</v>
      </c>
      <c r="K26" s="54">
        <v>5.2887500000000003</v>
      </c>
      <c r="L26" s="54">
        <v>1.0249999999999999</v>
      </c>
      <c r="M26" s="54">
        <v>0</v>
      </c>
      <c r="N26" s="54">
        <v>5.2887500000000003</v>
      </c>
      <c r="O26" s="54">
        <v>0</v>
      </c>
      <c r="P26" s="54">
        <v>0</v>
      </c>
      <c r="Q26" s="54">
        <v>0</v>
      </c>
      <c r="R26" s="54">
        <v>5.2887500000000003</v>
      </c>
      <c r="S26" s="54">
        <v>0</v>
      </c>
      <c r="T26" s="54">
        <v>0</v>
      </c>
      <c r="U26" s="54">
        <v>0</v>
      </c>
      <c r="V26" s="54">
        <v>0</v>
      </c>
      <c r="W26" s="55">
        <v>0.83765590972084802</v>
      </c>
      <c r="X26" s="53" t="s">
        <v>592</v>
      </c>
      <c r="Y26" s="53" t="s">
        <v>583</v>
      </c>
      <c r="Z26" s="53" t="s">
        <v>582</v>
      </c>
      <c r="AA26" s="53">
        <v>3</v>
      </c>
      <c r="AB26" s="53">
        <v>1</v>
      </c>
      <c r="AC26" s="34">
        <v>473955</v>
      </c>
      <c r="AD26" s="34">
        <v>497</v>
      </c>
      <c r="AE26" s="34">
        <v>0</v>
      </c>
      <c r="AF26" s="34">
        <v>0</v>
      </c>
      <c r="AG26" s="34">
        <v>48</v>
      </c>
      <c r="AH26" s="34">
        <v>19</v>
      </c>
      <c r="AI26" s="34">
        <v>117</v>
      </c>
      <c r="AJ26" s="34">
        <v>15</v>
      </c>
      <c r="AK26" s="34">
        <v>47</v>
      </c>
      <c r="AL26" s="34">
        <v>212</v>
      </c>
      <c r="AM26" s="13" t="s">
        <v>584</v>
      </c>
      <c r="AN26" s="54">
        <v>0</v>
      </c>
      <c r="AO26" s="56">
        <f>--($D26='START HERE'!$C$5)</f>
        <v>0</v>
      </c>
    </row>
    <row r="27" spans="2:41">
      <c r="B27" s="34">
        <v>9822</v>
      </c>
      <c r="C27" s="7" t="s">
        <v>625</v>
      </c>
      <c r="D27" s="13" t="s">
        <v>605</v>
      </c>
      <c r="E27" s="13" t="s">
        <v>610</v>
      </c>
      <c r="F27" s="53" t="s">
        <v>149</v>
      </c>
      <c r="G27" s="53" t="s">
        <v>109</v>
      </c>
      <c r="H27" s="13" t="s">
        <v>607</v>
      </c>
      <c r="I27" s="53" t="s">
        <v>608</v>
      </c>
      <c r="J27" s="54">
        <v>6.2670833333333302</v>
      </c>
      <c r="K27" s="54">
        <v>6.01291666666667</v>
      </c>
      <c r="L27" s="54">
        <v>0.25416666666666698</v>
      </c>
      <c r="M27" s="54">
        <v>0</v>
      </c>
      <c r="N27" s="54">
        <v>4.3245833333333303</v>
      </c>
      <c r="O27" s="54">
        <v>0</v>
      </c>
      <c r="P27" s="54">
        <v>1.6883333333333299</v>
      </c>
      <c r="Q27" s="54">
        <v>0.25</v>
      </c>
      <c r="R27" s="54">
        <v>5.76291666666667</v>
      </c>
      <c r="S27" s="54">
        <v>0</v>
      </c>
      <c r="T27" s="54">
        <v>0</v>
      </c>
      <c r="U27" s="54">
        <v>0</v>
      </c>
      <c r="V27" s="54">
        <v>0</v>
      </c>
      <c r="W27" s="55">
        <v>0.789907585931786</v>
      </c>
      <c r="X27" s="53" t="s">
        <v>592</v>
      </c>
      <c r="Y27" s="53" t="s">
        <v>583</v>
      </c>
      <c r="Z27" s="53" t="s">
        <v>583</v>
      </c>
      <c r="AA27" s="53">
        <v>3</v>
      </c>
      <c r="AB27" s="53">
        <v>1</v>
      </c>
      <c r="AC27" s="34">
        <v>624174</v>
      </c>
      <c r="AD27" s="34">
        <v>337</v>
      </c>
      <c r="AE27" s="34">
        <v>0</v>
      </c>
      <c r="AF27" s="34">
        <v>0</v>
      </c>
      <c r="AG27" s="34">
        <v>30</v>
      </c>
      <c r="AH27" s="34">
        <v>8</v>
      </c>
      <c r="AI27" s="34">
        <v>75</v>
      </c>
      <c r="AJ27" s="34">
        <v>23</v>
      </c>
      <c r="AK27" s="34">
        <v>39</v>
      </c>
      <c r="AL27" s="34">
        <v>177</v>
      </c>
      <c r="AM27" s="13" t="s">
        <v>584</v>
      </c>
      <c r="AN27" s="54">
        <v>0</v>
      </c>
      <c r="AO27" s="56">
        <f>--($D27='START HERE'!$C$5)</f>
        <v>0</v>
      </c>
    </row>
    <row r="28" spans="2:41">
      <c r="B28" s="34">
        <v>9821</v>
      </c>
      <c r="C28" s="7" t="s">
        <v>626</v>
      </c>
      <c r="D28" s="13" t="s">
        <v>605</v>
      </c>
      <c r="E28" s="13" t="s">
        <v>622</v>
      </c>
      <c r="F28" s="53" t="s">
        <v>149</v>
      </c>
      <c r="G28" s="53" t="s">
        <v>109</v>
      </c>
      <c r="H28" s="13" t="s">
        <v>607</v>
      </c>
      <c r="I28" s="53" t="s">
        <v>608</v>
      </c>
      <c r="J28" s="54">
        <v>5.3491666666666697</v>
      </c>
      <c r="K28" s="54">
        <v>4.3783333333333303</v>
      </c>
      <c r="L28" s="54">
        <v>0.97083333333333299</v>
      </c>
      <c r="M28" s="54">
        <v>0</v>
      </c>
      <c r="N28" s="54">
        <v>3.6566666666666698</v>
      </c>
      <c r="O28" s="54">
        <v>0</v>
      </c>
      <c r="P28" s="54">
        <v>0.72166666666666701</v>
      </c>
      <c r="Q28" s="54">
        <v>0</v>
      </c>
      <c r="R28" s="54">
        <v>4.3783333333333303</v>
      </c>
      <c r="S28" s="54">
        <v>0</v>
      </c>
      <c r="T28" s="54">
        <v>0</v>
      </c>
      <c r="U28" s="54">
        <v>0</v>
      </c>
      <c r="V28" s="54">
        <v>0</v>
      </c>
      <c r="W28" s="55">
        <v>0.62610998597912504</v>
      </c>
      <c r="X28" s="53" t="s">
        <v>592</v>
      </c>
      <c r="Y28" s="53" t="s">
        <v>583</v>
      </c>
      <c r="Z28" s="53" t="s">
        <v>582</v>
      </c>
      <c r="AA28" s="53">
        <v>3</v>
      </c>
      <c r="AB28" s="53">
        <v>1</v>
      </c>
      <c r="AC28" s="34">
        <v>0</v>
      </c>
      <c r="AD28" s="34">
        <v>140</v>
      </c>
      <c r="AE28" s="34">
        <v>0</v>
      </c>
      <c r="AF28" s="34">
        <v>0</v>
      </c>
      <c r="AG28" s="34">
        <v>11</v>
      </c>
      <c r="AH28" s="34">
        <v>0</v>
      </c>
      <c r="AI28" s="34">
        <v>36</v>
      </c>
      <c r="AJ28" s="34">
        <v>3</v>
      </c>
      <c r="AK28" s="34">
        <v>9</v>
      </c>
      <c r="AL28" s="34">
        <v>58</v>
      </c>
      <c r="AM28" s="13" t="s">
        <v>584</v>
      </c>
      <c r="AN28" s="54">
        <v>0</v>
      </c>
      <c r="AO28" s="56">
        <f>--($D28='START HERE'!$C$5)</f>
        <v>0</v>
      </c>
    </row>
    <row r="29" spans="2:41">
      <c r="B29" s="34">
        <v>9805</v>
      </c>
      <c r="C29" s="7" t="s">
        <v>627</v>
      </c>
      <c r="D29" s="13" t="s">
        <v>605</v>
      </c>
      <c r="E29" s="13" t="s">
        <v>610</v>
      </c>
      <c r="F29" s="53" t="s">
        <v>149</v>
      </c>
      <c r="G29" s="53" t="s">
        <v>109</v>
      </c>
      <c r="H29" s="13" t="s">
        <v>607</v>
      </c>
      <c r="I29" s="53" t="s">
        <v>608</v>
      </c>
      <c r="J29" s="54">
        <v>2.92166666666667</v>
      </c>
      <c r="K29" s="54">
        <v>2.8966666666666701</v>
      </c>
      <c r="L29" s="54">
        <v>2.5000000000000001E-2</v>
      </c>
      <c r="M29" s="54">
        <v>0</v>
      </c>
      <c r="N29" s="54">
        <v>2.8966666666666701</v>
      </c>
      <c r="O29" s="54">
        <v>0</v>
      </c>
      <c r="P29" s="54">
        <v>0</v>
      </c>
      <c r="Q29" s="54">
        <v>0.25</v>
      </c>
      <c r="R29" s="54">
        <v>2.6466666666666701</v>
      </c>
      <c r="S29" s="54">
        <v>0</v>
      </c>
      <c r="T29" s="54">
        <v>0</v>
      </c>
      <c r="U29" s="54">
        <v>0</v>
      </c>
      <c r="V29" s="54">
        <v>0</v>
      </c>
      <c r="W29" s="55">
        <v>0.90587564175698798</v>
      </c>
      <c r="X29" s="53" t="s">
        <v>592</v>
      </c>
      <c r="Y29" s="53" t="s">
        <v>583</v>
      </c>
      <c r="Z29" s="53" t="s">
        <v>582</v>
      </c>
      <c r="AA29" s="53">
        <v>3</v>
      </c>
      <c r="AB29" s="53">
        <v>1</v>
      </c>
      <c r="AC29" s="34">
        <v>315432</v>
      </c>
      <c r="AD29" s="34">
        <v>190</v>
      </c>
      <c r="AE29" s="34">
        <v>0</v>
      </c>
      <c r="AF29" s="34">
        <v>0</v>
      </c>
      <c r="AG29" s="34">
        <v>41</v>
      </c>
      <c r="AH29" s="34">
        <v>1</v>
      </c>
      <c r="AI29" s="34">
        <v>13</v>
      </c>
      <c r="AJ29" s="34">
        <v>20</v>
      </c>
      <c r="AK29" s="34">
        <v>15</v>
      </c>
      <c r="AL29" s="34">
        <v>89</v>
      </c>
      <c r="AM29" s="13" t="s">
        <v>584</v>
      </c>
      <c r="AN29" s="54">
        <v>0</v>
      </c>
      <c r="AO29" s="56">
        <f>--($D29='START HERE'!$C$5)</f>
        <v>0</v>
      </c>
    </row>
    <row r="30" spans="2:41">
      <c r="B30" s="34">
        <v>9811</v>
      </c>
      <c r="C30" s="7" t="s">
        <v>628</v>
      </c>
      <c r="D30" s="13" t="s">
        <v>605</v>
      </c>
      <c r="E30" s="13" t="s">
        <v>614</v>
      </c>
      <c r="F30" s="53" t="s">
        <v>590</v>
      </c>
      <c r="G30" s="53" t="s">
        <v>109</v>
      </c>
      <c r="H30" s="13" t="s">
        <v>607</v>
      </c>
      <c r="I30" s="53" t="s">
        <v>608</v>
      </c>
      <c r="J30" s="54">
        <v>2.1329166666666701</v>
      </c>
      <c r="K30" s="54">
        <v>1.9683333333333299</v>
      </c>
      <c r="L30" s="54">
        <v>0.164583333333333</v>
      </c>
      <c r="M30" s="54">
        <v>0</v>
      </c>
      <c r="N30" s="54">
        <v>1.9683333333333299</v>
      </c>
      <c r="O30" s="54">
        <v>0</v>
      </c>
      <c r="P30" s="54">
        <v>0</v>
      </c>
      <c r="Q30" s="54">
        <v>0</v>
      </c>
      <c r="R30" s="54">
        <v>1.9683333333333299</v>
      </c>
      <c r="S30" s="54">
        <v>0</v>
      </c>
      <c r="T30" s="54">
        <v>0</v>
      </c>
      <c r="U30" s="54">
        <v>0</v>
      </c>
      <c r="V30" s="54">
        <v>0</v>
      </c>
      <c r="W30" s="55">
        <v>0.95311584293807405</v>
      </c>
      <c r="X30" s="53" t="s">
        <v>592</v>
      </c>
      <c r="Y30" s="53" t="s">
        <v>583</v>
      </c>
      <c r="Z30" s="53" t="s">
        <v>582</v>
      </c>
      <c r="AA30" s="53">
        <v>3</v>
      </c>
      <c r="AB30" s="53">
        <v>1</v>
      </c>
      <c r="AC30" s="34">
        <v>162839</v>
      </c>
      <c r="AD30" s="34">
        <v>137</v>
      </c>
      <c r="AE30" s="34">
        <v>0</v>
      </c>
      <c r="AF30" s="34">
        <v>0</v>
      </c>
      <c r="AG30" s="34">
        <v>5</v>
      </c>
      <c r="AH30" s="34">
        <v>2</v>
      </c>
      <c r="AI30" s="34">
        <v>9</v>
      </c>
      <c r="AJ30" s="34">
        <v>5</v>
      </c>
      <c r="AK30" s="34">
        <v>14</v>
      </c>
      <c r="AL30" s="34">
        <v>51</v>
      </c>
      <c r="AM30" s="13" t="s">
        <v>629</v>
      </c>
      <c r="AN30" s="54">
        <v>0</v>
      </c>
      <c r="AO30" s="56">
        <f>--($D30='START HERE'!$C$5)</f>
        <v>0</v>
      </c>
    </row>
    <row r="31" spans="2:41">
      <c r="B31" s="34">
        <v>9813</v>
      </c>
      <c r="C31" s="7" t="s">
        <v>630</v>
      </c>
      <c r="D31" s="13" t="s">
        <v>605</v>
      </c>
      <c r="E31" s="13" t="s">
        <v>610</v>
      </c>
      <c r="F31" s="53" t="s">
        <v>149</v>
      </c>
      <c r="G31" s="53" t="s">
        <v>109</v>
      </c>
      <c r="H31" s="13" t="s">
        <v>607</v>
      </c>
      <c r="I31" s="53" t="s">
        <v>608</v>
      </c>
      <c r="J31" s="54">
        <v>2.1175000000000002</v>
      </c>
      <c r="K31" s="54">
        <v>2.1175000000000002</v>
      </c>
      <c r="L31" s="54">
        <v>0</v>
      </c>
      <c r="M31" s="54">
        <v>0</v>
      </c>
      <c r="N31" s="54">
        <v>1.8370833333333301</v>
      </c>
      <c r="O31" s="54">
        <v>0</v>
      </c>
      <c r="P31" s="54">
        <v>0.28041666666666698</v>
      </c>
      <c r="Q31" s="54">
        <v>0</v>
      </c>
      <c r="R31" s="54">
        <v>2.1175000000000002</v>
      </c>
      <c r="S31" s="54">
        <v>0</v>
      </c>
      <c r="T31" s="54">
        <v>0</v>
      </c>
      <c r="U31" s="54">
        <v>0</v>
      </c>
      <c r="V31" s="54">
        <v>0</v>
      </c>
      <c r="W31" s="55">
        <v>0.64580873671782801</v>
      </c>
      <c r="X31" s="53" t="s">
        <v>592</v>
      </c>
      <c r="Y31" s="53" t="s">
        <v>583</v>
      </c>
      <c r="Z31" s="53" t="s">
        <v>582</v>
      </c>
      <c r="AA31" s="53">
        <v>3</v>
      </c>
      <c r="AB31" s="53">
        <v>1</v>
      </c>
      <c r="AC31" s="34">
        <v>63502</v>
      </c>
      <c r="AD31" s="34">
        <v>109</v>
      </c>
      <c r="AE31" s="34">
        <v>0</v>
      </c>
      <c r="AF31" s="34">
        <v>0</v>
      </c>
      <c r="AG31" s="34">
        <v>12</v>
      </c>
      <c r="AH31" s="34">
        <v>1</v>
      </c>
      <c r="AI31" s="34">
        <v>13</v>
      </c>
      <c r="AJ31" s="34">
        <v>6</v>
      </c>
      <c r="AK31" s="34">
        <v>3</v>
      </c>
      <c r="AL31" s="34">
        <v>81</v>
      </c>
      <c r="AM31" s="13" t="s">
        <v>584</v>
      </c>
      <c r="AN31" s="54">
        <v>0</v>
      </c>
      <c r="AO31" s="56">
        <f>--($D31='START HERE'!$C$5)</f>
        <v>0</v>
      </c>
    </row>
    <row r="32" spans="2:41">
      <c r="B32" s="34">
        <v>9817</v>
      </c>
      <c r="C32" s="7" t="s">
        <v>631</v>
      </c>
      <c r="D32" s="13" t="s">
        <v>605</v>
      </c>
      <c r="E32" s="13" t="s">
        <v>612</v>
      </c>
      <c r="F32" s="53" t="s">
        <v>590</v>
      </c>
      <c r="G32" s="53" t="s">
        <v>109</v>
      </c>
      <c r="H32" s="13" t="s">
        <v>607</v>
      </c>
      <c r="I32" s="53" t="s">
        <v>608</v>
      </c>
      <c r="J32" s="54">
        <v>1.6648750000000001</v>
      </c>
      <c r="K32" s="54">
        <v>1.6648750000000001</v>
      </c>
      <c r="L32" s="54">
        <v>0</v>
      </c>
      <c r="M32" s="54">
        <v>0</v>
      </c>
      <c r="N32" s="54">
        <v>1.6648750000000001</v>
      </c>
      <c r="O32" s="54">
        <v>0</v>
      </c>
      <c r="P32" s="54">
        <v>0</v>
      </c>
      <c r="Q32" s="54">
        <v>0</v>
      </c>
      <c r="R32" s="54">
        <v>1.6648750000000001</v>
      </c>
      <c r="S32" s="54">
        <v>0</v>
      </c>
      <c r="T32" s="54">
        <v>0</v>
      </c>
      <c r="U32" s="54">
        <v>0</v>
      </c>
      <c r="V32" s="54">
        <v>0</v>
      </c>
      <c r="W32" s="55">
        <v>0.40748804965337698</v>
      </c>
      <c r="X32" s="53" t="s">
        <v>592</v>
      </c>
      <c r="Y32" s="53" t="s">
        <v>583</v>
      </c>
      <c r="Z32" s="53" t="s">
        <v>583</v>
      </c>
      <c r="AA32" s="53">
        <v>3</v>
      </c>
      <c r="AB32" s="53">
        <v>1</v>
      </c>
      <c r="AC32" s="34">
        <v>254359</v>
      </c>
      <c r="AD32" s="34">
        <v>347</v>
      </c>
      <c r="AE32" s="34">
        <v>0</v>
      </c>
      <c r="AF32" s="34">
        <v>0</v>
      </c>
      <c r="AG32" s="34">
        <v>11</v>
      </c>
      <c r="AH32" s="34">
        <v>1</v>
      </c>
      <c r="AI32" s="34">
        <v>6</v>
      </c>
      <c r="AJ32" s="34">
        <v>5</v>
      </c>
      <c r="AK32" s="34">
        <v>8</v>
      </c>
      <c r="AL32" s="34">
        <v>94</v>
      </c>
      <c r="AM32" s="13" t="s">
        <v>584</v>
      </c>
      <c r="AN32" s="54">
        <v>0</v>
      </c>
      <c r="AO32" s="56">
        <f>--($D32='START HERE'!$C$5)</f>
        <v>0</v>
      </c>
    </row>
    <row r="33" spans="2:41">
      <c r="B33" s="34">
        <v>9824</v>
      </c>
      <c r="C33" s="7" t="s">
        <v>632</v>
      </c>
      <c r="D33" s="13" t="s">
        <v>605</v>
      </c>
      <c r="E33" s="13" t="s">
        <v>612</v>
      </c>
      <c r="F33" s="53" t="s">
        <v>149</v>
      </c>
      <c r="G33" s="53" t="s">
        <v>109</v>
      </c>
      <c r="H33" s="13" t="s">
        <v>607</v>
      </c>
      <c r="I33" s="53" t="s">
        <v>608</v>
      </c>
      <c r="J33" s="54">
        <v>1.63083333333333</v>
      </c>
      <c r="K33" s="54">
        <v>1.63083333333333</v>
      </c>
      <c r="L33" s="54">
        <v>0</v>
      </c>
      <c r="M33" s="54">
        <v>0</v>
      </c>
      <c r="N33" s="54">
        <v>1.63083333333333</v>
      </c>
      <c r="O33" s="54">
        <v>0</v>
      </c>
      <c r="P33" s="54">
        <v>0</v>
      </c>
      <c r="Q33" s="54">
        <v>0</v>
      </c>
      <c r="R33" s="54">
        <v>1.63083333333333</v>
      </c>
      <c r="S33" s="54">
        <v>0</v>
      </c>
      <c r="T33" s="54">
        <v>0</v>
      </c>
      <c r="U33" s="54">
        <v>0</v>
      </c>
      <c r="V33" s="54">
        <v>0</v>
      </c>
      <c r="W33" s="55">
        <v>0.38681655595298903</v>
      </c>
      <c r="X33" s="53" t="s">
        <v>592</v>
      </c>
      <c r="Y33" s="53" t="s">
        <v>583</v>
      </c>
      <c r="Z33" s="53" t="s">
        <v>582</v>
      </c>
      <c r="AA33" s="53">
        <v>3</v>
      </c>
      <c r="AB33" s="53">
        <v>1</v>
      </c>
      <c r="AC33" s="34">
        <v>201829</v>
      </c>
      <c r="AD33" s="34">
        <v>184</v>
      </c>
      <c r="AE33" s="34">
        <v>0</v>
      </c>
      <c r="AF33" s="34">
        <v>0</v>
      </c>
      <c r="AG33" s="34">
        <v>22</v>
      </c>
      <c r="AH33" s="34">
        <v>5</v>
      </c>
      <c r="AI33" s="34">
        <v>17</v>
      </c>
      <c r="AJ33" s="34">
        <v>16</v>
      </c>
      <c r="AK33" s="34">
        <v>56</v>
      </c>
      <c r="AL33" s="34">
        <v>186</v>
      </c>
      <c r="AM33" s="13" t="s">
        <v>584</v>
      </c>
      <c r="AN33" s="54">
        <v>0</v>
      </c>
      <c r="AO33" s="56">
        <f>--($D33='START HERE'!$C$5)</f>
        <v>0</v>
      </c>
    </row>
    <row r="34" spans="2:41">
      <c r="B34" s="34">
        <v>9999</v>
      </c>
      <c r="C34" s="7" t="s">
        <v>633</v>
      </c>
      <c r="D34" s="13" t="s">
        <v>605</v>
      </c>
      <c r="E34" s="13" t="s">
        <v>612</v>
      </c>
      <c r="F34" s="53" t="s">
        <v>578</v>
      </c>
      <c r="G34" s="53" t="s">
        <v>109</v>
      </c>
      <c r="H34" s="13" t="s">
        <v>607</v>
      </c>
      <c r="I34" s="53" t="s">
        <v>608</v>
      </c>
      <c r="J34" s="54">
        <v>1.0287500000000001</v>
      </c>
      <c r="K34" s="54">
        <v>1.0287500000000001</v>
      </c>
      <c r="L34" s="54">
        <v>0</v>
      </c>
      <c r="M34" s="54">
        <v>0</v>
      </c>
      <c r="N34" s="54">
        <v>1.0287500000000001</v>
      </c>
      <c r="O34" s="54">
        <v>0</v>
      </c>
      <c r="P34" s="54">
        <v>0</v>
      </c>
      <c r="Q34" s="54">
        <v>0</v>
      </c>
      <c r="R34" s="54">
        <v>1.0287500000000001</v>
      </c>
      <c r="S34" s="54">
        <v>0</v>
      </c>
      <c r="T34" s="54">
        <v>0</v>
      </c>
      <c r="U34" s="54">
        <v>0</v>
      </c>
      <c r="V34" s="54">
        <v>0</v>
      </c>
      <c r="W34" s="55">
        <v>0.12920210611583599</v>
      </c>
      <c r="X34" s="53" t="s">
        <v>592</v>
      </c>
      <c r="Y34" s="53" t="s">
        <v>583</v>
      </c>
      <c r="Z34" s="53" t="s">
        <v>582</v>
      </c>
      <c r="AA34" s="53">
        <v>3</v>
      </c>
      <c r="AB34" s="53">
        <v>1</v>
      </c>
      <c r="AC34" s="34">
        <v>44024</v>
      </c>
      <c r="AD34" s="34">
        <v>54</v>
      </c>
      <c r="AE34" s="34">
        <v>0</v>
      </c>
      <c r="AF34" s="34">
        <v>0</v>
      </c>
      <c r="AG34" s="34">
        <v>17</v>
      </c>
      <c r="AH34" s="34">
        <v>6</v>
      </c>
      <c r="AI34" s="34">
        <v>76</v>
      </c>
      <c r="AJ34" s="34">
        <v>9</v>
      </c>
      <c r="AK34" s="34">
        <v>0</v>
      </c>
      <c r="AL34" s="34">
        <v>54</v>
      </c>
      <c r="AM34" s="13" t="s">
        <v>629</v>
      </c>
      <c r="AN34" s="54">
        <v>0</v>
      </c>
      <c r="AO34" s="56">
        <f>--($D34='START HERE'!$C$5)</f>
        <v>0</v>
      </c>
    </row>
    <row r="35" spans="2:41">
      <c r="B35" s="34">
        <v>14059</v>
      </c>
      <c r="C35" s="7" t="s">
        <v>634</v>
      </c>
      <c r="D35" s="13" t="s">
        <v>605</v>
      </c>
      <c r="E35" s="13" t="s">
        <v>610</v>
      </c>
      <c r="F35" s="53" t="s">
        <v>590</v>
      </c>
      <c r="G35" s="53" t="s">
        <v>113</v>
      </c>
      <c r="H35" s="13" t="s">
        <v>596</v>
      </c>
      <c r="I35" s="53" t="s">
        <v>597</v>
      </c>
      <c r="J35" s="54">
        <v>1.02708333333333</v>
      </c>
      <c r="K35" s="54">
        <v>1.0166666666666699</v>
      </c>
      <c r="L35" s="54">
        <v>1.0416666666666701E-2</v>
      </c>
      <c r="M35" s="54">
        <v>0</v>
      </c>
      <c r="N35" s="54">
        <v>1.0166666666666699</v>
      </c>
      <c r="O35" s="54">
        <v>0</v>
      </c>
      <c r="P35" s="54">
        <v>0</v>
      </c>
      <c r="Q35" s="54">
        <v>0</v>
      </c>
      <c r="R35" s="54">
        <v>1.0166666666666699</v>
      </c>
      <c r="S35" s="54">
        <v>0</v>
      </c>
      <c r="T35" s="54">
        <v>0</v>
      </c>
      <c r="U35" s="54">
        <v>0</v>
      </c>
      <c r="V35" s="54">
        <v>0</v>
      </c>
      <c r="W35" s="55">
        <v>0.90263691683570002</v>
      </c>
      <c r="X35" s="53" t="s">
        <v>592</v>
      </c>
      <c r="Y35" s="53" t="s">
        <v>583</v>
      </c>
      <c r="Z35" s="53" t="s">
        <v>583</v>
      </c>
      <c r="AA35" s="53">
        <v>3</v>
      </c>
      <c r="AB35" s="53">
        <v>1</v>
      </c>
      <c r="AC35" s="34">
        <v>10800</v>
      </c>
      <c r="AD35" s="34">
        <v>3</v>
      </c>
      <c r="AE35" s="34">
        <v>0</v>
      </c>
      <c r="AF35" s="34">
        <v>0</v>
      </c>
      <c r="AG35" s="34">
        <v>0</v>
      </c>
      <c r="AH35" s="34">
        <v>0</v>
      </c>
      <c r="AI35" s="34">
        <v>0</v>
      </c>
      <c r="AJ35" s="34">
        <v>0</v>
      </c>
      <c r="AK35" s="34">
        <v>0</v>
      </c>
      <c r="AL35" s="34">
        <v>5</v>
      </c>
      <c r="AM35" s="13" t="s">
        <v>584</v>
      </c>
      <c r="AN35" s="54">
        <v>0</v>
      </c>
      <c r="AO35" s="56">
        <f>--($D35='START HERE'!$C$5)</f>
        <v>0</v>
      </c>
    </row>
    <row r="36" spans="2:41">
      <c r="B36" s="34">
        <v>9847</v>
      </c>
      <c r="C36" s="7" t="s">
        <v>635</v>
      </c>
      <c r="D36" s="13" t="s">
        <v>605</v>
      </c>
      <c r="E36" s="13" t="s">
        <v>622</v>
      </c>
      <c r="F36" s="53" t="s">
        <v>590</v>
      </c>
      <c r="G36" s="53" t="s">
        <v>113</v>
      </c>
      <c r="H36" s="13" t="s">
        <v>596</v>
      </c>
      <c r="I36" s="53" t="s">
        <v>597</v>
      </c>
      <c r="J36" s="54">
        <v>0.452625</v>
      </c>
      <c r="K36" s="54">
        <v>0.15262500000000001</v>
      </c>
      <c r="L36" s="54">
        <v>0.3</v>
      </c>
      <c r="M36" s="54">
        <v>0</v>
      </c>
      <c r="N36" s="54">
        <v>0.15262500000000001</v>
      </c>
      <c r="O36" s="54">
        <v>0</v>
      </c>
      <c r="P36" s="54">
        <v>0</v>
      </c>
      <c r="Q36" s="54">
        <v>0</v>
      </c>
      <c r="R36" s="54">
        <v>0.15262500000000001</v>
      </c>
      <c r="S36" s="54">
        <v>0</v>
      </c>
      <c r="T36" s="54">
        <v>0</v>
      </c>
      <c r="U36" s="54">
        <v>0</v>
      </c>
      <c r="V36" s="54">
        <v>0</v>
      </c>
      <c r="W36" s="55">
        <v>1</v>
      </c>
      <c r="X36" s="53" t="s">
        <v>592</v>
      </c>
      <c r="Y36" s="53" t="s">
        <v>583</v>
      </c>
      <c r="Z36" s="53" t="s">
        <v>583</v>
      </c>
      <c r="AA36" s="53">
        <v>3</v>
      </c>
      <c r="AB36" s="53">
        <v>1</v>
      </c>
      <c r="AC36" s="34">
        <v>41868</v>
      </c>
      <c r="AD36" s="34">
        <v>7</v>
      </c>
      <c r="AE36" s="34">
        <v>0</v>
      </c>
      <c r="AF36" s="34">
        <v>0</v>
      </c>
      <c r="AG36" s="34">
        <v>0</v>
      </c>
      <c r="AH36" s="34">
        <v>1</v>
      </c>
      <c r="AI36" s="34">
        <v>1</v>
      </c>
      <c r="AJ36" s="34">
        <v>0</v>
      </c>
      <c r="AK36" s="34">
        <v>0</v>
      </c>
      <c r="AL36" s="34">
        <v>4</v>
      </c>
      <c r="AM36" s="13" t="s">
        <v>636</v>
      </c>
      <c r="AN36" s="54">
        <v>0</v>
      </c>
      <c r="AO36" s="56">
        <f>--($D36='START HERE'!$C$5)</f>
        <v>0</v>
      </c>
    </row>
    <row r="37" spans="2:41">
      <c r="B37" s="34">
        <v>9816</v>
      </c>
      <c r="C37" s="7" t="s">
        <v>637</v>
      </c>
      <c r="D37" s="13" t="s">
        <v>605</v>
      </c>
      <c r="E37" s="13" t="s">
        <v>614</v>
      </c>
      <c r="F37" s="53" t="s">
        <v>149</v>
      </c>
      <c r="G37" s="53" t="s">
        <v>109</v>
      </c>
      <c r="H37" s="13" t="s">
        <v>607</v>
      </c>
      <c r="I37" s="53" t="s">
        <v>608</v>
      </c>
      <c r="J37" s="54">
        <v>0.2</v>
      </c>
      <c r="K37" s="54">
        <v>0.2</v>
      </c>
      <c r="L37" s="54">
        <v>0</v>
      </c>
      <c r="M37" s="54">
        <v>0</v>
      </c>
      <c r="N37" s="54">
        <v>0.2</v>
      </c>
      <c r="O37" s="54">
        <v>0</v>
      </c>
      <c r="P37" s="54">
        <v>0</v>
      </c>
      <c r="Q37" s="54">
        <v>0</v>
      </c>
      <c r="R37" s="54">
        <v>0.2</v>
      </c>
      <c r="S37" s="54">
        <v>0</v>
      </c>
      <c r="T37" s="54">
        <v>0</v>
      </c>
      <c r="U37" s="54">
        <v>0</v>
      </c>
      <c r="V37" s="54">
        <v>0</v>
      </c>
      <c r="W37" s="55">
        <v>0</v>
      </c>
      <c r="X37" s="53" t="s">
        <v>592</v>
      </c>
      <c r="Y37" s="53" t="s">
        <v>583</v>
      </c>
      <c r="Z37" s="53" t="s">
        <v>582</v>
      </c>
      <c r="AA37" s="53">
        <v>3</v>
      </c>
      <c r="AB37" s="53">
        <v>1</v>
      </c>
      <c r="AC37" s="34">
        <v>347397</v>
      </c>
      <c r="AD37" s="34">
        <v>120</v>
      </c>
      <c r="AE37" s="34">
        <v>0</v>
      </c>
      <c r="AF37" s="34">
        <v>0</v>
      </c>
      <c r="AG37" s="34">
        <v>1</v>
      </c>
      <c r="AH37" s="34">
        <v>2</v>
      </c>
      <c r="AI37" s="34">
        <v>13</v>
      </c>
      <c r="AJ37" s="34">
        <v>1</v>
      </c>
      <c r="AK37" s="34">
        <v>0</v>
      </c>
      <c r="AL37" s="34">
        <v>12</v>
      </c>
      <c r="AM37" s="13" t="s">
        <v>584</v>
      </c>
      <c r="AN37" s="54">
        <v>0</v>
      </c>
      <c r="AO37" s="56">
        <f>--($D37='START HERE'!$C$5)</f>
        <v>0</v>
      </c>
    </row>
    <row r="38" spans="2:41">
      <c r="B38" s="34">
        <v>9801</v>
      </c>
      <c r="C38" s="7" t="s">
        <v>638</v>
      </c>
      <c r="D38" s="13" t="s">
        <v>605</v>
      </c>
      <c r="E38" s="13" t="s">
        <v>610</v>
      </c>
      <c r="F38" s="53" t="s">
        <v>149</v>
      </c>
      <c r="G38" s="53" t="s">
        <v>109</v>
      </c>
      <c r="H38" s="13" t="s">
        <v>607</v>
      </c>
      <c r="I38" s="53" t="s">
        <v>608</v>
      </c>
      <c r="J38" s="54">
        <v>0</v>
      </c>
      <c r="K38" s="54">
        <v>0</v>
      </c>
      <c r="L38" s="54">
        <v>0</v>
      </c>
      <c r="M38" s="54">
        <v>0</v>
      </c>
      <c r="N38" s="54">
        <v>0</v>
      </c>
      <c r="O38" s="54">
        <v>0</v>
      </c>
      <c r="P38" s="54">
        <v>0</v>
      </c>
      <c r="Q38" s="54">
        <v>0</v>
      </c>
      <c r="R38" s="54">
        <v>0</v>
      </c>
      <c r="S38" s="54">
        <v>0</v>
      </c>
      <c r="T38" s="54">
        <v>0</v>
      </c>
      <c r="U38" s="54">
        <v>0</v>
      </c>
      <c r="V38" s="54">
        <v>0</v>
      </c>
      <c r="W38" s="55">
        <v>0</v>
      </c>
      <c r="X38" s="53" t="s">
        <v>592</v>
      </c>
      <c r="Y38" s="53" t="s">
        <v>583</v>
      </c>
      <c r="Z38" s="53" t="s">
        <v>582</v>
      </c>
      <c r="AA38" s="53">
        <v>3</v>
      </c>
      <c r="AB38" s="53">
        <v>1</v>
      </c>
      <c r="AC38" s="34">
        <v>218706</v>
      </c>
      <c r="AD38" s="34">
        <v>0</v>
      </c>
      <c r="AE38" s="34">
        <v>0</v>
      </c>
      <c r="AF38" s="34">
        <v>0</v>
      </c>
      <c r="AG38" s="34">
        <v>4</v>
      </c>
      <c r="AH38" s="34">
        <v>3</v>
      </c>
      <c r="AI38" s="34">
        <v>8</v>
      </c>
      <c r="AJ38" s="34">
        <v>2</v>
      </c>
      <c r="AK38" s="34">
        <v>1</v>
      </c>
      <c r="AL38" s="34">
        <v>15</v>
      </c>
      <c r="AM38" s="13" t="s">
        <v>584</v>
      </c>
      <c r="AN38" s="54">
        <v>0</v>
      </c>
      <c r="AO38" s="56">
        <f>--($D38='START HERE'!$C$5)</f>
        <v>0</v>
      </c>
    </row>
    <row r="39" spans="2:41">
      <c r="B39" s="34">
        <v>9814</v>
      </c>
      <c r="C39" s="7" t="s">
        <v>639</v>
      </c>
      <c r="D39" s="13" t="s">
        <v>605</v>
      </c>
      <c r="E39" s="13" t="s">
        <v>606</v>
      </c>
      <c r="F39" s="53" t="s">
        <v>590</v>
      </c>
      <c r="G39" s="53" t="s">
        <v>109</v>
      </c>
      <c r="H39" s="13" t="s">
        <v>607</v>
      </c>
      <c r="I39" s="53" t="s">
        <v>608</v>
      </c>
      <c r="J39" s="54">
        <v>0</v>
      </c>
      <c r="K39" s="54">
        <v>0</v>
      </c>
      <c r="L39" s="54">
        <v>0</v>
      </c>
      <c r="M39" s="54">
        <v>0</v>
      </c>
      <c r="N39" s="54">
        <v>0</v>
      </c>
      <c r="O39" s="54">
        <v>0</v>
      </c>
      <c r="P39" s="54">
        <v>0</v>
      </c>
      <c r="Q39" s="54">
        <v>0</v>
      </c>
      <c r="R39" s="54">
        <v>0</v>
      </c>
      <c r="S39" s="54">
        <v>0</v>
      </c>
      <c r="T39" s="54">
        <v>0</v>
      </c>
      <c r="U39" s="54">
        <v>0</v>
      </c>
      <c r="V39" s="54">
        <v>0</v>
      </c>
      <c r="W39" s="55">
        <v>0</v>
      </c>
      <c r="X39" s="53" t="s">
        <v>592</v>
      </c>
      <c r="Y39" s="53" t="s">
        <v>583</v>
      </c>
      <c r="Z39" s="53" t="s">
        <v>583</v>
      </c>
      <c r="AA39" s="53">
        <v>3</v>
      </c>
      <c r="AB39" s="53">
        <v>1</v>
      </c>
      <c r="AC39" s="34">
        <v>2164</v>
      </c>
      <c r="AD39" s="34">
        <v>5</v>
      </c>
      <c r="AE39" s="34">
        <v>0</v>
      </c>
      <c r="AF39" s="34">
        <v>0</v>
      </c>
      <c r="AG39" s="34">
        <v>0</v>
      </c>
      <c r="AH39" s="34">
        <v>0</v>
      </c>
      <c r="AI39" s="34">
        <v>0</v>
      </c>
      <c r="AJ39" s="34">
        <v>0</v>
      </c>
      <c r="AK39" s="34">
        <v>0</v>
      </c>
      <c r="AL39" s="34">
        <v>0</v>
      </c>
      <c r="AM39" s="13" t="s">
        <v>593</v>
      </c>
      <c r="AN39" s="54">
        <v>0</v>
      </c>
      <c r="AO39" s="56">
        <f>--($D39='START HERE'!$C$5)</f>
        <v>0</v>
      </c>
    </row>
    <row r="40" spans="2:41">
      <c r="B40" s="34">
        <v>9818</v>
      </c>
      <c r="C40" s="7" t="s">
        <v>640</v>
      </c>
      <c r="D40" s="13" t="s">
        <v>605</v>
      </c>
      <c r="E40" s="13" t="s">
        <v>606</v>
      </c>
      <c r="F40" s="53" t="s">
        <v>590</v>
      </c>
      <c r="G40" s="53" t="s">
        <v>109</v>
      </c>
      <c r="H40" s="13" t="s">
        <v>607</v>
      </c>
      <c r="I40" s="53" t="s">
        <v>608</v>
      </c>
      <c r="J40" s="54">
        <v>0</v>
      </c>
      <c r="K40" s="54">
        <v>0</v>
      </c>
      <c r="L40" s="54">
        <v>0</v>
      </c>
      <c r="M40" s="54">
        <v>0</v>
      </c>
      <c r="N40" s="54">
        <v>0</v>
      </c>
      <c r="O40" s="54">
        <v>0</v>
      </c>
      <c r="P40" s="54">
        <v>0</v>
      </c>
      <c r="Q40" s="54">
        <v>0</v>
      </c>
      <c r="R40" s="54">
        <v>0</v>
      </c>
      <c r="S40" s="54">
        <v>0</v>
      </c>
      <c r="T40" s="54">
        <v>0</v>
      </c>
      <c r="U40" s="54">
        <v>0</v>
      </c>
      <c r="V40" s="54">
        <v>0</v>
      </c>
      <c r="W40" s="55">
        <v>0</v>
      </c>
      <c r="X40" s="53" t="s">
        <v>592</v>
      </c>
      <c r="Y40" s="53" t="s">
        <v>583</v>
      </c>
      <c r="Z40" s="53" t="s">
        <v>583</v>
      </c>
      <c r="AA40" s="53">
        <v>3</v>
      </c>
      <c r="AB40" s="53">
        <v>1</v>
      </c>
      <c r="AC40" s="34">
        <v>102166</v>
      </c>
      <c r="AD40" s="34">
        <v>58</v>
      </c>
      <c r="AE40" s="34">
        <v>0</v>
      </c>
      <c r="AF40" s="34">
        <v>0</v>
      </c>
      <c r="AG40" s="34">
        <v>0</v>
      </c>
      <c r="AH40" s="34">
        <v>0</v>
      </c>
      <c r="AI40" s="34">
        <v>0</v>
      </c>
      <c r="AJ40" s="34">
        <v>0</v>
      </c>
      <c r="AK40" s="34">
        <v>0</v>
      </c>
      <c r="AL40" s="34">
        <v>0</v>
      </c>
      <c r="AM40" s="13" t="s">
        <v>593</v>
      </c>
      <c r="AN40" s="54">
        <v>0</v>
      </c>
      <c r="AO40" s="56">
        <f>--($D40='START HERE'!$C$5)</f>
        <v>0</v>
      </c>
    </row>
    <row r="41" spans="2:41">
      <c r="B41" s="34">
        <v>9819</v>
      </c>
      <c r="C41" s="7" t="s">
        <v>641</v>
      </c>
      <c r="D41" s="13" t="s">
        <v>605</v>
      </c>
      <c r="E41" s="13" t="s">
        <v>606</v>
      </c>
      <c r="F41" s="53" t="s">
        <v>590</v>
      </c>
      <c r="G41" s="53" t="s">
        <v>109</v>
      </c>
      <c r="H41" s="13" t="s">
        <v>607</v>
      </c>
      <c r="I41" s="53" t="s">
        <v>608</v>
      </c>
      <c r="J41" s="54">
        <v>0</v>
      </c>
      <c r="K41" s="54">
        <v>0</v>
      </c>
      <c r="L41" s="54">
        <v>0</v>
      </c>
      <c r="M41" s="54">
        <v>0</v>
      </c>
      <c r="N41" s="54">
        <v>0</v>
      </c>
      <c r="O41" s="54">
        <v>0</v>
      </c>
      <c r="P41" s="54">
        <v>0</v>
      </c>
      <c r="Q41" s="54">
        <v>0</v>
      </c>
      <c r="R41" s="54">
        <v>0</v>
      </c>
      <c r="S41" s="54">
        <v>0</v>
      </c>
      <c r="T41" s="54">
        <v>0</v>
      </c>
      <c r="U41" s="54">
        <v>0</v>
      </c>
      <c r="V41" s="54">
        <v>0</v>
      </c>
      <c r="W41" s="55">
        <v>0</v>
      </c>
      <c r="X41" s="53" t="s">
        <v>592</v>
      </c>
      <c r="Y41" s="53" t="s">
        <v>583</v>
      </c>
      <c r="Z41" s="53" t="s">
        <v>583</v>
      </c>
      <c r="AA41" s="53">
        <v>3</v>
      </c>
      <c r="AB41" s="53">
        <v>1</v>
      </c>
      <c r="AC41" s="34">
        <v>14816</v>
      </c>
      <c r="AD41" s="34">
        <v>11</v>
      </c>
      <c r="AE41" s="34">
        <v>0</v>
      </c>
      <c r="AF41" s="34">
        <v>0</v>
      </c>
      <c r="AG41" s="34">
        <v>0</v>
      </c>
      <c r="AH41" s="34">
        <v>0</v>
      </c>
      <c r="AI41" s="34">
        <v>1</v>
      </c>
      <c r="AJ41" s="34">
        <v>0</v>
      </c>
      <c r="AK41" s="34">
        <v>0</v>
      </c>
      <c r="AL41" s="34">
        <v>0</v>
      </c>
      <c r="AM41" s="13" t="s">
        <v>584</v>
      </c>
      <c r="AN41" s="54">
        <v>0</v>
      </c>
      <c r="AO41" s="56">
        <f>--($D41='START HERE'!$C$5)</f>
        <v>0</v>
      </c>
    </row>
    <row r="42" spans="2:41">
      <c r="B42" s="34">
        <v>9820</v>
      </c>
      <c r="C42" s="7" t="s">
        <v>642</v>
      </c>
      <c r="D42" s="13" t="s">
        <v>605</v>
      </c>
      <c r="E42" s="13" t="s">
        <v>606</v>
      </c>
      <c r="F42" s="53" t="s">
        <v>590</v>
      </c>
      <c r="G42" s="53" t="s">
        <v>109</v>
      </c>
      <c r="H42" s="13" t="s">
        <v>607</v>
      </c>
      <c r="I42" s="53" t="s">
        <v>608</v>
      </c>
      <c r="J42" s="54">
        <v>0</v>
      </c>
      <c r="K42" s="54">
        <v>0</v>
      </c>
      <c r="L42" s="54">
        <v>0</v>
      </c>
      <c r="M42" s="54">
        <v>0</v>
      </c>
      <c r="N42" s="54">
        <v>0</v>
      </c>
      <c r="O42" s="54">
        <v>0</v>
      </c>
      <c r="P42" s="54">
        <v>0</v>
      </c>
      <c r="Q42" s="54">
        <v>0</v>
      </c>
      <c r="R42" s="54">
        <v>0</v>
      </c>
      <c r="S42" s="54">
        <v>0</v>
      </c>
      <c r="T42" s="54">
        <v>0</v>
      </c>
      <c r="U42" s="54">
        <v>0</v>
      </c>
      <c r="V42" s="54">
        <v>0</v>
      </c>
      <c r="W42" s="55">
        <v>0</v>
      </c>
      <c r="X42" s="53" t="s">
        <v>592</v>
      </c>
      <c r="Y42" s="53" t="s">
        <v>583</v>
      </c>
      <c r="Z42" s="53" t="s">
        <v>582</v>
      </c>
      <c r="AA42" s="53">
        <v>3</v>
      </c>
      <c r="AB42" s="53">
        <v>1</v>
      </c>
      <c r="AC42" s="34">
        <v>45762</v>
      </c>
      <c r="AD42" s="34">
        <v>14</v>
      </c>
      <c r="AE42" s="34">
        <v>0</v>
      </c>
      <c r="AF42" s="34">
        <v>0</v>
      </c>
      <c r="AG42" s="34">
        <v>0</v>
      </c>
      <c r="AH42" s="34">
        <v>0</v>
      </c>
      <c r="AI42" s="34">
        <v>1</v>
      </c>
      <c r="AJ42" s="34">
        <v>0</v>
      </c>
      <c r="AK42" s="34">
        <v>0</v>
      </c>
      <c r="AL42" s="34">
        <v>0</v>
      </c>
      <c r="AM42" s="13" t="s">
        <v>593</v>
      </c>
      <c r="AN42" s="54">
        <v>0</v>
      </c>
      <c r="AO42" s="56">
        <f>--($D42='START HERE'!$C$5)</f>
        <v>0</v>
      </c>
    </row>
    <row r="43" spans="2:41">
      <c r="B43" s="34">
        <v>11011</v>
      </c>
      <c r="C43" s="7" t="s">
        <v>643</v>
      </c>
      <c r="D43" s="13" t="s">
        <v>644</v>
      </c>
      <c r="E43" s="13" t="s">
        <v>645</v>
      </c>
      <c r="F43" s="53" t="s">
        <v>149</v>
      </c>
      <c r="G43" s="53" t="s">
        <v>112</v>
      </c>
      <c r="H43" s="13" t="s">
        <v>646</v>
      </c>
      <c r="I43" s="53" t="s">
        <v>647</v>
      </c>
      <c r="J43" s="54">
        <v>7.15</v>
      </c>
      <c r="K43" s="54">
        <v>6.0791666666666702</v>
      </c>
      <c r="L43" s="54">
        <v>1.07083333333333</v>
      </c>
      <c r="M43" s="54">
        <v>0</v>
      </c>
      <c r="N43" s="54">
        <v>6.0791666666666702</v>
      </c>
      <c r="O43" s="54">
        <v>0</v>
      </c>
      <c r="P43" s="54">
        <v>0</v>
      </c>
      <c r="Q43" s="54">
        <v>0</v>
      </c>
      <c r="R43" s="54">
        <v>6.0791666666666702</v>
      </c>
      <c r="S43" s="54">
        <v>0</v>
      </c>
      <c r="T43" s="54">
        <v>0</v>
      </c>
      <c r="U43" s="54">
        <v>0</v>
      </c>
      <c r="V43" s="54">
        <v>0</v>
      </c>
      <c r="W43" s="55">
        <v>0.90384615384615397</v>
      </c>
      <c r="X43" s="53" t="s">
        <v>592</v>
      </c>
      <c r="Y43" s="53" t="s">
        <v>583</v>
      </c>
      <c r="Z43" s="53" t="s">
        <v>583</v>
      </c>
      <c r="AA43" s="53">
        <v>3</v>
      </c>
      <c r="AB43" s="53">
        <v>1</v>
      </c>
      <c r="AC43" s="34">
        <v>100000</v>
      </c>
      <c r="AD43" s="34">
        <v>458</v>
      </c>
      <c r="AE43" s="34">
        <v>0</v>
      </c>
      <c r="AF43" s="34">
        <v>0</v>
      </c>
      <c r="AG43" s="34">
        <v>40</v>
      </c>
      <c r="AH43" s="34">
        <v>13</v>
      </c>
      <c r="AI43" s="34">
        <v>72</v>
      </c>
      <c r="AJ43" s="34">
        <v>31</v>
      </c>
      <c r="AK43" s="34">
        <v>18</v>
      </c>
      <c r="AL43" s="34">
        <v>166</v>
      </c>
      <c r="AM43" s="13" t="s">
        <v>584</v>
      </c>
      <c r="AN43" s="54">
        <v>0</v>
      </c>
      <c r="AO43" s="56">
        <f>--($D43='START HERE'!$C$5)</f>
        <v>0</v>
      </c>
    </row>
    <row r="44" spans="2:41">
      <c r="B44" s="34">
        <v>10001</v>
      </c>
      <c r="C44" s="7" t="s">
        <v>648</v>
      </c>
      <c r="D44" s="13" t="s">
        <v>644</v>
      </c>
      <c r="E44" s="13" t="s">
        <v>649</v>
      </c>
      <c r="F44" s="53" t="s">
        <v>595</v>
      </c>
      <c r="G44" s="53" t="s">
        <v>109</v>
      </c>
      <c r="H44" s="13" t="s">
        <v>607</v>
      </c>
      <c r="I44" s="53" t="s">
        <v>608</v>
      </c>
      <c r="J44" s="54">
        <v>5.75416666666667</v>
      </c>
      <c r="K44" s="54">
        <v>2.7291666666666701</v>
      </c>
      <c r="L44" s="54">
        <v>3.0249999999999999</v>
      </c>
      <c r="M44" s="54">
        <v>0</v>
      </c>
      <c r="N44" s="54">
        <v>2.7291666666666701</v>
      </c>
      <c r="O44" s="54">
        <v>0</v>
      </c>
      <c r="P44" s="54">
        <v>0</v>
      </c>
      <c r="Q44" s="54">
        <v>0</v>
      </c>
      <c r="R44" s="54">
        <v>2.7291666666666701</v>
      </c>
      <c r="S44" s="54">
        <v>0</v>
      </c>
      <c r="T44" s="54">
        <v>0</v>
      </c>
      <c r="U44" s="54">
        <v>0</v>
      </c>
      <c r="V44" s="54">
        <v>0</v>
      </c>
      <c r="W44" s="55">
        <v>0.34540188269369998</v>
      </c>
      <c r="X44" s="53" t="s">
        <v>592</v>
      </c>
      <c r="Y44" s="53" t="s">
        <v>583</v>
      </c>
      <c r="Z44" s="53" t="s">
        <v>582</v>
      </c>
      <c r="AA44" s="53">
        <v>3</v>
      </c>
      <c r="AB44" s="53">
        <v>1</v>
      </c>
      <c r="AC44" s="34">
        <v>0</v>
      </c>
      <c r="AD44" s="34">
        <v>489</v>
      </c>
      <c r="AE44" s="34">
        <v>0</v>
      </c>
      <c r="AF44" s="34">
        <v>0</v>
      </c>
      <c r="AG44" s="34">
        <v>11</v>
      </c>
      <c r="AH44" s="34">
        <v>8</v>
      </c>
      <c r="AI44" s="34">
        <v>74</v>
      </c>
      <c r="AJ44" s="34">
        <v>8</v>
      </c>
      <c r="AK44" s="34">
        <v>37</v>
      </c>
      <c r="AL44" s="34">
        <v>206</v>
      </c>
      <c r="AM44" s="13" t="s">
        <v>593</v>
      </c>
      <c r="AN44" s="54">
        <v>0</v>
      </c>
      <c r="AO44" s="56">
        <f>--($D44='START HERE'!$C$5)</f>
        <v>0</v>
      </c>
    </row>
    <row r="45" spans="2:41">
      <c r="B45" s="34">
        <v>13262</v>
      </c>
      <c r="C45" s="7" t="s">
        <v>650</v>
      </c>
      <c r="D45" s="13" t="s">
        <v>644</v>
      </c>
      <c r="E45" s="13" t="s">
        <v>651</v>
      </c>
      <c r="F45" s="53" t="s">
        <v>578</v>
      </c>
      <c r="G45" s="53" t="s">
        <v>110</v>
      </c>
      <c r="H45" s="13" t="s">
        <v>587</v>
      </c>
      <c r="I45" s="53" t="s">
        <v>588</v>
      </c>
      <c r="J45" s="54">
        <v>3.7633333333333301</v>
      </c>
      <c r="K45" s="54">
        <v>1.5133333333333301</v>
      </c>
      <c r="L45" s="54">
        <v>1.75</v>
      </c>
      <c r="M45" s="54">
        <v>0.5</v>
      </c>
      <c r="N45" s="54">
        <v>0</v>
      </c>
      <c r="O45" s="54">
        <v>1.5133333333333301</v>
      </c>
      <c r="P45" s="54">
        <v>0</v>
      </c>
      <c r="Q45" s="54">
        <v>0</v>
      </c>
      <c r="R45" s="54">
        <v>1.5133333333333301</v>
      </c>
      <c r="S45" s="54">
        <v>0</v>
      </c>
      <c r="T45" s="54">
        <v>0</v>
      </c>
      <c r="U45" s="54">
        <v>0</v>
      </c>
      <c r="V45" s="54">
        <v>0</v>
      </c>
      <c r="W45" s="55">
        <v>0.21147032772364899</v>
      </c>
      <c r="X45" s="53" t="s">
        <v>581</v>
      </c>
      <c r="Y45" s="53" t="s">
        <v>583</v>
      </c>
      <c r="Z45" s="53" t="s">
        <v>583</v>
      </c>
      <c r="AA45" s="53">
        <v>2</v>
      </c>
      <c r="AB45" s="53">
        <v>3</v>
      </c>
      <c r="AC45" s="34">
        <v>35809</v>
      </c>
      <c r="AD45" s="34">
        <v>0</v>
      </c>
      <c r="AE45" s="34">
        <v>0</v>
      </c>
      <c r="AF45" s="34">
        <v>0</v>
      </c>
      <c r="AG45" s="34">
        <v>9</v>
      </c>
      <c r="AH45" s="34">
        <v>4</v>
      </c>
      <c r="AI45" s="34">
        <v>121</v>
      </c>
      <c r="AJ45" s="34">
        <v>7</v>
      </c>
      <c r="AK45" s="34">
        <v>24</v>
      </c>
      <c r="AL45" s="34">
        <v>124</v>
      </c>
      <c r="AM45" s="13" t="s">
        <v>584</v>
      </c>
      <c r="AN45" s="54">
        <v>0.5</v>
      </c>
      <c r="AO45" s="56">
        <f>--($D45='START HERE'!$C$5)</f>
        <v>0</v>
      </c>
    </row>
    <row r="46" spans="2:41">
      <c r="B46" s="34">
        <v>13812</v>
      </c>
      <c r="C46" s="7" t="s">
        <v>652</v>
      </c>
      <c r="D46" s="13" t="s">
        <v>644</v>
      </c>
      <c r="E46" s="13" t="s">
        <v>645</v>
      </c>
      <c r="F46" s="53" t="s">
        <v>595</v>
      </c>
      <c r="G46" s="53" t="s">
        <v>112</v>
      </c>
      <c r="H46" s="13" t="s">
        <v>646</v>
      </c>
      <c r="I46" s="53" t="s">
        <v>647</v>
      </c>
      <c r="J46" s="54">
        <v>3.74</v>
      </c>
      <c r="K46" s="54">
        <v>2.04</v>
      </c>
      <c r="L46" s="54">
        <v>1.7</v>
      </c>
      <c r="M46" s="54">
        <v>0</v>
      </c>
      <c r="N46" s="54">
        <v>2.04</v>
      </c>
      <c r="O46" s="54">
        <v>0</v>
      </c>
      <c r="P46" s="54">
        <v>0</v>
      </c>
      <c r="Q46" s="54">
        <v>0</v>
      </c>
      <c r="R46" s="54">
        <v>2.04</v>
      </c>
      <c r="S46" s="54">
        <v>0</v>
      </c>
      <c r="T46" s="54">
        <v>0</v>
      </c>
      <c r="U46" s="54">
        <v>0</v>
      </c>
      <c r="V46" s="54">
        <v>0</v>
      </c>
      <c r="W46" s="55">
        <v>0.30837789661319098</v>
      </c>
      <c r="X46" s="53" t="s">
        <v>592</v>
      </c>
      <c r="Y46" s="53" t="s">
        <v>583</v>
      </c>
      <c r="Z46" s="53" t="s">
        <v>583</v>
      </c>
      <c r="AA46" s="53">
        <v>3</v>
      </c>
      <c r="AB46" s="53">
        <v>3</v>
      </c>
      <c r="AC46" s="34">
        <v>273418</v>
      </c>
      <c r="AD46" s="34">
        <v>54</v>
      </c>
      <c r="AE46" s="34">
        <v>0</v>
      </c>
      <c r="AF46" s="34">
        <v>0</v>
      </c>
      <c r="AG46" s="34">
        <v>10</v>
      </c>
      <c r="AH46" s="34">
        <v>26</v>
      </c>
      <c r="AI46" s="34">
        <v>66</v>
      </c>
      <c r="AJ46" s="34">
        <v>12</v>
      </c>
      <c r="AK46" s="34">
        <v>0</v>
      </c>
      <c r="AL46" s="34">
        <v>132</v>
      </c>
      <c r="AM46" s="13" t="s">
        <v>593</v>
      </c>
      <c r="AN46" s="54">
        <v>0</v>
      </c>
      <c r="AO46" s="56">
        <f>--($D46='START HERE'!$C$5)</f>
        <v>0</v>
      </c>
    </row>
    <row r="47" spans="2:41">
      <c r="B47" s="34">
        <v>9986</v>
      </c>
      <c r="C47" s="7" t="s">
        <v>653</v>
      </c>
      <c r="D47" s="13" t="s">
        <v>644</v>
      </c>
      <c r="E47" s="13" t="s">
        <v>645</v>
      </c>
      <c r="F47" s="53" t="s">
        <v>149</v>
      </c>
      <c r="G47" s="53" t="s">
        <v>112</v>
      </c>
      <c r="H47" s="13" t="s">
        <v>646</v>
      </c>
      <c r="I47" s="53" t="s">
        <v>647</v>
      </c>
      <c r="J47" s="54">
        <v>3.0135000000000001</v>
      </c>
      <c r="K47" s="54">
        <v>2.4426666666666699</v>
      </c>
      <c r="L47" s="54">
        <v>0.57083333333333297</v>
      </c>
      <c r="M47" s="54">
        <v>0</v>
      </c>
      <c r="N47" s="54">
        <v>2.4426666666666699</v>
      </c>
      <c r="O47" s="54">
        <v>0</v>
      </c>
      <c r="P47" s="54">
        <v>0</v>
      </c>
      <c r="Q47" s="54">
        <v>0</v>
      </c>
      <c r="R47" s="54">
        <v>2.4426666666666699</v>
      </c>
      <c r="S47" s="54">
        <v>0</v>
      </c>
      <c r="T47" s="54">
        <v>0</v>
      </c>
      <c r="U47" s="54">
        <v>0</v>
      </c>
      <c r="V47" s="54">
        <v>0</v>
      </c>
      <c r="W47" s="55">
        <v>0.27515071069078001</v>
      </c>
      <c r="X47" s="53" t="s">
        <v>592</v>
      </c>
      <c r="Y47" s="53" t="s">
        <v>583</v>
      </c>
      <c r="Z47" s="53" t="s">
        <v>583</v>
      </c>
      <c r="AA47" s="53">
        <v>3</v>
      </c>
      <c r="AB47" s="53">
        <v>1</v>
      </c>
      <c r="AC47" s="34">
        <v>274025</v>
      </c>
      <c r="AD47" s="34">
        <v>16</v>
      </c>
      <c r="AE47" s="34">
        <v>0</v>
      </c>
      <c r="AF47" s="34">
        <v>0</v>
      </c>
      <c r="AG47" s="34">
        <v>1</v>
      </c>
      <c r="AH47" s="34">
        <v>18</v>
      </c>
      <c r="AI47" s="34">
        <v>567</v>
      </c>
      <c r="AJ47" s="34">
        <v>1</v>
      </c>
      <c r="AK47" s="34">
        <v>25</v>
      </c>
      <c r="AL47" s="34">
        <v>94</v>
      </c>
      <c r="AM47" s="13" t="s">
        <v>593</v>
      </c>
      <c r="AN47" s="54">
        <v>0</v>
      </c>
      <c r="AO47" s="56">
        <f>--($D47='START HERE'!$C$5)</f>
        <v>0</v>
      </c>
    </row>
    <row r="48" spans="2:41">
      <c r="B48" s="34">
        <v>10032</v>
      </c>
      <c r="C48" s="7" t="s">
        <v>654</v>
      </c>
      <c r="D48" s="13" t="s">
        <v>644</v>
      </c>
      <c r="E48" s="13" t="s">
        <v>649</v>
      </c>
      <c r="F48" s="53" t="s">
        <v>578</v>
      </c>
      <c r="G48" s="53" t="s">
        <v>113</v>
      </c>
      <c r="H48" s="13" t="s">
        <v>596</v>
      </c>
      <c r="I48" s="53" t="s">
        <v>597</v>
      </c>
      <c r="J48" s="54">
        <v>2.8</v>
      </c>
      <c r="K48" s="54">
        <v>1.8583333333333301</v>
      </c>
      <c r="L48" s="54">
        <v>0.94166666666666698</v>
      </c>
      <c r="M48" s="54">
        <v>0</v>
      </c>
      <c r="N48" s="54">
        <v>1.8583333333333301</v>
      </c>
      <c r="O48" s="54">
        <v>0</v>
      </c>
      <c r="P48" s="54">
        <v>0</v>
      </c>
      <c r="Q48" s="54">
        <v>0</v>
      </c>
      <c r="R48" s="54">
        <v>1.8583333333333301</v>
      </c>
      <c r="S48" s="54">
        <v>0</v>
      </c>
      <c r="T48" s="54">
        <v>0</v>
      </c>
      <c r="U48" s="54">
        <v>0</v>
      </c>
      <c r="V48" s="54">
        <v>0</v>
      </c>
      <c r="W48" s="55">
        <v>0.26934523809523803</v>
      </c>
      <c r="X48" s="53" t="s">
        <v>592</v>
      </c>
      <c r="Y48" s="53" t="s">
        <v>583</v>
      </c>
      <c r="Z48" s="53" t="s">
        <v>582</v>
      </c>
      <c r="AA48" s="53">
        <v>3</v>
      </c>
      <c r="AB48" s="53">
        <v>1</v>
      </c>
      <c r="AC48" s="34">
        <v>0</v>
      </c>
      <c r="AD48" s="34">
        <v>15</v>
      </c>
      <c r="AE48" s="34">
        <v>0</v>
      </c>
      <c r="AF48" s="34">
        <v>0</v>
      </c>
      <c r="AG48" s="34">
        <v>17</v>
      </c>
      <c r="AH48" s="34">
        <v>5</v>
      </c>
      <c r="AI48" s="34">
        <v>16</v>
      </c>
      <c r="AJ48" s="34">
        <v>9</v>
      </c>
      <c r="AK48" s="34">
        <v>4</v>
      </c>
      <c r="AL48" s="34">
        <v>96</v>
      </c>
      <c r="AM48" s="13" t="s">
        <v>593</v>
      </c>
      <c r="AN48" s="54">
        <v>0.5</v>
      </c>
      <c r="AO48" s="56">
        <f>--($D48='START HERE'!$C$5)</f>
        <v>0</v>
      </c>
    </row>
    <row r="49" spans="2:41">
      <c r="B49" s="34">
        <v>9930</v>
      </c>
      <c r="C49" s="7" t="s">
        <v>655</v>
      </c>
      <c r="D49" s="13" t="s">
        <v>644</v>
      </c>
      <c r="E49" s="13" t="s">
        <v>649</v>
      </c>
      <c r="F49" s="53" t="s">
        <v>595</v>
      </c>
      <c r="G49" s="53" t="s">
        <v>109</v>
      </c>
      <c r="H49" s="13" t="s">
        <v>607</v>
      </c>
      <c r="I49" s="53" t="s">
        <v>608</v>
      </c>
      <c r="J49" s="54">
        <v>2.4833333333333298</v>
      </c>
      <c r="K49" s="54">
        <v>2.4083333333333301</v>
      </c>
      <c r="L49" s="54">
        <v>7.4999999999999997E-2</v>
      </c>
      <c r="M49" s="54">
        <v>0</v>
      </c>
      <c r="N49" s="54">
        <v>2.4083333333333301</v>
      </c>
      <c r="O49" s="54">
        <v>0</v>
      </c>
      <c r="P49" s="54">
        <v>0</v>
      </c>
      <c r="Q49" s="54">
        <v>0</v>
      </c>
      <c r="R49" s="54">
        <v>2.4083333333333301</v>
      </c>
      <c r="S49" s="54">
        <v>0</v>
      </c>
      <c r="T49" s="54">
        <v>0</v>
      </c>
      <c r="U49" s="54">
        <v>0</v>
      </c>
      <c r="V49" s="54">
        <v>0</v>
      </c>
      <c r="W49" s="55">
        <v>0.89932885906040305</v>
      </c>
      <c r="X49" s="53" t="s">
        <v>592</v>
      </c>
      <c r="Y49" s="53" t="s">
        <v>583</v>
      </c>
      <c r="Z49" s="53" t="s">
        <v>582</v>
      </c>
      <c r="AA49" s="53">
        <v>3</v>
      </c>
      <c r="AB49" s="53">
        <v>1</v>
      </c>
      <c r="AC49" s="34">
        <v>0</v>
      </c>
      <c r="AD49" s="34">
        <v>378</v>
      </c>
      <c r="AE49" s="34">
        <v>0</v>
      </c>
      <c r="AF49" s="34">
        <v>0</v>
      </c>
      <c r="AG49" s="34">
        <v>8</v>
      </c>
      <c r="AH49" s="34">
        <v>24</v>
      </c>
      <c r="AI49" s="34">
        <v>207</v>
      </c>
      <c r="AJ49" s="34">
        <v>3</v>
      </c>
      <c r="AK49" s="34">
        <v>10</v>
      </c>
      <c r="AL49" s="34">
        <v>62</v>
      </c>
      <c r="AM49" s="13" t="s">
        <v>593</v>
      </c>
      <c r="AN49" s="54">
        <v>0</v>
      </c>
      <c r="AO49" s="56">
        <f>--($D49='START HERE'!$C$5)</f>
        <v>0</v>
      </c>
    </row>
    <row r="50" spans="2:41">
      <c r="B50" s="34">
        <v>9964</v>
      </c>
      <c r="C50" s="7" t="s">
        <v>656</v>
      </c>
      <c r="D50" s="13" t="s">
        <v>644</v>
      </c>
      <c r="E50" s="13" t="s">
        <v>651</v>
      </c>
      <c r="F50" s="53" t="s">
        <v>590</v>
      </c>
      <c r="G50" s="53" t="s">
        <v>113</v>
      </c>
      <c r="H50" s="13" t="s">
        <v>596</v>
      </c>
      <c r="I50" s="53" t="s">
        <v>597</v>
      </c>
      <c r="J50" s="54">
        <v>2.3158333333333299</v>
      </c>
      <c r="K50" s="54">
        <v>1.95333333333333</v>
      </c>
      <c r="L50" s="54">
        <v>0.36249999999999999</v>
      </c>
      <c r="M50" s="54">
        <v>0</v>
      </c>
      <c r="N50" s="54">
        <v>1.7450000000000001</v>
      </c>
      <c r="O50" s="54">
        <v>0</v>
      </c>
      <c r="P50" s="54">
        <v>0</v>
      </c>
      <c r="Q50" s="54">
        <v>0</v>
      </c>
      <c r="R50" s="54">
        <v>1.95333333333333</v>
      </c>
      <c r="S50" s="54">
        <v>0</v>
      </c>
      <c r="T50" s="54">
        <v>0</v>
      </c>
      <c r="U50" s="54">
        <v>0</v>
      </c>
      <c r="V50" s="54">
        <v>0</v>
      </c>
      <c r="W50" s="55">
        <v>0.90824037423533599</v>
      </c>
      <c r="X50" s="53" t="s">
        <v>592</v>
      </c>
      <c r="Y50" s="53" t="s">
        <v>583</v>
      </c>
      <c r="Z50" s="53" t="s">
        <v>583</v>
      </c>
      <c r="AA50" s="53">
        <v>3</v>
      </c>
      <c r="AB50" s="53">
        <v>1</v>
      </c>
      <c r="AC50" s="34">
        <v>0</v>
      </c>
      <c r="AD50" s="34">
        <v>3</v>
      </c>
      <c r="AE50" s="34">
        <v>0</v>
      </c>
      <c r="AF50" s="34">
        <v>0</v>
      </c>
      <c r="AG50" s="34">
        <v>1</v>
      </c>
      <c r="AH50" s="34">
        <v>1</v>
      </c>
      <c r="AI50" s="34">
        <v>18</v>
      </c>
      <c r="AJ50" s="34">
        <v>1</v>
      </c>
      <c r="AK50" s="34">
        <v>0</v>
      </c>
      <c r="AL50" s="34">
        <v>39</v>
      </c>
      <c r="AM50" s="13" t="s">
        <v>584</v>
      </c>
      <c r="AN50" s="54">
        <v>0</v>
      </c>
      <c r="AO50" s="56">
        <f>--($D50='START HERE'!$C$5)</f>
        <v>0</v>
      </c>
    </row>
    <row r="51" spans="2:41">
      <c r="B51" s="34">
        <v>14930</v>
      </c>
      <c r="C51" s="7" t="s">
        <v>657</v>
      </c>
      <c r="D51" s="13" t="s">
        <v>644</v>
      </c>
      <c r="E51" s="13" t="s">
        <v>649</v>
      </c>
      <c r="F51" s="53" t="s">
        <v>590</v>
      </c>
      <c r="G51" s="53" t="s">
        <v>113</v>
      </c>
      <c r="H51" s="13" t="s">
        <v>596</v>
      </c>
      <c r="I51" s="53" t="s">
        <v>597</v>
      </c>
      <c r="J51" s="54">
        <v>2</v>
      </c>
      <c r="K51" s="54">
        <v>1.5</v>
      </c>
      <c r="L51" s="54">
        <v>0.5</v>
      </c>
      <c r="M51" s="54">
        <v>0</v>
      </c>
      <c r="N51" s="54">
        <v>1.5</v>
      </c>
      <c r="O51" s="54">
        <v>0</v>
      </c>
      <c r="P51" s="54">
        <v>0</v>
      </c>
      <c r="Q51" s="54">
        <v>0</v>
      </c>
      <c r="R51" s="54">
        <v>1.5</v>
      </c>
      <c r="S51" s="54">
        <v>0</v>
      </c>
      <c r="T51" s="54">
        <v>0</v>
      </c>
      <c r="U51" s="54">
        <v>0</v>
      </c>
      <c r="V51" s="54">
        <v>0</v>
      </c>
      <c r="W51" s="55">
        <v>1</v>
      </c>
      <c r="X51" s="53" t="s">
        <v>581</v>
      </c>
      <c r="Y51" s="53" t="s">
        <v>583</v>
      </c>
      <c r="Z51" s="53" t="s">
        <v>583</v>
      </c>
      <c r="AA51" s="53">
        <v>3</v>
      </c>
      <c r="AB51" s="53">
        <v>1</v>
      </c>
      <c r="AC51" s="34">
        <v>0</v>
      </c>
      <c r="AD51" s="34">
        <v>1</v>
      </c>
      <c r="AE51" s="34">
        <v>0</v>
      </c>
      <c r="AF51" s="34">
        <v>0</v>
      </c>
      <c r="AG51" s="34">
        <v>0</v>
      </c>
      <c r="AH51" s="34">
        <v>0</v>
      </c>
      <c r="AI51" s="34">
        <v>2</v>
      </c>
      <c r="AJ51" s="34">
        <v>0</v>
      </c>
      <c r="AK51" s="34">
        <v>0</v>
      </c>
      <c r="AL51" s="34">
        <v>3</v>
      </c>
      <c r="AM51" s="13" t="s">
        <v>658</v>
      </c>
      <c r="AN51" s="54">
        <v>0</v>
      </c>
      <c r="AO51" s="56">
        <f>--($D51='START HERE'!$C$5)</f>
        <v>0</v>
      </c>
    </row>
    <row r="52" spans="2:41">
      <c r="B52" s="34">
        <v>11010</v>
      </c>
      <c r="C52" s="7" t="s">
        <v>659</v>
      </c>
      <c r="D52" s="13" t="s">
        <v>644</v>
      </c>
      <c r="E52" s="13" t="s">
        <v>645</v>
      </c>
      <c r="F52" s="53" t="s">
        <v>149</v>
      </c>
      <c r="G52" s="53" t="s">
        <v>113</v>
      </c>
      <c r="H52" s="13" t="s">
        <v>596</v>
      </c>
      <c r="I52" s="53" t="s">
        <v>597</v>
      </c>
      <c r="J52" s="54">
        <v>1.7875000000000001</v>
      </c>
      <c r="K52" s="54">
        <v>1.25833333333333</v>
      </c>
      <c r="L52" s="54">
        <v>2.9166666666666698E-2</v>
      </c>
      <c r="M52" s="54">
        <v>0.5</v>
      </c>
      <c r="N52" s="54">
        <v>1.25833333333333</v>
      </c>
      <c r="O52" s="54">
        <v>0</v>
      </c>
      <c r="P52" s="54">
        <v>0</v>
      </c>
      <c r="Q52" s="54">
        <v>0</v>
      </c>
      <c r="R52" s="54">
        <v>1.25833333333333</v>
      </c>
      <c r="S52" s="54">
        <v>0</v>
      </c>
      <c r="T52" s="54">
        <v>0</v>
      </c>
      <c r="U52" s="54">
        <v>0</v>
      </c>
      <c r="V52" s="54">
        <v>0</v>
      </c>
      <c r="W52" s="55">
        <v>0.55710955710955701</v>
      </c>
      <c r="X52" s="53" t="s">
        <v>581</v>
      </c>
      <c r="Y52" s="53" t="s">
        <v>583</v>
      </c>
      <c r="Z52" s="53" t="s">
        <v>583</v>
      </c>
      <c r="AA52" s="53">
        <v>3</v>
      </c>
      <c r="AB52" s="53">
        <v>3</v>
      </c>
      <c r="AC52" s="34">
        <v>34000</v>
      </c>
      <c r="AD52" s="34">
        <v>102</v>
      </c>
      <c r="AE52" s="34">
        <v>0</v>
      </c>
      <c r="AF52" s="34">
        <v>0</v>
      </c>
      <c r="AG52" s="34">
        <v>3</v>
      </c>
      <c r="AH52" s="34">
        <v>3</v>
      </c>
      <c r="AI52" s="34">
        <v>73</v>
      </c>
      <c r="AJ52" s="34">
        <v>4</v>
      </c>
      <c r="AK52" s="34">
        <v>2</v>
      </c>
      <c r="AL52" s="34">
        <v>61</v>
      </c>
      <c r="AM52" s="13" t="s">
        <v>629</v>
      </c>
      <c r="AN52" s="54">
        <v>0</v>
      </c>
      <c r="AO52" s="56">
        <f>--($D52='START HERE'!$C$5)</f>
        <v>0</v>
      </c>
    </row>
    <row r="53" spans="2:41">
      <c r="B53" s="34">
        <v>9899</v>
      </c>
      <c r="C53" s="7" t="s">
        <v>660</v>
      </c>
      <c r="D53" s="13" t="s">
        <v>644</v>
      </c>
      <c r="E53" s="13" t="s">
        <v>651</v>
      </c>
      <c r="F53" s="53" t="s">
        <v>590</v>
      </c>
      <c r="G53" s="53" t="s">
        <v>113</v>
      </c>
      <c r="H53" s="13" t="s">
        <v>596</v>
      </c>
      <c r="I53" s="53" t="s">
        <v>597</v>
      </c>
      <c r="J53" s="54">
        <v>1.73329166666667</v>
      </c>
      <c r="K53" s="54">
        <v>1.2041249999999999</v>
      </c>
      <c r="L53" s="54">
        <v>0.52916666666666701</v>
      </c>
      <c r="M53" s="54">
        <v>0</v>
      </c>
      <c r="N53" s="54">
        <v>1.2041249999999999</v>
      </c>
      <c r="O53" s="54">
        <v>0</v>
      </c>
      <c r="P53" s="54">
        <v>0</v>
      </c>
      <c r="Q53" s="54">
        <v>0</v>
      </c>
      <c r="R53" s="54">
        <v>1.2041249999999999</v>
      </c>
      <c r="S53" s="54">
        <v>0</v>
      </c>
      <c r="T53" s="54">
        <v>0</v>
      </c>
      <c r="U53" s="54">
        <v>0</v>
      </c>
      <c r="V53" s="54">
        <v>0</v>
      </c>
      <c r="W53" s="55">
        <v>0.82691891632010395</v>
      </c>
      <c r="X53" s="53" t="s">
        <v>592</v>
      </c>
      <c r="Y53" s="53" t="s">
        <v>583</v>
      </c>
      <c r="Z53" s="53" t="s">
        <v>583</v>
      </c>
      <c r="AA53" s="53">
        <v>3</v>
      </c>
      <c r="AB53" s="53">
        <v>1</v>
      </c>
      <c r="AC53" s="34">
        <v>0</v>
      </c>
      <c r="AD53" s="34">
        <v>23</v>
      </c>
      <c r="AE53" s="34">
        <v>0</v>
      </c>
      <c r="AF53" s="34">
        <v>0</v>
      </c>
      <c r="AG53" s="34">
        <v>0</v>
      </c>
      <c r="AH53" s="34">
        <v>3</v>
      </c>
      <c r="AI53" s="34">
        <v>33</v>
      </c>
      <c r="AJ53" s="34">
        <v>0</v>
      </c>
      <c r="AK53" s="34">
        <v>4</v>
      </c>
      <c r="AL53" s="34">
        <v>95</v>
      </c>
      <c r="AM53" s="13" t="s">
        <v>584</v>
      </c>
      <c r="AN53" s="54">
        <v>0</v>
      </c>
      <c r="AO53" s="56">
        <f>--($D53='START HERE'!$C$5)</f>
        <v>0</v>
      </c>
    </row>
    <row r="54" spans="2:41">
      <c r="B54" s="34">
        <v>9890</v>
      </c>
      <c r="C54" s="7" t="s">
        <v>661</v>
      </c>
      <c r="D54" s="13" t="s">
        <v>644</v>
      </c>
      <c r="E54" s="13" t="s">
        <v>651</v>
      </c>
      <c r="F54" s="53" t="s">
        <v>590</v>
      </c>
      <c r="G54" s="53" t="s">
        <v>113</v>
      </c>
      <c r="H54" s="13" t="s">
        <v>596</v>
      </c>
      <c r="I54" s="53" t="s">
        <v>597</v>
      </c>
      <c r="J54" s="54">
        <v>1.5512916666666701</v>
      </c>
      <c r="K54" s="54">
        <v>1.50545833333333</v>
      </c>
      <c r="L54" s="54">
        <v>4.5833333333333302E-2</v>
      </c>
      <c r="M54" s="54">
        <v>0</v>
      </c>
      <c r="N54" s="54">
        <v>1.50545833333333</v>
      </c>
      <c r="O54" s="54">
        <v>0</v>
      </c>
      <c r="P54" s="54">
        <v>0</v>
      </c>
      <c r="Q54" s="54">
        <v>0</v>
      </c>
      <c r="R54" s="54">
        <v>1.50545833333333</v>
      </c>
      <c r="S54" s="54">
        <v>0</v>
      </c>
      <c r="T54" s="54">
        <v>0</v>
      </c>
      <c r="U54" s="54">
        <v>0</v>
      </c>
      <c r="V54" s="54">
        <v>0</v>
      </c>
      <c r="W54" s="55">
        <v>7.2009884236254804E-2</v>
      </c>
      <c r="X54" s="53" t="s">
        <v>592</v>
      </c>
      <c r="Y54" s="53" t="s">
        <v>583</v>
      </c>
      <c r="Z54" s="53" t="s">
        <v>583</v>
      </c>
      <c r="AA54" s="53">
        <v>3</v>
      </c>
      <c r="AB54" s="53">
        <v>1</v>
      </c>
      <c r="AC54" s="34">
        <v>0</v>
      </c>
      <c r="AD54" s="34">
        <v>1</v>
      </c>
      <c r="AE54" s="34">
        <v>0</v>
      </c>
      <c r="AF54" s="34">
        <v>0</v>
      </c>
      <c r="AG54" s="34">
        <v>0</v>
      </c>
      <c r="AH54" s="34">
        <v>0</v>
      </c>
      <c r="AI54" s="34">
        <v>14</v>
      </c>
      <c r="AJ54" s="34">
        <v>0</v>
      </c>
      <c r="AK54" s="34">
        <v>0</v>
      </c>
      <c r="AL54" s="34">
        <v>13</v>
      </c>
      <c r="AM54" s="13" t="s">
        <v>662</v>
      </c>
      <c r="AN54" s="54">
        <v>0</v>
      </c>
      <c r="AO54" s="56">
        <f>--($D54='START HERE'!$C$5)</f>
        <v>0</v>
      </c>
    </row>
    <row r="55" spans="2:41">
      <c r="B55" s="34">
        <v>9906</v>
      </c>
      <c r="C55" s="7" t="s">
        <v>663</v>
      </c>
      <c r="D55" s="13" t="s">
        <v>644</v>
      </c>
      <c r="E55" s="13" t="s">
        <v>651</v>
      </c>
      <c r="F55" s="53" t="s">
        <v>590</v>
      </c>
      <c r="G55" s="53" t="s">
        <v>113</v>
      </c>
      <c r="H55" s="13" t="s">
        <v>596</v>
      </c>
      <c r="I55" s="53" t="s">
        <v>597</v>
      </c>
      <c r="J55" s="54">
        <v>1.4314583333333299</v>
      </c>
      <c r="K55" s="54">
        <v>1.2860416666666701</v>
      </c>
      <c r="L55" s="54">
        <v>0.145416666666667</v>
      </c>
      <c r="M55" s="54">
        <v>0</v>
      </c>
      <c r="N55" s="54">
        <v>1.2860416666666701</v>
      </c>
      <c r="O55" s="54">
        <v>0</v>
      </c>
      <c r="P55" s="54">
        <v>0</v>
      </c>
      <c r="Q55" s="54">
        <v>0.43333333333333302</v>
      </c>
      <c r="R55" s="54">
        <v>0.85270833333333296</v>
      </c>
      <c r="S55" s="54">
        <v>0</v>
      </c>
      <c r="T55" s="54">
        <v>0</v>
      </c>
      <c r="U55" s="54">
        <v>0</v>
      </c>
      <c r="V55" s="54">
        <v>0</v>
      </c>
      <c r="W55" s="55">
        <v>0.950516664241013</v>
      </c>
      <c r="X55" s="53" t="s">
        <v>592</v>
      </c>
      <c r="Y55" s="53" t="s">
        <v>583</v>
      </c>
      <c r="Z55" s="53" t="s">
        <v>583</v>
      </c>
      <c r="AA55" s="53">
        <v>3</v>
      </c>
      <c r="AB55" s="53">
        <v>1</v>
      </c>
      <c r="AC55" s="34">
        <v>0</v>
      </c>
      <c r="AD55" s="34">
        <v>58</v>
      </c>
      <c r="AE55" s="34">
        <v>0</v>
      </c>
      <c r="AF55" s="34">
        <v>0</v>
      </c>
      <c r="AG55" s="34">
        <v>2</v>
      </c>
      <c r="AH55" s="34">
        <v>4</v>
      </c>
      <c r="AI55" s="34">
        <v>17</v>
      </c>
      <c r="AJ55" s="34">
        <v>3</v>
      </c>
      <c r="AK55" s="34">
        <v>34</v>
      </c>
      <c r="AL55" s="34">
        <v>147</v>
      </c>
      <c r="AM55" s="13" t="s">
        <v>662</v>
      </c>
      <c r="AN55" s="54">
        <v>0</v>
      </c>
      <c r="AO55" s="56">
        <f>--($D55='START HERE'!$C$5)</f>
        <v>0</v>
      </c>
    </row>
    <row r="56" spans="2:41">
      <c r="B56" s="34">
        <v>9844</v>
      </c>
      <c r="C56" s="7" t="s">
        <v>664</v>
      </c>
      <c r="D56" s="13" t="s">
        <v>644</v>
      </c>
      <c r="E56" s="13" t="s">
        <v>649</v>
      </c>
      <c r="F56" s="53" t="s">
        <v>595</v>
      </c>
      <c r="G56" s="53" t="s">
        <v>113</v>
      </c>
      <c r="H56" s="13" t="s">
        <v>596</v>
      </c>
      <c r="I56" s="53" t="s">
        <v>597</v>
      </c>
      <c r="J56" s="54">
        <v>1.3541666666666701</v>
      </c>
      <c r="K56" s="54">
        <v>0.67083333333333295</v>
      </c>
      <c r="L56" s="54">
        <v>0.68333333333333302</v>
      </c>
      <c r="M56" s="54">
        <v>0</v>
      </c>
      <c r="N56" s="54">
        <v>0.67083333333333295</v>
      </c>
      <c r="O56" s="54">
        <v>0</v>
      </c>
      <c r="P56" s="54">
        <v>0</v>
      </c>
      <c r="Q56" s="54">
        <v>0</v>
      </c>
      <c r="R56" s="54">
        <v>0.67083333333333295</v>
      </c>
      <c r="S56" s="54">
        <v>0</v>
      </c>
      <c r="T56" s="54">
        <v>0</v>
      </c>
      <c r="U56" s="54">
        <v>0</v>
      </c>
      <c r="V56" s="54">
        <v>0</v>
      </c>
      <c r="W56" s="55">
        <v>0.36923076923076897</v>
      </c>
      <c r="X56" s="53" t="s">
        <v>592</v>
      </c>
      <c r="Y56" s="53" t="s">
        <v>583</v>
      </c>
      <c r="Z56" s="53" t="s">
        <v>582</v>
      </c>
      <c r="AA56" s="53">
        <v>3</v>
      </c>
      <c r="AB56" s="53">
        <v>1</v>
      </c>
      <c r="AC56" s="34">
        <v>0</v>
      </c>
      <c r="AD56" s="34">
        <v>6</v>
      </c>
      <c r="AE56" s="34">
        <v>0</v>
      </c>
      <c r="AF56" s="34">
        <v>0</v>
      </c>
      <c r="AG56" s="34">
        <v>5</v>
      </c>
      <c r="AH56" s="34">
        <v>3</v>
      </c>
      <c r="AI56" s="34">
        <v>23</v>
      </c>
      <c r="AJ56" s="34">
        <v>7</v>
      </c>
      <c r="AK56" s="34">
        <v>0</v>
      </c>
      <c r="AL56" s="34">
        <v>17</v>
      </c>
      <c r="AM56" s="13" t="s">
        <v>629</v>
      </c>
      <c r="AN56" s="54">
        <v>0</v>
      </c>
      <c r="AO56" s="56">
        <f>--($D56='START HERE'!$C$5)</f>
        <v>0</v>
      </c>
    </row>
    <row r="57" spans="2:41">
      <c r="B57" s="34">
        <v>12890</v>
      </c>
      <c r="C57" s="7" t="s">
        <v>665</v>
      </c>
      <c r="D57" s="13" t="s">
        <v>644</v>
      </c>
      <c r="E57" s="13" t="s">
        <v>651</v>
      </c>
      <c r="F57" s="53" t="s">
        <v>595</v>
      </c>
      <c r="G57" s="53" t="s">
        <v>113</v>
      </c>
      <c r="H57" s="13" t="s">
        <v>596</v>
      </c>
      <c r="I57" s="53" t="s">
        <v>597</v>
      </c>
      <c r="J57" s="54">
        <v>1.2971250000000001</v>
      </c>
      <c r="K57" s="54">
        <v>1.2346250000000001</v>
      </c>
      <c r="L57" s="54">
        <v>6.25E-2</v>
      </c>
      <c r="M57" s="54">
        <v>0</v>
      </c>
      <c r="N57" s="54">
        <v>1.2346250000000001</v>
      </c>
      <c r="O57" s="54">
        <v>0</v>
      </c>
      <c r="P57" s="54">
        <v>0</v>
      </c>
      <c r="Q57" s="54">
        <v>0</v>
      </c>
      <c r="R57" s="54">
        <v>1.2346250000000001</v>
      </c>
      <c r="S57" s="54">
        <v>0</v>
      </c>
      <c r="T57" s="54">
        <v>0</v>
      </c>
      <c r="U57" s="54">
        <v>0</v>
      </c>
      <c r="V57" s="54">
        <v>0</v>
      </c>
      <c r="W57" s="55">
        <v>0.85063120362339795</v>
      </c>
      <c r="X57" s="53" t="s">
        <v>592</v>
      </c>
      <c r="Y57" s="53" t="s">
        <v>583</v>
      </c>
      <c r="Z57" s="53" t="s">
        <v>582</v>
      </c>
      <c r="AA57" s="53">
        <v>3</v>
      </c>
      <c r="AB57" s="53">
        <v>1</v>
      </c>
      <c r="AC57" s="34">
        <v>0</v>
      </c>
      <c r="AD57" s="34">
        <v>14</v>
      </c>
      <c r="AE57" s="34">
        <v>0</v>
      </c>
      <c r="AF57" s="34">
        <v>0</v>
      </c>
      <c r="AG57" s="34">
        <v>13</v>
      </c>
      <c r="AH57" s="34">
        <v>8</v>
      </c>
      <c r="AI57" s="34">
        <v>11</v>
      </c>
      <c r="AJ57" s="34">
        <v>9</v>
      </c>
      <c r="AK57" s="34">
        <v>0</v>
      </c>
      <c r="AL57" s="34">
        <v>85</v>
      </c>
      <c r="AM57" s="13" t="s">
        <v>584</v>
      </c>
      <c r="AN57" s="54">
        <v>0</v>
      </c>
      <c r="AO57" s="56">
        <f>--($D57='START HERE'!$C$5)</f>
        <v>0</v>
      </c>
    </row>
    <row r="58" spans="2:41">
      <c r="B58" s="34">
        <v>9896</v>
      </c>
      <c r="C58" s="7" t="s">
        <v>666</v>
      </c>
      <c r="D58" s="13" t="s">
        <v>644</v>
      </c>
      <c r="E58" s="13" t="s">
        <v>651</v>
      </c>
      <c r="F58" s="53" t="s">
        <v>590</v>
      </c>
      <c r="G58" s="53" t="s">
        <v>113</v>
      </c>
      <c r="H58" s="13" t="s">
        <v>596</v>
      </c>
      <c r="I58" s="53" t="s">
        <v>597</v>
      </c>
      <c r="J58" s="54">
        <v>1.196375</v>
      </c>
      <c r="K58" s="54">
        <v>1.091375</v>
      </c>
      <c r="L58" s="54">
        <v>0.105</v>
      </c>
      <c r="M58" s="54">
        <v>0</v>
      </c>
      <c r="N58" s="54">
        <v>1.091375</v>
      </c>
      <c r="O58" s="54">
        <v>0</v>
      </c>
      <c r="P58" s="54">
        <v>0</v>
      </c>
      <c r="Q58" s="54">
        <v>0</v>
      </c>
      <c r="R58" s="54">
        <v>1.091375</v>
      </c>
      <c r="S58" s="54">
        <v>0</v>
      </c>
      <c r="T58" s="54">
        <v>0</v>
      </c>
      <c r="U58" s="54">
        <v>0</v>
      </c>
      <c r="V58" s="54">
        <v>0</v>
      </c>
      <c r="W58" s="55">
        <v>0.98955177097482006</v>
      </c>
      <c r="X58" s="53" t="s">
        <v>592</v>
      </c>
      <c r="Y58" s="53" t="s">
        <v>583</v>
      </c>
      <c r="Z58" s="53" t="s">
        <v>583</v>
      </c>
      <c r="AA58" s="53">
        <v>3</v>
      </c>
      <c r="AB58" s="53">
        <v>1</v>
      </c>
      <c r="AC58" s="34">
        <v>0</v>
      </c>
      <c r="AD58" s="34">
        <v>11</v>
      </c>
      <c r="AE58" s="34">
        <v>0</v>
      </c>
      <c r="AF58" s="34">
        <v>0</v>
      </c>
      <c r="AG58" s="34">
        <v>1</v>
      </c>
      <c r="AH58" s="34">
        <v>1</v>
      </c>
      <c r="AI58" s="34">
        <v>4</v>
      </c>
      <c r="AJ58" s="34">
        <v>1</v>
      </c>
      <c r="AK58" s="34">
        <v>0</v>
      </c>
      <c r="AL58" s="34">
        <v>25</v>
      </c>
      <c r="AM58" s="13" t="s">
        <v>629</v>
      </c>
      <c r="AN58" s="54">
        <v>0</v>
      </c>
      <c r="AO58" s="56">
        <f>--($D58='START HERE'!$C$5)</f>
        <v>0</v>
      </c>
    </row>
    <row r="59" spans="2:41">
      <c r="B59" s="34">
        <v>9941</v>
      </c>
      <c r="C59" s="7" t="s">
        <v>667</v>
      </c>
      <c r="D59" s="13" t="s">
        <v>644</v>
      </c>
      <c r="E59" s="13" t="s">
        <v>645</v>
      </c>
      <c r="F59" s="53" t="s">
        <v>595</v>
      </c>
      <c r="G59" s="53" t="s">
        <v>113</v>
      </c>
      <c r="H59" s="13" t="s">
        <v>596</v>
      </c>
      <c r="I59" s="53" t="s">
        <v>597</v>
      </c>
      <c r="J59" s="54">
        <v>1.0166645833333301</v>
      </c>
      <c r="K59" s="54">
        <v>0.92916458333333296</v>
      </c>
      <c r="L59" s="54">
        <v>8.7499999999999994E-2</v>
      </c>
      <c r="M59" s="54">
        <v>0</v>
      </c>
      <c r="N59" s="54">
        <v>0.92916458333333296</v>
      </c>
      <c r="O59" s="54">
        <v>0</v>
      </c>
      <c r="P59" s="54">
        <v>0</v>
      </c>
      <c r="Q59" s="54">
        <v>0</v>
      </c>
      <c r="R59" s="54">
        <v>0.92916458333333296</v>
      </c>
      <c r="S59" s="54">
        <v>0</v>
      </c>
      <c r="T59" s="54">
        <v>0</v>
      </c>
      <c r="U59" s="54">
        <v>0</v>
      </c>
      <c r="V59" s="54">
        <v>0</v>
      </c>
      <c r="W59" s="55">
        <v>0.41311355146219603</v>
      </c>
      <c r="X59" s="53" t="s">
        <v>581</v>
      </c>
      <c r="Y59" s="53" t="s">
        <v>583</v>
      </c>
      <c r="Z59" s="53" t="s">
        <v>583</v>
      </c>
      <c r="AA59" s="53">
        <v>3</v>
      </c>
      <c r="AB59" s="53">
        <v>1</v>
      </c>
      <c r="AC59" s="34">
        <v>325915</v>
      </c>
      <c r="AD59" s="34">
        <v>6</v>
      </c>
      <c r="AE59" s="34">
        <v>0</v>
      </c>
      <c r="AF59" s="34">
        <v>0</v>
      </c>
      <c r="AG59" s="34">
        <v>5</v>
      </c>
      <c r="AH59" s="34">
        <v>2</v>
      </c>
      <c r="AI59" s="34">
        <v>10</v>
      </c>
      <c r="AJ59" s="34">
        <v>4</v>
      </c>
      <c r="AK59" s="34">
        <v>0</v>
      </c>
      <c r="AL59" s="34">
        <v>24</v>
      </c>
      <c r="AM59" s="13" t="s">
        <v>593</v>
      </c>
      <c r="AN59" s="54">
        <v>0</v>
      </c>
      <c r="AO59" s="56">
        <f>--($D59='START HERE'!$C$5)</f>
        <v>0</v>
      </c>
    </row>
    <row r="60" spans="2:41">
      <c r="B60" s="34">
        <v>11005</v>
      </c>
      <c r="C60" s="7" t="s">
        <v>668</v>
      </c>
      <c r="D60" s="13" t="s">
        <v>644</v>
      </c>
      <c r="E60" s="13" t="s">
        <v>651</v>
      </c>
      <c r="F60" s="53" t="s">
        <v>590</v>
      </c>
      <c r="G60" s="53" t="s">
        <v>113</v>
      </c>
      <c r="H60" s="13" t="s">
        <v>596</v>
      </c>
      <c r="I60" s="53" t="s">
        <v>597</v>
      </c>
      <c r="J60" s="54">
        <v>0.90416666666666701</v>
      </c>
      <c r="K60" s="54">
        <v>0.36249999999999999</v>
      </c>
      <c r="L60" s="54">
        <v>4.1666666666666699E-2</v>
      </c>
      <c r="M60" s="54">
        <v>0.5</v>
      </c>
      <c r="N60" s="54">
        <v>0.36249999999999999</v>
      </c>
      <c r="O60" s="54">
        <v>0</v>
      </c>
      <c r="P60" s="54">
        <v>0</v>
      </c>
      <c r="Q60" s="54">
        <v>0</v>
      </c>
      <c r="R60" s="54">
        <v>0.36249999999999999</v>
      </c>
      <c r="S60" s="54">
        <v>0</v>
      </c>
      <c r="T60" s="54">
        <v>0</v>
      </c>
      <c r="U60" s="54">
        <v>0</v>
      </c>
      <c r="V60" s="54">
        <v>0</v>
      </c>
      <c r="W60" s="55">
        <v>0.44700460829493099</v>
      </c>
      <c r="X60" s="53" t="s">
        <v>581</v>
      </c>
      <c r="Y60" s="53" t="s">
        <v>583</v>
      </c>
      <c r="Z60" s="53" t="s">
        <v>583</v>
      </c>
      <c r="AA60" s="53">
        <v>3</v>
      </c>
      <c r="AB60" s="53">
        <v>1</v>
      </c>
      <c r="AC60" s="34">
        <v>0</v>
      </c>
      <c r="AD60" s="34">
        <v>1</v>
      </c>
      <c r="AE60" s="34">
        <v>0</v>
      </c>
      <c r="AF60" s="34">
        <v>0</v>
      </c>
      <c r="AG60" s="34">
        <v>0</v>
      </c>
      <c r="AH60" s="34">
        <v>0</v>
      </c>
      <c r="AI60" s="34">
        <v>0</v>
      </c>
      <c r="AJ60" s="34">
        <v>0</v>
      </c>
      <c r="AK60" s="34">
        <v>0</v>
      </c>
      <c r="AL60" s="34">
        <v>10</v>
      </c>
      <c r="AM60" s="13" t="s">
        <v>629</v>
      </c>
      <c r="AN60" s="54">
        <v>0</v>
      </c>
      <c r="AO60" s="56">
        <f>--($D60='START HERE'!$C$5)</f>
        <v>0</v>
      </c>
    </row>
    <row r="61" spans="2:41">
      <c r="B61" s="34">
        <v>9995</v>
      </c>
      <c r="C61" s="7" t="s">
        <v>669</v>
      </c>
      <c r="D61" s="13" t="s">
        <v>644</v>
      </c>
      <c r="E61" s="13" t="s">
        <v>645</v>
      </c>
      <c r="F61" s="53" t="s">
        <v>149</v>
      </c>
      <c r="G61" s="53" t="s">
        <v>113</v>
      </c>
      <c r="H61" s="13" t="s">
        <v>596</v>
      </c>
      <c r="I61" s="53" t="s">
        <v>597</v>
      </c>
      <c r="J61" s="54">
        <v>0.77916666666666701</v>
      </c>
      <c r="K61" s="54">
        <v>0.77916666666666701</v>
      </c>
      <c r="L61" s="54">
        <v>0</v>
      </c>
      <c r="M61" s="54">
        <v>0</v>
      </c>
      <c r="N61" s="54">
        <v>0.77916666666666701</v>
      </c>
      <c r="O61" s="54">
        <v>0</v>
      </c>
      <c r="P61" s="54">
        <v>0</v>
      </c>
      <c r="Q61" s="54">
        <v>0</v>
      </c>
      <c r="R61" s="54">
        <v>0.77916666666666701</v>
      </c>
      <c r="S61" s="54">
        <v>0</v>
      </c>
      <c r="T61" s="54">
        <v>0</v>
      </c>
      <c r="U61" s="54">
        <v>0</v>
      </c>
      <c r="V61" s="54">
        <v>0</v>
      </c>
      <c r="W61" s="55">
        <v>0.67914438502673802</v>
      </c>
      <c r="X61" s="53" t="s">
        <v>592</v>
      </c>
      <c r="Y61" s="53" t="s">
        <v>583</v>
      </c>
      <c r="Z61" s="53" t="s">
        <v>583</v>
      </c>
      <c r="AA61" s="53">
        <v>3</v>
      </c>
      <c r="AB61" s="53">
        <v>1</v>
      </c>
      <c r="AC61" s="34">
        <v>0</v>
      </c>
      <c r="AD61" s="34">
        <v>0</v>
      </c>
      <c r="AE61" s="34">
        <v>0</v>
      </c>
      <c r="AF61" s="34">
        <v>0</v>
      </c>
      <c r="AG61" s="34">
        <v>1</v>
      </c>
      <c r="AH61" s="34">
        <v>0</v>
      </c>
      <c r="AI61" s="34">
        <v>3</v>
      </c>
      <c r="AJ61" s="34">
        <v>1</v>
      </c>
      <c r="AK61" s="34">
        <v>3</v>
      </c>
      <c r="AL61" s="34">
        <v>49</v>
      </c>
      <c r="AM61" s="13" t="s">
        <v>584</v>
      </c>
      <c r="AN61" s="54">
        <v>0</v>
      </c>
      <c r="AO61" s="56">
        <f>--($D61='START HERE'!$C$5)</f>
        <v>0</v>
      </c>
    </row>
    <row r="62" spans="2:41" ht="24">
      <c r="B62" s="34">
        <v>14377</v>
      </c>
      <c r="C62" s="7" t="s">
        <v>670</v>
      </c>
      <c r="D62" s="13" t="s">
        <v>644</v>
      </c>
      <c r="E62" s="13" t="s">
        <v>651</v>
      </c>
      <c r="F62" s="53" t="s">
        <v>590</v>
      </c>
      <c r="G62" s="53" t="s">
        <v>113</v>
      </c>
      <c r="H62" s="13" t="s">
        <v>596</v>
      </c>
      <c r="I62" s="53" t="s">
        <v>597</v>
      </c>
      <c r="J62" s="54">
        <v>0.72624999999999995</v>
      </c>
      <c r="K62" s="54">
        <v>0.59708333333333297</v>
      </c>
      <c r="L62" s="54">
        <v>0.12916666666666701</v>
      </c>
      <c r="M62" s="54">
        <v>0</v>
      </c>
      <c r="N62" s="54">
        <v>0.59708333333333297</v>
      </c>
      <c r="O62" s="54">
        <v>0</v>
      </c>
      <c r="P62" s="54">
        <v>0</v>
      </c>
      <c r="Q62" s="54">
        <v>0</v>
      </c>
      <c r="R62" s="54">
        <v>0.59708333333333297</v>
      </c>
      <c r="S62" s="54">
        <v>0</v>
      </c>
      <c r="T62" s="54">
        <v>0</v>
      </c>
      <c r="U62" s="54">
        <v>0</v>
      </c>
      <c r="V62" s="54">
        <v>0</v>
      </c>
      <c r="W62" s="55">
        <v>0.97991967871485997</v>
      </c>
      <c r="X62" s="53" t="s">
        <v>592</v>
      </c>
      <c r="Y62" s="53" t="s">
        <v>583</v>
      </c>
      <c r="Z62" s="53" t="s">
        <v>583</v>
      </c>
      <c r="AA62" s="53">
        <v>3</v>
      </c>
      <c r="AB62" s="53">
        <v>1</v>
      </c>
      <c r="AC62" s="34">
        <v>0</v>
      </c>
      <c r="AD62" s="34">
        <v>73</v>
      </c>
      <c r="AE62" s="34">
        <v>0</v>
      </c>
      <c r="AF62" s="34">
        <v>0</v>
      </c>
      <c r="AG62" s="34">
        <v>0</v>
      </c>
      <c r="AH62" s="34">
        <v>0</v>
      </c>
      <c r="AI62" s="34">
        <v>5</v>
      </c>
      <c r="AJ62" s="34">
        <v>0</v>
      </c>
      <c r="AK62" s="34">
        <v>0</v>
      </c>
      <c r="AL62" s="34">
        <v>5</v>
      </c>
      <c r="AM62" s="13" t="s">
        <v>593</v>
      </c>
      <c r="AN62" s="54">
        <v>0</v>
      </c>
      <c r="AO62" s="56">
        <f>--($D62='START HERE'!$C$5)</f>
        <v>0</v>
      </c>
    </row>
    <row r="63" spans="2:41">
      <c r="B63" s="34">
        <v>11308</v>
      </c>
      <c r="C63" s="7" t="s">
        <v>671</v>
      </c>
      <c r="D63" s="13" t="s">
        <v>644</v>
      </c>
      <c r="E63" s="13" t="s">
        <v>645</v>
      </c>
      <c r="F63" s="53" t="s">
        <v>595</v>
      </c>
      <c r="G63" s="53" t="s">
        <v>113</v>
      </c>
      <c r="H63" s="13" t="s">
        <v>596</v>
      </c>
      <c r="I63" s="53" t="s">
        <v>597</v>
      </c>
      <c r="J63" s="54">
        <v>0.54374999999999996</v>
      </c>
      <c r="K63" s="54">
        <v>0.48125000000000001</v>
      </c>
      <c r="L63" s="54">
        <v>6.25E-2</v>
      </c>
      <c r="M63" s="54">
        <v>0</v>
      </c>
      <c r="N63" s="54">
        <v>0.48125000000000001</v>
      </c>
      <c r="O63" s="54">
        <v>0</v>
      </c>
      <c r="P63" s="54">
        <v>0</v>
      </c>
      <c r="Q63" s="54">
        <v>0</v>
      </c>
      <c r="R63" s="54">
        <v>0.48125000000000001</v>
      </c>
      <c r="S63" s="54">
        <v>0</v>
      </c>
      <c r="T63" s="54">
        <v>0</v>
      </c>
      <c r="U63" s="54">
        <v>0</v>
      </c>
      <c r="V63" s="54">
        <v>0</v>
      </c>
      <c r="W63" s="55">
        <v>0.37931034482758602</v>
      </c>
      <c r="X63" s="53" t="s">
        <v>592</v>
      </c>
      <c r="Y63" s="53" t="s">
        <v>583</v>
      </c>
      <c r="Z63" s="53" t="s">
        <v>583</v>
      </c>
      <c r="AA63" s="53">
        <v>3</v>
      </c>
      <c r="AB63" s="53">
        <v>1</v>
      </c>
      <c r="AC63" s="34">
        <v>219357</v>
      </c>
      <c r="AD63" s="34">
        <v>0</v>
      </c>
      <c r="AE63" s="34">
        <v>0</v>
      </c>
      <c r="AF63" s="34">
        <v>0</v>
      </c>
      <c r="AG63" s="34">
        <v>0</v>
      </c>
      <c r="AH63" s="34">
        <v>0</v>
      </c>
      <c r="AI63" s="34">
        <v>0</v>
      </c>
      <c r="AJ63" s="34">
        <v>0</v>
      </c>
      <c r="AK63" s="34">
        <v>6</v>
      </c>
      <c r="AL63" s="34">
        <v>15</v>
      </c>
      <c r="AM63" s="13" t="s">
        <v>593</v>
      </c>
      <c r="AN63" s="54">
        <v>0</v>
      </c>
      <c r="AO63" s="56">
        <f>--($D63='START HERE'!$C$5)</f>
        <v>0</v>
      </c>
    </row>
    <row r="64" spans="2:41">
      <c r="B64" s="34">
        <v>9852</v>
      </c>
      <c r="C64" s="7" t="s">
        <v>672</v>
      </c>
      <c r="D64" s="13" t="s">
        <v>644</v>
      </c>
      <c r="E64" s="13" t="s">
        <v>649</v>
      </c>
      <c r="F64" s="53" t="s">
        <v>595</v>
      </c>
      <c r="G64" s="53" t="s">
        <v>113</v>
      </c>
      <c r="H64" s="13" t="s">
        <v>596</v>
      </c>
      <c r="I64" s="53" t="s">
        <v>597</v>
      </c>
      <c r="J64" s="54">
        <v>0.50833333333333297</v>
      </c>
      <c r="K64" s="54">
        <v>0.50833333333333297</v>
      </c>
      <c r="L64" s="54">
        <v>0</v>
      </c>
      <c r="M64" s="54">
        <v>0</v>
      </c>
      <c r="N64" s="54">
        <v>0.50833333333333297</v>
      </c>
      <c r="O64" s="54">
        <v>0</v>
      </c>
      <c r="P64" s="54">
        <v>0</v>
      </c>
      <c r="Q64" s="54">
        <v>0</v>
      </c>
      <c r="R64" s="54">
        <v>0.50833333333333297</v>
      </c>
      <c r="S64" s="54">
        <v>0</v>
      </c>
      <c r="T64" s="54">
        <v>0</v>
      </c>
      <c r="U64" s="54">
        <v>0</v>
      </c>
      <c r="V64" s="54">
        <v>0</v>
      </c>
      <c r="W64" s="55">
        <v>0.36885245901639402</v>
      </c>
      <c r="X64" s="53" t="s">
        <v>592</v>
      </c>
      <c r="Y64" s="53" t="s">
        <v>583</v>
      </c>
      <c r="Z64" s="53" t="s">
        <v>583</v>
      </c>
      <c r="AA64" s="53">
        <v>3</v>
      </c>
      <c r="AB64" s="53">
        <v>3</v>
      </c>
      <c r="AC64" s="34">
        <v>0</v>
      </c>
      <c r="AD64" s="34">
        <v>20</v>
      </c>
      <c r="AE64" s="34">
        <v>0</v>
      </c>
      <c r="AF64" s="34">
        <v>0</v>
      </c>
      <c r="AG64" s="34">
        <v>5</v>
      </c>
      <c r="AH64" s="34">
        <v>8</v>
      </c>
      <c r="AI64" s="34">
        <v>79</v>
      </c>
      <c r="AJ64" s="34">
        <v>4</v>
      </c>
      <c r="AK64" s="34">
        <v>0</v>
      </c>
      <c r="AL64" s="34">
        <v>76</v>
      </c>
      <c r="AM64" s="13" t="s">
        <v>593</v>
      </c>
      <c r="AN64" s="54">
        <v>0</v>
      </c>
      <c r="AO64" s="56">
        <f>--($D64='START HERE'!$C$5)</f>
        <v>0</v>
      </c>
    </row>
    <row r="65" spans="2:41">
      <c r="B65" s="34">
        <v>9940</v>
      </c>
      <c r="C65" s="7" t="s">
        <v>673</v>
      </c>
      <c r="D65" s="13" t="s">
        <v>644</v>
      </c>
      <c r="E65" s="13" t="s">
        <v>645</v>
      </c>
      <c r="F65" s="53" t="s">
        <v>149</v>
      </c>
      <c r="G65" s="53" t="s">
        <v>113</v>
      </c>
      <c r="H65" s="13" t="s">
        <v>596</v>
      </c>
      <c r="I65" s="53" t="s">
        <v>597</v>
      </c>
      <c r="J65" s="54">
        <v>0.41249999999999998</v>
      </c>
      <c r="K65" s="54">
        <v>0.38750000000000001</v>
      </c>
      <c r="L65" s="54">
        <v>2.5000000000000001E-2</v>
      </c>
      <c r="M65" s="54">
        <v>0</v>
      </c>
      <c r="N65" s="54">
        <v>0.38750000000000001</v>
      </c>
      <c r="O65" s="54">
        <v>0</v>
      </c>
      <c r="P65" s="54">
        <v>0</v>
      </c>
      <c r="Q65" s="54">
        <v>0</v>
      </c>
      <c r="R65" s="54">
        <v>0.38750000000000001</v>
      </c>
      <c r="S65" s="54">
        <v>0</v>
      </c>
      <c r="T65" s="54">
        <v>0</v>
      </c>
      <c r="U65" s="54">
        <v>0</v>
      </c>
      <c r="V65" s="54">
        <v>0</v>
      </c>
      <c r="W65" s="55">
        <v>0.81818181818181801</v>
      </c>
      <c r="X65" s="53" t="s">
        <v>592</v>
      </c>
      <c r="Y65" s="53" t="s">
        <v>583</v>
      </c>
      <c r="Z65" s="53" t="s">
        <v>583</v>
      </c>
      <c r="AA65" s="53">
        <v>3</v>
      </c>
      <c r="AB65" s="53">
        <v>3</v>
      </c>
      <c r="AC65" s="34">
        <v>15634</v>
      </c>
      <c r="AD65" s="34">
        <v>30</v>
      </c>
      <c r="AE65" s="34">
        <v>0</v>
      </c>
      <c r="AF65" s="34">
        <v>0</v>
      </c>
      <c r="AG65" s="34">
        <v>0</v>
      </c>
      <c r="AH65" s="34">
        <v>4</v>
      </c>
      <c r="AI65" s="34">
        <v>8</v>
      </c>
      <c r="AJ65" s="34">
        <v>0</v>
      </c>
      <c r="AK65" s="34">
        <v>0</v>
      </c>
      <c r="AL65" s="34">
        <v>9</v>
      </c>
      <c r="AM65" s="13" t="s">
        <v>662</v>
      </c>
      <c r="AN65" s="54">
        <v>0</v>
      </c>
      <c r="AO65" s="56">
        <f>--($D65='START HERE'!$C$5)</f>
        <v>0</v>
      </c>
    </row>
    <row r="66" spans="2:41">
      <c r="B66" s="34">
        <v>9851</v>
      </c>
      <c r="C66" s="7" t="s">
        <v>674</v>
      </c>
      <c r="D66" s="13" t="s">
        <v>644</v>
      </c>
      <c r="E66" s="13" t="s">
        <v>645</v>
      </c>
      <c r="F66" s="53" t="s">
        <v>149</v>
      </c>
      <c r="G66" s="53" t="s">
        <v>113</v>
      </c>
      <c r="H66" s="13" t="s">
        <v>596</v>
      </c>
      <c r="I66" s="53" t="s">
        <v>597</v>
      </c>
      <c r="J66" s="54">
        <v>0.40833333333333299</v>
      </c>
      <c r="K66" s="54">
        <v>0.29166666666666702</v>
      </c>
      <c r="L66" s="54">
        <v>0.116666666666667</v>
      </c>
      <c r="M66" s="54">
        <v>0</v>
      </c>
      <c r="N66" s="54">
        <v>0.29166666666666702</v>
      </c>
      <c r="O66" s="54">
        <v>0</v>
      </c>
      <c r="P66" s="54">
        <v>0</v>
      </c>
      <c r="Q66" s="54">
        <v>0</v>
      </c>
      <c r="R66" s="54">
        <v>0.29166666666666702</v>
      </c>
      <c r="S66" s="54">
        <v>0</v>
      </c>
      <c r="T66" s="54">
        <v>0</v>
      </c>
      <c r="U66" s="54">
        <v>0</v>
      </c>
      <c r="V66" s="54">
        <v>0</v>
      </c>
      <c r="W66" s="55">
        <v>0.82653061224489799</v>
      </c>
      <c r="X66" s="53" t="s">
        <v>581</v>
      </c>
      <c r="Y66" s="53" t="s">
        <v>583</v>
      </c>
      <c r="Z66" s="53" t="s">
        <v>583</v>
      </c>
      <c r="AA66" s="53">
        <v>3</v>
      </c>
      <c r="AB66" s="53">
        <v>1</v>
      </c>
      <c r="AC66" s="34">
        <v>14000</v>
      </c>
      <c r="AD66" s="34">
        <v>18</v>
      </c>
      <c r="AE66" s="34">
        <v>0</v>
      </c>
      <c r="AF66" s="34">
        <v>0</v>
      </c>
      <c r="AG66" s="34">
        <v>0</v>
      </c>
      <c r="AH66" s="34">
        <v>0</v>
      </c>
      <c r="AI66" s="34">
        <v>3</v>
      </c>
      <c r="AJ66" s="34">
        <v>0</v>
      </c>
      <c r="AK66" s="34">
        <v>0</v>
      </c>
      <c r="AL66" s="34">
        <v>21</v>
      </c>
      <c r="AM66" s="13" t="s">
        <v>629</v>
      </c>
      <c r="AN66" s="54">
        <v>0</v>
      </c>
      <c r="AO66" s="56">
        <f>--($D66='START HERE'!$C$5)</f>
        <v>0</v>
      </c>
    </row>
    <row r="67" spans="2:41">
      <c r="B67" s="34">
        <v>9907</v>
      </c>
      <c r="C67" s="7" t="s">
        <v>675</v>
      </c>
      <c r="D67" s="13" t="s">
        <v>644</v>
      </c>
      <c r="E67" s="13" t="s">
        <v>645</v>
      </c>
      <c r="F67" s="53" t="s">
        <v>149</v>
      </c>
      <c r="G67" s="53" t="s">
        <v>113</v>
      </c>
      <c r="H67" s="13" t="s">
        <v>596</v>
      </c>
      <c r="I67" s="53" t="s">
        <v>597</v>
      </c>
      <c r="J67" s="54">
        <v>0.38583333333333297</v>
      </c>
      <c r="K67" s="54">
        <v>0.38583333333333297</v>
      </c>
      <c r="L67" s="54">
        <v>0</v>
      </c>
      <c r="M67" s="54">
        <v>0</v>
      </c>
      <c r="N67" s="54">
        <v>0.38583333333333297</v>
      </c>
      <c r="O67" s="54">
        <v>0</v>
      </c>
      <c r="P67" s="54">
        <v>0</v>
      </c>
      <c r="Q67" s="54">
        <v>0</v>
      </c>
      <c r="R67" s="54">
        <v>0.135833333333333</v>
      </c>
      <c r="S67" s="54">
        <v>0</v>
      </c>
      <c r="T67" s="54">
        <v>0.25</v>
      </c>
      <c r="U67" s="54">
        <v>0</v>
      </c>
      <c r="V67" s="54">
        <v>0</v>
      </c>
      <c r="W67" s="55">
        <v>0.35205183585313199</v>
      </c>
      <c r="X67" s="53" t="s">
        <v>592</v>
      </c>
      <c r="Y67" s="53" t="s">
        <v>583</v>
      </c>
      <c r="Z67" s="53" t="s">
        <v>583</v>
      </c>
      <c r="AA67" s="53">
        <v>3</v>
      </c>
      <c r="AB67" s="53">
        <v>3</v>
      </c>
      <c r="AC67" s="34">
        <v>0</v>
      </c>
      <c r="AD67" s="34">
        <v>6</v>
      </c>
      <c r="AE67" s="34">
        <v>0</v>
      </c>
      <c r="AF67" s="34">
        <v>0</v>
      </c>
      <c r="AG67" s="34">
        <v>1</v>
      </c>
      <c r="AH67" s="34">
        <v>0</v>
      </c>
      <c r="AI67" s="34">
        <v>30</v>
      </c>
      <c r="AJ67" s="34">
        <v>1</v>
      </c>
      <c r="AK67" s="34">
        <v>14</v>
      </c>
      <c r="AL67" s="34">
        <v>37</v>
      </c>
      <c r="AM67" s="13" t="s">
        <v>629</v>
      </c>
      <c r="AN67" s="54">
        <v>0</v>
      </c>
      <c r="AO67" s="56">
        <f>--($D67='START HERE'!$C$5)</f>
        <v>0</v>
      </c>
    </row>
    <row r="68" spans="2:41">
      <c r="B68" s="34">
        <v>9969</v>
      </c>
      <c r="C68" s="7" t="s">
        <v>676</v>
      </c>
      <c r="D68" s="13" t="s">
        <v>644</v>
      </c>
      <c r="E68" s="13" t="s">
        <v>651</v>
      </c>
      <c r="F68" s="53" t="s">
        <v>590</v>
      </c>
      <c r="G68" s="53" t="s">
        <v>113</v>
      </c>
      <c r="H68" s="13" t="s">
        <v>596</v>
      </c>
      <c r="I68" s="53" t="s">
        <v>597</v>
      </c>
      <c r="J68" s="54">
        <v>0.33737499999999998</v>
      </c>
      <c r="K68" s="54">
        <v>0.31237500000000001</v>
      </c>
      <c r="L68" s="54">
        <v>2.5000000000000001E-2</v>
      </c>
      <c r="M68" s="54">
        <v>0</v>
      </c>
      <c r="N68" s="54">
        <v>0.31237500000000001</v>
      </c>
      <c r="O68" s="54">
        <v>0</v>
      </c>
      <c r="P68" s="54">
        <v>0</v>
      </c>
      <c r="Q68" s="54">
        <v>0</v>
      </c>
      <c r="R68" s="54">
        <v>0.31237500000000001</v>
      </c>
      <c r="S68" s="54">
        <v>0</v>
      </c>
      <c r="T68" s="54">
        <v>0</v>
      </c>
      <c r="U68" s="54">
        <v>0</v>
      </c>
      <c r="V68" s="54">
        <v>0</v>
      </c>
      <c r="W68" s="55">
        <v>0.67580585402000704</v>
      </c>
      <c r="X68" s="53" t="s">
        <v>592</v>
      </c>
      <c r="Y68" s="53" t="s">
        <v>583</v>
      </c>
      <c r="Z68" s="53" t="s">
        <v>583</v>
      </c>
      <c r="AA68" s="53">
        <v>3</v>
      </c>
      <c r="AB68" s="53">
        <v>1</v>
      </c>
      <c r="AC68" s="34">
        <v>0</v>
      </c>
      <c r="AD68" s="34">
        <v>111</v>
      </c>
      <c r="AE68" s="34">
        <v>0</v>
      </c>
      <c r="AF68" s="34">
        <v>0</v>
      </c>
      <c r="AG68" s="34">
        <v>5</v>
      </c>
      <c r="AH68" s="34">
        <v>0</v>
      </c>
      <c r="AI68" s="34">
        <v>10</v>
      </c>
      <c r="AJ68" s="34">
        <v>3</v>
      </c>
      <c r="AK68" s="34">
        <v>0</v>
      </c>
      <c r="AL68" s="34">
        <v>14</v>
      </c>
      <c r="AM68" s="13" t="s">
        <v>584</v>
      </c>
      <c r="AN68" s="54">
        <v>0</v>
      </c>
      <c r="AO68" s="56">
        <f>--($D68='START HERE'!$C$5)</f>
        <v>0</v>
      </c>
    </row>
    <row r="69" spans="2:41">
      <c r="B69" s="34">
        <v>11007</v>
      </c>
      <c r="C69" s="7" t="s">
        <v>677</v>
      </c>
      <c r="D69" s="13" t="s">
        <v>644</v>
      </c>
      <c r="E69" s="13" t="s">
        <v>651</v>
      </c>
      <c r="F69" s="53" t="s">
        <v>590</v>
      </c>
      <c r="G69" s="53" t="s">
        <v>113</v>
      </c>
      <c r="H69" s="13" t="s">
        <v>596</v>
      </c>
      <c r="I69" s="53" t="s">
        <v>597</v>
      </c>
      <c r="J69" s="54">
        <v>0.30783333333333301</v>
      </c>
      <c r="K69" s="54">
        <v>0.234916666666667</v>
      </c>
      <c r="L69" s="54">
        <v>7.2916666666666699E-2</v>
      </c>
      <c r="M69" s="54">
        <v>0</v>
      </c>
      <c r="N69" s="54">
        <v>0.234916666666667</v>
      </c>
      <c r="O69" s="54">
        <v>0</v>
      </c>
      <c r="P69" s="54">
        <v>0</v>
      </c>
      <c r="Q69" s="54">
        <v>0</v>
      </c>
      <c r="R69" s="54">
        <v>0.234916666666667</v>
      </c>
      <c r="S69" s="54">
        <v>0</v>
      </c>
      <c r="T69" s="54">
        <v>0</v>
      </c>
      <c r="U69" s="54">
        <v>0</v>
      </c>
      <c r="V69" s="54">
        <v>0</v>
      </c>
      <c r="W69" s="55">
        <v>0.95939361126150502</v>
      </c>
      <c r="X69" s="53" t="s">
        <v>592</v>
      </c>
      <c r="Y69" s="53" t="s">
        <v>583</v>
      </c>
      <c r="Z69" s="53" t="s">
        <v>583</v>
      </c>
      <c r="AA69" s="53">
        <v>3</v>
      </c>
      <c r="AB69" s="53">
        <v>1</v>
      </c>
      <c r="AC69" s="34">
        <v>0</v>
      </c>
      <c r="AD69" s="34">
        <v>2</v>
      </c>
      <c r="AE69" s="34">
        <v>0</v>
      </c>
      <c r="AF69" s="34">
        <v>0</v>
      </c>
      <c r="AG69" s="34">
        <v>0</v>
      </c>
      <c r="AH69" s="34">
        <v>2</v>
      </c>
      <c r="AI69" s="34">
        <v>12</v>
      </c>
      <c r="AJ69" s="34">
        <v>0</v>
      </c>
      <c r="AK69" s="34">
        <v>0</v>
      </c>
      <c r="AL69" s="34">
        <v>3</v>
      </c>
      <c r="AM69" s="13" t="s">
        <v>636</v>
      </c>
      <c r="AN69" s="54">
        <v>0</v>
      </c>
      <c r="AO69" s="56">
        <f>--($D69='START HERE'!$C$5)</f>
        <v>0</v>
      </c>
    </row>
    <row r="70" spans="2:41">
      <c r="B70" s="34">
        <v>14376</v>
      </c>
      <c r="C70" s="7" t="s">
        <v>678</v>
      </c>
      <c r="D70" s="13" t="s">
        <v>644</v>
      </c>
      <c r="E70" s="13" t="s">
        <v>651</v>
      </c>
      <c r="F70" s="53" t="s">
        <v>590</v>
      </c>
      <c r="G70" s="53" t="s">
        <v>113</v>
      </c>
      <c r="H70" s="13" t="s">
        <v>596</v>
      </c>
      <c r="I70" s="53" t="s">
        <v>597</v>
      </c>
      <c r="J70" s="54">
        <v>0.27479166666666699</v>
      </c>
      <c r="K70" s="54">
        <v>0.27479166666666699</v>
      </c>
      <c r="L70" s="54">
        <v>0</v>
      </c>
      <c r="M70" s="54">
        <v>0</v>
      </c>
      <c r="N70" s="54">
        <v>0.27479166666666699</v>
      </c>
      <c r="O70" s="54">
        <v>0</v>
      </c>
      <c r="P70" s="54">
        <v>0</v>
      </c>
      <c r="Q70" s="54">
        <v>0</v>
      </c>
      <c r="R70" s="54">
        <v>0.27479166666666699</v>
      </c>
      <c r="S70" s="54">
        <v>0</v>
      </c>
      <c r="T70" s="54">
        <v>0</v>
      </c>
      <c r="U70" s="54">
        <v>0</v>
      </c>
      <c r="V70" s="54">
        <v>0</v>
      </c>
      <c r="W70" s="55">
        <v>0.77255496588324502</v>
      </c>
      <c r="X70" s="53" t="s">
        <v>592</v>
      </c>
      <c r="Y70" s="53" t="s">
        <v>583</v>
      </c>
      <c r="Z70" s="53" t="s">
        <v>583</v>
      </c>
      <c r="AA70" s="53">
        <v>3</v>
      </c>
      <c r="AB70" s="53">
        <v>1</v>
      </c>
      <c r="AC70" s="34">
        <v>0</v>
      </c>
      <c r="AD70" s="34">
        <v>4</v>
      </c>
      <c r="AE70" s="34">
        <v>0</v>
      </c>
      <c r="AF70" s="34">
        <v>0</v>
      </c>
      <c r="AG70" s="34">
        <v>0</v>
      </c>
      <c r="AH70" s="34">
        <v>0</v>
      </c>
      <c r="AI70" s="34">
        <v>2</v>
      </c>
      <c r="AJ70" s="34">
        <v>0</v>
      </c>
      <c r="AK70" s="34">
        <v>0</v>
      </c>
      <c r="AL70" s="34">
        <v>1</v>
      </c>
      <c r="AM70" s="13" t="s">
        <v>593</v>
      </c>
      <c r="AN70" s="54">
        <v>0</v>
      </c>
      <c r="AO70" s="56">
        <f>--($D70='START HERE'!$C$5)</f>
        <v>0</v>
      </c>
    </row>
    <row r="71" spans="2:41">
      <c r="B71" s="34">
        <v>12721</v>
      </c>
      <c r="C71" s="7" t="s">
        <v>679</v>
      </c>
      <c r="D71" s="13" t="s">
        <v>644</v>
      </c>
      <c r="E71" s="13" t="s">
        <v>645</v>
      </c>
      <c r="F71" s="53" t="s">
        <v>590</v>
      </c>
      <c r="G71" s="53" t="s">
        <v>113</v>
      </c>
      <c r="H71" s="13" t="s">
        <v>596</v>
      </c>
      <c r="I71" s="53" t="s">
        <v>597</v>
      </c>
      <c r="J71" s="54">
        <v>0.241666666666667</v>
      </c>
      <c r="K71" s="54">
        <v>0.241666666666667</v>
      </c>
      <c r="L71" s="54">
        <v>0</v>
      </c>
      <c r="M71" s="54">
        <v>0</v>
      </c>
      <c r="N71" s="54">
        <v>0.241666666666667</v>
      </c>
      <c r="O71" s="54">
        <v>0</v>
      </c>
      <c r="P71" s="54">
        <v>0</v>
      </c>
      <c r="Q71" s="54">
        <v>0</v>
      </c>
      <c r="R71" s="54">
        <v>0.241666666666667</v>
      </c>
      <c r="S71" s="54">
        <v>0</v>
      </c>
      <c r="T71" s="54">
        <v>0</v>
      </c>
      <c r="U71" s="54">
        <v>0</v>
      </c>
      <c r="V71" s="54">
        <v>0</v>
      </c>
      <c r="W71" s="55">
        <v>0.931034482758621</v>
      </c>
      <c r="X71" s="53" t="s">
        <v>581</v>
      </c>
      <c r="Y71" s="53" t="s">
        <v>583</v>
      </c>
      <c r="Z71" s="53" t="s">
        <v>583</v>
      </c>
      <c r="AA71" s="53">
        <v>3</v>
      </c>
      <c r="AB71" s="53">
        <v>1</v>
      </c>
      <c r="AC71" s="34">
        <v>2000</v>
      </c>
      <c r="AD71" s="34">
        <v>4</v>
      </c>
      <c r="AE71" s="34">
        <v>0</v>
      </c>
      <c r="AF71" s="34">
        <v>0</v>
      </c>
      <c r="AG71" s="34">
        <v>0</v>
      </c>
      <c r="AH71" s="34">
        <v>1</v>
      </c>
      <c r="AI71" s="34">
        <v>14</v>
      </c>
      <c r="AJ71" s="34">
        <v>0</v>
      </c>
      <c r="AK71" s="34">
        <v>0</v>
      </c>
      <c r="AL71" s="34">
        <v>7</v>
      </c>
      <c r="AM71" s="13" t="s">
        <v>593</v>
      </c>
      <c r="AN71" s="54">
        <v>0</v>
      </c>
      <c r="AO71" s="56">
        <f>--($D71='START HERE'!$C$5)</f>
        <v>0</v>
      </c>
    </row>
    <row r="72" spans="2:41">
      <c r="B72" s="34">
        <v>11288</v>
      </c>
      <c r="C72" s="7" t="s">
        <v>680</v>
      </c>
      <c r="D72" s="13" t="s">
        <v>644</v>
      </c>
      <c r="E72" s="13" t="s">
        <v>645</v>
      </c>
      <c r="F72" s="53" t="s">
        <v>149</v>
      </c>
      <c r="G72" s="53" t="s">
        <v>113</v>
      </c>
      <c r="H72" s="13" t="s">
        <v>596</v>
      </c>
      <c r="I72" s="53" t="s">
        <v>597</v>
      </c>
      <c r="J72" s="54">
        <v>9.1666666666666702E-2</v>
      </c>
      <c r="K72" s="54">
        <v>9.1666666666666702E-2</v>
      </c>
      <c r="L72" s="54">
        <v>0</v>
      </c>
      <c r="M72" s="54">
        <v>0</v>
      </c>
      <c r="N72" s="54">
        <v>9.1666666666666702E-2</v>
      </c>
      <c r="O72" s="54">
        <v>0</v>
      </c>
      <c r="P72" s="54">
        <v>0</v>
      </c>
      <c r="Q72" s="54">
        <v>0</v>
      </c>
      <c r="R72" s="54">
        <v>9.1666666666666702E-2</v>
      </c>
      <c r="S72" s="54">
        <v>0</v>
      </c>
      <c r="T72" s="54">
        <v>0</v>
      </c>
      <c r="U72" s="54">
        <v>0</v>
      </c>
      <c r="V72" s="54">
        <v>0</v>
      </c>
      <c r="W72" s="55">
        <v>0.27272727272727298</v>
      </c>
      <c r="X72" s="53" t="s">
        <v>592</v>
      </c>
      <c r="Y72" s="53" t="s">
        <v>583</v>
      </c>
      <c r="Z72" s="53" t="s">
        <v>583</v>
      </c>
      <c r="AA72" s="53">
        <v>3</v>
      </c>
      <c r="AB72" s="53">
        <v>1</v>
      </c>
      <c r="AC72" s="34">
        <v>130000</v>
      </c>
      <c r="AD72" s="34">
        <v>7</v>
      </c>
      <c r="AE72" s="34">
        <v>0</v>
      </c>
      <c r="AF72" s="34">
        <v>0</v>
      </c>
      <c r="AG72" s="34">
        <v>0</v>
      </c>
      <c r="AH72" s="34">
        <v>0</v>
      </c>
      <c r="AI72" s="34">
        <v>0</v>
      </c>
      <c r="AJ72" s="34">
        <v>0</v>
      </c>
      <c r="AK72" s="34">
        <v>0</v>
      </c>
      <c r="AL72" s="34">
        <v>12</v>
      </c>
      <c r="AM72" s="13" t="s">
        <v>593</v>
      </c>
      <c r="AN72" s="54">
        <v>0</v>
      </c>
      <c r="AO72" s="56">
        <f>--($D72='START HERE'!$C$5)</f>
        <v>0</v>
      </c>
    </row>
    <row r="73" spans="2:41">
      <c r="B73" s="34">
        <v>9949</v>
      </c>
      <c r="C73" s="7" t="s">
        <v>681</v>
      </c>
      <c r="D73" s="13" t="s">
        <v>644</v>
      </c>
      <c r="E73" s="13" t="s">
        <v>645</v>
      </c>
      <c r="F73" s="53" t="s">
        <v>149</v>
      </c>
      <c r="G73" s="53" t="s">
        <v>113</v>
      </c>
      <c r="H73" s="13" t="s">
        <v>596</v>
      </c>
      <c r="I73" s="53" t="s">
        <v>597</v>
      </c>
      <c r="J73" s="54">
        <v>6.6666666666666693E-2</v>
      </c>
      <c r="K73" s="54">
        <v>6.6666666666666693E-2</v>
      </c>
      <c r="L73" s="54">
        <v>0</v>
      </c>
      <c r="M73" s="54">
        <v>0</v>
      </c>
      <c r="N73" s="54">
        <v>6.6666666666666693E-2</v>
      </c>
      <c r="O73" s="54">
        <v>0</v>
      </c>
      <c r="P73" s="54">
        <v>0</v>
      </c>
      <c r="Q73" s="54">
        <v>0</v>
      </c>
      <c r="R73" s="54">
        <v>6.6666666666666693E-2</v>
      </c>
      <c r="S73" s="54">
        <v>0</v>
      </c>
      <c r="T73" s="54">
        <v>0</v>
      </c>
      <c r="U73" s="54">
        <v>0</v>
      </c>
      <c r="V73" s="54">
        <v>0</v>
      </c>
      <c r="W73" s="55">
        <v>0</v>
      </c>
      <c r="X73" s="53" t="s">
        <v>592</v>
      </c>
      <c r="Y73" s="53" t="s">
        <v>583</v>
      </c>
      <c r="Z73" s="53" t="s">
        <v>583</v>
      </c>
      <c r="AA73" s="53">
        <v>3</v>
      </c>
      <c r="AB73" s="53">
        <v>1</v>
      </c>
      <c r="AC73" s="34">
        <v>140000</v>
      </c>
      <c r="AD73" s="34">
        <v>0</v>
      </c>
      <c r="AE73" s="34">
        <v>0</v>
      </c>
      <c r="AF73" s="34">
        <v>0</v>
      </c>
      <c r="AG73" s="34">
        <v>0</v>
      </c>
      <c r="AH73" s="34">
        <v>1</v>
      </c>
      <c r="AI73" s="34">
        <v>1</v>
      </c>
      <c r="AJ73" s="34">
        <v>0</v>
      </c>
      <c r="AK73" s="34">
        <v>0</v>
      </c>
      <c r="AL73" s="34">
        <v>16</v>
      </c>
      <c r="AM73" s="13" t="s">
        <v>593</v>
      </c>
      <c r="AN73" s="54">
        <v>0</v>
      </c>
      <c r="AO73" s="56">
        <f>--($D73='START HERE'!$C$5)</f>
        <v>0</v>
      </c>
    </row>
    <row r="74" spans="2:41">
      <c r="B74" s="34">
        <v>9965</v>
      </c>
      <c r="C74" s="7" t="s">
        <v>682</v>
      </c>
      <c r="D74" s="13" t="s">
        <v>644</v>
      </c>
      <c r="E74" s="13" t="s">
        <v>645</v>
      </c>
      <c r="F74" s="53" t="s">
        <v>149</v>
      </c>
      <c r="G74" s="53" t="s">
        <v>113</v>
      </c>
      <c r="H74" s="13" t="s">
        <v>596</v>
      </c>
      <c r="I74" s="53" t="s">
        <v>597</v>
      </c>
      <c r="J74" s="54">
        <v>6.25E-2</v>
      </c>
      <c r="K74" s="54">
        <v>2.5000000000000001E-2</v>
      </c>
      <c r="L74" s="54">
        <v>3.7499999999999999E-2</v>
      </c>
      <c r="M74" s="54">
        <v>0</v>
      </c>
      <c r="N74" s="54">
        <v>2.5000000000000001E-2</v>
      </c>
      <c r="O74" s="54">
        <v>0</v>
      </c>
      <c r="P74" s="54">
        <v>0</v>
      </c>
      <c r="Q74" s="54">
        <v>0</v>
      </c>
      <c r="R74" s="54">
        <v>2.5000000000000001E-2</v>
      </c>
      <c r="S74" s="54">
        <v>0</v>
      </c>
      <c r="T74" s="54">
        <v>0</v>
      </c>
      <c r="U74" s="54">
        <v>0</v>
      </c>
      <c r="V74" s="54">
        <v>0</v>
      </c>
      <c r="W74" s="55">
        <v>0.2</v>
      </c>
      <c r="X74" s="53" t="s">
        <v>592</v>
      </c>
      <c r="Y74" s="53" t="s">
        <v>583</v>
      </c>
      <c r="Z74" s="53" t="s">
        <v>583</v>
      </c>
      <c r="AA74" s="53">
        <v>3</v>
      </c>
      <c r="AB74" s="53">
        <v>1</v>
      </c>
      <c r="AC74" s="34">
        <v>65861</v>
      </c>
      <c r="AD74" s="34">
        <v>0</v>
      </c>
      <c r="AE74" s="34">
        <v>0</v>
      </c>
      <c r="AF74" s="34">
        <v>0</v>
      </c>
      <c r="AG74" s="34">
        <v>0</v>
      </c>
      <c r="AH74" s="34">
        <v>1</v>
      </c>
      <c r="AI74" s="34">
        <v>11</v>
      </c>
      <c r="AJ74" s="34">
        <v>0</v>
      </c>
      <c r="AK74" s="34">
        <v>0</v>
      </c>
      <c r="AL74" s="34">
        <v>5</v>
      </c>
      <c r="AM74" s="13" t="s">
        <v>593</v>
      </c>
      <c r="AN74" s="54">
        <v>0</v>
      </c>
      <c r="AO74" s="56">
        <f>--($D74='START HERE'!$C$5)</f>
        <v>0</v>
      </c>
    </row>
    <row r="75" spans="2:41">
      <c r="B75" s="34">
        <v>13405</v>
      </c>
      <c r="C75" s="7" t="s">
        <v>683</v>
      </c>
      <c r="D75" s="13" t="s">
        <v>644</v>
      </c>
      <c r="E75" s="13" t="s">
        <v>645</v>
      </c>
      <c r="F75" s="53" t="s">
        <v>590</v>
      </c>
      <c r="G75" s="53" t="s">
        <v>113</v>
      </c>
      <c r="H75" s="13" t="s">
        <v>596</v>
      </c>
      <c r="I75" s="53" t="s">
        <v>597</v>
      </c>
      <c r="J75" s="54">
        <v>0</v>
      </c>
      <c r="K75" s="54">
        <v>0</v>
      </c>
      <c r="L75" s="54">
        <v>0</v>
      </c>
      <c r="M75" s="54">
        <v>0</v>
      </c>
      <c r="N75" s="54">
        <v>0</v>
      </c>
      <c r="O75" s="54">
        <v>0</v>
      </c>
      <c r="P75" s="54">
        <v>0</v>
      </c>
      <c r="Q75" s="54">
        <v>0</v>
      </c>
      <c r="R75" s="54">
        <v>0</v>
      </c>
      <c r="S75" s="54">
        <v>0</v>
      </c>
      <c r="T75" s="54">
        <v>0</v>
      </c>
      <c r="U75" s="54">
        <v>0</v>
      </c>
      <c r="V75" s="54">
        <v>0</v>
      </c>
      <c r="W75" s="55">
        <v>0</v>
      </c>
      <c r="X75" s="53" t="s">
        <v>581</v>
      </c>
      <c r="Y75" s="53" t="s">
        <v>583</v>
      </c>
      <c r="Z75" s="53" t="s">
        <v>583</v>
      </c>
      <c r="AA75" s="53">
        <v>3</v>
      </c>
      <c r="AB75" s="53">
        <v>1</v>
      </c>
      <c r="AC75" s="34">
        <v>0</v>
      </c>
      <c r="AD75" s="34">
        <v>0</v>
      </c>
      <c r="AE75" s="34">
        <v>0</v>
      </c>
      <c r="AF75" s="34">
        <v>0</v>
      </c>
      <c r="AG75" s="34">
        <v>0</v>
      </c>
      <c r="AH75" s="34">
        <v>0</v>
      </c>
      <c r="AI75" s="34">
        <v>2</v>
      </c>
      <c r="AJ75" s="34">
        <v>0</v>
      </c>
      <c r="AK75" s="34">
        <v>0</v>
      </c>
      <c r="AL75" s="34">
        <v>0</v>
      </c>
      <c r="AM75" s="13" t="s">
        <v>593</v>
      </c>
      <c r="AN75" s="54">
        <v>0</v>
      </c>
      <c r="AO75" s="56">
        <f>--($D75='START HERE'!$C$5)</f>
        <v>0</v>
      </c>
    </row>
    <row r="76" spans="2:41">
      <c r="B76" s="34">
        <v>12932</v>
      </c>
      <c r="C76" s="7" t="s">
        <v>684</v>
      </c>
      <c r="D76" s="13" t="s">
        <v>685</v>
      </c>
      <c r="E76" s="13" t="s">
        <v>686</v>
      </c>
      <c r="F76" s="53" t="s">
        <v>578</v>
      </c>
      <c r="G76" s="53" t="s">
        <v>110</v>
      </c>
      <c r="H76" s="13" t="s">
        <v>587</v>
      </c>
      <c r="I76" s="53" t="s">
        <v>588</v>
      </c>
      <c r="J76" s="54">
        <v>73.686250000000101</v>
      </c>
      <c r="K76" s="54">
        <v>35.819583333333298</v>
      </c>
      <c r="L76" s="54">
        <v>25.000000000000099</v>
      </c>
      <c r="M76" s="54">
        <v>12.866666666666699</v>
      </c>
      <c r="N76" s="54">
        <v>27.1695833333333</v>
      </c>
      <c r="O76" s="54">
        <v>8.65</v>
      </c>
      <c r="P76" s="54">
        <v>0</v>
      </c>
      <c r="Q76" s="54">
        <v>4.3583333333333298</v>
      </c>
      <c r="R76" s="54">
        <v>10.2083333333333</v>
      </c>
      <c r="S76" s="54">
        <v>15.0666666666667</v>
      </c>
      <c r="T76" s="54">
        <v>4.875</v>
      </c>
      <c r="U76" s="54">
        <v>1</v>
      </c>
      <c r="V76" s="54">
        <v>0.31125000000000003</v>
      </c>
      <c r="W76" s="55">
        <v>0.91167506375567597</v>
      </c>
      <c r="X76" s="53" t="s">
        <v>581</v>
      </c>
      <c r="Y76" s="53" t="s">
        <v>583</v>
      </c>
      <c r="Z76" s="53" t="s">
        <v>583</v>
      </c>
      <c r="AA76" s="53">
        <v>1</v>
      </c>
      <c r="AB76" s="53">
        <v>2</v>
      </c>
      <c r="AC76" s="34">
        <v>100000</v>
      </c>
      <c r="AD76" s="34">
        <v>10</v>
      </c>
      <c r="AE76" s="34">
        <v>1</v>
      </c>
      <c r="AF76" s="34">
        <v>0</v>
      </c>
      <c r="AG76" s="34">
        <v>82</v>
      </c>
      <c r="AH76" s="34">
        <v>242</v>
      </c>
      <c r="AI76" s="34">
        <v>720</v>
      </c>
      <c r="AJ76" s="34">
        <v>18</v>
      </c>
      <c r="AK76" s="34">
        <v>93</v>
      </c>
      <c r="AL76" s="34">
        <v>334</v>
      </c>
      <c r="AM76" s="13" t="s">
        <v>584</v>
      </c>
      <c r="AN76" s="54">
        <v>9.4659999999999993</v>
      </c>
      <c r="AO76" s="56">
        <f>--($D76='START HERE'!$C$5)</f>
        <v>0</v>
      </c>
    </row>
    <row r="77" spans="2:41">
      <c r="B77" s="34">
        <v>12646</v>
      </c>
      <c r="C77" s="7" t="s">
        <v>687</v>
      </c>
      <c r="D77" s="13" t="s">
        <v>685</v>
      </c>
      <c r="E77" s="13" t="s">
        <v>688</v>
      </c>
      <c r="F77" s="53" t="s">
        <v>578</v>
      </c>
      <c r="G77" s="53" t="s">
        <v>110</v>
      </c>
      <c r="H77" s="13" t="s">
        <v>587</v>
      </c>
      <c r="I77" s="53" t="s">
        <v>588</v>
      </c>
      <c r="J77" s="54">
        <v>28.004166666666698</v>
      </c>
      <c r="K77" s="54">
        <v>9.5833333333333304</v>
      </c>
      <c r="L77" s="54">
        <v>11.3375</v>
      </c>
      <c r="M77" s="54">
        <v>7.0833333333333401</v>
      </c>
      <c r="N77" s="54">
        <v>4.75</v>
      </c>
      <c r="O77" s="54">
        <v>4.8333333333333304</v>
      </c>
      <c r="P77" s="54">
        <v>0</v>
      </c>
      <c r="Q77" s="54">
        <v>1</v>
      </c>
      <c r="R77" s="54">
        <v>2.8333333333333299</v>
      </c>
      <c r="S77" s="54">
        <v>4.125</v>
      </c>
      <c r="T77" s="54">
        <v>1</v>
      </c>
      <c r="U77" s="54">
        <v>0</v>
      </c>
      <c r="V77" s="54">
        <v>0.625</v>
      </c>
      <c r="W77" s="55">
        <v>0.81223032286862096</v>
      </c>
      <c r="X77" s="53" t="s">
        <v>581</v>
      </c>
      <c r="Y77" s="53" t="s">
        <v>583</v>
      </c>
      <c r="Z77" s="53" t="s">
        <v>582</v>
      </c>
      <c r="AA77" s="53">
        <v>1</v>
      </c>
      <c r="AB77" s="53">
        <v>3</v>
      </c>
      <c r="AC77" s="34">
        <v>0</v>
      </c>
      <c r="AD77" s="34">
        <v>15</v>
      </c>
      <c r="AE77" s="34">
        <v>0</v>
      </c>
      <c r="AF77" s="34">
        <v>1</v>
      </c>
      <c r="AG77" s="34">
        <v>14</v>
      </c>
      <c r="AH77" s="34">
        <v>9</v>
      </c>
      <c r="AI77" s="34">
        <v>47</v>
      </c>
      <c r="AJ77" s="34">
        <v>7</v>
      </c>
      <c r="AK77" s="34">
        <v>0</v>
      </c>
      <c r="AL77" s="34">
        <v>80</v>
      </c>
      <c r="AM77" s="13" t="s">
        <v>584</v>
      </c>
      <c r="AN77" s="54">
        <v>5.42</v>
      </c>
      <c r="AO77" s="56">
        <f>--($D77='START HERE'!$C$5)</f>
        <v>0</v>
      </c>
    </row>
    <row r="78" spans="2:41">
      <c r="B78" s="34">
        <v>12894</v>
      </c>
      <c r="C78" s="7" t="s">
        <v>689</v>
      </c>
      <c r="D78" s="13" t="s">
        <v>685</v>
      </c>
      <c r="E78" s="13" t="s">
        <v>690</v>
      </c>
      <c r="F78" s="53" t="s">
        <v>578</v>
      </c>
      <c r="G78" s="53" t="s">
        <v>110</v>
      </c>
      <c r="H78" s="13" t="s">
        <v>587</v>
      </c>
      <c r="I78" s="53" t="s">
        <v>588</v>
      </c>
      <c r="J78" s="54">
        <v>8.3312500000000007</v>
      </c>
      <c r="K78" s="54">
        <v>2.6333333333333302</v>
      </c>
      <c r="L78" s="54">
        <v>2.7791666666666699</v>
      </c>
      <c r="M78" s="54">
        <v>2.9187500000000002</v>
      </c>
      <c r="N78" s="54">
        <v>0.63333333333333297</v>
      </c>
      <c r="O78" s="54">
        <v>2</v>
      </c>
      <c r="P78" s="54">
        <v>0</v>
      </c>
      <c r="Q78" s="54">
        <v>0</v>
      </c>
      <c r="R78" s="54">
        <v>2</v>
      </c>
      <c r="S78" s="54">
        <v>0.125</v>
      </c>
      <c r="T78" s="54">
        <v>0.5</v>
      </c>
      <c r="U78" s="54">
        <v>0</v>
      </c>
      <c r="V78" s="54">
        <v>0</v>
      </c>
      <c r="W78" s="55">
        <v>0.92748187046761699</v>
      </c>
      <c r="X78" s="53" t="s">
        <v>581</v>
      </c>
      <c r="Y78" s="53" t="s">
        <v>583</v>
      </c>
      <c r="Z78" s="53" t="s">
        <v>583</v>
      </c>
      <c r="AA78" s="53">
        <v>1</v>
      </c>
      <c r="AB78" s="53">
        <v>3</v>
      </c>
      <c r="AC78" s="34">
        <v>0</v>
      </c>
      <c r="AD78" s="34">
        <v>0</v>
      </c>
      <c r="AE78" s="34">
        <v>0</v>
      </c>
      <c r="AF78" s="34">
        <v>0</v>
      </c>
      <c r="AG78" s="34">
        <v>2</v>
      </c>
      <c r="AH78" s="34">
        <v>44</v>
      </c>
      <c r="AI78" s="34">
        <v>15</v>
      </c>
      <c r="AJ78" s="34">
        <v>5</v>
      </c>
      <c r="AK78" s="34">
        <v>3</v>
      </c>
      <c r="AL78" s="34">
        <v>181</v>
      </c>
      <c r="AM78" s="13" t="s">
        <v>584</v>
      </c>
      <c r="AN78" s="54">
        <v>2.633</v>
      </c>
      <c r="AO78" s="56">
        <f>--($D78='START HERE'!$C$5)</f>
        <v>0</v>
      </c>
    </row>
    <row r="79" spans="2:41">
      <c r="B79" s="34">
        <v>13856</v>
      </c>
      <c r="C79" s="7" t="s">
        <v>691</v>
      </c>
      <c r="D79" s="13" t="s">
        <v>685</v>
      </c>
      <c r="E79" s="13" t="s">
        <v>690</v>
      </c>
      <c r="F79" s="53" t="s">
        <v>595</v>
      </c>
      <c r="G79" s="53" t="s">
        <v>110</v>
      </c>
      <c r="H79" s="13" t="s">
        <v>587</v>
      </c>
      <c r="I79" s="53" t="s">
        <v>588</v>
      </c>
      <c r="J79" s="54">
        <v>6.4024999999999999</v>
      </c>
      <c r="K79" s="54">
        <v>4.4024999999999999</v>
      </c>
      <c r="L79" s="54">
        <v>1.9583333333333299</v>
      </c>
      <c r="M79" s="54">
        <v>4.1666666666666699E-2</v>
      </c>
      <c r="N79" s="54">
        <v>0.65249999999999997</v>
      </c>
      <c r="O79" s="54">
        <v>3.75</v>
      </c>
      <c r="P79" s="54">
        <v>0</v>
      </c>
      <c r="Q79" s="54">
        <v>0</v>
      </c>
      <c r="R79" s="54">
        <v>4.2774999999999999</v>
      </c>
      <c r="S79" s="54">
        <v>0</v>
      </c>
      <c r="T79" s="54">
        <v>0.125</v>
      </c>
      <c r="U79" s="54">
        <v>0</v>
      </c>
      <c r="V79" s="54">
        <v>0</v>
      </c>
      <c r="W79" s="55">
        <v>0.957698815566836</v>
      </c>
      <c r="X79" s="53" t="s">
        <v>592</v>
      </c>
      <c r="Y79" s="53" t="s">
        <v>583</v>
      </c>
      <c r="Z79" s="53" t="s">
        <v>583</v>
      </c>
      <c r="AA79" s="53">
        <v>3</v>
      </c>
      <c r="AB79" s="53">
        <v>1</v>
      </c>
      <c r="AC79" s="34">
        <v>0</v>
      </c>
      <c r="AD79" s="34">
        <v>29</v>
      </c>
      <c r="AE79" s="34">
        <v>0</v>
      </c>
      <c r="AF79" s="34">
        <v>0</v>
      </c>
      <c r="AG79" s="34">
        <v>19</v>
      </c>
      <c r="AH79" s="34">
        <v>13</v>
      </c>
      <c r="AI79" s="34">
        <v>71</v>
      </c>
      <c r="AJ79" s="34">
        <v>15</v>
      </c>
      <c r="AK79" s="34">
        <v>0</v>
      </c>
      <c r="AL79" s="34">
        <v>110</v>
      </c>
      <c r="AM79" s="13" t="s">
        <v>593</v>
      </c>
      <c r="AN79" s="54">
        <v>0.27400000000000002</v>
      </c>
      <c r="AO79" s="56">
        <f>--($D79='START HERE'!$C$5)</f>
        <v>0</v>
      </c>
    </row>
    <row r="80" spans="2:41">
      <c r="B80" s="34">
        <v>13971</v>
      </c>
      <c r="C80" s="7" t="s">
        <v>692</v>
      </c>
      <c r="D80" s="13" t="s">
        <v>685</v>
      </c>
      <c r="E80" s="13" t="s">
        <v>690</v>
      </c>
      <c r="F80" s="53" t="s">
        <v>595</v>
      </c>
      <c r="G80" s="53" t="s">
        <v>113</v>
      </c>
      <c r="H80" s="13" t="s">
        <v>596</v>
      </c>
      <c r="I80" s="53" t="s">
        <v>597</v>
      </c>
      <c r="J80" s="54">
        <v>1.50416666666667</v>
      </c>
      <c r="K80" s="54">
        <v>0.95416666666666705</v>
      </c>
      <c r="L80" s="54">
        <v>0.55000000000000004</v>
      </c>
      <c r="M80" s="54">
        <v>0</v>
      </c>
      <c r="N80" s="54">
        <v>0.95416666666666705</v>
      </c>
      <c r="O80" s="54">
        <v>0</v>
      </c>
      <c r="P80" s="54">
        <v>0</v>
      </c>
      <c r="Q80" s="54">
        <v>0</v>
      </c>
      <c r="R80" s="54">
        <v>0.95416666666666705</v>
      </c>
      <c r="S80" s="54">
        <v>0</v>
      </c>
      <c r="T80" s="54">
        <v>0</v>
      </c>
      <c r="U80" s="54">
        <v>0</v>
      </c>
      <c r="V80" s="54">
        <v>0</v>
      </c>
      <c r="W80" s="55">
        <v>0.29362880886426601</v>
      </c>
      <c r="X80" s="53" t="s">
        <v>592</v>
      </c>
      <c r="Y80" s="53" t="s">
        <v>583</v>
      </c>
      <c r="Z80" s="53" t="s">
        <v>583</v>
      </c>
      <c r="AA80" s="53">
        <v>3</v>
      </c>
      <c r="AB80" s="53">
        <v>1</v>
      </c>
      <c r="AC80" s="34">
        <v>0</v>
      </c>
      <c r="AD80" s="34">
        <v>20</v>
      </c>
      <c r="AE80" s="34">
        <v>0</v>
      </c>
      <c r="AF80" s="34">
        <v>0</v>
      </c>
      <c r="AG80" s="34">
        <v>18</v>
      </c>
      <c r="AH80" s="34">
        <v>2</v>
      </c>
      <c r="AI80" s="34">
        <v>8</v>
      </c>
      <c r="AJ80" s="34">
        <v>6</v>
      </c>
      <c r="AK80" s="34">
        <v>0</v>
      </c>
      <c r="AL80" s="34">
        <v>80</v>
      </c>
      <c r="AM80" s="13" t="s">
        <v>584</v>
      </c>
      <c r="AN80" s="54">
        <v>5.8999999999999997E-2</v>
      </c>
      <c r="AO80" s="56">
        <f>--($D80='START HERE'!$C$5)</f>
        <v>0</v>
      </c>
    </row>
    <row r="81" spans="2:41">
      <c r="B81" s="34">
        <v>9843</v>
      </c>
      <c r="C81" s="7" t="s">
        <v>693</v>
      </c>
      <c r="D81" s="13" t="s">
        <v>685</v>
      </c>
      <c r="E81" s="13" t="s">
        <v>690</v>
      </c>
      <c r="F81" s="53" t="s">
        <v>595</v>
      </c>
      <c r="G81" s="53" t="s">
        <v>113</v>
      </c>
      <c r="H81" s="13" t="s">
        <v>596</v>
      </c>
      <c r="I81" s="53" t="s">
        <v>597</v>
      </c>
      <c r="J81" s="54">
        <v>1.42041666666667</v>
      </c>
      <c r="K81" s="54">
        <v>1.2120833333333301</v>
      </c>
      <c r="L81" s="54">
        <v>0.20833333333333301</v>
      </c>
      <c r="M81" s="54">
        <v>0</v>
      </c>
      <c r="N81" s="54">
        <v>1.2120833333333301</v>
      </c>
      <c r="O81" s="54">
        <v>0</v>
      </c>
      <c r="P81" s="54">
        <v>0</v>
      </c>
      <c r="Q81" s="54">
        <v>0</v>
      </c>
      <c r="R81" s="54">
        <v>1.2120833333333301</v>
      </c>
      <c r="S81" s="54">
        <v>0</v>
      </c>
      <c r="T81" s="54">
        <v>0</v>
      </c>
      <c r="U81" s="54">
        <v>0</v>
      </c>
      <c r="V81" s="54">
        <v>0</v>
      </c>
      <c r="W81" s="55">
        <v>0.63596362569668496</v>
      </c>
      <c r="X81" s="53" t="s">
        <v>592</v>
      </c>
      <c r="Y81" s="53" t="s">
        <v>583</v>
      </c>
      <c r="Z81" s="53" t="s">
        <v>583</v>
      </c>
      <c r="AA81" s="53">
        <v>3</v>
      </c>
      <c r="AB81" s="53">
        <v>1</v>
      </c>
      <c r="AC81" s="34">
        <v>0</v>
      </c>
      <c r="AD81" s="34">
        <v>8</v>
      </c>
      <c r="AE81" s="34">
        <v>0</v>
      </c>
      <c r="AF81" s="34">
        <v>0</v>
      </c>
      <c r="AG81" s="34">
        <v>5</v>
      </c>
      <c r="AH81" s="34">
        <v>4</v>
      </c>
      <c r="AI81" s="34">
        <v>25</v>
      </c>
      <c r="AJ81" s="34">
        <v>6</v>
      </c>
      <c r="AK81" s="34">
        <v>2</v>
      </c>
      <c r="AL81" s="34">
        <v>87</v>
      </c>
      <c r="AM81" s="13" t="s">
        <v>584</v>
      </c>
      <c r="AN81" s="54">
        <v>7.5999999999999998E-2</v>
      </c>
      <c r="AO81" s="56">
        <f>--($D81='START HERE'!$C$5)</f>
        <v>0</v>
      </c>
    </row>
    <row r="82" spans="2:41">
      <c r="B82" s="34">
        <v>9975</v>
      </c>
      <c r="C82" s="7" t="s">
        <v>694</v>
      </c>
      <c r="D82" s="13" t="s">
        <v>685</v>
      </c>
      <c r="E82" s="13" t="s">
        <v>690</v>
      </c>
      <c r="F82" s="53" t="s">
        <v>595</v>
      </c>
      <c r="G82" s="53" t="s">
        <v>113</v>
      </c>
      <c r="H82" s="13" t="s">
        <v>596</v>
      </c>
      <c r="I82" s="53" t="s">
        <v>597</v>
      </c>
      <c r="J82" s="54">
        <v>1.1116666666666699</v>
      </c>
      <c r="K82" s="54">
        <v>1.1116666666666699</v>
      </c>
      <c r="L82" s="54">
        <v>0</v>
      </c>
      <c r="M82" s="54">
        <v>0</v>
      </c>
      <c r="N82" s="54">
        <v>1.1116666666666699</v>
      </c>
      <c r="O82" s="54">
        <v>0</v>
      </c>
      <c r="P82" s="54">
        <v>0</v>
      </c>
      <c r="Q82" s="54">
        <v>0</v>
      </c>
      <c r="R82" s="54">
        <v>0.86166666666666702</v>
      </c>
      <c r="S82" s="54">
        <v>0</v>
      </c>
      <c r="T82" s="54">
        <v>0.25</v>
      </c>
      <c r="U82" s="54">
        <v>0</v>
      </c>
      <c r="V82" s="54">
        <v>0</v>
      </c>
      <c r="W82" s="55">
        <v>0.58508245877061504</v>
      </c>
      <c r="X82" s="53" t="s">
        <v>592</v>
      </c>
      <c r="Y82" s="53" t="s">
        <v>583</v>
      </c>
      <c r="Z82" s="53" t="s">
        <v>583</v>
      </c>
      <c r="AA82" s="53">
        <v>3</v>
      </c>
      <c r="AB82" s="53">
        <v>1</v>
      </c>
      <c r="AC82" s="34">
        <v>0</v>
      </c>
      <c r="AD82" s="34">
        <v>10</v>
      </c>
      <c r="AE82" s="34">
        <v>0</v>
      </c>
      <c r="AF82" s="34">
        <v>0</v>
      </c>
      <c r="AG82" s="34">
        <v>0</v>
      </c>
      <c r="AH82" s="34">
        <v>0</v>
      </c>
      <c r="AI82" s="34">
        <v>21</v>
      </c>
      <c r="AJ82" s="34">
        <v>0</v>
      </c>
      <c r="AK82" s="34">
        <v>125</v>
      </c>
      <c r="AL82" s="34">
        <v>182</v>
      </c>
      <c r="AM82" s="13" t="s">
        <v>584</v>
      </c>
      <c r="AN82" s="54">
        <v>6.9000000000000006E-2</v>
      </c>
      <c r="AO82" s="56">
        <f>--($D82='START HERE'!$C$5)</f>
        <v>0</v>
      </c>
    </row>
    <row r="83" spans="2:41">
      <c r="B83" s="34">
        <v>9846</v>
      </c>
      <c r="C83" s="7" t="s">
        <v>695</v>
      </c>
      <c r="D83" s="13" t="s">
        <v>685</v>
      </c>
      <c r="E83" s="13" t="s">
        <v>690</v>
      </c>
      <c r="F83" s="53" t="s">
        <v>149</v>
      </c>
      <c r="G83" s="53" t="s">
        <v>113</v>
      </c>
      <c r="H83" s="13" t="s">
        <v>596</v>
      </c>
      <c r="I83" s="53" t="s">
        <v>597</v>
      </c>
      <c r="J83" s="54">
        <v>0.43125000000000002</v>
      </c>
      <c r="K83" s="54">
        <v>3.125E-2</v>
      </c>
      <c r="L83" s="54">
        <v>0.4</v>
      </c>
      <c r="M83" s="54">
        <v>0</v>
      </c>
      <c r="N83" s="54">
        <v>3.125E-2</v>
      </c>
      <c r="O83" s="54">
        <v>0</v>
      </c>
      <c r="P83" s="54">
        <v>0</v>
      </c>
      <c r="Q83" s="54">
        <v>0</v>
      </c>
      <c r="R83" s="54">
        <v>0</v>
      </c>
      <c r="S83" s="54">
        <v>0</v>
      </c>
      <c r="T83" s="54">
        <v>3.125E-2</v>
      </c>
      <c r="U83" s="54">
        <v>0</v>
      </c>
      <c r="V83" s="54">
        <v>0</v>
      </c>
      <c r="W83" s="55">
        <v>0.92753623188405798</v>
      </c>
      <c r="X83" s="53" t="s">
        <v>592</v>
      </c>
      <c r="Y83" s="53" t="s">
        <v>583</v>
      </c>
      <c r="Z83" s="53" t="s">
        <v>583</v>
      </c>
      <c r="AA83" s="53">
        <v>3</v>
      </c>
      <c r="AB83" s="53">
        <v>1</v>
      </c>
      <c r="AC83" s="34">
        <v>0</v>
      </c>
      <c r="AD83" s="34">
        <v>5</v>
      </c>
      <c r="AE83" s="34">
        <v>0</v>
      </c>
      <c r="AF83" s="34">
        <v>0</v>
      </c>
      <c r="AG83" s="34">
        <v>0</v>
      </c>
      <c r="AH83" s="34">
        <v>4</v>
      </c>
      <c r="AI83" s="34">
        <v>51</v>
      </c>
      <c r="AJ83" s="34">
        <v>0</v>
      </c>
      <c r="AK83" s="34">
        <v>0</v>
      </c>
      <c r="AL83" s="34">
        <v>21</v>
      </c>
      <c r="AM83" s="13" t="s">
        <v>593</v>
      </c>
      <c r="AN83" s="54">
        <v>2E-3</v>
      </c>
      <c r="AO83" s="56">
        <f>--($D83='START HERE'!$C$5)</f>
        <v>0</v>
      </c>
    </row>
    <row r="84" spans="2:41">
      <c r="B84" s="34">
        <v>13314</v>
      </c>
      <c r="C84" s="7" t="s">
        <v>696</v>
      </c>
      <c r="D84" s="13" t="s">
        <v>4</v>
      </c>
      <c r="E84" s="13" t="s">
        <v>697</v>
      </c>
      <c r="F84" s="53" t="s">
        <v>578</v>
      </c>
      <c r="G84" s="53" t="s">
        <v>110</v>
      </c>
      <c r="H84" s="13" t="s">
        <v>587</v>
      </c>
      <c r="I84" s="53" t="s">
        <v>588</v>
      </c>
      <c r="J84" s="54">
        <v>50.065010416666702</v>
      </c>
      <c r="K84" s="54">
        <v>28.606677083333299</v>
      </c>
      <c r="L84" s="54">
        <v>11</v>
      </c>
      <c r="M84" s="54">
        <v>9.1416666666666604</v>
      </c>
      <c r="N84" s="54">
        <v>15.14725</v>
      </c>
      <c r="O84" s="54">
        <v>12.4958333333333</v>
      </c>
      <c r="P84" s="54">
        <v>0.96359375000000003</v>
      </c>
      <c r="Q84" s="54">
        <v>1.3416666666666699</v>
      </c>
      <c r="R84" s="54">
        <v>19.604583333333299</v>
      </c>
      <c r="S84" s="54">
        <v>0.58333333333333304</v>
      </c>
      <c r="T84" s="54">
        <v>2.7416666666666698</v>
      </c>
      <c r="U84" s="54">
        <v>1.4468749999999999</v>
      </c>
      <c r="V84" s="54">
        <v>2.8885520833333298</v>
      </c>
      <c r="W84" s="55">
        <v>0.86264109519268795</v>
      </c>
      <c r="X84" s="53" t="s">
        <v>581</v>
      </c>
      <c r="Y84" s="53" t="s">
        <v>583</v>
      </c>
      <c r="Z84" s="53" t="s">
        <v>583</v>
      </c>
      <c r="AA84" s="53">
        <v>2</v>
      </c>
      <c r="AB84" s="53">
        <v>3</v>
      </c>
      <c r="AC84" s="34">
        <v>310367</v>
      </c>
      <c r="AD84" s="34">
        <v>3729</v>
      </c>
      <c r="AE84" s="34">
        <v>0</v>
      </c>
      <c r="AF84" s="34">
        <v>0</v>
      </c>
      <c r="AG84" s="34">
        <v>24</v>
      </c>
      <c r="AH84" s="34">
        <v>70</v>
      </c>
      <c r="AI84" s="34">
        <v>387</v>
      </c>
      <c r="AJ84" s="34">
        <v>20</v>
      </c>
      <c r="AK84" s="34">
        <v>91</v>
      </c>
      <c r="AL84" s="34">
        <v>683</v>
      </c>
      <c r="AM84" s="13" t="s">
        <v>629</v>
      </c>
      <c r="AN84" s="54">
        <v>8.8369999999999997</v>
      </c>
      <c r="AO84" s="56">
        <f>--($D84='START HERE'!$C$5)</f>
        <v>0</v>
      </c>
    </row>
    <row r="85" spans="2:41">
      <c r="B85" s="34">
        <v>11014</v>
      </c>
      <c r="C85" s="7" t="s">
        <v>698</v>
      </c>
      <c r="D85" s="13" t="s">
        <v>4</v>
      </c>
      <c r="E85" s="13" t="s">
        <v>697</v>
      </c>
      <c r="F85" s="53" t="s">
        <v>578</v>
      </c>
      <c r="G85" s="53" t="s">
        <v>108</v>
      </c>
      <c r="H85" s="13" t="s">
        <v>579</v>
      </c>
      <c r="I85" s="53" t="s">
        <v>580</v>
      </c>
      <c r="J85" s="54">
        <v>42.772916666666703</v>
      </c>
      <c r="K85" s="54">
        <v>29.097916666666698</v>
      </c>
      <c r="L85" s="54">
        <v>6.8250000000000002</v>
      </c>
      <c r="M85" s="54">
        <v>6.85</v>
      </c>
      <c r="N85" s="54">
        <v>12.7279583333333</v>
      </c>
      <c r="O85" s="54">
        <v>16.369958333333301</v>
      </c>
      <c r="P85" s="54">
        <v>0</v>
      </c>
      <c r="Q85" s="54">
        <v>4.0250000000000004</v>
      </c>
      <c r="R85" s="54">
        <v>17.57</v>
      </c>
      <c r="S85" s="54">
        <v>4.5750000000000002</v>
      </c>
      <c r="T85" s="54">
        <v>2.9279166666666701</v>
      </c>
      <c r="U85" s="54">
        <v>0</v>
      </c>
      <c r="V85" s="54">
        <v>0</v>
      </c>
      <c r="W85" s="55">
        <v>0.88284058253372999</v>
      </c>
      <c r="X85" s="53" t="s">
        <v>581</v>
      </c>
      <c r="Y85" s="53" t="s">
        <v>582</v>
      </c>
      <c r="Z85" s="53" t="s">
        <v>583</v>
      </c>
      <c r="AA85" s="53">
        <v>2</v>
      </c>
      <c r="AB85" s="53">
        <v>2</v>
      </c>
      <c r="AC85" s="34">
        <v>4952237</v>
      </c>
      <c r="AD85" s="34">
        <v>26742</v>
      </c>
      <c r="AE85" s="34">
        <v>0</v>
      </c>
      <c r="AF85" s="34">
        <v>0</v>
      </c>
      <c r="AG85" s="34">
        <v>31</v>
      </c>
      <c r="AH85" s="34">
        <v>77</v>
      </c>
      <c r="AI85" s="34">
        <v>98</v>
      </c>
      <c r="AJ85" s="34">
        <v>36</v>
      </c>
      <c r="AK85" s="34">
        <v>82</v>
      </c>
      <c r="AL85" s="34">
        <v>644</v>
      </c>
      <c r="AM85" s="13" t="s">
        <v>636</v>
      </c>
      <c r="AN85" s="54">
        <v>11.163</v>
      </c>
      <c r="AO85" s="56">
        <f>--($D85='START HERE'!$C$5)</f>
        <v>0</v>
      </c>
    </row>
    <row r="86" spans="2:41">
      <c r="B86" s="34">
        <v>9951</v>
      </c>
      <c r="C86" s="7" t="s">
        <v>699</v>
      </c>
      <c r="D86" s="13" t="s">
        <v>4</v>
      </c>
      <c r="E86" s="13" t="s">
        <v>697</v>
      </c>
      <c r="F86" s="53" t="s">
        <v>149</v>
      </c>
      <c r="G86" s="53" t="s">
        <v>108</v>
      </c>
      <c r="H86" s="13" t="s">
        <v>579</v>
      </c>
      <c r="I86" s="53" t="s">
        <v>580</v>
      </c>
      <c r="J86" s="54">
        <v>7.9270416666666703</v>
      </c>
      <c r="K86" s="54">
        <v>7.6770416666666703</v>
      </c>
      <c r="L86" s="54">
        <v>0.25</v>
      </c>
      <c r="M86" s="54">
        <v>0</v>
      </c>
      <c r="N86" s="54">
        <v>7.6770416666666597</v>
      </c>
      <c r="O86" s="54">
        <v>0</v>
      </c>
      <c r="P86" s="54">
        <v>0</v>
      </c>
      <c r="Q86" s="54">
        <v>1.875</v>
      </c>
      <c r="R86" s="54">
        <v>5.8020416666666703</v>
      </c>
      <c r="S86" s="54">
        <v>0</v>
      </c>
      <c r="T86" s="54">
        <v>0</v>
      </c>
      <c r="U86" s="54">
        <v>0</v>
      </c>
      <c r="V86" s="54">
        <v>0</v>
      </c>
      <c r="W86" s="55">
        <v>0.77923668455550399</v>
      </c>
      <c r="X86" s="53" t="s">
        <v>592</v>
      </c>
      <c r="Y86" s="53" t="s">
        <v>582</v>
      </c>
      <c r="Z86" s="53" t="s">
        <v>583</v>
      </c>
      <c r="AA86" s="53">
        <v>3</v>
      </c>
      <c r="AB86" s="53">
        <v>1</v>
      </c>
      <c r="AC86" s="34">
        <v>155486</v>
      </c>
      <c r="AD86" s="34">
        <v>1013</v>
      </c>
      <c r="AE86" s="34">
        <v>0</v>
      </c>
      <c r="AF86" s="34">
        <v>0</v>
      </c>
      <c r="AG86" s="34">
        <v>24</v>
      </c>
      <c r="AH86" s="34">
        <v>9</v>
      </c>
      <c r="AI86" s="34">
        <v>86</v>
      </c>
      <c r="AJ86" s="34">
        <v>19</v>
      </c>
      <c r="AK86" s="34">
        <v>21</v>
      </c>
      <c r="AL86" s="34">
        <v>134</v>
      </c>
      <c r="AM86" s="13" t="s">
        <v>584</v>
      </c>
      <c r="AN86" s="54">
        <v>0</v>
      </c>
      <c r="AO86" s="56">
        <f>--($D86='START HERE'!$C$5)</f>
        <v>0</v>
      </c>
    </row>
    <row r="87" spans="2:41" ht="24">
      <c r="B87" s="34">
        <v>11004</v>
      </c>
      <c r="C87" s="7" t="s">
        <v>700</v>
      </c>
      <c r="D87" s="13" t="s">
        <v>701</v>
      </c>
      <c r="E87" s="13" t="s">
        <v>702</v>
      </c>
      <c r="F87" s="53" t="s">
        <v>590</v>
      </c>
      <c r="G87" s="53" t="s">
        <v>111</v>
      </c>
      <c r="H87" s="13" t="s">
        <v>703</v>
      </c>
      <c r="I87" s="53" t="s">
        <v>704</v>
      </c>
      <c r="J87" s="54">
        <v>29.235291666666701</v>
      </c>
      <c r="K87" s="54">
        <v>21.506125000000001</v>
      </c>
      <c r="L87" s="54">
        <v>7.7291666666666599</v>
      </c>
      <c r="M87" s="54">
        <v>0</v>
      </c>
      <c r="N87" s="54">
        <v>21.256125000000001</v>
      </c>
      <c r="O87" s="54">
        <v>0.25</v>
      </c>
      <c r="P87" s="54">
        <v>0</v>
      </c>
      <c r="Q87" s="54">
        <v>0</v>
      </c>
      <c r="R87" s="54">
        <v>21.0519583333333</v>
      </c>
      <c r="S87" s="54">
        <v>0.25</v>
      </c>
      <c r="T87" s="54">
        <v>0</v>
      </c>
      <c r="U87" s="54">
        <v>0</v>
      </c>
      <c r="V87" s="54">
        <v>0</v>
      </c>
      <c r="W87" s="55">
        <v>0.830969134051738</v>
      </c>
      <c r="X87" s="53" t="s">
        <v>581</v>
      </c>
      <c r="Y87" s="53" t="s">
        <v>583</v>
      </c>
      <c r="Z87" s="53" t="s">
        <v>583</v>
      </c>
      <c r="AA87" s="53">
        <v>3</v>
      </c>
      <c r="AB87" s="53">
        <v>1</v>
      </c>
      <c r="AC87" s="34">
        <v>0</v>
      </c>
      <c r="AD87" s="34">
        <v>0</v>
      </c>
      <c r="AE87" s="34">
        <v>0</v>
      </c>
      <c r="AF87" s="34">
        <v>0</v>
      </c>
      <c r="AG87" s="34">
        <v>43</v>
      </c>
      <c r="AH87" s="34">
        <v>133</v>
      </c>
      <c r="AI87" s="34">
        <v>111</v>
      </c>
      <c r="AJ87" s="34">
        <v>36</v>
      </c>
      <c r="AK87" s="34">
        <v>43</v>
      </c>
      <c r="AL87" s="34">
        <v>1046</v>
      </c>
      <c r="AM87" s="13" t="s">
        <v>584</v>
      </c>
      <c r="AN87" s="54">
        <v>0.60299999999999998</v>
      </c>
      <c r="AO87" s="56">
        <f>--($D87='START HERE'!$C$5)</f>
        <v>1</v>
      </c>
    </row>
    <row r="88" spans="2:41" ht="24">
      <c r="B88" s="34">
        <v>14285</v>
      </c>
      <c r="C88" s="7" t="s">
        <v>705</v>
      </c>
      <c r="D88" s="13" t="s">
        <v>701</v>
      </c>
      <c r="E88" s="13" t="s">
        <v>702</v>
      </c>
      <c r="F88" s="53" t="s">
        <v>590</v>
      </c>
      <c r="G88" s="53" t="s">
        <v>111</v>
      </c>
      <c r="H88" s="13" t="s">
        <v>703</v>
      </c>
      <c r="I88" s="53" t="s">
        <v>704</v>
      </c>
      <c r="J88" s="54">
        <v>16.316666666666698</v>
      </c>
      <c r="K88" s="54">
        <v>14.975</v>
      </c>
      <c r="L88" s="54">
        <v>1.3416666666666699</v>
      </c>
      <c r="M88" s="54">
        <v>0</v>
      </c>
      <c r="N88" s="54">
        <v>14.975</v>
      </c>
      <c r="O88" s="54">
        <v>0</v>
      </c>
      <c r="P88" s="54">
        <v>0</v>
      </c>
      <c r="Q88" s="54">
        <v>0</v>
      </c>
      <c r="R88" s="54">
        <v>14.975</v>
      </c>
      <c r="S88" s="54">
        <v>0</v>
      </c>
      <c r="T88" s="54">
        <v>0</v>
      </c>
      <c r="U88" s="54">
        <v>0</v>
      </c>
      <c r="V88" s="54">
        <v>0</v>
      </c>
      <c r="W88" s="55">
        <v>0.98774259448416801</v>
      </c>
      <c r="X88" s="53" t="s">
        <v>581</v>
      </c>
      <c r="Y88" s="53" t="s">
        <v>583</v>
      </c>
      <c r="Z88" s="53" t="s">
        <v>583</v>
      </c>
      <c r="AA88" s="53">
        <v>3</v>
      </c>
      <c r="AB88" s="53">
        <v>1</v>
      </c>
      <c r="AC88" s="34">
        <v>0</v>
      </c>
      <c r="AD88" s="34">
        <v>0</v>
      </c>
      <c r="AE88" s="34">
        <v>0</v>
      </c>
      <c r="AF88" s="34">
        <v>0</v>
      </c>
      <c r="AG88" s="34">
        <v>0</v>
      </c>
      <c r="AH88" s="34">
        <v>0</v>
      </c>
      <c r="AI88" s="34">
        <v>0</v>
      </c>
      <c r="AJ88" s="34">
        <v>0</v>
      </c>
      <c r="AK88" s="34">
        <v>0</v>
      </c>
      <c r="AL88" s="34">
        <v>0</v>
      </c>
      <c r="AM88" s="13" t="s">
        <v>584</v>
      </c>
      <c r="AN88" s="54">
        <v>0.33600000000000002</v>
      </c>
      <c r="AO88" s="56">
        <f>--($D88='START HERE'!$C$5)</f>
        <v>1</v>
      </c>
    </row>
    <row r="89" spans="2:41" ht="24">
      <c r="B89" s="34">
        <v>13721</v>
      </c>
      <c r="C89" s="7" t="s">
        <v>706</v>
      </c>
      <c r="D89" s="13" t="s">
        <v>701</v>
      </c>
      <c r="E89" s="13" t="s">
        <v>702</v>
      </c>
      <c r="F89" s="53" t="s">
        <v>590</v>
      </c>
      <c r="G89" s="53" t="s">
        <v>113</v>
      </c>
      <c r="H89" s="13" t="s">
        <v>596</v>
      </c>
      <c r="I89" s="53" t="s">
        <v>597</v>
      </c>
      <c r="J89" s="54">
        <v>2.9583333333333299</v>
      </c>
      <c r="K89" s="54">
        <v>1.6666666666666701</v>
      </c>
      <c r="L89" s="54">
        <v>0.70833333333333304</v>
      </c>
      <c r="M89" s="54">
        <v>0.58333333333333304</v>
      </c>
      <c r="N89" s="54">
        <v>0</v>
      </c>
      <c r="O89" s="54">
        <v>1.6666666666666701</v>
      </c>
      <c r="P89" s="54">
        <v>0</v>
      </c>
      <c r="Q89" s="54">
        <v>0</v>
      </c>
      <c r="R89" s="54">
        <v>1.6666666666666701</v>
      </c>
      <c r="S89" s="54">
        <v>0</v>
      </c>
      <c r="T89" s="54">
        <v>0</v>
      </c>
      <c r="U89" s="54">
        <v>0</v>
      </c>
      <c r="V89" s="54">
        <v>0</v>
      </c>
      <c r="W89" s="55">
        <v>0.91549295774647899</v>
      </c>
      <c r="X89" s="53" t="s">
        <v>581</v>
      </c>
      <c r="Y89" s="53" t="s">
        <v>583</v>
      </c>
      <c r="Z89" s="53" t="s">
        <v>583</v>
      </c>
      <c r="AA89" s="53">
        <v>2</v>
      </c>
      <c r="AB89" s="53">
        <v>3</v>
      </c>
      <c r="AC89" s="34">
        <v>128561</v>
      </c>
      <c r="AD89" s="34">
        <v>0</v>
      </c>
      <c r="AE89" s="34">
        <v>0</v>
      </c>
      <c r="AF89" s="34">
        <v>0</v>
      </c>
      <c r="AG89" s="34">
        <v>0</v>
      </c>
      <c r="AH89" s="34">
        <v>4</v>
      </c>
      <c r="AI89" s="34">
        <v>125</v>
      </c>
      <c r="AJ89" s="34">
        <v>0</v>
      </c>
      <c r="AK89" s="34">
        <v>2</v>
      </c>
      <c r="AL89" s="34">
        <v>27</v>
      </c>
      <c r="AM89" s="13" t="s">
        <v>584</v>
      </c>
      <c r="AN89" s="54">
        <v>6.0999999999999999E-2</v>
      </c>
      <c r="AO89" s="56">
        <f>--($D89='START HERE'!$C$5)</f>
        <v>1</v>
      </c>
    </row>
    <row r="90" spans="2:41" ht="24">
      <c r="B90" s="34">
        <v>9629</v>
      </c>
      <c r="C90" s="7" t="s">
        <v>707</v>
      </c>
      <c r="D90" s="13" t="s">
        <v>701</v>
      </c>
      <c r="E90" s="13" t="s">
        <v>702</v>
      </c>
      <c r="F90" s="53" t="s">
        <v>590</v>
      </c>
      <c r="G90" s="53" t="s">
        <v>113</v>
      </c>
      <c r="H90" s="13" t="s">
        <v>596</v>
      </c>
      <c r="I90" s="53" t="s">
        <v>597</v>
      </c>
      <c r="J90" s="54">
        <v>0</v>
      </c>
      <c r="K90" s="54">
        <v>0</v>
      </c>
      <c r="L90" s="54">
        <v>0</v>
      </c>
      <c r="M90" s="54">
        <v>0</v>
      </c>
      <c r="N90" s="54">
        <v>0</v>
      </c>
      <c r="O90" s="54">
        <v>0</v>
      </c>
      <c r="P90" s="54">
        <v>0</v>
      </c>
      <c r="Q90" s="54">
        <v>0</v>
      </c>
      <c r="R90" s="54">
        <v>0</v>
      </c>
      <c r="S90" s="54">
        <v>0</v>
      </c>
      <c r="T90" s="54">
        <v>0</v>
      </c>
      <c r="U90" s="54">
        <v>0</v>
      </c>
      <c r="V90" s="54">
        <v>0</v>
      </c>
      <c r="W90" s="55">
        <v>0</v>
      </c>
      <c r="X90" s="53" t="s">
        <v>581</v>
      </c>
      <c r="Y90" s="53" t="s">
        <v>583</v>
      </c>
      <c r="Z90" s="53" t="s">
        <v>583</v>
      </c>
      <c r="AA90" s="53">
        <v>3</v>
      </c>
      <c r="AB90" s="53">
        <v>1</v>
      </c>
      <c r="AC90" s="34">
        <v>2500</v>
      </c>
      <c r="AD90" s="34">
        <v>850</v>
      </c>
      <c r="AE90" s="34">
        <v>0</v>
      </c>
      <c r="AF90" s="34">
        <v>0</v>
      </c>
      <c r="AG90" s="34">
        <v>3</v>
      </c>
      <c r="AH90" s="34">
        <v>6</v>
      </c>
      <c r="AI90" s="34">
        <v>8</v>
      </c>
      <c r="AJ90" s="34">
        <v>3</v>
      </c>
      <c r="AK90" s="34">
        <v>72</v>
      </c>
      <c r="AL90" s="34">
        <v>110</v>
      </c>
      <c r="AM90" s="13" t="s">
        <v>584</v>
      </c>
      <c r="AN90" s="54">
        <v>0</v>
      </c>
      <c r="AO90" s="56">
        <f>--($D90='START HERE'!$C$5)</f>
        <v>1</v>
      </c>
    </row>
    <row r="91" spans="2:41" ht="24">
      <c r="B91" s="34">
        <v>14701</v>
      </c>
      <c r="C91" s="7" t="s">
        <v>708</v>
      </c>
      <c r="D91" s="13" t="s">
        <v>701</v>
      </c>
      <c r="E91" s="13" t="s">
        <v>702</v>
      </c>
      <c r="F91" s="53" t="s">
        <v>590</v>
      </c>
      <c r="G91" s="53" t="s">
        <v>113</v>
      </c>
      <c r="H91" s="13" t="s">
        <v>596</v>
      </c>
      <c r="I91" s="53" t="s">
        <v>597</v>
      </c>
      <c r="J91" s="54">
        <v>0</v>
      </c>
      <c r="K91" s="54">
        <v>0</v>
      </c>
      <c r="L91" s="54">
        <v>0</v>
      </c>
      <c r="M91" s="54">
        <v>0</v>
      </c>
      <c r="N91" s="54">
        <v>0</v>
      </c>
      <c r="O91" s="54">
        <v>0</v>
      </c>
      <c r="P91" s="54">
        <v>0</v>
      </c>
      <c r="Q91" s="54">
        <v>0</v>
      </c>
      <c r="R91" s="54">
        <v>0</v>
      </c>
      <c r="S91" s="54">
        <v>0</v>
      </c>
      <c r="T91" s="54">
        <v>0</v>
      </c>
      <c r="U91" s="54">
        <v>0</v>
      </c>
      <c r="V91" s="54">
        <v>0</v>
      </c>
      <c r="W91" s="55">
        <v>0</v>
      </c>
      <c r="X91" s="53" t="s">
        <v>581</v>
      </c>
      <c r="Y91" s="53" t="s">
        <v>583</v>
      </c>
      <c r="Z91" s="53" t="s">
        <v>583</v>
      </c>
      <c r="AA91" s="53">
        <v>2</v>
      </c>
      <c r="AB91" s="53">
        <v>3</v>
      </c>
      <c r="AC91" s="34">
        <v>22930</v>
      </c>
      <c r="AD91" s="34">
        <v>0</v>
      </c>
      <c r="AE91" s="34">
        <v>0</v>
      </c>
      <c r="AF91" s="34">
        <v>0</v>
      </c>
      <c r="AG91" s="34">
        <v>0</v>
      </c>
      <c r="AH91" s="34">
        <v>0</v>
      </c>
      <c r="AI91" s="34">
        <v>0</v>
      </c>
      <c r="AJ91" s="34">
        <v>0</v>
      </c>
      <c r="AK91" s="34">
        <v>0</v>
      </c>
      <c r="AL91" s="34">
        <v>1</v>
      </c>
      <c r="AM91" s="13" t="s">
        <v>658</v>
      </c>
      <c r="AN91" s="54">
        <v>0</v>
      </c>
      <c r="AO91" s="56">
        <f>--($D91='START HERE'!$C$5)</f>
        <v>1</v>
      </c>
    </row>
    <row r="92" spans="2:41" ht="24">
      <c r="B92" s="34">
        <v>13820</v>
      </c>
      <c r="C92" s="7" t="s">
        <v>709</v>
      </c>
      <c r="D92" s="13" t="s">
        <v>710</v>
      </c>
      <c r="E92" s="13" t="s">
        <v>711</v>
      </c>
      <c r="F92" s="53" t="s">
        <v>578</v>
      </c>
      <c r="G92" s="53" t="s">
        <v>110</v>
      </c>
      <c r="H92" s="13" t="s">
        <v>587</v>
      </c>
      <c r="I92" s="53" t="s">
        <v>588</v>
      </c>
      <c r="J92" s="54">
        <v>43.782083333333297</v>
      </c>
      <c r="K92" s="54">
        <v>20.590416666666702</v>
      </c>
      <c r="L92" s="54">
        <v>5.0458333333333298</v>
      </c>
      <c r="M92" s="54">
        <v>18.1458333333333</v>
      </c>
      <c r="N92" s="54">
        <v>17.3570833333333</v>
      </c>
      <c r="O92" s="54">
        <v>3.2333333333333298</v>
      </c>
      <c r="P92" s="54">
        <v>0</v>
      </c>
      <c r="Q92" s="54">
        <v>1.75</v>
      </c>
      <c r="R92" s="54">
        <v>12.248749999999999</v>
      </c>
      <c r="S92" s="54">
        <v>4.81666666666667</v>
      </c>
      <c r="T92" s="54">
        <v>1</v>
      </c>
      <c r="U92" s="54">
        <v>0</v>
      </c>
      <c r="V92" s="54">
        <v>0.77500000000000002</v>
      </c>
      <c r="W92" s="55">
        <v>0.98365960200614799</v>
      </c>
      <c r="X92" s="53" t="s">
        <v>581</v>
      </c>
      <c r="Y92" s="53" t="s">
        <v>583</v>
      </c>
      <c r="Z92" s="53" t="s">
        <v>583</v>
      </c>
      <c r="AA92" s="53">
        <v>2</v>
      </c>
      <c r="AB92" s="53">
        <v>3</v>
      </c>
      <c r="AC92" s="34">
        <v>711101</v>
      </c>
      <c r="AD92" s="34">
        <v>27</v>
      </c>
      <c r="AE92" s="34">
        <v>0</v>
      </c>
      <c r="AF92" s="34">
        <v>0</v>
      </c>
      <c r="AG92" s="34">
        <v>4</v>
      </c>
      <c r="AH92" s="34">
        <v>20</v>
      </c>
      <c r="AI92" s="34">
        <v>22</v>
      </c>
      <c r="AJ92" s="34">
        <v>5</v>
      </c>
      <c r="AK92" s="34">
        <v>3</v>
      </c>
      <c r="AL92" s="34">
        <v>208</v>
      </c>
      <c r="AM92" s="13" t="s">
        <v>584</v>
      </c>
      <c r="AN92" s="54">
        <v>6</v>
      </c>
      <c r="AO92" s="56">
        <f>--($D92='START HERE'!$C$5)</f>
        <v>0</v>
      </c>
    </row>
    <row r="93" spans="2:41" ht="24">
      <c r="B93" s="34">
        <v>9835</v>
      </c>
      <c r="C93" s="7" t="s">
        <v>712</v>
      </c>
      <c r="D93" s="13" t="s">
        <v>710</v>
      </c>
      <c r="E93" s="13" t="s">
        <v>713</v>
      </c>
      <c r="F93" s="53" t="s">
        <v>595</v>
      </c>
      <c r="G93" s="53" t="s">
        <v>110</v>
      </c>
      <c r="H93" s="13" t="s">
        <v>587</v>
      </c>
      <c r="I93" s="53" t="s">
        <v>588</v>
      </c>
      <c r="J93" s="54">
        <v>34.996541666666701</v>
      </c>
      <c r="K93" s="54">
        <v>29.379874999999998</v>
      </c>
      <c r="L93" s="54">
        <v>5.6166666666666698</v>
      </c>
      <c r="M93" s="54">
        <v>0</v>
      </c>
      <c r="N93" s="54">
        <v>19.7908333333333</v>
      </c>
      <c r="O93" s="54">
        <v>0</v>
      </c>
      <c r="P93" s="54">
        <v>9.5890416666666596</v>
      </c>
      <c r="Q93" s="54">
        <v>2</v>
      </c>
      <c r="R93" s="54">
        <v>27.379874999999998</v>
      </c>
      <c r="S93" s="54">
        <v>0</v>
      </c>
      <c r="T93" s="54">
        <v>0</v>
      </c>
      <c r="U93" s="54">
        <v>0</v>
      </c>
      <c r="V93" s="54">
        <v>0</v>
      </c>
      <c r="W93" s="55">
        <v>0.90522873093412803</v>
      </c>
      <c r="X93" s="53" t="s">
        <v>592</v>
      </c>
      <c r="Y93" s="53" t="s">
        <v>583</v>
      </c>
      <c r="Z93" s="53" t="s">
        <v>582</v>
      </c>
      <c r="AA93" s="53">
        <v>3</v>
      </c>
      <c r="AB93" s="53">
        <v>1</v>
      </c>
      <c r="AC93" s="34">
        <v>0</v>
      </c>
      <c r="AD93" s="34">
        <v>170</v>
      </c>
      <c r="AE93" s="34">
        <v>0</v>
      </c>
      <c r="AF93" s="34">
        <v>1</v>
      </c>
      <c r="AG93" s="34">
        <v>68</v>
      </c>
      <c r="AH93" s="34">
        <v>97</v>
      </c>
      <c r="AI93" s="34">
        <v>415</v>
      </c>
      <c r="AJ93" s="34">
        <v>20</v>
      </c>
      <c r="AK93" s="34">
        <v>34</v>
      </c>
      <c r="AL93" s="34">
        <v>554</v>
      </c>
      <c r="AM93" s="13" t="s">
        <v>636</v>
      </c>
      <c r="AN93" s="54">
        <v>0</v>
      </c>
      <c r="AO93" s="56">
        <f>--($D93='START HERE'!$C$5)</f>
        <v>0</v>
      </c>
    </row>
    <row r="94" spans="2:41" ht="24">
      <c r="B94" s="34">
        <v>9857</v>
      </c>
      <c r="C94" s="7" t="s">
        <v>714</v>
      </c>
      <c r="D94" s="13" t="s">
        <v>710</v>
      </c>
      <c r="E94" s="13" t="s">
        <v>711</v>
      </c>
      <c r="F94" s="53" t="s">
        <v>595</v>
      </c>
      <c r="G94" s="53" t="s">
        <v>112</v>
      </c>
      <c r="H94" s="13" t="s">
        <v>646</v>
      </c>
      <c r="I94" s="53" t="s">
        <v>647</v>
      </c>
      <c r="J94" s="54">
        <v>22.0283333333333</v>
      </c>
      <c r="K94" s="54">
        <v>20.211666666666702</v>
      </c>
      <c r="L94" s="54">
        <v>1.81666666666667</v>
      </c>
      <c r="M94" s="54">
        <v>0</v>
      </c>
      <c r="N94" s="54">
        <v>20.211666666666702</v>
      </c>
      <c r="O94" s="54">
        <v>0</v>
      </c>
      <c r="P94" s="54">
        <v>0</v>
      </c>
      <c r="Q94" s="54">
        <v>1.9166666666666701</v>
      </c>
      <c r="R94" s="54">
        <v>18.295000000000002</v>
      </c>
      <c r="S94" s="54">
        <v>0</v>
      </c>
      <c r="T94" s="54">
        <v>0</v>
      </c>
      <c r="U94" s="54">
        <v>0</v>
      </c>
      <c r="V94" s="54">
        <v>0</v>
      </c>
      <c r="W94" s="55">
        <v>0.92547476734508605</v>
      </c>
      <c r="X94" s="53" t="s">
        <v>592</v>
      </c>
      <c r="Y94" s="53" t="s">
        <v>583</v>
      </c>
      <c r="Z94" s="53" t="s">
        <v>582</v>
      </c>
      <c r="AA94" s="53">
        <v>3</v>
      </c>
      <c r="AB94" s="53">
        <v>1</v>
      </c>
      <c r="AC94" s="34">
        <v>0</v>
      </c>
      <c r="AD94" s="34">
        <v>186</v>
      </c>
      <c r="AE94" s="34">
        <v>0</v>
      </c>
      <c r="AF94" s="34">
        <v>0</v>
      </c>
      <c r="AG94" s="34">
        <v>16</v>
      </c>
      <c r="AH94" s="34">
        <v>25</v>
      </c>
      <c r="AI94" s="34">
        <v>45</v>
      </c>
      <c r="AJ94" s="34">
        <v>8</v>
      </c>
      <c r="AK94" s="34">
        <v>84</v>
      </c>
      <c r="AL94" s="34">
        <v>180</v>
      </c>
      <c r="AM94" s="13" t="s">
        <v>593</v>
      </c>
      <c r="AN94" s="54">
        <v>0</v>
      </c>
      <c r="AO94" s="56">
        <f>--($D94='START HERE'!$C$5)</f>
        <v>0</v>
      </c>
    </row>
    <row r="95" spans="2:41" ht="24">
      <c r="B95" s="34">
        <v>14322</v>
      </c>
      <c r="C95" s="7" t="s">
        <v>715</v>
      </c>
      <c r="D95" s="13" t="s">
        <v>710</v>
      </c>
      <c r="E95" s="13" t="s">
        <v>716</v>
      </c>
      <c r="F95" s="53" t="s">
        <v>590</v>
      </c>
      <c r="G95" s="53" t="s">
        <v>110</v>
      </c>
      <c r="H95" s="13" t="s">
        <v>587</v>
      </c>
      <c r="I95" s="53" t="s">
        <v>588</v>
      </c>
      <c r="J95" s="54">
        <v>16.7</v>
      </c>
      <c r="K95" s="54">
        <v>11.491666666666699</v>
      </c>
      <c r="L95" s="54">
        <v>0.70833333333333304</v>
      </c>
      <c r="M95" s="54">
        <v>4.5</v>
      </c>
      <c r="N95" s="54">
        <v>10.491666666666699</v>
      </c>
      <c r="O95" s="54">
        <v>1</v>
      </c>
      <c r="P95" s="54">
        <v>0</v>
      </c>
      <c r="Q95" s="54">
        <v>0.29166666666666702</v>
      </c>
      <c r="R95" s="54">
        <v>9.1999999999999993</v>
      </c>
      <c r="S95" s="54">
        <v>2</v>
      </c>
      <c r="T95" s="54">
        <v>0</v>
      </c>
      <c r="U95" s="54">
        <v>0</v>
      </c>
      <c r="V95" s="54">
        <v>0</v>
      </c>
      <c r="W95" s="55">
        <v>0.98702594810379296</v>
      </c>
      <c r="X95" s="53" t="s">
        <v>581</v>
      </c>
      <c r="Y95" s="53" t="s">
        <v>583</v>
      </c>
      <c r="Z95" s="53" t="s">
        <v>583</v>
      </c>
      <c r="AA95" s="53">
        <v>1</v>
      </c>
      <c r="AB95" s="53">
        <v>2</v>
      </c>
      <c r="AC95" s="34">
        <v>14772</v>
      </c>
      <c r="AD95" s="34">
        <v>1</v>
      </c>
      <c r="AE95" s="34">
        <v>0</v>
      </c>
      <c r="AF95" s="34">
        <v>0</v>
      </c>
      <c r="AG95" s="34">
        <v>1</v>
      </c>
      <c r="AH95" s="34">
        <v>0</v>
      </c>
      <c r="AI95" s="34">
        <v>4</v>
      </c>
      <c r="AJ95" s="34">
        <v>1</v>
      </c>
      <c r="AK95" s="34">
        <v>0</v>
      </c>
      <c r="AL95" s="34">
        <v>8</v>
      </c>
      <c r="AM95" s="13" t="s">
        <v>584</v>
      </c>
      <c r="AN95" s="54">
        <v>0</v>
      </c>
      <c r="AO95" s="56">
        <f>--($D95='START HERE'!$C$5)</f>
        <v>0</v>
      </c>
    </row>
    <row r="96" spans="2:41" ht="24">
      <c r="B96" s="34">
        <v>14423</v>
      </c>
      <c r="C96" s="7" t="s">
        <v>717</v>
      </c>
      <c r="D96" s="13" t="s">
        <v>710</v>
      </c>
      <c r="E96" s="13" t="s">
        <v>716</v>
      </c>
      <c r="F96" s="53" t="s">
        <v>590</v>
      </c>
      <c r="G96" s="53" t="s">
        <v>113</v>
      </c>
      <c r="H96" s="13" t="s">
        <v>596</v>
      </c>
      <c r="I96" s="53" t="s">
        <v>597</v>
      </c>
      <c r="J96" s="54">
        <v>2.1225000000000001</v>
      </c>
      <c r="K96" s="54">
        <v>2.1225000000000001</v>
      </c>
      <c r="L96" s="54">
        <v>0</v>
      </c>
      <c r="M96" s="54">
        <v>0</v>
      </c>
      <c r="N96" s="54">
        <v>2.1225000000000001</v>
      </c>
      <c r="O96" s="54">
        <v>0</v>
      </c>
      <c r="P96" s="54">
        <v>0</v>
      </c>
      <c r="Q96" s="54">
        <v>0</v>
      </c>
      <c r="R96" s="54">
        <v>2.1225000000000001</v>
      </c>
      <c r="S96" s="54">
        <v>0</v>
      </c>
      <c r="T96" s="54">
        <v>0</v>
      </c>
      <c r="U96" s="54">
        <v>0</v>
      </c>
      <c r="V96" s="54">
        <v>0</v>
      </c>
      <c r="W96" s="55">
        <v>0.75068708284256003</v>
      </c>
      <c r="X96" s="53" t="s">
        <v>592</v>
      </c>
      <c r="Y96" s="53" t="s">
        <v>583</v>
      </c>
      <c r="Z96" s="53" t="s">
        <v>582</v>
      </c>
      <c r="AA96" s="53">
        <v>3</v>
      </c>
      <c r="AB96" s="53">
        <v>1</v>
      </c>
      <c r="AC96" s="34">
        <v>537636</v>
      </c>
      <c r="AD96" s="34">
        <v>38</v>
      </c>
      <c r="AE96" s="34">
        <v>0</v>
      </c>
      <c r="AF96" s="34">
        <v>0</v>
      </c>
      <c r="AG96" s="34">
        <v>0</v>
      </c>
      <c r="AH96" s="34">
        <v>0</v>
      </c>
      <c r="AI96" s="34">
        <v>4</v>
      </c>
      <c r="AJ96" s="34">
        <v>0</v>
      </c>
      <c r="AK96" s="34">
        <v>3</v>
      </c>
      <c r="AL96" s="34">
        <v>34</v>
      </c>
      <c r="AM96" s="13" t="s">
        <v>593</v>
      </c>
      <c r="AN96" s="54">
        <v>0</v>
      </c>
      <c r="AO96" s="56">
        <f>--($D96='START HERE'!$C$5)</f>
        <v>0</v>
      </c>
    </row>
    <row r="97" spans="2:41" ht="24">
      <c r="B97" s="34">
        <v>11012</v>
      </c>
      <c r="C97" s="7" t="s">
        <v>718</v>
      </c>
      <c r="D97" s="13" t="s">
        <v>710</v>
      </c>
      <c r="E97" s="13" t="s">
        <v>711</v>
      </c>
      <c r="F97" s="53" t="s">
        <v>595</v>
      </c>
      <c r="G97" s="53" t="s">
        <v>113</v>
      </c>
      <c r="H97" s="13" t="s">
        <v>596</v>
      </c>
      <c r="I97" s="53" t="s">
        <v>597</v>
      </c>
      <c r="J97" s="54">
        <v>1.944</v>
      </c>
      <c r="K97" s="54">
        <v>1.6523333333333301</v>
      </c>
      <c r="L97" s="54">
        <v>0.29166666666666702</v>
      </c>
      <c r="M97" s="54">
        <v>0</v>
      </c>
      <c r="N97" s="54">
        <v>1.6523333333333301</v>
      </c>
      <c r="O97" s="54">
        <v>0</v>
      </c>
      <c r="P97" s="54">
        <v>0</v>
      </c>
      <c r="Q97" s="54">
        <v>0</v>
      </c>
      <c r="R97" s="54">
        <v>1.6523333333333301</v>
      </c>
      <c r="S97" s="54">
        <v>0</v>
      </c>
      <c r="T97" s="54">
        <v>0</v>
      </c>
      <c r="U97" s="54">
        <v>0</v>
      </c>
      <c r="V97" s="54">
        <v>0</v>
      </c>
      <c r="W97" s="55">
        <v>0.83217592592592604</v>
      </c>
      <c r="X97" s="53" t="s">
        <v>592</v>
      </c>
      <c r="Y97" s="53" t="s">
        <v>583</v>
      </c>
      <c r="Z97" s="53" t="s">
        <v>583</v>
      </c>
      <c r="AA97" s="53">
        <v>3</v>
      </c>
      <c r="AB97" s="53">
        <v>1</v>
      </c>
      <c r="AC97" s="34">
        <v>0</v>
      </c>
      <c r="AD97" s="34">
        <v>17</v>
      </c>
      <c r="AE97" s="34">
        <v>0</v>
      </c>
      <c r="AF97" s="34">
        <v>0</v>
      </c>
      <c r="AG97" s="34">
        <v>0</v>
      </c>
      <c r="AH97" s="34">
        <v>1</v>
      </c>
      <c r="AI97" s="34">
        <v>9</v>
      </c>
      <c r="AJ97" s="34">
        <v>0</v>
      </c>
      <c r="AK97" s="34">
        <v>0</v>
      </c>
      <c r="AL97" s="34">
        <v>19</v>
      </c>
      <c r="AM97" s="13" t="s">
        <v>584</v>
      </c>
      <c r="AN97" s="54">
        <v>0</v>
      </c>
      <c r="AO97" s="56">
        <f>--($D97='START HERE'!$C$5)</f>
        <v>0</v>
      </c>
    </row>
    <row r="98" spans="2:41">
      <c r="B98" s="34">
        <v>9920</v>
      </c>
      <c r="C98" s="7" t="s">
        <v>719</v>
      </c>
      <c r="D98" s="13" t="s">
        <v>720</v>
      </c>
      <c r="E98" s="13" t="s">
        <v>721</v>
      </c>
      <c r="F98" s="53" t="s">
        <v>578</v>
      </c>
      <c r="G98" s="53" t="s">
        <v>110</v>
      </c>
      <c r="H98" s="13" t="s">
        <v>587</v>
      </c>
      <c r="I98" s="53" t="s">
        <v>588</v>
      </c>
      <c r="J98" s="54">
        <v>19.077500000000001</v>
      </c>
      <c r="K98" s="54">
        <v>10.3375</v>
      </c>
      <c r="L98" s="54">
        <v>3.55833333333333</v>
      </c>
      <c r="M98" s="54">
        <v>5.1816666666666702</v>
      </c>
      <c r="N98" s="54">
        <v>9.8958333333333304</v>
      </c>
      <c r="O98" s="54">
        <v>0.44166666666666698</v>
      </c>
      <c r="P98" s="54">
        <v>0</v>
      </c>
      <c r="Q98" s="54">
        <v>1.7875000000000001</v>
      </c>
      <c r="R98" s="54">
        <v>5.1333333333333302</v>
      </c>
      <c r="S98" s="54">
        <v>3.3333333333333299</v>
      </c>
      <c r="T98" s="54">
        <v>0</v>
      </c>
      <c r="U98" s="54">
        <v>8.3333333333333301E-2</v>
      </c>
      <c r="V98" s="54">
        <v>0</v>
      </c>
      <c r="W98" s="55">
        <v>0.93360415847639</v>
      </c>
      <c r="X98" s="53" t="s">
        <v>592</v>
      </c>
      <c r="Y98" s="53" t="s">
        <v>583</v>
      </c>
      <c r="Z98" s="53" t="s">
        <v>583</v>
      </c>
      <c r="AA98" s="53">
        <v>1</v>
      </c>
      <c r="AB98" s="53">
        <v>3</v>
      </c>
      <c r="AC98" s="34">
        <v>250000</v>
      </c>
      <c r="AD98" s="34">
        <v>20</v>
      </c>
      <c r="AE98" s="34">
        <v>0</v>
      </c>
      <c r="AF98" s="34">
        <v>0</v>
      </c>
      <c r="AG98" s="34">
        <v>11</v>
      </c>
      <c r="AH98" s="34">
        <v>3</v>
      </c>
      <c r="AI98" s="34">
        <v>23</v>
      </c>
      <c r="AJ98" s="34">
        <v>8</v>
      </c>
      <c r="AK98" s="34">
        <v>27</v>
      </c>
      <c r="AL98" s="34">
        <v>224</v>
      </c>
      <c r="AM98" s="13" t="s">
        <v>584</v>
      </c>
      <c r="AN98" s="54">
        <v>2.6669999999999998</v>
      </c>
      <c r="AO98" s="56">
        <f>--($D98='START HERE'!$C$5)</f>
        <v>0</v>
      </c>
    </row>
    <row r="99" spans="2:41">
      <c r="B99" s="34">
        <v>9962</v>
      </c>
      <c r="C99" s="7" t="s">
        <v>722</v>
      </c>
      <c r="D99" s="13" t="s">
        <v>720</v>
      </c>
      <c r="E99" s="13" t="s">
        <v>721</v>
      </c>
      <c r="F99" s="53" t="s">
        <v>578</v>
      </c>
      <c r="G99" s="53" t="s">
        <v>111</v>
      </c>
      <c r="H99" s="13" t="s">
        <v>703</v>
      </c>
      <c r="I99" s="53" t="s">
        <v>704</v>
      </c>
      <c r="J99" s="54">
        <v>12.852083333333301</v>
      </c>
      <c r="K99" s="54">
        <v>8.9216666666666704</v>
      </c>
      <c r="L99" s="54">
        <v>2.41041666666667</v>
      </c>
      <c r="M99" s="54">
        <v>1.52</v>
      </c>
      <c r="N99" s="54">
        <v>8.9216666666666704</v>
      </c>
      <c r="O99" s="54">
        <v>0</v>
      </c>
      <c r="P99" s="54">
        <v>0</v>
      </c>
      <c r="Q99" s="54">
        <v>1.9708333333333301</v>
      </c>
      <c r="R99" s="54">
        <v>2.8675000000000002</v>
      </c>
      <c r="S99" s="54">
        <v>3</v>
      </c>
      <c r="T99" s="54">
        <v>0</v>
      </c>
      <c r="U99" s="54">
        <v>1.0833333333333299</v>
      </c>
      <c r="V99" s="54">
        <v>0</v>
      </c>
      <c r="W99" s="55">
        <v>0.82739503971470196</v>
      </c>
      <c r="X99" s="53" t="s">
        <v>581</v>
      </c>
      <c r="Y99" s="53" t="s">
        <v>583</v>
      </c>
      <c r="Z99" s="53" t="s">
        <v>583</v>
      </c>
      <c r="AA99" s="53">
        <v>2</v>
      </c>
      <c r="AB99" s="53">
        <v>3</v>
      </c>
      <c r="AC99" s="34">
        <v>120000</v>
      </c>
      <c r="AD99" s="34">
        <v>40</v>
      </c>
      <c r="AE99" s="34">
        <v>0</v>
      </c>
      <c r="AF99" s="34">
        <v>0</v>
      </c>
      <c r="AG99" s="34">
        <v>4</v>
      </c>
      <c r="AH99" s="34">
        <v>14</v>
      </c>
      <c r="AI99" s="34">
        <v>48</v>
      </c>
      <c r="AJ99" s="34">
        <v>4</v>
      </c>
      <c r="AK99" s="34">
        <v>53</v>
      </c>
      <c r="AL99" s="34">
        <v>185</v>
      </c>
      <c r="AM99" s="13" t="s">
        <v>584</v>
      </c>
      <c r="AN99" s="54">
        <v>1.333</v>
      </c>
      <c r="AO99" s="56">
        <f>--($D99='START HERE'!$C$5)</f>
        <v>0</v>
      </c>
    </row>
    <row r="100" spans="2:41">
      <c r="B100" s="34">
        <v>9858</v>
      </c>
      <c r="C100" s="7" t="s">
        <v>723</v>
      </c>
      <c r="D100" s="13" t="s">
        <v>720</v>
      </c>
      <c r="E100" s="13" t="s">
        <v>721</v>
      </c>
      <c r="F100" s="53" t="s">
        <v>595</v>
      </c>
      <c r="G100" s="53" t="s">
        <v>110</v>
      </c>
      <c r="H100" s="13" t="s">
        <v>587</v>
      </c>
      <c r="I100" s="53" t="s">
        <v>588</v>
      </c>
      <c r="J100" s="54">
        <v>6.9166666666666696</v>
      </c>
      <c r="K100" s="54">
        <v>4.8333333333333304</v>
      </c>
      <c r="L100" s="54">
        <v>1</v>
      </c>
      <c r="M100" s="54">
        <v>1.0833333333333299</v>
      </c>
      <c r="N100" s="54">
        <v>2.8541666666666701</v>
      </c>
      <c r="O100" s="54">
        <v>1.9791666666666701</v>
      </c>
      <c r="P100" s="54">
        <v>0</v>
      </c>
      <c r="Q100" s="54">
        <v>0.85416666666666696</v>
      </c>
      <c r="R100" s="54">
        <v>2.8958333333333299</v>
      </c>
      <c r="S100" s="54">
        <v>1.0833333333333299</v>
      </c>
      <c r="T100" s="54">
        <v>0</v>
      </c>
      <c r="U100" s="54">
        <v>0</v>
      </c>
      <c r="V100" s="54">
        <v>0</v>
      </c>
      <c r="W100" s="55">
        <v>0.71084337349397597</v>
      </c>
      <c r="X100" s="53" t="s">
        <v>592</v>
      </c>
      <c r="Y100" s="53" t="s">
        <v>583</v>
      </c>
      <c r="Z100" s="53" t="s">
        <v>583</v>
      </c>
      <c r="AA100" s="53">
        <v>2</v>
      </c>
      <c r="AB100" s="53">
        <v>1</v>
      </c>
      <c r="AC100" s="34">
        <v>150000</v>
      </c>
      <c r="AD100" s="34">
        <v>25</v>
      </c>
      <c r="AE100" s="34">
        <v>0</v>
      </c>
      <c r="AF100" s="34">
        <v>0</v>
      </c>
      <c r="AG100" s="34">
        <v>3</v>
      </c>
      <c r="AH100" s="34">
        <v>1</v>
      </c>
      <c r="AI100" s="34">
        <v>7</v>
      </c>
      <c r="AJ100" s="34">
        <v>2</v>
      </c>
      <c r="AK100" s="34">
        <v>1</v>
      </c>
      <c r="AL100" s="34">
        <v>37</v>
      </c>
      <c r="AM100" s="13" t="s">
        <v>584</v>
      </c>
      <c r="AN100" s="54">
        <v>0</v>
      </c>
      <c r="AO100" s="56">
        <f>--($D100='START HERE'!$C$5)</f>
        <v>0</v>
      </c>
    </row>
    <row r="101" spans="2:41">
      <c r="B101" s="34">
        <v>13888</v>
      </c>
      <c r="C101" s="7" t="s">
        <v>724</v>
      </c>
      <c r="D101" s="13" t="s">
        <v>720</v>
      </c>
      <c r="E101" s="13" t="s">
        <v>721</v>
      </c>
      <c r="F101" s="53" t="s">
        <v>595</v>
      </c>
      <c r="G101" s="53" t="s">
        <v>112</v>
      </c>
      <c r="H101" s="13" t="s">
        <v>646</v>
      </c>
      <c r="I101" s="53" t="s">
        <v>647</v>
      </c>
      <c r="J101" s="54">
        <v>4.4474999999999998</v>
      </c>
      <c r="K101" s="54">
        <v>2.9474999999999998</v>
      </c>
      <c r="L101" s="54">
        <v>0.5</v>
      </c>
      <c r="M101" s="54">
        <v>1</v>
      </c>
      <c r="N101" s="54">
        <v>2.9474999999999998</v>
      </c>
      <c r="O101" s="54">
        <v>0</v>
      </c>
      <c r="P101" s="54">
        <v>0</v>
      </c>
      <c r="Q101" s="54">
        <v>0</v>
      </c>
      <c r="R101" s="54">
        <v>2.9474999999999998</v>
      </c>
      <c r="S101" s="54">
        <v>0</v>
      </c>
      <c r="T101" s="54">
        <v>0</v>
      </c>
      <c r="U101" s="54">
        <v>0</v>
      </c>
      <c r="V101" s="54">
        <v>0</v>
      </c>
      <c r="W101" s="55">
        <v>0.24077196927112601</v>
      </c>
      <c r="X101" s="53" t="s">
        <v>592</v>
      </c>
      <c r="Y101" s="53" t="s">
        <v>583</v>
      </c>
      <c r="Z101" s="53" t="s">
        <v>583</v>
      </c>
      <c r="AA101" s="53">
        <v>2</v>
      </c>
      <c r="AB101" s="53">
        <v>1</v>
      </c>
      <c r="AC101" s="34">
        <v>35000</v>
      </c>
      <c r="AD101" s="34">
        <v>35</v>
      </c>
      <c r="AE101" s="34">
        <v>0</v>
      </c>
      <c r="AF101" s="34">
        <v>0</v>
      </c>
      <c r="AG101" s="34">
        <v>10</v>
      </c>
      <c r="AH101" s="34">
        <v>6</v>
      </c>
      <c r="AI101" s="34">
        <v>30</v>
      </c>
      <c r="AJ101" s="34">
        <v>17</v>
      </c>
      <c r="AK101" s="34">
        <v>0</v>
      </c>
      <c r="AL101" s="34">
        <v>127</v>
      </c>
      <c r="AM101" s="13" t="s">
        <v>584</v>
      </c>
      <c r="AN101" s="54">
        <v>0</v>
      </c>
      <c r="AO101" s="56">
        <f>--($D101='START HERE'!$C$5)</f>
        <v>0</v>
      </c>
    </row>
    <row r="102" spans="2:41">
      <c r="B102" s="34">
        <v>12820</v>
      </c>
      <c r="C102" s="7" t="s">
        <v>725</v>
      </c>
      <c r="D102" s="13" t="s">
        <v>720</v>
      </c>
      <c r="E102" s="13" t="s">
        <v>721</v>
      </c>
      <c r="F102" s="53" t="s">
        <v>590</v>
      </c>
      <c r="G102" s="53" t="s">
        <v>113</v>
      </c>
      <c r="H102" s="13" t="s">
        <v>596</v>
      </c>
      <c r="I102" s="53" t="s">
        <v>597</v>
      </c>
      <c r="J102" s="54">
        <v>0.36249999999999999</v>
      </c>
      <c r="K102" s="54">
        <v>0.36249999999999999</v>
      </c>
      <c r="L102" s="54">
        <v>0</v>
      </c>
      <c r="M102" s="54">
        <v>0</v>
      </c>
      <c r="N102" s="54">
        <v>0.36249999999999999</v>
      </c>
      <c r="O102" s="54">
        <v>0</v>
      </c>
      <c r="P102" s="54">
        <v>0</v>
      </c>
      <c r="Q102" s="54">
        <v>0.1125</v>
      </c>
      <c r="R102" s="54">
        <v>0.25</v>
      </c>
      <c r="S102" s="54">
        <v>0</v>
      </c>
      <c r="T102" s="54">
        <v>0</v>
      </c>
      <c r="U102" s="54">
        <v>0</v>
      </c>
      <c r="V102" s="54">
        <v>0</v>
      </c>
      <c r="W102" s="55">
        <v>1</v>
      </c>
      <c r="X102" s="53" t="s">
        <v>592</v>
      </c>
      <c r="Y102" s="53" t="s">
        <v>583</v>
      </c>
      <c r="Z102" s="53" t="s">
        <v>583</v>
      </c>
      <c r="AA102" s="53">
        <v>1</v>
      </c>
      <c r="AB102" s="53">
        <v>3</v>
      </c>
      <c r="AC102" s="34">
        <v>15000</v>
      </c>
      <c r="AD102" s="34">
        <v>20</v>
      </c>
      <c r="AE102" s="34">
        <v>0</v>
      </c>
      <c r="AF102" s="34">
        <v>0</v>
      </c>
      <c r="AG102" s="34">
        <v>2</v>
      </c>
      <c r="AH102" s="34">
        <v>2</v>
      </c>
      <c r="AI102" s="34">
        <v>5</v>
      </c>
      <c r="AJ102" s="34">
        <v>2</v>
      </c>
      <c r="AK102" s="34">
        <v>1</v>
      </c>
      <c r="AL102" s="34">
        <v>28</v>
      </c>
      <c r="AM102" s="13" t="s">
        <v>584</v>
      </c>
      <c r="AN102" s="54">
        <v>0</v>
      </c>
      <c r="AO102" s="56">
        <f>--($D102='START HERE'!$C$5)</f>
        <v>0</v>
      </c>
    </row>
    <row r="103" spans="2:41">
      <c r="B103" s="34">
        <v>9921</v>
      </c>
      <c r="C103" s="7" t="s">
        <v>726</v>
      </c>
      <c r="D103" s="13" t="s">
        <v>720</v>
      </c>
      <c r="E103" s="13" t="s">
        <v>721</v>
      </c>
      <c r="F103" s="53" t="s">
        <v>590</v>
      </c>
      <c r="G103" s="53" t="s">
        <v>113</v>
      </c>
      <c r="H103" s="13" t="s">
        <v>596</v>
      </c>
      <c r="I103" s="53" t="s">
        <v>597</v>
      </c>
      <c r="J103" s="54">
        <v>0.34583333333333299</v>
      </c>
      <c r="K103" s="54">
        <v>0.30416666666666697</v>
      </c>
      <c r="L103" s="54">
        <v>4.1666666666666699E-2</v>
      </c>
      <c r="M103" s="54">
        <v>0</v>
      </c>
      <c r="N103" s="54">
        <v>0.30416666666666697</v>
      </c>
      <c r="O103" s="54">
        <v>0</v>
      </c>
      <c r="P103" s="54">
        <v>0</v>
      </c>
      <c r="Q103" s="54">
        <v>0</v>
      </c>
      <c r="R103" s="54">
        <v>0</v>
      </c>
      <c r="S103" s="54">
        <v>0.30416666666666697</v>
      </c>
      <c r="T103" s="54">
        <v>0</v>
      </c>
      <c r="U103" s="54">
        <v>0</v>
      </c>
      <c r="V103" s="54">
        <v>0</v>
      </c>
      <c r="W103" s="55">
        <v>1</v>
      </c>
      <c r="X103" s="53" t="s">
        <v>581</v>
      </c>
      <c r="Y103" s="53" t="s">
        <v>583</v>
      </c>
      <c r="Z103" s="53" t="s">
        <v>583</v>
      </c>
      <c r="AA103" s="53">
        <v>1</v>
      </c>
      <c r="AB103" s="53">
        <v>3</v>
      </c>
      <c r="AC103" s="34">
        <v>15000</v>
      </c>
      <c r="AD103" s="34">
        <v>5</v>
      </c>
      <c r="AE103" s="34">
        <v>0</v>
      </c>
      <c r="AF103" s="34">
        <v>0</v>
      </c>
      <c r="AG103" s="34">
        <v>3</v>
      </c>
      <c r="AH103" s="34">
        <v>1</v>
      </c>
      <c r="AI103" s="34">
        <v>2</v>
      </c>
      <c r="AJ103" s="34">
        <v>2</v>
      </c>
      <c r="AK103" s="34">
        <v>0</v>
      </c>
      <c r="AL103" s="34">
        <v>19</v>
      </c>
      <c r="AM103" s="13" t="s">
        <v>584</v>
      </c>
      <c r="AN103" s="54">
        <v>0</v>
      </c>
      <c r="AO103" s="56">
        <f>--($D103='START HERE'!$C$5)</f>
        <v>0</v>
      </c>
    </row>
    <row r="104" spans="2:41">
      <c r="B104" s="34">
        <v>11008</v>
      </c>
      <c r="C104" s="7" t="s">
        <v>727</v>
      </c>
      <c r="D104" s="13" t="s">
        <v>720</v>
      </c>
      <c r="E104" s="13" t="s">
        <v>721</v>
      </c>
      <c r="F104" s="53" t="s">
        <v>595</v>
      </c>
      <c r="G104" s="53" t="s">
        <v>113</v>
      </c>
      <c r="H104" s="13" t="s">
        <v>596</v>
      </c>
      <c r="I104" s="53" t="s">
        <v>597</v>
      </c>
      <c r="J104" s="54">
        <v>0.15208333333333299</v>
      </c>
      <c r="K104" s="54">
        <v>0.13541666666666699</v>
      </c>
      <c r="L104" s="54">
        <v>1.6666666666666701E-2</v>
      </c>
      <c r="M104" s="54">
        <v>0</v>
      </c>
      <c r="N104" s="54">
        <v>0.13541666666666699</v>
      </c>
      <c r="O104" s="54">
        <v>0</v>
      </c>
      <c r="P104" s="54">
        <v>0</v>
      </c>
      <c r="Q104" s="54">
        <v>0</v>
      </c>
      <c r="R104" s="54">
        <v>0.13541666666666699</v>
      </c>
      <c r="S104" s="54">
        <v>0</v>
      </c>
      <c r="T104" s="54">
        <v>0</v>
      </c>
      <c r="U104" s="54">
        <v>0</v>
      </c>
      <c r="V104" s="54">
        <v>0</v>
      </c>
      <c r="W104" s="55">
        <v>0.52054794520547898</v>
      </c>
      <c r="X104" s="53" t="s">
        <v>592</v>
      </c>
      <c r="Y104" s="53" t="s">
        <v>583</v>
      </c>
      <c r="Z104" s="53" t="s">
        <v>583</v>
      </c>
      <c r="AA104" s="53">
        <v>3</v>
      </c>
      <c r="AB104" s="53">
        <v>1</v>
      </c>
      <c r="AC104" s="34">
        <v>20000</v>
      </c>
      <c r="AD104" s="34">
        <v>8</v>
      </c>
      <c r="AE104" s="34">
        <v>0</v>
      </c>
      <c r="AF104" s="34">
        <v>0</v>
      </c>
      <c r="AG104" s="34">
        <v>0</v>
      </c>
      <c r="AH104" s="34">
        <v>1</v>
      </c>
      <c r="AI104" s="34">
        <v>9</v>
      </c>
      <c r="AJ104" s="34">
        <v>0</v>
      </c>
      <c r="AK104" s="34">
        <v>0</v>
      </c>
      <c r="AL104" s="34">
        <v>7</v>
      </c>
      <c r="AM104" s="13" t="s">
        <v>662</v>
      </c>
      <c r="AN104" s="54">
        <v>0</v>
      </c>
      <c r="AO104" s="56">
        <f>--($D104='START HERE'!$C$5)</f>
        <v>0</v>
      </c>
    </row>
    <row r="105" spans="2:41">
      <c r="B105" s="34">
        <v>12021</v>
      </c>
      <c r="C105" s="7" t="s">
        <v>728</v>
      </c>
      <c r="D105" s="13" t="s">
        <v>720</v>
      </c>
      <c r="E105" s="13" t="s">
        <v>721</v>
      </c>
      <c r="F105" s="53" t="s">
        <v>590</v>
      </c>
      <c r="G105" s="53" t="s">
        <v>113</v>
      </c>
      <c r="H105" s="13" t="s">
        <v>596</v>
      </c>
      <c r="I105" s="53" t="s">
        <v>597</v>
      </c>
      <c r="J105" s="54">
        <v>0</v>
      </c>
      <c r="K105" s="54">
        <v>0</v>
      </c>
      <c r="L105" s="54">
        <v>0</v>
      </c>
      <c r="M105" s="54">
        <v>0</v>
      </c>
      <c r="N105" s="54">
        <v>0</v>
      </c>
      <c r="O105" s="54">
        <v>0</v>
      </c>
      <c r="P105" s="54">
        <v>0</v>
      </c>
      <c r="Q105" s="54">
        <v>0</v>
      </c>
      <c r="R105" s="54">
        <v>0</v>
      </c>
      <c r="S105" s="54">
        <v>0</v>
      </c>
      <c r="T105" s="54">
        <v>0</v>
      </c>
      <c r="U105" s="54">
        <v>0</v>
      </c>
      <c r="V105" s="54">
        <v>0</v>
      </c>
      <c r="W105" s="55">
        <v>0</v>
      </c>
      <c r="X105" s="53" t="s">
        <v>592</v>
      </c>
      <c r="Y105" s="53" t="s">
        <v>583</v>
      </c>
      <c r="Z105" s="53" t="s">
        <v>583</v>
      </c>
      <c r="AA105" s="53">
        <v>3</v>
      </c>
      <c r="AB105" s="53">
        <v>1</v>
      </c>
      <c r="AC105" s="34">
        <v>0</v>
      </c>
      <c r="AD105" s="34">
        <v>3</v>
      </c>
      <c r="AE105" s="34">
        <v>0</v>
      </c>
      <c r="AF105" s="34">
        <v>0</v>
      </c>
      <c r="AG105" s="34">
        <v>0</v>
      </c>
      <c r="AH105" s="34">
        <v>0</v>
      </c>
      <c r="AI105" s="34">
        <v>1</v>
      </c>
      <c r="AJ105" s="34">
        <v>0</v>
      </c>
      <c r="AK105" s="34">
        <v>1</v>
      </c>
      <c r="AL105" s="34">
        <v>10</v>
      </c>
      <c r="AM105" s="13" t="s">
        <v>593</v>
      </c>
      <c r="AN105" s="54">
        <v>0</v>
      </c>
      <c r="AO105" s="56">
        <f>--($D105='START HERE'!$C$5)</f>
        <v>0</v>
      </c>
    </row>
    <row r="106" spans="2:41">
      <c r="B106" s="34">
        <v>12030</v>
      </c>
      <c r="C106" s="7" t="s">
        <v>729</v>
      </c>
      <c r="D106" s="13" t="s">
        <v>720</v>
      </c>
      <c r="E106" s="13" t="s">
        <v>721</v>
      </c>
      <c r="F106" s="53" t="s">
        <v>590</v>
      </c>
      <c r="G106" s="53" t="s">
        <v>113</v>
      </c>
      <c r="H106" s="13" t="s">
        <v>596</v>
      </c>
      <c r="I106" s="53" t="s">
        <v>597</v>
      </c>
      <c r="J106" s="54">
        <v>0</v>
      </c>
      <c r="K106" s="54">
        <v>0</v>
      </c>
      <c r="L106" s="54">
        <v>0</v>
      </c>
      <c r="M106" s="54">
        <v>0</v>
      </c>
      <c r="N106" s="54">
        <v>0</v>
      </c>
      <c r="O106" s="54">
        <v>0</v>
      </c>
      <c r="P106" s="54">
        <v>0</v>
      </c>
      <c r="Q106" s="54">
        <v>0</v>
      </c>
      <c r="R106" s="54">
        <v>0</v>
      </c>
      <c r="S106" s="54">
        <v>0</v>
      </c>
      <c r="T106" s="54">
        <v>0</v>
      </c>
      <c r="U106" s="54">
        <v>0</v>
      </c>
      <c r="V106" s="54">
        <v>0</v>
      </c>
      <c r="W106" s="55">
        <v>0</v>
      </c>
      <c r="X106" s="53" t="s">
        <v>592</v>
      </c>
      <c r="Y106" s="53" t="s">
        <v>583</v>
      </c>
      <c r="Z106" s="53" t="s">
        <v>583</v>
      </c>
      <c r="AA106" s="53">
        <v>3</v>
      </c>
      <c r="AB106" s="53">
        <v>1</v>
      </c>
      <c r="AC106" s="34">
        <v>0</v>
      </c>
      <c r="AD106" s="34">
        <v>2</v>
      </c>
      <c r="AE106" s="34">
        <v>0</v>
      </c>
      <c r="AF106" s="34">
        <v>0</v>
      </c>
      <c r="AG106" s="34">
        <v>0</v>
      </c>
      <c r="AH106" s="34">
        <v>0</v>
      </c>
      <c r="AI106" s="34">
        <v>0</v>
      </c>
      <c r="AJ106" s="34">
        <v>0</v>
      </c>
      <c r="AK106" s="34">
        <v>0</v>
      </c>
      <c r="AL106" s="34">
        <v>5</v>
      </c>
      <c r="AM106" s="13" t="s">
        <v>593</v>
      </c>
      <c r="AN106" s="54">
        <v>0</v>
      </c>
      <c r="AO106" s="56">
        <f>--($D106='START HERE'!$C$5)</f>
        <v>0</v>
      </c>
    </row>
    <row r="107" spans="2:41">
      <c r="B107" s="34">
        <v>14267</v>
      </c>
      <c r="C107" s="7" t="s">
        <v>730</v>
      </c>
      <c r="D107" s="13" t="s">
        <v>731</v>
      </c>
      <c r="E107" s="13" t="s">
        <v>732</v>
      </c>
      <c r="F107" s="53" t="s">
        <v>590</v>
      </c>
      <c r="G107" s="53" t="s">
        <v>112</v>
      </c>
      <c r="H107" s="13" t="s">
        <v>646</v>
      </c>
      <c r="I107" s="53" t="s">
        <v>647</v>
      </c>
      <c r="J107" s="54">
        <v>12.7566666666667</v>
      </c>
      <c r="K107" s="54">
        <v>12.2566666666667</v>
      </c>
      <c r="L107" s="54">
        <v>0.5</v>
      </c>
      <c r="M107" s="54">
        <v>0</v>
      </c>
      <c r="N107" s="54">
        <v>12.2566666666667</v>
      </c>
      <c r="O107" s="54">
        <v>0</v>
      </c>
      <c r="P107" s="54">
        <v>0</v>
      </c>
      <c r="Q107" s="54">
        <v>0</v>
      </c>
      <c r="R107" s="54">
        <v>10.7566666666667</v>
      </c>
      <c r="S107" s="54">
        <v>0</v>
      </c>
      <c r="T107" s="54">
        <v>1.5</v>
      </c>
      <c r="U107" s="54">
        <v>0</v>
      </c>
      <c r="V107" s="54">
        <v>0</v>
      </c>
      <c r="W107" s="55">
        <v>0.88241442383067703</v>
      </c>
      <c r="X107" s="53" t="s">
        <v>592</v>
      </c>
      <c r="Y107" s="53" t="s">
        <v>583</v>
      </c>
      <c r="Z107" s="53" t="s">
        <v>583</v>
      </c>
      <c r="AA107" s="53">
        <v>3</v>
      </c>
      <c r="AB107" s="53">
        <v>1</v>
      </c>
      <c r="AC107" s="34">
        <v>0</v>
      </c>
      <c r="AD107" s="34">
        <v>0</v>
      </c>
      <c r="AE107" s="34">
        <v>0</v>
      </c>
      <c r="AF107" s="34">
        <v>0</v>
      </c>
      <c r="AG107" s="34">
        <v>13</v>
      </c>
      <c r="AH107" s="34">
        <v>29</v>
      </c>
      <c r="AI107" s="34">
        <v>78</v>
      </c>
      <c r="AJ107" s="34">
        <v>5</v>
      </c>
      <c r="AK107" s="34">
        <v>32</v>
      </c>
      <c r="AL107" s="34">
        <v>279</v>
      </c>
      <c r="AM107" s="13" t="s">
        <v>584</v>
      </c>
      <c r="AN107" s="54">
        <v>1.26</v>
      </c>
      <c r="AO107" s="56">
        <f>--($D107='START HERE'!$C$5)</f>
        <v>0</v>
      </c>
    </row>
    <row r="108" spans="2:41">
      <c r="B108" s="34">
        <v>9833</v>
      </c>
      <c r="C108" s="7" t="s">
        <v>733</v>
      </c>
      <c r="D108" s="13" t="s">
        <v>731</v>
      </c>
      <c r="E108" s="13" t="s">
        <v>734</v>
      </c>
      <c r="F108" s="53" t="s">
        <v>595</v>
      </c>
      <c r="G108" s="53" t="s">
        <v>112</v>
      </c>
      <c r="H108" s="13" t="s">
        <v>646</v>
      </c>
      <c r="I108" s="53" t="s">
        <v>647</v>
      </c>
      <c r="J108" s="54">
        <v>8.8420833333333402</v>
      </c>
      <c r="K108" s="54">
        <v>8.7316666666666691</v>
      </c>
      <c r="L108" s="54">
        <v>0.110416666666667</v>
      </c>
      <c r="M108" s="54">
        <v>0</v>
      </c>
      <c r="N108" s="54">
        <v>8.7316666666666691</v>
      </c>
      <c r="O108" s="54">
        <v>0</v>
      </c>
      <c r="P108" s="54">
        <v>0</v>
      </c>
      <c r="Q108" s="54">
        <v>0</v>
      </c>
      <c r="R108" s="54">
        <v>8.3316666666666706</v>
      </c>
      <c r="S108" s="54">
        <v>0</v>
      </c>
      <c r="T108" s="54">
        <v>0.4</v>
      </c>
      <c r="U108" s="54">
        <v>0</v>
      </c>
      <c r="V108" s="54">
        <v>0</v>
      </c>
      <c r="W108" s="55">
        <v>0.916874793836294</v>
      </c>
      <c r="X108" s="53" t="s">
        <v>592</v>
      </c>
      <c r="Y108" s="53" t="s">
        <v>583</v>
      </c>
      <c r="Z108" s="53" t="s">
        <v>583</v>
      </c>
      <c r="AA108" s="53">
        <v>3</v>
      </c>
      <c r="AB108" s="53">
        <v>1</v>
      </c>
      <c r="AC108" s="34">
        <v>675757</v>
      </c>
      <c r="AD108" s="34">
        <v>0</v>
      </c>
      <c r="AE108" s="34">
        <v>0</v>
      </c>
      <c r="AF108" s="34">
        <v>0</v>
      </c>
      <c r="AG108" s="34">
        <v>36</v>
      </c>
      <c r="AH108" s="34">
        <v>7</v>
      </c>
      <c r="AI108" s="34">
        <v>161</v>
      </c>
      <c r="AJ108" s="34">
        <v>21</v>
      </c>
      <c r="AK108" s="34">
        <v>7</v>
      </c>
      <c r="AL108" s="34">
        <v>142</v>
      </c>
      <c r="AM108" s="13" t="s">
        <v>584</v>
      </c>
      <c r="AN108" s="54">
        <v>0.873</v>
      </c>
      <c r="AO108" s="56">
        <f>--($D108='START HERE'!$C$5)</f>
        <v>0</v>
      </c>
    </row>
    <row r="109" spans="2:41">
      <c r="B109" s="34">
        <v>9861</v>
      </c>
      <c r="C109" s="7" t="s">
        <v>735</v>
      </c>
      <c r="D109" s="13" t="s">
        <v>731</v>
      </c>
      <c r="E109" s="13" t="s">
        <v>734</v>
      </c>
      <c r="F109" s="53" t="s">
        <v>149</v>
      </c>
      <c r="G109" s="53" t="s">
        <v>112</v>
      </c>
      <c r="H109" s="13" t="s">
        <v>646</v>
      </c>
      <c r="I109" s="53" t="s">
        <v>647</v>
      </c>
      <c r="J109" s="54">
        <v>6.3152916666666696</v>
      </c>
      <c r="K109" s="54">
        <v>6.3152916666666696</v>
      </c>
      <c r="L109" s="54">
        <v>0</v>
      </c>
      <c r="M109" s="54">
        <v>0</v>
      </c>
      <c r="N109" s="54">
        <v>6.3152916666666696</v>
      </c>
      <c r="O109" s="54">
        <v>0</v>
      </c>
      <c r="P109" s="54">
        <v>0</v>
      </c>
      <c r="Q109" s="54">
        <v>0</v>
      </c>
      <c r="R109" s="54">
        <v>6.211125</v>
      </c>
      <c r="S109" s="54">
        <v>0</v>
      </c>
      <c r="T109" s="54">
        <v>0.104166666666667</v>
      </c>
      <c r="U109" s="54">
        <v>0</v>
      </c>
      <c r="V109" s="54">
        <v>0</v>
      </c>
      <c r="W109" s="55">
        <v>0.87325737132753201</v>
      </c>
      <c r="X109" s="53" t="s">
        <v>592</v>
      </c>
      <c r="Y109" s="53" t="s">
        <v>583</v>
      </c>
      <c r="Z109" s="53" t="s">
        <v>582</v>
      </c>
      <c r="AA109" s="53">
        <v>3</v>
      </c>
      <c r="AB109" s="53">
        <v>1</v>
      </c>
      <c r="AC109" s="34">
        <v>678710</v>
      </c>
      <c r="AD109" s="34">
        <v>3</v>
      </c>
      <c r="AE109" s="34">
        <v>0</v>
      </c>
      <c r="AF109" s="34">
        <v>0</v>
      </c>
      <c r="AG109" s="34">
        <v>2</v>
      </c>
      <c r="AH109" s="34">
        <v>1</v>
      </c>
      <c r="AI109" s="34">
        <v>8</v>
      </c>
      <c r="AJ109" s="34">
        <v>2</v>
      </c>
      <c r="AK109" s="34">
        <v>1</v>
      </c>
      <c r="AL109" s="34">
        <v>51</v>
      </c>
      <c r="AM109" s="13" t="s">
        <v>584</v>
      </c>
      <c r="AN109" s="54">
        <v>0.624</v>
      </c>
      <c r="AO109" s="56">
        <f>--($D109='START HERE'!$C$5)</f>
        <v>0</v>
      </c>
    </row>
    <row r="110" spans="2:41">
      <c r="B110" s="34">
        <v>9849</v>
      </c>
      <c r="C110" s="7" t="s">
        <v>736</v>
      </c>
      <c r="D110" s="13" t="s">
        <v>731</v>
      </c>
      <c r="E110" s="13" t="s">
        <v>734</v>
      </c>
      <c r="F110" s="53" t="s">
        <v>595</v>
      </c>
      <c r="G110" s="53" t="s">
        <v>109</v>
      </c>
      <c r="H110" s="13" t="s">
        <v>607</v>
      </c>
      <c r="I110" s="53" t="s">
        <v>608</v>
      </c>
      <c r="J110" s="54">
        <v>5.5695833333333304</v>
      </c>
      <c r="K110" s="54">
        <v>5.1862500000000002</v>
      </c>
      <c r="L110" s="54">
        <v>0.38333333333333303</v>
      </c>
      <c r="M110" s="54">
        <v>0</v>
      </c>
      <c r="N110" s="54">
        <v>5.1862500000000002</v>
      </c>
      <c r="O110" s="54">
        <v>0</v>
      </c>
      <c r="P110" s="54">
        <v>0</v>
      </c>
      <c r="Q110" s="54">
        <v>0</v>
      </c>
      <c r="R110" s="54">
        <v>4.4362500000000002</v>
      </c>
      <c r="S110" s="54">
        <v>0</v>
      </c>
      <c r="T110" s="54">
        <v>0.75</v>
      </c>
      <c r="U110" s="54">
        <v>0</v>
      </c>
      <c r="V110" s="54">
        <v>0</v>
      </c>
      <c r="W110" s="55">
        <v>0.83152539836911799</v>
      </c>
      <c r="X110" s="53" t="s">
        <v>592</v>
      </c>
      <c r="Y110" s="53" t="s">
        <v>583</v>
      </c>
      <c r="Z110" s="53" t="s">
        <v>583</v>
      </c>
      <c r="AA110" s="53">
        <v>3</v>
      </c>
      <c r="AB110" s="53">
        <v>1</v>
      </c>
      <c r="AC110" s="34">
        <v>637679</v>
      </c>
      <c r="AD110" s="34">
        <v>26</v>
      </c>
      <c r="AE110" s="34">
        <v>0</v>
      </c>
      <c r="AF110" s="34">
        <v>0</v>
      </c>
      <c r="AG110" s="34">
        <v>10</v>
      </c>
      <c r="AH110" s="34">
        <v>3</v>
      </c>
      <c r="AI110" s="34">
        <v>129</v>
      </c>
      <c r="AJ110" s="34">
        <v>14</v>
      </c>
      <c r="AK110" s="34">
        <v>0</v>
      </c>
      <c r="AL110" s="34">
        <v>70</v>
      </c>
      <c r="AM110" s="13" t="s">
        <v>584</v>
      </c>
      <c r="AN110" s="54">
        <v>0.55000000000000004</v>
      </c>
      <c r="AO110" s="56">
        <f>--($D110='START HERE'!$C$5)</f>
        <v>0</v>
      </c>
    </row>
    <row r="111" spans="2:41">
      <c r="B111" s="34">
        <v>9845</v>
      </c>
      <c r="C111" s="7" t="s">
        <v>737</v>
      </c>
      <c r="D111" s="13" t="s">
        <v>731</v>
      </c>
      <c r="E111" s="13" t="s">
        <v>732</v>
      </c>
      <c r="F111" s="53" t="s">
        <v>595</v>
      </c>
      <c r="G111" s="53" t="s">
        <v>112</v>
      </c>
      <c r="H111" s="13" t="s">
        <v>646</v>
      </c>
      <c r="I111" s="53" t="s">
        <v>647</v>
      </c>
      <c r="J111" s="54">
        <v>3.4049166666666699</v>
      </c>
      <c r="K111" s="54">
        <v>3.4049166666666699</v>
      </c>
      <c r="L111" s="54">
        <v>0</v>
      </c>
      <c r="M111" s="54">
        <v>0</v>
      </c>
      <c r="N111" s="54">
        <v>3.4049166666666699</v>
      </c>
      <c r="O111" s="54">
        <v>0</v>
      </c>
      <c r="P111" s="54">
        <v>0</v>
      </c>
      <c r="Q111" s="54">
        <v>0</v>
      </c>
      <c r="R111" s="54">
        <v>2.8632499999999999</v>
      </c>
      <c r="S111" s="54">
        <v>0</v>
      </c>
      <c r="T111" s="54">
        <v>0.54166666666666696</v>
      </c>
      <c r="U111" s="54">
        <v>0</v>
      </c>
      <c r="V111" s="54">
        <v>0</v>
      </c>
      <c r="W111" s="55">
        <v>0.84091632198536403</v>
      </c>
      <c r="X111" s="53" t="s">
        <v>592</v>
      </c>
      <c r="Y111" s="53" t="s">
        <v>583</v>
      </c>
      <c r="Z111" s="53" t="s">
        <v>583</v>
      </c>
      <c r="AA111" s="53">
        <v>3</v>
      </c>
      <c r="AB111" s="53">
        <v>1</v>
      </c>
      <c r="AC111" s="34">
        <v>0</v>
      </c>
      <c r="AD111" s="34">
        <v>0</v>
      </c>
      <c r="AE111" s="34">
        <v>0</v>
      </c>
      <c r="AF111" s="34">
        <v>0</v>
      </c>
      <c r="AG111" s="34">
        <v>27</v>
      </c>
      <c r="AH111" s="34">
        <v>12</v>
      </c>
      <c r="AI111" s="34">
        <v>118</v>
      </c>
      <c r="AJ111" s="34">
        <v>28</v>
      </c>
      <c r="AK111" s="34">
        <v>2</v>
      </c>
      <c r="AL111" s="34">
        <v>274</v>
      </c>
      <c r="AM111" s="13" t="s">
        <v>584</v>
      </c>
      <c r="AN111" s="54">
        <v>0.33600000000000002</v>
      </c>
      <c r="AO111" s="56">
        <f>--($D111='START HERE'!$C$5)</f>
        <v>0</v>
      </c>
    </row>
    <row r="112" spans="2:41">
      <c r="B112" s="34">
        <v>9854</v>
      </c>
      <c r="C112" s="7" t="s">
        <v>738</v>
      </c>
      <c r="D112" s="13" t="s">
        <v>731</v>
      </c>
      <c r="E112" s="13" t="s">
        <v>734</v>
      </c>
      <c r="F112" s="53" t="s">
        <v>595</v>
      </c>
      <c r="G112" s="53" t="s">
        <v>113</v>
      </c>
      <c r="H112" s="13" t="s">
        <v>596</v>
      </c>
      <c r="I112" s="53" t="s">
        <v>597</v>
      </c>
      <c r="J112" s="54">
        <v>1.40041666666667</v>
      </c>
      <c r="K112" s="54">
        <v>1.40041666666667</v>
      </c>
      <c r="L112" s="54">
        <v>0</v>
      </c>
      <c r="M112" s="54">
        <v>0</v>
      </c>
      <c r="N112" s="54">
        <v>1.40041666666667</v>
      </c>
      <c r="O112" s="54">
        <v>0</v>
      </c>
      <c r="P112" s="54">
        <v>0</v>
      </c>
      <c r="Q112" s="54">
        <v>0</v>
      </c>
      <c r="R112" s="54">
        <v>1.3004166666666701</v>
      </c>
      <c r="S112" s="54">
        <v>0</v>
      </c>
      <c r="T112" s="54">
        <v>0.1</v>
      </c>
      <c r="U112" s="54">
        <v>0</v>
      </c>
      <c r="V112" s="54">
        <v>0</v>
      </c>
      <c r="W112" s="55">
        <v>0.92859268074977697</v>
      </c>
      <c r="X112" s="53" t="s">
        <v>592</v>
      </c>
      <c r="Y112" s="53" t="s">
        <v>583</v>
      </c>
      <c r="Z112" s="53" t="s">
        <v>583</v>
      </c>
      <c r="AA112" s="53">
        <v>3</v>
      </c>
      <c r="AB112" s="53">
        <v>1</v>
      </c>
      <c r="AC112" s="34">
        <v>0</v>
      </c>
      <c r="AD112" s="34">
        <v>0</v>
      </c>
      <c r="AE112" s="34">
        <v>0</v>
      </c>
      <c r="AF112" s="34">
        <v>0</v>
      </c>
      <c r="AG112" s="34">
        <v>13</v>
      </c>
      <c r="AH112" s="34">
        <v>6</v>
      </c>
      <c r="AI112" s="34">
        <v>146</v>
      </c>
      <c r="AJ112" s="34">
        <v>11</v>
      </c>
      <c r="AK112" s="34">
        <v>7</v>
      </c>
      <c r="AL112" s="34">
        <v>232</v>
      </c>
      <c r="AM112" s="13" t="s">
        <v>584</v>
      </c>
      <c r="AN112" s="54">
        <v>0.13800000000000001</v>
      </c>
      <c r="AO112" s="56">
        <f>--($D112='START HERE'!$C$5)</f>
        <v>0</v>
      </c>
    </row>
    <row r="113" spans="2:41">
      <c r="B113" s="34">
        <v>13982</v>
      </c>
      <c r="C113" s="7" t="s">
        <v>739</v>
      </c>
      <c r="D113" s="13" t="s">
        <v>731</v>
      </c>
      <c r="E113" s="13" t="s">
        <v>734</v>
      </c>
      <c r="F113" s="53" t="s">
        <v>590</v>
      </c>
      <c r="G113" s="53" t="s">
        <v>113</v>
      </c>
      <c r="H113" s="13" t="s">
        <v>596</v>
      </c>
      <c r="I113" s="53" t="s">
        <v>597</v>
      </c>
      <c r="J113" s="54">
        <v>0.90249999999999997</v>
      </c>
      <c r="K113" s="54">
        <v>0.86916666666666698</v>
      </c>
      <c r="L113" s="54">
        <v>3.3333333333333298E-2</v>
      </c>
      <c r="M113" s="54">
        <v>0</v>
      </c>
      <c r="N113" s="54">
        <v>0.86916666666666698</v>
      </c>
      <c r="O113" s="54">
        <v>0</v>
      </c>
      <c r="P113" s="54">
        <v>0</v>
      </c>
      <c r="Q113" s="54">
        <v>0</v>
      </c>
      <c r="R113" s="54">
        <v>0.86916666666666698</v>
      </c>
      <c r="S113" s="54">
        <v>0</v>
      </c>
      <c r="T113" s="54">
        <v>0</v>
      </c>
      <c r="U113" s="54">
        <v>0</v>
      </c>
      <c r="V113" s="54">
        <v>0</v>
      </c>
      <c r="W113" s="55">
        <v>1</v>
      </c>
      <c r="X113" s="53" t="s">
        <v>592</v>
      </c>
      <c r="Y113" s="53" t="s">
        <v>583</v>
      </c>
      <c r="Z113" s="53" t="s">
        <v>583</v>
      </c>
      <c r="AA113" s="53">
        <v>3</v>
      </c>
      <c r="AB113" s="53">
        <v>1</v>
      </c>
      <c r="AC113" s="34">
        <v>0</v>
      </c>
      <c r="AD113" s="34">
        <v>0</v>
      </c>
      <c r="AE113" s="34">
        <v>0</v>
      </c>
      <c r="AF113" s="34">
        <v>0</v>
      </c>
      <c r="AG113" s="34">
        <v>2</v>
      </c>
      <c r="AH113" s="34">
        <v>0</v>
      </c>
      <c r="AI113" s="34">
        <v>2</v>
      </c>
      <c r="AJ113" s="34">
        <v>1</v>
      </c>
      <c r="AK113" s="34">
        <v>0</v>
      </c>
      <c r="AL113" s="34">
        <v>5</v>
      </c>
      <c r="AM113" s="13" t="s">
        <v>593</v>
      </c>
      <c r="AN113" s="54">
        <v>8.8999999999999996E-2</v>
      </c>
      <c r="AO113" s="56">
        <f>--($D113='START HERE'!$C$5)</f>
        <v>0</v>
      </c>
    </row>
    <row r="114" spans="2:41">
      <c r="B114" s="34">
        <v>9848</v>
      </c>
      <c r="C114" s="7" t="s">
        <v>740</v>
      </c>
      <c r="D114" s="13" t="s">
        <v>731</v>
      </c>
      <c r="E114" s="13" t="s">
        <v>734</v>
      </c>
      <c r="F114" s="53" t="s">
        <v>595</v>
      </c>
      <c r="G114" s="53" t="s">
        <v>113</v>
      </c>
      <c r="H114" s="13" t="s">
        <v>596</v>
      </c>
      <c r="I114" s="53" t="s">
        <v>597</v>
      </c>
      <c r="J114" s="54">
        <v>0.88541666666666696</v>
      </c>
      <c r="K114" s="54">
        <v>0.88541666666666696</v>
      </c>
      <c r="L114" s="54">
        <v>0</v>
      </c>
      <c r="M114" s="54">
        <v>0</v>
      </c>
      <c r="N114" s="54">
        <v>0.88541666666666696</v>
      </c>
      <c r="O114" s="54">
        <v>0</v>
      </c>
      <c r="P114" s="54">
        <v>0</v>
      </c>
      <c r="Q114" s="54">
        <v>0</v>
      </c>
      <c r="R114" s="54">
        <v>0.88541666666666696</v>
      </c>
      <c r="S114" s="54">
        <v>0</v>
      </c>
      <c r="T114" s="54">
        <v>0</v>
      </c>
      <c r="U114" s="54">
        <v>0</v>
      </c>
      <c r="V114" s="54">
        <v>0</v>
      </c>
      <c r="W114" s="55">
        <v>0.83058823529411796</v>
      </c>
      <c r="X114" s="53" t="s">
        <v>592</v>
      </c>
      <c r="Y114" s="53" t="s">
        <v>583</v>
      </c>
      <c r="Z114" s="53" t="s">
        <v>583</v>
      </c>
      <c r="AA114" s="53">
        <v>3</v>
      </c>
      <c r="AB114" s="53">
        <v>1</v>
      </c>
      <c r="AC114" s="34">
        <v>0</v>
      </c>
      <c r="AD114" s="34">
        <v>0</v>
      </c>
      <c r="AE114" s="34">
        <v>0</v>
      </c>
      <c r="AF114" s="34">
        <v>0</v>
      </c>
      <c r="AG114" s="34">
        <v>0</v>
      </c>
      <c r="AH114" s="34">
        <v>2</v>
      </c>
      <c r="AI114" s="34">
        <v>14</v>
      </c>
      <c r="AJ114" s="34">
        <v>1</v>
      </c>
      <c r="AK114" s="34">
        <v>0</v>
      </c>
      <c r="AL114" s="34">
        <v>34</v>
      </c>
      <c r="AM114" s="13" t="s">
        <v>593</v>
      </c>
      <c r="AN114" s="54">
        <v>8.6999999999999994E-2</v>
      </c>
      <c r="AO114" s="56">
        <f>--($D114='START HERE'!$C$5)</f>
        <v>0</v>
      </c>
    </row>
    <row r="115" spans="2:41">
      <c r="B115" s="34">
        <v>9996</v>
      </c>
      <c r="C115" s="7" t="s">
        <v>741</v>
      </c>
      <c r="D115" s="13" t="s">
        <v>731</v>
      </c>
      <c r="E115" s="13" t="s">
        <v>734</v>
      </c>
      <c r="F115" s="53" t="s">
        <v>595</v>
      </c>
      <c r="G115" s="53" t="s">
        <v>113</v>
      </c>
      <c r="H115" s="13" t="s">
        <v>596</v>
      </c>
      <c r="I115" s="53" t="s">
        <v>597</v>
      </c>
      <c r="J115" s="54">
        <v>0.22625000000000001</v>
      </c>
      <c r="K115" s="54">
        <v>0.22625000000000001</v>
      </c>
      <c r="L115" s="54">
        <v>0</v>
      </c>
      <c r="M115" s="54">
        <v>0</v>
      </c>
      <c r="N115" s="54">
        <v>0.22625000000000001</v>
      </c>
      <c r="O115" s="54">
        <v>0</v>
      </c>
      <c r="P115" s="54">
        <v>0</v>
      </c>
      <c r="Q115" s="54">
        <v>0</v>
      </c>
      <c r="R115" s="54">
        <v>7.6249999999999998E-2</v>
      </c>
      <c r="S115" s="54">
        <v>0</v>
      </c>
      <c r="T115" s="54">
        <v>0.15</v>
      </c>
      <c r="U115" s="54">
        <v>0</v>
      </c>
      <c r="V115" s="54">
        <v>0</v>
      </c>
      <c r="W115" s="55">
        <v>0.337016574585635</v>
      </c>
      <c r="X115" s="53" t="s">
        <v>592</v>
      </c>
      <c r="Y115" s="53" t="s">
        <v>583</v>
      </c>
      <c r="Z115" s="53" t="s">
        <v>583</v>
      </c>
      <c r="AA115" s="53">
        <v>3</v>
      </c>
      <c r="AB115" s="53">
        <v>1</v>
      </c>
      <c r="AC115" s="34">
        <v>0</v>
      </c>
      <c r="AD115" s="34">
        <v>0</v>
      </c>
      <c r="AE115" s="34">
        <v>0</v>
      </c>
      <c r="AF115" s="34">
        <v>0</v>
      </c>
      <c r="AG115" s="34">
        <v>0</v>
      </c>
      <c r="AH115" s="34">
        <v>1</v>
      </c>
      <c r="AI115" s="34">
        <v>2</v>
      </c>
      <c r="AJ115" s="34">
        <v>0</v>
      </c>
      <c r="AK115" s="34">
        <v>1</v>
      </c>
      <c r="AL115" s="34">
        <v>9</v>
      </c>
      <c r="AM115" s="13" t="s">
        <v>662</v>
      </c>
      <c r="AN115" s="54">
        <v>2.1999999999999999E-2</v>
      </c>
      <c r="AO115" s="56">
        <f>--($D115='START HERE'!$C$5)</f>
        <v>0</v>
      </c>
    </row>
    <row r="116" spans="2:41">
      <c r="B116" s="34">
        <v>12520</v>
      </c>
      <c r="C116" s="7" t="s">
        <v>742</v>
      </c>
      <c r="D116" s="13" t="s">
        <v>731</v>
      </c>
      <c r="E116" s="13" t="s">
        <v>732</v>
      </c>
      <c r="F116" s="53" t="s">
        <v>595</v>
      </c>
      <c r="G116" s="53" t="s">
        <v>113</v>
      </c>
      <c r="H116" s="13" t="s">
        <v>596</v>
      </c>
      <c r="I116" s="53" t="s">
        <v>597</v>
      </c>
      <c r="J116" s="54">
        <v>0.125</v>
      </c>
      <c r="K116" s="54">
        <v>0.125</v>
      </c>
      <c r="L116" s="54">
        <v>0</v>
      </c>
      <c r="M116" s="54">
        <v>0</v>
      </c>
      <c r="N116" s="54">
        <v>0.125</v>
      </c>
      <c r="O116" s="54">
        <v>0</v>
      </c>
      <c r="P116" s="54">
        <v>0</v>
      </c>
      <c r="Q116" s="54">
        <v>0</v>
      </c>
      <c r="R116" s="54">
        <v>0.125</v>
      </c>
      <c r="S116" s="54">
        <v>0</v>
      </c>
      <c r="T116" s="54">
        <v>0</v>
      </c>
      <c r="U116" s="54">
        <v>0</v>
      </c>
      <c r="V116" s="54">
        <v>0</v>
      </c>
      <c r="W116" s="55">
        <v>1</v>
      </c>
      <c r="X116" s="53" t="s">
        <v>581</v>
      </c>
      <c r="Y116" s="53" t="s">
        <v>583</v>
      </c>
      <c r="Z116" s="53" t="s">
        <v>583</v>
      </c>
      <c r="AA116" s="53">
        <v>3</v>
      </c>
      <c r="AB116" s="53">
        <v>1</v>
      </c>
      <c r="AC116" s="34">
        <v>0</v>
      </c>
      <c r="AD116" s="34">
        <v>0</v>
      </c>
      <c r="AE116" s="34">
        <v>0</v>
      </c>
      <c r="AF116" s="34">
        <v>0</v>
      </c>
      <c r="AG116" s="34">
        <v>0</v>
      </c>
      <c r="AH116" s="34">
        <v>0</v>
      </c>
      <c r="AI116" s="34">
        <v>4</v>
      </c>
      <c r="AJ116" s="34">
        <v>0</v>
      </c>
      <c r="AK116" s="34">
        <v>0</v>
      </c>
      <c r="AL116" s="34">
        <v>14</v>
      </c>
      <c r="AM116" s="13" t="s">
        <v>593</v>
      </c>
      <c r="AN116" s="54">
        <v>1.2E-2</v>
      </c>
      <c r="AO116" s="56">
        <f>--($D116='START HERE'!$C$5)</f>
        <v>0</v>
      </c>
    </row>
    <row r="117" spans="2:41">
      <c r="B117" s="34">
        <v>9910</v>
      </c>
      <c r="C117" s="7" t="s">
        <v>743</v>
      </c>
      <c r="D117" s="13" t="s">
        <v>731</v>
      </c>
      <c r="E117" s="13" t="s">
        <v>732</v>
      </c>
      <c r="F117" s="53" t="s">
        <v>595</v>
      </c>
      <c r="G117" s="53" t="s">
        <v>113</v>
      </c>
      <c r="H117" s="13" t="s">
        <v>596</v>
      </c>
      <c r="I117" s="53" t="s">
        <v>597</v>
      </c>
      <c r="J117" s="54">
        <v>6.25E-2</v>
      </c>
      <c r="K117" s="54">
        <v>6.25E-2</v>
      </c>
      <c r="L117" s="54">
        <v>0</v>
      </c>
      <c r="M117" s="54">
        <v>0</v>
      </c>
      <c r="N117" s="54">
        <v>6.25E-2</v>
      </c>
      <c r="O117" s="54">
        <v>0</v>
      </c>
      <c r="P117" s="54">
        <v>0</v>
      </c>
      <c r="Q117" s="54">
        <v>0</v>
      </c>
      <c r="R117" s="54">
        <v>6.25E-2</v>
      </c>
      <c r="S117" s="54">
        <v>0</v>
      </c>
      <c r="T117" s="54">
        <v>0</v>
      </c>
      <c r="U117" s="54">
        <v>0</v>
      </c>
      <c r="V117" s="54">
        <v>0</v>
      </c>
      <c r="W117" s="55">
        <v>1</v>
      </c>
      <c r="X117" s="53" t="s">
        <v>592</v>
      </c>
      <c r="Y117" s="53" t="s">
        <v>583</v>
      </c>
      <c r="Z117" s="53" t="s">
        <v>583</v>
      </c>
      <c r="AA117" s="53">
        <v>3</v>
      </c>
      <c r="AB117" s="53">
        <v>1</v>
      </c>
      <c r="AC117" s="34">
        <v>0</v>
      </c>
      <c r="AD117" s="34">
        <v>0</v>
      </c>
      <c r="AE117" s="34">
        <v>0</v>
      </c>
      <c r="AF117" s="34">
        <v>0</v>
      </c>
      <c r="AG117" s="34">
        <v>0</v>
      </c>
      <c r="AH117" s="34">
        <v>0</v>
      </c>
      <c r="AI117" s="34">
        <v>4</v>
      </c>
      <c r="AJ117" s="34">
        <v>0</v>
      </c>
      <c r="AK117" s="34">
        <v>0</v>
      </c>
      <c r="AL117" s="34">
        <v>3</v>
      </c>
      <c r="AM117" s="13" t="s">
        <v>629</v>
      </c>
      <c r="AN117" s="54">
        <v>6.0000000000000001E-3</v>
      </c>
      <c r="AO117" s="56">
        <f>--($D117='START HERE'!$C$5)</f>
        <v>0</v>
      </c>
    </row>
    <row r="118" spans="2:41">
      <c r="B118" s="34">
        <v>13863</v>
      </c>
      <c r="C118" s="7" t="s">
        <v>744</v>
      </c>
      <c r="D118" s="13" t="s">
        <v>731</v>
      </c>
      <c r="E118" s="13" t="s">
        <v>734</v>
      </c>
      <c r="F118" s="53" t="s">
        <v>590</v>
      </c>
      <c r="G118" s="53" t="s">
        <v>113</v>
      </c>
      <c r="H118" s="13" t="s">
        <v>596</v>
      </c>
      <c r="I118" s="53" t="s">
        <v>597</v>
      </c>
      <c r="J118" s="54">
        <v>0</v>
      </c>
      <c r="K118" s="54">
        <v>0</v>
      </c>
      <c r="L118" s="54">
        <v>0</v>
      </c>
      <c r="M118" s="54">
        <v>0</v>
      </c>
      <c r="N118" s="54">
        <v>0</v>
      </c>
      <c r="O118" s="54">
        <v>0</v>
      </c>
      <c r="P118" s="54">
        <v>0</v>
      </c>
      <c r="Q118" s="54">
        <v>0</v>
      </c>
      <c r="R118" s="54">
        <v>0</v>
      </c>
      <c r="S118" s="54">
        <v>0</v>
      </c>
      <c r="T118" s="54">
        <v>0</v>
      </c>
      <c r="U118" s="54">
        <v>0</v>
      </c>
      <c r="V118" s="54">
        <v>0</v>
      </c>
      <c r="W118" s="55">
        <v>0</v>
      </c>
      <c r="X118" s="53" t="s">
        <v>581</v>
      </c>
      <c r="Y118" s="53" t="s">
        <v>583</v>
      </c>
      <c r="Z118" s="53" t="s">
        <v>583</v>
      </c>
      <c r="AA118" s="53">
        <v>3</v>
      </c>
      <c r="AB118" s="53">
        <v>1</v>
      </c>
      <c r="AC118" s="34">
        <v>0</v>
      </c>
      <c r="AD118" s="34">
        <v>0</v>
      </c>
      <c r="AE118" s="34">
        <v>0</v>
      </c>
      <c r="AF118" s="34">
        <v>0</v>
      </c>
      <c r="AG118" s="34">
        <v>0</v>
      </c>
      <c r="AH118" s="34">
        <v>0</v>
      </c>
      <c r="AI118" s="34">
        <v>0</v>
      </c>
      <c r="AJ118" s="34">
        <v>0</v>
      </c>
      <c r="AK118" s="34">
        <v>0</v>
      </c>
      <c r="AL118" s="34">
        <v>1</v>
      </c>
      <c r="AM118" s="13" t="s">
        <v>593</v>
      </c>
      <c r="AN118" s="54">
        <v>0</v>
      </c>
      <c r="AO118" s="56">
        <f>--($D118='START HERE'!$C$5)</f>
        <v>0</v>
      </c>
    </row>
    <row r="119" spans="2:41">
      <c r="B119" s="34">
        <v>13197</v>
      </c>
      <c r="C119" s="7" t="s">
        <v>745</v>
      </c>
      <c r="D119" s="13" t="s">
        <v>746</v>
      </c>
      <c r="E119" s="13" t="s">
        <v>747</v>
      </c>
      <c r="F119" s="53" t="s">
        <v>578</v>
      </c>
      <c r="G119" s="53" t="s">
        <v>108</v>
      </c>
      <c r="H119" s="13" t="s">
        <v>579</v>
      </c>
      <c r="I119" s="53" t="s">
        <v>580</v>
      </c>
      <c r="J119" s="54">
        <v>229.91249999999999</v>
      </c>
      <c r="K119" s="54">
        <v>151.770833333334</v>
      </c>
      <c r="L119" s="54">
        <v>30.9375</v>
      </c>
      <c r="M119" s="54">
        <v>47.204166666666701</v>
      </c>
      <c r="N119" s="54">
        <v>102.8125</v>
      </c>
      <c r="O119" s="54">
        <v>48.9583333333334</v>
      </c>
      <c r="P119" s="54">
        <v>0</v>
      </c>
      <c r="Q119" s="54">
        <v>23.7083333333334</v>
      </c>
      <c r="R119" s="54">
        <v>43.8333333333334</v>
      </c>
      <c r="S119" s="54">
        <v>67.8333333333334</v>
      </c>
      <c r="T119" s="54">
        <v>12.1458333333333</v>
      </c>
      <c r="U119" s="54">
        <v>3.75</v>
      </c>
      <c r="V119" s="54">
        <v>0.5</v>
      </c>
      <c r="W119" s="55">
        <v>0.947171931350695</v>
      </c>
      <c r="X119" s="53" t="s">
        <v>581</v>
      </c>
      <c r="Y119" s="53" t="s">
        <v>582</v>
      </c>
      <c r="Z119" s="53" t="s">
        <v>582</v>
      </c>
      <c r="AA119" s="53">
        <v>2</v>
      </c>
      <c r="AB119" s="53">
        <v>3</v>
      </c>
      <c r="AC119" s="34">
        <v>3233000</v>
      </c>
      <c r="AD119" s="34">
        <v>2</v>
      </c>
      <c r="AE119" s="34">
        <v>1</v>
      </c>
      <c r="AF119" s="34">
        <v>1</v>
      </c>
      <c r="AG119" s="34">
        <v>78</v>
      </c>
      <c r="AH119" s="34">
        <v>1780</v>
      </c>
      <c r="AI119" s="34">
        <v>113</v>
      </c>
      <c r="AJ119" s="34">
        <v>21</v>
      </c>
      <c r="AK119" s="34">
        <v>669</v>
      </c>
      <c r="AL119" s="34">
        <v>1004</v>
      </c>
      <c r="AM119" s="13" t="s">
        <v>584</v>
      </c>
      <c r="AN119" s="54">
        <v>55.514000000000003</v>
      </c>
      <c r="AO119" s="56">
        <f>--($D119='START HERE'!$C$5)</f>
        <v>0</v>
      </c>
    </row>
    <row r="120" spans="2:41">
      <c r="B120" s="34">
        <v>14595</v>
      </c>
      <c r="C120" s="7" t="s">
        <v>748</v>
      </c>
      <c r="D120" s="13" t="s">
        <v>746</v>
      </c>
      <c r="E120" s="13" t="s">
        <v>749</v>
      </c>
      <c r="F120" s="53" t="s">
        <v>590</v>
      </c>
      <c r="G120" s="53" t="s">
        <v>108</v>
      </c>
      <c r="H120" s="13" t="s">
        <v>579</v>
      </c>
      <c r="I120" s="53" t="s">
        <v>580</v>
      </c>
      <c r="J120" s="54">
        <v>103.508333333333</v>
      </c>
      <c r="K120" s="54">
        <v>51.3</v>
      </c>
      <c r="L120" s="54">
        <v>27.2083333333333</v>
      </c>
      <c r="M120" s="54">
        <v>25</v>
      </c>
      <c r="N120" s="54">
        <v>21.4583333333333</v>
      </c>
      <c r="O120" s="54">
        <v>29.841666666666701</v>
      </c>
      <c r="P120" s="54">
        <v>0</v>
      </c>
      <c r="Q120" s="54">
        <v>12.6666666666667</v>
      </c>
      <c r="R120" s="54">
        <v>14.591666666666701</v>
      </c>
      <c r="S120" s="54">
        <v>22.75</v>
      </c>
      <c r="T120" s="54">
        <v>0</v>
      </c>
      <c r="U120" s="54">
        <v>4.1666666666666699E-2</v>
      </c>
      <c r="V120" s="54">
        <v>1.25</v>
      </c>
      <c r="W120" s="55">
        <v>0.99242965891407697</v>
      </c>
      <c r="X120" s="53" t="s">
        <v>581</v>
      </c>
      <c r="Y120" s="53" t="s">
        <v>582</v>
      </c>
      <c r="Z120" s="53" t="s">
        <v>583</v>
      </c>
      <c r="AA120" s="53">
        <v>2</v>
      </c>
      <c r="AB120" s="53">
        <v>3</v>
      </c>
      <c r="AC120" s="34">
        <v>2800000</v>
      </c>
      <c r="AD120" s="34">
        <v>3</v>
      </c>
      <c r="AE120" s="34">
        <v>0</v>
      </c>
      <c r="AF120" s="34">
        <v>1</v>
      </c>
      <c r="AG120" s="34">
        <v>2</v>
      </c>
      <c r="AH120" s="34">
        <v>2</v>
      </c>
      <c r="AI120" s="34">
        <v>3</v>
      </c>
      <c r="AJ120" s="34">
        <v>0</v>
      </c>
      <c r="AK120" s="34">
        <v>2</v>
      </c>
      <c r="AL120" s="34">
        <v>13</v>
      </c>
      <c r="AM120" s="13" t="s">
        <v>584</v>
      </c>
      <c r="AN120" s="54">
        <v>0</v>
      </c>
      <c r="AO120" s="56">
        <f>--($D120='START HERE'!$C$5)</f>
        <v>0</v>
      </c>
    </row>
    <row r="121" spans="2:41">
      <c r="B121" s="34">
        <v>11986</v>
      </c>
      <c r="C121" s="7" t="s">
        <v>750</v>
      </c>
      <c r="D121" s="13" t="s">
        <v>746</v>
      </c>
      <c r="E121" s="13" t="s">
        <v>749</v>
      </c>
      <c r="F121" s="53" t="s">
        <v>590</v>
      </c>
      <c r="G121" s="53" t="s">
        <v>110</v>
      </c>
      <c r="H121" s="13" t="s">
        <v>587</v>
      </c>
      <c r="I121" s="53" t="s">
        <v>588</v>
      </c>
      <c r="J121" s="54">
        <v>48.6666666666667</v>
      </c>
      <c r="K121" s="54">
        <v>31.6875</v>
      </c>
      <c r="L121" s="54">
        <v>11.4</v>
      </c>
      <c r="M121" s="54">
        <v>5.5791666666666702</v>
      </c>
      <c r="N121" s="54">
        <v>19</v>
      </c>
      <c r="O121" s="54">
        <v>12.6875</v>
      </c>
      <c r="P121" s="54">
        <v>0</v>
      </c>
      <c r="Q121" s="54">
        <v>7.0833333333333304</v>
      </c>
      <c r="R121" s="54">
        <v>18.6041666666667</v>
      </c>
      <c r="S121" s="54">
        <v>6</v>
      </c>
      <c r="T121" s="54">
        <v>0</v>
      </c>
      <c r="U121" s="54">
        <v>0</v>
      </c>
      <c r="V121" s="54">
        <v>0</v>
      </c>
      <c r="W121" s="55">
        <v>1</v>
      </c>
      <c r="X121" s="53" t="s">
        <v>581</v>
      </c>
      <c r="Y121" s="53" t="s">
        <v>583</v>
      </c>
      <c r="Z121" s="53" t="s">
        <v>583</v>
      </c>
      <c r="AA121" s="53">
        <v>2</v>
      </c>
      <c r="AB121" s="53">
        <v>1</v>
      </c>
      <c r="AC121" s="34">
        <v>12193535</v>
      </c>
      <c r="AD121" s="34">
        <v>0</v>
      </c>
      <c r="AE121" s="34">
        <v>0</v>
      </c>
      <c r="AF121" s="34">
        <v>0</v>
      </c>
      <c r="AG121" s="34">
        <v>4</v>
      </c>
      <c r="AH121" s="34">
        <v>5</v>
      </c>
      <c r="AI121" s="34">
        <v>20</v>
      </c>
      <c r="AJ121" s="34">
        <v>2</v>
      </c>
      <c r="AK121" s="34">
        <v>4</v>
      </c>
      <c r="AL121" s="34">
        <v>96</v>
      </c>
      <c r="AM121" s="13" t="s">
        <v>629</v>
      </c>
      <c r="AN121" s="54">
        <v>31.687999999999999</v>
      </c>
      <c r="AO121" s="56">
        <f>--($D121='START HERE'!$C$5)</f>
        <v>0</v>
      </c>
    </row>
    <row r="122" spans="2:41">
      <c r="B122" s="34">
        <v>11203</v>
      </c>
      <c r="C122" s="7" t="s">
        <v>751</v>
      </c>
      <c r="D122" s="13" t="s">
        <v>746</v>
      </c>
      <c r="E122" s="13" t="s">
        <v>752</v>
      </c>
      <c r="F122" s="53" t="s">
        <v>578</v>
      </c>
      <c r="G122" s="53" t="s">
        <v>108</v>
      </c>
      <c r="H122" s="13" t="s">
        <v>579</v>
      </c>
      <c r="I122" s="53" t="s">
        <v>580</v>
      </c>
      <c r="J122" s="54">
        <v>43.5625</v>
      </c>
      <c r="K122" s="54">
        <v>20.8333333333333</v>
      </c>
      <c r="L122" s="54">
        <v>10.0041666666667</v>
      </c>
      <c r="M122" s="54">
        <v>12.725</v>
      </c>
      <c r="N122" s="54">
        <v>7.5833333333333304</v>
      </c>
      <c r="O122" s="54">
        <v>13.25</v>
      </c>
      <c r="P122" s="54">
        <v>0</v>
      </c>
      <c r="Q122" s="54">
        <v>4.25</v>
      </c>
      <c r="R122" s="54">
        <v>9.5833333333333393</v>
      </c>
      <c r="S122" s="54">
        <v>6</v>
      </c>
      <c r="T122" s="54">
        <v>1</v>
      </c>
      <c r="U122" s="54">
        <v>0</v>
      </c>
      <c r="V122" s="54">
        <v>0</v>
      </c>
      <c r="W122" s="55">
        <v>0.86915351506456295</v>
      </c>
      <c r="X122" s="53" t="s">
        <v>581</v>
      </c>
      <c r="Y122" s="53" t="s">
        <v>582</v>
      </c>
      <c r="Z122" s="53" t="s">
        <v>583</v>
      </c>
      <c r="AA122" s="53">
        <v>2</v>
      </c>
      <c r="AB122" s="53">
        <v>3</v>
      </c>
      <c r="AC122" s="34">
        <v>0</v>
      </c>
      <c r="AD122" s="34">
        <v>20</v>
      </c>
      <c r="AE122" s="34">
        <v>0</v>
      </c>
      <c r="AF122" s="34">
        <v>2</v>
      </c>
      <c r="AG122" s="34">
        <v>2</v>
      </c>
      <c r="AH122" s="34">
        <v>53</v>
      </c>
      <c r="AI122" s="34">
        <v>1368</v>
      </c>
      <c r="AJ122" s="34">
        <v>5</v>
      </c>
      <c r="AK122" s="34">
        <v>149</v>
      </c>
      <c r="AL122" s="34">
        <v>376</v>
      </c>
      <c r="AM122" s="13" t="s">
        <v>593</v>
      </c>
      <c r="AN122" s="54">
        <v>8.8059999999999992</v>
      </c>
      <c r="AO122" s="56">
        <f>--($D122='START HERE'!$C$5)</f>
        <v>0</v>
      </c>
    </row>
    <row r="123" spans="2:41">
      <c r="B123" s="34">
        <v>9931</v>
      </c>
      <c r="C123" s="7" t="s">
        <v>753</v>
      </c>
      <c r="D123" s="13" t="s">
        <v>746</v>
      </c>
      <c r="E123" s="13" t="s">
        <v>749</v>
      </c>
      <c r="F123" s="53" t="s">
        <v>595</v>
      </c>
      <c r="G123" s="53" t="s">
        <v>112</v>
      </c>
      <c r="H123" s="13" t="s">
        <v>646</v>
      </c>
      <c r="I123" s="53" t="s">
        <v>647</v>
      </c>
      <c r="J123" s="54">
        <v>15.858333333333301</v>
      </c>
      <c r="K123" s="54">
        <v>13.5833333333333</v>
      </c>
      <c r="L123" s="54">
        <v>2.2749999999999999</v>
      </c>
      <c r="M123" s="54">
        <v>0</v>
      </c>
      <c r="N123" s="54">
        <v>13.5833333333333</v>
      </c>
      <c r="O123" s="54">
        <v>0</v>
      </c>
      <c r="P123" s="54">
        <v>0</v>
      </c>
      <c r="Q123" s="54">
        <v>0</v>
      </c>
      <c r="R123" s="54">
        <v>13.5833333333333</v>
      </c>
      <c r="S123" s="54">
        <v>0</v>
      </c>
      <c r="T123" s="54">
        <v>0</v>
      </c>
      <c r="U123" s="54">
        <v>0</v>
      </c>
      <c r="V123" s="54">
        <v>0</v>
      </c>
      <c r="W123" s="55">
        <v>0.91728849185496597</v>
      </c>
      <c r="X123" s="53" t="s">
        <v>592</v>
      </c>
      <c r="Y123" s="53" t="s">
        <v>583</v>
      </c>
      <c r="Z123" s="53" t="s">
        <v>583</v>
      </c>
      <c r="AA123" s="53">
        <v>3</v>
      </c>
      <c r="AB123" s="53">
        <v>1</v>
      </c>
      <c r="AC123" s="34">
        <v>0</v>
      </c>
      <c r="AD123" s="34">
        <v>0</v>
      </c>
      <c r="AE123" s="34">
        <v>0</v>
      </c>
      <c r="AF123" s="34">
        <v>0</v>
      </c>
      <c r="AG123" s="34">
        <v>1</v>
      </c>
      <c r="AH123" s="34">
        <v>0</v>
      </c>
      <c r="AI123" s="34">
        <v>1</v>
      </c>
      <c r="AJ123" s="34">
        <v>1</v>
      </c>
      <c r="AK123" s="34">
        <v>0</v>
      </c>
      <c r="AL123" s="34">
        <v>48</v>
      </c>
      <c r="AM123" s="13" t="s">
        <v>584</v>
      </c>
      <c r="AN123" s="54">
        <v>0.29499999999999998</v>
      </c>
      <c r="AO123" s="56">
        <f>--($D123='START HERE'!$C$5)</f>
        <v>0</v>
      </c>
    </row>
    <row r="124" spans="2:41">
      <c r="B124" s="34">
        <v>12991</v>
      </c>
      <c r="C124" s="7" t="s">
        <v>754</v>
      </c>
      <c r="D124" s="13" t="s">
        <v>746</v>
      </c>
      <c r="E124" s="13" t="s">
        <v>755</v>
      </c>
      <c r="F124" s="53" t="s">
        <v>578</v>
      </c>
      <c r="G124" s="53" t="s">
        <v>108</v>
      </c>
      <c r="H124" s="13" t="s">
        <v>579</v>
      </c>
      <c r="I124" s="53" t="s">
        <v>580</v>
      </c>
      <c r="J124" s="54">
        <v>12.2083333333333</v>
      </c>
      <c r="K124" s="54">
        <v>4.6458333333333304</v>
      </c>
      <c r="L124" s="54">
        <v>4.5625</v>
      </c>
      <c r="M124" s="54">
        <v>3</v>
      </c>
      <c r="N124" s="54">
        <v>2.625</v>
      </c>
      <c r="O124" s="54">
        <v>2.0208333333333299</v>
      </c>
      <c r="P124" s="54">
        <v>0</v>
      </c>
      <c r="Q124" s="54">
        <v>0</v>
      </c>
      <c r="R124" s="54">
        <v>3.3125</v>
      </c>
      <c r="S124" s="54">
        <v>1.3333333333333299</v>
      </c>
      <c r="T124" s="54">
        <v>0</v>
      </c>
      <c r="U124" s="54">
        <v>0</v>
      </c>
      <c r="V124" s="54">
        <v>0</v>
      </c>
      <c r="W124" s="55">
        <v>1</v>
      </c>
      <c r="X124" s="53" t="s">
        <v>581</v>
      </c>
      <c r="Y124" s="53" t="s">
        <v>582</v>
      </c>
      <c r="Z124" s="53" t="s">
        <v>583</v>
      </c>
      <c r="AA124" s="53">
        <v>2</v>
      </c>
      <c r="AB124" s="53">
        <v>2</v>
      </c>
      <c r="AC124" s="34">
        <v>200000</v>
      </c>
      <c r="AD124" s="34">
        <v>0</v>
      </c>
      <c r="AE124" s="34">
        <v>0</v>
      </c>
      <c r="AF124" s="34">
        <v>1</v>
      </c>
      <c r="AG124" s="34">
        <v>10</v>
      </c>
      <c r="AH124" s="34">
        <v>40</v>
      </c>
      <c r="AI124" s="34">
        <v>120</v>
      </c>
      <c r="AJ124" s="34">
        <v>8</v>
      </c>
      <c r="AK124" s="34">
        <v>11</v>
      </c>
      <c r="AL124" s="34">
        <v>109</v>
      </c>
      <c r="AM124" s="13" t="s">
        <v>584</v>
      </c>
      <c r="AN124" s="54">
        <v>2.68</v>
      </c>
      <c r="AO124" s="56">
        <f>--($D124='START HERE'!$C$5)</f>
        <v>0</v>
      </c>
    </row>
    <row r="125" spans="2:41">
      <c r="B125" s="34">
        <v>9983</v>
      </c>
      <c r="C125" s="7" t="s">
        <v>756</v>
      </c>
      <c r="D125" s="13" t="s">
        <v>746</v>
      </c>
      <c r="E125" s="13" t="s">
        <v>755</v>
      </c>
      <c r="F125" s="53" t="s">
        <v>595</v>
      </c>
      <c r="G125" s="53" t="s">
        <v>111</v>
      </c>
      <c r="H125" s="13" t="s">
        <v>703</v>
      </c>
      <c r="I125" s="53" t="s">
        <v>704</v>
      </c>
      <c r="J125" s="54">
        <v>7.2620833333333303</v>
      </c>
      <c r="K125" s="54">
        <v>6.6141666666666703</v>
      </c>
      <c r="L125" s="54">
        <v>0.64791666666666703</v>
      </c>
      <c r="M125" s="54">
        <v>0</v>
      </c>
      <c r="N125" s="54">
        <v>6.6141666666666703</v>
      </c>
      <c r="O125" s="54">
        <v>0</v>
      </c>
      <c r="P125" s="54">
        <v>0</v>
      </c>
      <c r="Q125" s="54">
        <v>0</v>
      </c>
      <c r="R125" s="54">
        <v>6.6141666666666703</v>
      </c>
      <c r="S125" s="54">
        <v>0</v>
      </c>
      <c r="T125" s="54">
        <v>0</v>
      </c>
      <c r="U125" s="54">
        <v>0</v>
      </c>
      <c r="V125" s="54">
        <v>0</v>
      </c>
      <c r="W125" s="55">
        <v>0.93912444775948101</v>
      </c>
      <c r="X125" s="53" t="s">
        <v>581</v>
      </c>
      <c r="Y125" s="53" t="s">
        <v>583</v>
      </c>
      <c r="Z125" s="53" t="s">
        <v>583</v>
      </c>
      <c r="AA125" s="53">
        <v>3</v>
      </c>
      <c r="AB125" s="53">
        <v>1</v>
      </c>
      <c r="AC125" s="34">
        <v>260000</v>
      </c>
      <c r="AD125" s="34">
        <v>14</v>
      </c>
      <c r="AE125" s="34">
        <v>0</v>
      </c>
      <c r="AF125" s="34">
        <v>0</v>
      </c>
      <c r="AG125" s="34">
        <v>0</v>
      </c>
      <c r="AH125" s="34">
        <v>19</v>
      </c>
      <c r="AI125" s="34">
        <v>25</v>
      </c>
      <c r="AJ125" s="34">
        <v>0</v>
      </c>
      <c r="AK125" s="34">
        <v>0</v>
      </c>
      <c r="AL125" s="34">
        <v>52</v>
      </c>
      <c r="AM125" s="13" t="s">
        <v>584</v>
      </c>
      <c r="AN125" s="54">
        <v>0</v>
      </c>
      <c r="AO125" s="56">
        <f>--($D125='START HERE'!$C$5)</f>
        <v>0</v>
      </c>
    </row>
    <row r="126" spans="2:41">
      <c r="B126" s="34">
        <v>9894</v>
      </c>
      <c r="C126" s="7" t="s">
        <v>757</v>
      </c>
      <c r="D126" s="13" t="s">
        <v>746</v>
      </c>
      <c r="E126" s="13" t="s">
        <v>755</v>
      </c>
      <c r="F126" s="53" t="s">
        <v>595</v>
      </c>
      <c r="G126" s="53" t="s">
        <v>112</v>
      </c>
      <c r="H126" s="13" t="s">
        <v>646</v>
      </c>
      <c r="I126" s="53" t="s">
        <v>647</v>
      </c>
      <c r="J126" s="54">
        <v>3.1939583333333301</v>
      </c>
      <c r="K126" s="54">
        <v>2.8418749999999999</v>
      </c>
      <c r="L126" s="54">
        <v>0.35208333333333303</v>
      </c>
      <c r="M126" s="54">
        <v>0</v>
      </c>
      <c r="N126" s="54">
        <v>2.8418749999999999</v>
      </c>
      <c r="O126" s="54">
        <v>0</v>
      </c>
      <c r="P126" s="54">
        <v>0</v>
      </c>
      <c r="Q126" s="54">
        <v>0</v>
      </c>
      <c r="R126" s="54">
        <v>2.8418749999999999</v>
      </c>
      <c r="S126" s="54">
        <v>0</v>
      </c>
      <c r="T126" s="54">
        <v>0</v>
      </c>
      <c r="U126" s="54">
        <v>0</v>
      </c>
      <c r="V126" s="54">
        <v>0</v>
      </c>
      <c r="W126" s="55">
        <v>0.791924858130585</v>
      </c>
      <c r="X126" s="53" t="s">
        <v>592</v>
      </c>
      <c r="Y126" s="53" t="s">
        <v>583</v>
      </c>
      <c r="Z126" s="53" t="s">
        <v>583</v>
      </c>
      <c r="AA126" s="53">
        <v>3</v>
      </c>
      <c r="AB126" s="53">
        <v>1</v>
      </c>
      <c r="AC126" s="34">
        <v>83000</v>
      </c>
      <c r="AD126" s="34">
        <v>50</v>
      </c>
      <c r="AE126" s="34">
        <v>0</v>
      </c>
      <c r="AF126" s="34">
        <v>0</v>
      </c>
      <c r="AG126" s="34">
        <v>1</v>
      </c>
      <c r="AH126" s="34">
        <v>1</v>
      </c>
      <c r="AI126" s="34">
        <v>11</v>
      </c>
      <c r="AJ126" s="34">
        <v>1</v>
      </c>
      <c r="AK126" s="34">
        <v>0</v>
      </c>
      <c r="AL126" s="34">
        <v>95</v>
      </c>
      <c r="AM126" s="13" t="s">
        <v>584</v>
      </c>
      <c r="AN126" s="54">
        <v>0</v>
      </c>
      <c r="AO126" s="56">
        <f>--($D126='START HERE'!$C$5)</f>
        <v>0</v>
      </c>
    </row>
    <row r="127" spans="2:41">
      <c r="B127" s="34">
        <v>14217</v>
      </c>
      <c r="C127" s="7" t="s">
        <v>758</v>
      </c>
      <c r="D127" s="13" t="s">
        <v>746</v>
      </c>
      <c r="E127" s="13" t="s">
        <v>749</v>
      </c>
      <c r="F127" s="53" t="s">
        <v>149</v>
      </c>
      <c r="G127" s="53" t="s">
        <v>113</v>
      </c>
      <c r="H127" s="13" t="s">
        <v>596</v>
      </c>
      <c r="I127" s="53" t="s">
        <v>597</v>
      </c>
      <c r="J127" s="54">
        <v>0.88333333333333297</v>
      </c>
      <c r="K127" s="54">
        <v>0.80833333333333302</v>
      </c>
      <c r="L127" s="54">
        <v>7.4999999999999997E-2</v>
      </c>
      <c r="M127" s="54">
        <v>0</v>
      </c>
      <c r="N127" s="54">
        <v>0.80833333333333302</v>
      </c>
      <c r="O127" s="54">
        <v>0</v>
      </c>
      <c r="P127" s="54">
        <v>0</v>
      </c>
      <c r="Q127" s="54">
        <v>0</v>
      </c>
      <c r="R127" s="54">
        <v>0.80833333333333302</v>
      </c>
      <c r="S127" s="54">
        <v>0</v>
      </c>
      <c r="T127" s="54">
        <v>0</v>
      </c>
      <c r="U127" s="54">
        <v>0</v>
      </c>
      <c r="V127" s="54">
        <v>0</v>
      </c>
      <c r="W127" s="55">
        <v>0.48113207547169801</v>
      </c>
      <c r="X127" s="53" t="s">
        <v>592</v>
      </c>
      <c r="Y127" s="53" t="s">
        <v>583</v>
      </c>
      <c r="Z127" s="53" t="s">
        <v>583</v>
      </c>
      <c r="AA127" s="53">
        <v>3</v>
      </c>
      <c r="AB127" s="53">
        <v>1</v>
      </c>
      <c r="AC127" s="34">
        <v>100000</v>
      </c>
      <c r="AD127" s="34">
        <v>2</v>
      </c>
      <c r="AE127" s="34">
        <v>0</v>
      </c>
      <c r="AF127" s="34">
        <v>0</v>
      </c>
      <c r="AG127" s="34">
        <v>8</v>
      </c>
      <c r="AH127" s="34">
        <v>0</v>
      </c>
      <c r="AI127" s="34">
        <v>35</v>
      </c>
      <c r="AJ127" s="34">
        <v>7</v>
      </c>
      <c r="AK127" s="34">
        <v>63</v>
      </c>
      <c r="AL127" s="34">
        <v>134</v>
      </c>
      <c r="AM127" s="13" t="s">
        <v>584</v>
      </c>
      <c r="AN127" s="54">
        <v>1.7999999999999999E-2</v>
      </c>
      <c r="AO127" s="56">
        <f>--($D127='START HERE'!$C$5)</f>
        <v>0</v>
      </c>
    </row>
    <row r="128" spans="2:41">
      <c r="B128" s="34">
        <v>13738</v>
      </c>
      <c r="C128" s="7" t="s">
        <v>759</v>
      </c>
      <c r="D128" s="13" t="s">
        <v>746</v>
      </c>
      <c r="E128" s="13" t="s">
        <v>747</v>
      </c>
      <c r="F128" s="53" t="s">
        <v>590</v>
      </c>
      <c r="G128" s="53" t="s">
        <v>108</v>
      </c>
      <c r="H128" s="13" t="s">
        <v>579</v>
      </c>
      <c r="I128" s="53" t="s">
        <v>580</v>
      </c>
      <c r="J128" s="54">
        <v>0.66666666666666696</v>
      </c>
      <c r="K128" s="54">
        <v>0.33333333333333298</v>
      </c>
      <c r="L128" s="54">
        <v>0.25</v>
      </c>
      <c r="M128" s="54">
        <v>8.3333333333333301E-2</v>
      </c>
      <c r="N128" s="54">
        <v>0</v>
      </c>
      <c r="O128" s="54">
        <v>0.33333333333333298</v>
      </c>
      <c r="P128" s="54">
        <v>0</v>
      </c>
      <c r="Q128" s="54">
        <v>0</v>
      </c>
      <c r="R128" s="54">
        <v>0.33333333333333298</v>
      </c>
      <c r="S128" s="54">
        <v>0</v>
      </c>
      <c r="T128" s="54">
        <v>0</v>
      </c>
      <c r="U128" s="54">
        <v>0</v>
      </c>
      <c r="V128" s="54">
        <v>0</v>
      </c>
      <c r="W128" s="55">
        <v>1</v>
      </c>
      <c r="X128" s="53" t="s">
        <v>581</v>
      </c>
      <c r="Y128" s="53" t="s">
        <v>582</v>
      </c>
      <c r="Z128" s="53" t="s">
        <v>583</v>
      </c>
      <c r="AA128" s="53">
        <v>2</v>
      </c>
      <c r="AB128" s="53">
        <v>2</v>
      </c>
      <c r="AC128" s="34">
        <v>200000</v>
      </c>
      <c r="AD128" s="34">
        <v>0</v>
      </c>
      <c r="AE128" s="34">
        <v>0</v>
      </c>
      <c r="AF128" s="34">
        <v>0</v>
      </c>
      <c r="AG128" s="34">
        <v>3</v>
      </c>
      <c r="AH128" s="34">
        <v>6</v>
      </c>
      <c r="AI128" s="34">
        <v>34</v>
      </c>
      <c r="AJ128" s="34">
        <v>2</v>
      </c>
      <c r="AK128" s="34">
        <v>3</v>
      </c>
      <c r="AL128" s="34">
        <v>51</v>
      </c>
      <c r="AM128" s="13" t="s">
        <v>584</v>
      </c>
      <c r="AN128" s="54">
        <v>0</v>
      </c>
      <c r="AO128" s="56">
        <f>--($D128='START HERE'!$C$5)</f>
        <v>0</v>
      </c>
    </row>
    <row r="129" spans="2:41">
      <c r="B129" s="34">
        <v>9977</v>
      </c>
      <c r="C129" s="7" t="s">
        <v>760</v>
      </c>
      <c r="D129" s="13" t="s">
        <v>746</v>
      </c>
      <c r="E129" s="13" t="s">
        <v>755</v>
      </c>
      <c r="F129" s="53" t="s">
        <v>590</v>
      </c>
      <c r="G129" s="53" t="s">
        <v>113</v>
      </c>
      <c r="H129" s="13" t="s">
        <v>596</v>
      </c>
      <c r="I129" s="53" t="s">
        <v>597</v>
      </c>
      <c r="J129" s="54">
        <v>0.45791666666666703</v>
      </c>
      <c r="K129" s="54">
        <v>4.1250000000000002E-2</v>
      </c>
      <c r="L129" s="54">
        <v>0.41666666666666702</v>
      </c>
      <c r="M129" s="54">
        <v>0</v>
      </c>
      <c r="N129" s="54">
        <v>4.1250000000000002E-2</v>
      </c>
      <c r="O129" s="54">
        <v>0</v>
      </c>
      <c r="P129" s="54">
        <v>0</v>
      </c>
      <c r="Q129" s="54">
        <v>0</v>
      </c>
      <c r="R129" s="54">
        <v>4.1250000000000002E-2</v>
      </c>
      <c r="S129" s="54">
        <v>0</v>
      </c>
      <c r="T129" s="54">
        <v>0</v>
      </c>
      <c r="U129" s="54">
        <v>0</v>
      </c>
      <c r="V129" s="54">
        <v>0</v>
      </c>
      <c r="W129" s="55">
        <v>0</v>
      </c>
      <c r="X129" s="53" t="s">
        <v>592</v>
      </c>
      <c r="Y129" s="53" t="s">
        <v>583</v>
      </c>
      <c r="Z129" s="53" t="s">
        <v>583</v>
      </c>
      <c r="AA129" s="53">
        <v>3</v>
      </c>
      <c r="AB129" s="53">
        <v>1</v>
      </c>
      <c r="AC129" s="34">
        <v>0</v>
      </c>
      <c r="AD129" s="34">
        <v>1</v>
      </c>
      <c r="AE129" s="34">
        <v>0</v>
      </c>
      <c r="AF129" s="34">
        <v>0</v>
      </c>
      <c r="AG129" s="34">
        <v>2</v>
      </c>
      <c r="AH129" s="34">
        <v>1</v>
      </c>
      <c r="AI129" s="34">
        <v>15</v>
      </c>
      <c r="AJ129" s="34">
        <v>2</v>
      </c>
      <c r="AK129" s="34">
        <v>0</v>
      </c>
      <c r="AL129" s="34">
        <v>3</v>
      </c>
      <c r="AM129" s="13" t="s">
        <v>593</v>
      </c>
      <c r="AN129" s="54">
        <v>0</v>
      </c>
      <c r="AO129" s="56">
        <f>--($D129='START HERE'!$C$5)</f>
        <v>0</v>
      </c>
    </row>
    <row r="130" spans="2:41">
      <c r="B130" s="34">
        <v>14097</v>
      </c>
      <c r="C130" s="7" t="s">
        <v>761</v>
      </c>
      <c r="D130" s="13" t="s">
        <v>746</v>
      </c>
      <c r="E130" s="13" t="s">
        <v>747</v>
      </c>
      <c r="F130" s="53" t="s">
        <v>590</v>
      </c>
      <c r="G130" s="53" t="s">
        <v>108</v>
      </c>
      <c r="H130" s="13" t="s">
        <v>579</v>
      </c>
      <c r="I130" s="53" t="s">
        <v>580</v>
      </c>
      <c r="J130" s="54">
        <v>0.16666666666666699</v>
      </c>
      <c r="K130" s="54">
        <v>8.3333333333333301E-2</v>
      </c>
      <c r="L130" s="54">
        <v>0</v>
      </c>
      <c r="M130" s="54">
        <v>8.3333333333333301E-2</v>
      </c>
      <c r="N130" s="54">
        <v>0</v>
      </c>
      <c r="O130" s="54">
        <v>0</v>
      </c>
      <c r="P130" s="54">
        <v>0</v>
      </c>
      <c r="Q130" s="54">
        <v>0</v>
      </c>
      <c r="R130" s="54">
        <v>8.3333333333333301E-2</v>
      </c>
      <c r="S130" s="54">
        <v>0</v>
      </c>
      <c r="T130" s="54">
        <v>0</v>
      </c>
      <c r="U130" s="54">
        <v>0</v>
      </c>
      <c r="V130" s="54">
        <v>0</v>
      </c>
      <c r="W130" s="55">
        <v>1</v>
      </c>
      <c r="X130" s="53" t="s">
        <v>581</v>
      </c>
      <c r="Y130" s="53" t="s">
        <v>582</v>
      </c>
      <c r="Z130" s="53" t="s">
        <v>583</v>
      </c>
      <c r="AA130" s="53">
        <v>2</v>
      </c>
      <c r="AB130" s="53">
        <v>3</v>
      </c>
      <c r="AC130" s="34">
        <v>200000</v>
      </c>
      <c r="AD130" s="34">
        <v>0</v>
      </c>
      <c r="AE130" s="34">
        <v>0</v>
      </c>
      <c r="AF130" s="34">
        <v>0</v>
      </c>
      <c r="AG130" s="34">
        <v>2</v>
      </c>
      <c r="AH130" s="34">
        <v>2</v>
      </c>
      <c r="AI130" s="34">
        <v>30</v>
      </c>
      <c r="AJ130" s="34">
        <v>0</v>
      </c>
      <c r="AK130" s="34">
        <v>0</v>
      </c>
      <c r="AL130" s="34">
        <v>5</v>
      </c>
      <c r="AM130" s="13" t="s">
        <v>593</v>
      </c>
      <c r="AN130" s="54">
        <v>0</v>
      </c>
      <c r="AO130" s="56">
        <f>--($D130='START HERE'!$C$5)</f>
        <v>0</v>
      </c>
    </row>
    <row r="131" spans="2:41">
      <c r="B131" s="34">
        <v>14049</v>
      </c>
      <c r="C131" s="7" t="s">
        <v>762</v>
      </c>
      <c r="D131" s="13" t="s">
        <v>746</v>
      </c>
      <c r="E131" s="13" t="s">
        <v>747</v>
      </c>
      <c r="F131" s="53" t="s">
        <v>590</v>
      </c>
      <c r="G131" s="53" t="s">
        <v>108</v>
      </c>
      <c r="H131" s="13" t="s">
        <v>579</v>
      </c>
      <c r="I131" s="53" t="s">
        <v>580</v>
      </c>
      <c r="J131" s="54">
        <v>0.125</v>
      </c>
      <c r="K131" s="54">
        <v>0</v>
      </c>
      <c r="L131" s="54">
        <v>0</v>
      </c>
      <c r="M131" s="54">
        <v>0.125</v>
      </c>
      <c r="N131" s="54">
        <v>0</v>
      </c>
      <c r="O131" s="54">
        <v>0</v>
      </c>
      <c r="P131" s="54">
        <v>0</v>
      </c>
      <c r="Q131" s="54">
        <v>0</v>
      </c>
      <c r="R131" s="54">
        <v>0</v>
      </c>
      <c r="S131" s="54">
        <v>0</v>
      </c>
      <c r="T131" s="54">
        <v>0</v>
      </c>
      <c r="U131" s="54">
        <v>0</v>
      </c>
      <c r="V131" s="54">
        <v>0</v>
      </c>
      <c r="W131" s="55">
        <v>1</v>
      </c>
      <c r="X131" s="53" t="s">
        <v>581</v>
      </c>
      <c r="Y131" s="53" t="s">
        <v>582</v>
      </c>
      <c r="Z131" s="53" t="s">
        <v>583</v>
      </c>
      <c r="AA131" s="53">
        <v>2</v>
      </c>
      <c r="AB131" s="53">
        <v>3</v>
      </c>
      <c r="AC131" s="34">
        <v>200000</v>
      </c>
      <c r="AD131" s="34">
        <v>0</v>
      </c>
      <c r="AE131" s="34">
        <v>0</v>
      </c>
      <c r="AF131" s="34">
        <v>0</v>
      </c>
      <c r="AG131" s="34">
        <v>2</v>
      </c>
      <c r="AH131" s="34">
        <v>1</v>
      </c>
      <c r="AI131" s="34">
        <v>1</v>
      </c>
      <c r="AJ131" s="34">
        <v>1</v>
      </c>
      <c r="AK131" s="34">
        <v>0</v>
      </c>
      <c r="AL131" s="34">
        <v>42</v>
      </c>
      <c r="AM131" s="13" t="s">
        <v>593</v>
      </c>
      <c r="AN131" s="54">
        <v>0</v>
      </c>
      <c r="AO131" s="56">
        <f>--($D131='START HERE'!$C$5)</f>
        <v>0</v>
      </c>
    </row>
    <row r="132" spans="2:41">
      <c r="B132" s="34">
        <v>12117</v>
      </c>
      <c r="C132" s="7" t="s">
        <v>763</v>
      </c>
      <c r="D132" s="13" t="s">
        <v>764</v>
      </c>
      <c r="E132" s="13" t="s">
        <v>765</v>
      </c>
      <c r="F132" s="53" t="s">
        <v>578</v>
      </c>
      <c r="G132" s="53" t="s">
        <v>110</v>
      </c>
      <c r="H132" s="13" t="s">
        <v>587</v>
      </c>
      <c r="I132" s="53" t="s">
        <v>588</v>
      </c>
      <c r="J132" s="54">
        <v>62.642375000000001</v>
      </c>
      <c r="K132" s="54">
        <v>36.104875</v>
      </c>
      <c r="L132" s="54">
        <v>15.5375</v>
      </c>
      <c r="M132" s="54">
        <v>11</v>
      </c>
      <c r="N132" s="54">
        <v>29.9590416666667</v>
      </c>
      <c r="O132" s="54">
        <v>6.1458333333333304</v>
      </c>
      <c r="P132" s="54">
        <v>0</v>
      </c>
      <c r="Q132" s="54">
        <v>8.6415416666666705</v>
      </c>
      <c r="R132" s="54">
        <v>13.109166666666701</v>
      </c>
      <c r="S132" s="54">
        <v>11.733333333333301</v>
      </c>
      <c r="T132" s="54">
        <v>2.4833333333333298</v>
      </c>
      <c r="U132" s="54">
        <v>0.13750000000000001</v>
      </c>
      <c r="V132" s="54">
        <v>0</v>
      </c>
      <c r="W132" s="55">
        <v>0.86319830093713201</v>
      </c>
      <c r="X132" s="53" t="s">
        <v>592</v>
      </c>
      <c r="Y132" s="53" t="s">
        <v>583</v>
      </c>
      <c r="Z132" s="53" t="s">
        <v>582</v>
      </c>
      <c r="AA132" s="53">
        <v>1</v>
      </c>
      <c r="AB132" s="53">
        <v>3</v>
      </c>
      <c r="AC132" s="34">
        <v>0</v>
      </c>
      <c r="AD132" s="34">
        <v>37</v>
      </c>
      <c r="AE132" s="34">
        <v>0</v>
      </c>
      <c r="AF132" s="34">
        <v>0</v>
      </c>
      <c r="AG132" s="34">
        <v>76</v>
      </c>
      <c r="AH132" s="34">
        <v>62</v>
      </c>
      <c r="AI132" s="34">
        <v>212</v>
      </c>
      <c r="AJ132" s="34">
        <v>56</v>
      </c>
      <c r="AK132" s="34">
        <v>95</v>
      </c>
      <c r="AL132" s="34">
        <v>643</v>
      </c>
      <c r="AM132" s="13" t="s">
        <v>584</v>
      </c>
      <c r="AN132" s="54">
        <v>36.104999999999997</v>
      </c>
      <c r="AO132" s="56">
        <f>--($D132='START HERE'!$C$5)</f>
        <v>0</v>
      </c>
    </row>
    <row r="133" spans="2:41">
      <c r="B133" s="34">
        <v>13453</v>
      </c>
      <c r="C133" s="7" t="s">
        <v>766</v>
      </c>
      <c r="D133" s="13" t="s">
        <v>764</v>
      </c>
      <c r="E133" s="13" t="s">
        <v>765</v>
      </c>
      <c r="F133" s="53" t="s">
        <v>149</v>
      </c>
      <c r="G133" s="53" t="s">
        <v>112</v>
      </c>
      <c r="H133" s="13" t="s">
        <v>646</v>
      </c>
      <c r="I133" s="53" t="s">
        <v>647</v>
      </c>
      <c r="J133" s="54">
        <v>9.9625000000000004</v>
      </c>
      <c r="K133" s="54">
        <v>9.6624999999999996</v>
      </c>
      <c r="L133" s="54">
        <v>0.3</v>
      </c>
      <c r="M133" s="54">
        <v>0</v>
      </c>
      <c r="N133" s="54">
        <v>9.6624999999999996</v>
      </c>
      <c r="O133" s="54">
        <v>0</v>
      </c>
      <c r="P133" s="54">
        <v>0</v>
      </c>
      <c r="Q133" s="54">
        <v>0</v>
      </c>
      <c r="R133" s="54">
        <v>8.8625000000000007</v>
      </c>
      <c r="S133" s="54">
        <v>0</v>
      </c>
      <c r="T133" s="54">
        <v>0.8</v>
      </c>
      <c r="U133" s="54">
        <v>0</v>
      </c>
      <c r="V133" s="54">
        <v>0</v>
      </c>
      <c r="W133" s="55">
        <v>0.90440251572327102</v>
      </c>
      <c r="X133" s="53" t="s">
        <v>592</v>
      </c>
      <c r="Y133" s="53" t="s">
        <v>583</v>
      </c>
      <c r="Z133" s="53" t="s">
        <v>583</v>
      </c>
      <c r="AA133" s="53">
        <v>3</v>
      </c>
      <c r="AB133" s="53">
        <v>1</v>
      </c>
      <c r="AC133" s="34">
        <v>1972920</v>
      </c>
      <c r="AD133" s="34">
        <v>57</v>
      </c>
      <c r="AE133" s="34">
        <v>0</v>
      </c>
      <c r="AF133" s="34">
        <v>0</v>
      </c>
      <c r="AG133" s="34">
        <v>8</v>
      </c>
      <c r="AH133" s="34">
        <v>5</v>
      </c>
      <c r="AI133" s="34">
        <v>111</v>
      </c>
      <c r="AJ133" s="34">
        <v>5</v>
      </c>
      <c r="AK133" s="34">
        <v>1</v>
      </c>
      <c r="AL133" s="34">
        <v>193</v>
      </c>
      <c r="AM133" s="13" t="s">
        <v>593</v>
      </c>
      <c r="AN133" s="54">
        <v>1.419</v>
      </c>
      <c r="AO133" s="56">
        <f>--($D133='START HERE'!$C$5)</f>
        <v>0</v>
      </c>
    </row>
    <row r="134" spans="2:41">
      <c r="B134" s="34">
        <v>11604</v>
      </c>
      <c r="C134" s="7" t="s">
        <v>767</v>
      </c>
      <c r="D134" s="13" t="s">
        <v>764</v>
      </c>
      <c r="E134" s="13" t="s">
        <v>768</v>
      </c>
      <c r="F134" s="53" t="s">
        <v>590</v>
      </c>
      <c r="G134" s="53" t="s">
        <v>112</v>
      </c>
      <c r="H134" s="13" t="s">
        <v>646</v>
      </c>
      <c r="I134" s="53" t="s">
        <v>647</v>
      </c>
      <c r="J134" s="54">
        <v>9.7374583333333309</v>
      </c>
      <c r="K134" s="54">
        <v>5.6624583333333298</v>
      </c>
      <c r="L134" s="54">
        <v>4.0750000000000002</v>
      </c>
      <c r="M134" s="54">
        <v>0</v>
      </c>
      <c r="N134" s="54">
        <v>5.6624583333333298</v>
      </c>
      <c r="O134" s="54">
        <v>0</v>
      </c>
      <c r="P134" s="54">
        <v>0</v>
      </c>
      <c r="Q134" s="54">
        <v>0</v>
      </c>
      <c r="R134" s="54">
        <v>5.6624583333333298</v>
      </c>
      <c r="S134" s="54">
        <v>0</v>
      </c>
      <c r="T134" s="54">
        <v>0</v>
      </c>
      <c r="U134" s="54">
        <v>0</v>
      </c>
      <c r="V134" s="54">
        <v>0</v>
      </c>
      <c r="W134" s="55">
        <v>0.89730379676421401</v>
      </c>
      <c r="X134" s="53" t="s">
        <v>592</v>
      </c>
      <c r="Y134" s="53" t="s">
        <v>583</v>
      </c>
      <c r="Z134" s="53" t="s">
        <v>583</v>
      </c>
      <c r="AA134" s="53">
        <v>3</v>
      </c>
      <c r="AB134" s="53">
        <v>1</v>
      </c>
      <c r="AC134" s="34">
        <v>0</v>
      </c>
      <c r="AD134" s="34">
        <v>44</v>
      </c>
      <c r="AE134" s="34">
        <v>0</v>
      </c>
      <c r="AF134" s="34">
        <v>0</v>
      </c>
      <c r="AG134" s="34">
        <v>6</v>
      </c>
      <c r="AH134" s="34">
        <v>10</v>
      </c>
      <c r="AI134" s="34">
        <v>131</v>
      </c>
      <c r="AJ134" s="34">
        <v>3</v>
      </c>
      <c r="AK134" s="34">
        <v>107</v>
      </c>
      <c r="AL134" s="34">
        <v>144</v>
      </c>
      <c r="AM134" s="13" t="s">
        <v>593</v>
      </c>
      <c r="AN134" s="54">
        <v>0.83199999999999996</v>
      </c>
      <c r="AO134" s="56">
        <f>--($D134='START HERE'!$C$5)</f>
        <v>0</v>
      </c>
    </row>
    <row r="135" spans="2:41">
      <c r="B135" s="34">
        <v>9947</v>
      </c>
      <c r="C135" s="7" t="s">
        <v>769</v>
      </c>
      <c r="D135" s="13" t="s">
        <v>764</v>
      </c>
      <c r="E135" s="13" t="s">
        <v>768</v>
      </c>
      <c r="F135" s="53" t="s">
        <v>595</v>
      </c>
      <c r="G135" s="53" t="s">
        <v>112</v>
      </c>
      <c r="H135" s="13" t="s">
        <v>646</v>
      </c>
      <c r="I135" s="53" t="s">
        <v>647</v>
      </c>
      <c r="J135" s="54">
        <v>7.1849916666666704</v>
      </c>
      <c r="K135" s="54">
        <v>6.0308250000000001</v>
      </c>
      <c r="L135" s="54">
        <v>1.1541666666666699</v>
      </c>
      <c r="M135" s="54">
        <v>0</v>
      </c>
      <c r="N135" s="54">
        <v>6.0308250000000001</v>
      </c>
      <c r="O135" s="54">
        <v>0</v>
      </c>
      <c r="P135" s="54">
        <v>0</v>
      </c>
      <c r="Q135" s="54">
        <v>0</v>
      </c>
      <c r="R135" s="54">
        <v>6.0308250000000001</v>
      </c>
      <c r="S135" s="54">
        <v>0</v>
      </c>
      <c r="T135" s="54">
        <v>0</v>
      </c>
      <c r="U135" s="54">
        <v>0</v>
      </c>
      <c r="V135" s="54">
        <v>0</v>
      </c>
      <c r="W135" s="55">
        <v>0.75904634544925298</v>
      </c>
      <c r="X135" s="53" t="s">
        <v>592</v>
      </c>
      <c r="Y135" s="53" t="s">
        <v>583</v>
      </c>
      <c r="Z135" s="53" t="s">
        <v>582</v>
      </c>
      <c r="AA135" s="53">
        <v>3</v>
      </c>
      <c r="AB135" s="53">
        <v>1</v>
      </c>
      <c r="AC135" s="34">
        <v>585527</v>
      </c>
      <c r="AD135" s="34">
        <v>57</v>
      </c>
      <c r="AE135" s="34">
        <v>0</v>
      </c>
      <c r="AF135" s="34">
        <v>0</v>
      </c>
      <c r="AG135" s="34">
        <v>50</v>
      </c>
      <c r="AH135" s="34">
        <v>34</v>
      </c>
      <c r="AI135" s="34">
        <v>132</v>
      </c>
      <c r="AJ135" s="34">
        <v>29</v>
      </c>
      <c r="AK135" s="34">
        <v>26</v>
      </c>
      <c r="AL135" s="34">
        <v>334</v>
      </c>
      <c r="AM135" s="13" t="s">
        <v>593</v>
      </c>
      <c r="AN135" s="54">
        <v>0.88600000000000001</v>
      </c>
      <c r="AO135" s="56">
        <f>--($D135='START HERE'!$C$5)</f>
        <v>0</v>
      </c>
    </row>
    <row r="136" spans="2:41">
      <c r="B136" s="34">
        <v>13884</v>
      </c>
      <c r="C136" s="7" t="s">
        <v>770</v>
      </c>
      <c r="D136" s="13" t="s">
        <v>764</v>
      </c>
      <c r="E136" s="13" t="s">
        <v>765</v>
      </c>
      <c r="F136" s="53" t="s">
        <v>590</v>
      </c>
      <c r="G136" s="53" t="s">
        <v>112</v>
      </c>
      <c r="H136" s="13" t="s">
        <v>646</v>
      </c>
      <c r="I136" s="53" t="s">
        <v>647</v>
      </c>
      <c r="J136" s="54">
        <v>4.2762500000000001</v>
      </c>
      <c r="K136" s="54">
        <v>4.0262500000000001</v>
      </c>
      <c r="L136" s="54">
        <v>0.25</v>
      </c>
      <c r="M136" s="54">
        <v>0</v>
      </c>
      <c r="N136" s="54">
        <v>3.2512500000000002</v>
      </c>
      <c r="O136" s="54">
        <v>0.77500000000000002</v>
      </c>
      <c r="P136" s="54">
        <v>0</v>
      </c>
      <c r="Q136" s="54">
        <v>0</v>
      </c>
      <c r="R136" s="54">
        <v>4.0262500000000001</v>
      </c>
      <c r="S136" s="54">
        <v>0</v>
      </c>
      <c r="T136" s="54">
        <v>0</v>
      </c>
      <c r="U136" s="54">
        <v>0</v>
      </c>
      <c r="V136" s="54">
        <v>0</v>
      </c>
      <c r="W136" s="55">
        <v>0.90909090909090895</v>
      </c>
      <c r="X136" s="53" t="s">
        <v>592</v>
      </c>
      <c r="Y136" s="53" t="s">
        <v>583</v>
      </c>
      <c r="Z136" s="53" t="s">
        <v>583</v>
      </c>
      <c r="AA136" s="53">
        <v>3</v>
      </c>
      <c r="AB136" s="53">
        <v>3</v>
      </c>
      <c r="AC136" s="34">
        <v>0</v>
      </c>
      <c r="AD136" s="34">
        <v>0</v>
      </c>
      <c r="AE136" s="34">
        <v>0</v>
      </c>
      <c r="AF136" s="34">
        <v>0</v>
      </c>
      <c r="AG136" s="34">
        <v>0</v>
      </c>
      <c r="AH136" s="34">
        <v>1</v>
      </c>
      <c r="AI136" s="34">
        <v>7</v>
      </c>
      <c r="AJ136" s="34">
        <v>1</v>
      </c>
      <c r="AK136" s="34">
        <v>0</v>
      </c>
      <c r="AL136" s="34">
        <v>40</v>
      </c>
      <c r="AM136" s="13" t="s">
        <v>658</v>
      </c>
      <c r="AN136" s="54">
        <v>0.59099999999999997</v>
      </c>
      <c r="AO136" s="56">
        <f>--($D136='START HERE'!$C$5)</f>
        <v>0</v>
      </c>
    </row>
    <row r="137" spans="2:41">
      <c r="B137" s="34">
        <v>12198</v>
      </c>
      <c r="C137" s="7" t="s">
        <v>771</v>
      </c>
      <c r="D137" s="13" t="s">
        <v>764</v>
      </c>
      <c r="E137" s="13" t="s">
        <v>768</v>
      </c>
      <c r="F137" s="53" t="s">
        <v>590</v>
      </c>
      <c r="G137" s="53" t="s">
        <v>112</v>
      </c>
      <c r="H137" s="13" t="s">
        <v>646</v>
      </c>
      <c r="I137" s="53" t="s">
        <v>647</v>
      </c>
      <c r="J137" s="54">
        <v>3</v>
      </c>
      <c r="K137" s="54">
        <v>1</v>
      </c>
      <c r="L137" s="54">
        <v>2</v>
      </c>
      <c r="M137" s="54">
        <v>0</v>
      </c>
      <c r="N137" s="54">
        <v>1</v>
      </c>
      <c r="O137" s="54">
        <v>0</v>
      </c>
      <c r="P137" s="54">
        <v>0</v>
      </c>
      <c r="Q137" s="54">
        <v>0</v>
      </c>
      <c r="R137" s="54">
        <v>1</v>
      </c>
      <c r="S137" s="54">
        <v>0</v>
      </c>
      <c r="T137" s="54">
        <v>0</v>
      </c>
      <c r="U137" s="54">
        <v>0</v>
      </c>
      <c r="V137" s="54">
        <v>0</v>
      </c>
      <c r="W137" s="55">
        <v>0</v>
      </c>
      <c r="X137" s="53" t="s">
        <v>592</v>
      </c>
      <c r="Y137" s="53" t="s">
        <v>583</v>
      </c>
      <c r="Z137" s="53" t="s">
        <v>583</v>
      </c>
      <c r="AA137" s="53">
        <v>3</v>
      </c>
      <c r="AB137" s="53">
        <v>1</v>
      </c>
      <c r="AC137" s="34">
        <v>0</v>
      </c>
      <c r="AD137" s="34">
        <v>0</v>
      </c>
      <c r="AE137" s="34">
        <v>0</v>
      </c>
      <c r="AF137" s="34">
        <v>0</v>
      </c>
      <c r="AG137" s="34">
        <v>0</v>
      </c>
      <c r="AH137" s="34">
        <v>0</v>
      </c>
      <c r="AI137" s="34">
        <v>0</v>
      </c>
      <c r="AJ137" s="34">
        <v>0</v>
      </c>
      <c r="AK137" s="34">
        <v>0</v>
      </c>
      <c r="AL137" s="34">
        <v>3</v>
      </c>
      <c r="AM137" s="13" t="s">
        <v>636</v>
      </c>
      <c r="AN137" s="54">
        <v>0.14699999999999999</v>
      </c>
      <c r="AO137" s="56">
        <f>--($D137='START HERE'!$C$5)</f>
        <v>0</v>
      </c>
    </row>
    <row r="138" spans="2:41">
      <c r="B138" s="34">
        <v>9842</v>
      </c>
      <c r="C138" s="7" t="s">
        <v>772</v>
      </c>
      <c r="D138" s="13" t="s">
        <v>764</v>
      </c>
      <c r="E138" s="13" t="s">
        <v>765</v>
      </c>
      <c r="F138" s="53" t="s">
        <v>595</v>
      </c>
      <c r="G138" s="53" t="s">
        <v>113</v>
      </c>
      <c r="H138" s="13" t="s">
        <v>596</v>
      </c>
      <c r="I138" s="53" t="s">
        <v>597</v>
      </c>
      <c r="J138" s="54">
        <v>2.88625</v>
      </c>
      <c r="K138" s="54">
        <v>2.63625</v>
      </c>
      <c r="L138" s="54">
        <v>0.25</v>
      </c>
      <c r="M138" s="54">
        <v>0</v>
      </c>
      <c r="N138" s="54">
        <v>2.63625</v>
      </c>
      <c r="O138" s="54">
        <v>0</v>
      </c>
      <c r="P138" s="54">
        <v>0</v>
      </c>
      <c r="Q138" s="54">
        <v>0</v>
      </c>
      <c r="R138" s="54">
        <v>2.63625</v>
      </c>
      <c r="S138" s="54">
        <v>0</v>
      </c>
      <c r="T138" s="54">
        <v>0</v>
      </c>
      <c r="U138" s="54">
        <v>0</v>
      </c>
      <c r="V138" s="54">
        <v>0</v>
      </c>
      <c r="W138" s="55">
        <v>0.90298830662624496</v>
      </c>
      <c r="X138" s="53" t="s">
        <v>592</v>
      </c>
      <c r="Y138" s="53" t="s">
        <v>583</v>
      </c>
      <c r="Z138" s="53" t="s">
        <v>583</v>
      </c>
      <c r="AA138" s="53">
        <v>3</v>
      </c>
      <c r="AB138" s="53">
        <v>1</v>
      </c>
      <c r="AC138" s="34">
        <v>311649</v>
      </c>
      <c r="AD138" s="34">
        <v>9</v>
      </c>
      <c r="AE138" s="34">
        <v>0</v>
      </c>
      <c r="AF138" s="34">
        <v>0</v>
      </c>
      <c r="AG138" s="34">
        <v>10</v>
      </c>
      <c r="AH138" s="34">
        <v>0</v>
      </c>
      <c r="AI138" s="34">
        <v>35</v>
      </c>
      <c r="AJ138" s="34">
        <v>5</v>
      </c>
      <c r="AK138" s="34">
        <v>4</v>
      </c>
      <c r="AL138" s="34">
        <v>29</v>
      </c>
      <c r="AM138" s="13" t="s">
        <v>584</v>
      </c>
      <c r="AN138" s="54">
        <v>0.38700000000000001</v>
      </c>
      <c r="AO138" s="56">
        <f>--($D138='START HERE'!$C$5)</f>
        <v>0</v>
      </c>
    </row>
    <row r="139" spans="2:41">
      <c r="B139" s="34">
        <v>9836</v>
      </c>
      <c r="C139" s="7" t="s">
        <v>773</v>
      </c>
      <c r="D139" s="13" t="s">
        <v>764</v>
      </c>
      <c r="E139" s="13" t="s">
        <v>765</v>
      </c>
      <c r="F139" s="53" t="s">
        <v>149</v>
      </c>
      <c r="G139" s="53" t="s">
        <v>113</v>
      </c>
      <c r="H139" s="13" t="s">
        <v>596</v>
      </c>
      <c r="I139" s="53" t="s">
        <v>597</v>
      </c>
      <c r="J139" s="54">
        <v>2.5258333333333298</v>
      </c>
      <c r="K139" s="54">
        <v>2.28833333333333</v>
      </c>
      <c r="L139" s="54">
        <v>0.23749999999999999</v>
      </c>
      <c r="M139" s="54">
        <v>0</v>
      </c>
      <c r="N139" s="54">
        <v>2.28833333333333</v>
      </c>
      <c r="O139" s="54">
        <v>0</v>
      </c>
      <c r="P139" s="54">
        <v>0</v>
      </c>
      <c r="Q139" s="54">
        <v>0</v>
      </c>
      <c r="R139" s="54">
        <v>2.1883333333333299</v>
      </c>
      <c r="S139" s="54">
        <v>0</v>
      </c>
      <c r="T139" s="54">
        <v>0.1</v>
      </c>
      <c r="U139" s="54">
        <v>0</v>
      </c>
      <c r="V139" s="54">
        <v>0</v>
      </c>
      <c r="W139" s="55">
        <v>0.90102276476410403</v>
      </c>
      <c r="X139" s="53" t="s">
        <v>592</v>
      </c>
      <c r="Y139" s="53" t="s">
        <v>583</v>
      </c>
      <c r="Z139" s="53" t="s">
        <v>582</v>
      </c>
      <c r="AA139" s="53">
        <v>3</v>
      </c>
      <c r="AB139" s="53">
        <v>1</v>
      </c>
      <c r="AC139" s="34">
        <v>125022</v>
      </c>
      <c r="AD139" s="34">
        <v>0</v>
      </c>
      <c r="AE139" s="34">
        <v>0</v>
      </c>
      <c r="AF139" s="34">
        <v>0</v>
      </c>
      <c r="AG139" s="34">
        <v>2</v>
      </c>
      <c r="AH139" s="34">
        <v>6</v>
      </c>
      <c r="AI139" s="34">
        <v>50</v>
      </c>
      <c r="AJ139" s="34">
        <v>1</v>
      </c>
      <c r="AK139" s="34">
        <v>0</v>
      </c>
      <c r="AL139" s="34">
        <v>31</v>
      </c>
      <c r="AM139" s="13" t="s">
        <v>584</v>
      </c>
      <c r="AN139" s="54">
        <v>0.33600000000000002</v>
      </c>
      <c r="AO139" s="56">
        <f>--($D139='START HERE'!$C$5)</f>
        <v>0</v>
      </c>
    </row>
    <row r="140" spans="2:41">
      <c r="B140" s="34">
        <v>9994</v>
      </c>
      <c r="C140" s="7" t="s">
        <v>774</v>
      </c>
      <c r="D140" s="13" t="s">
        <v>764</v>
      </c>
      <c r="E140" s="13" t="s">
        <v>765</v>
      </c>
      <c r="F140" s="53" t="s">
        <v>149</v>
      </c>
      <c r="G140" s="53" t="s">
        <v>113</v>
      </c>
      <c r="H140" s="13" t="s">
        <v>596</v>
      </c>
      <c r="I140" s="53" t="s">
        <v>597</v>
      </c>
      <c r="J140" s="54">
        <v>1.1729166666666699</v>
      </c>
      <c r="K140" s="54">
        <v>1.02291666666667</v>
      </c>
      <c r="L140" s="54">
        <v>0.15</v>
      </c>
      <c r="M140" s="54">
        <v>0</v>
      </c>
      <c r="N140" s="54">
        <v>1.02291666666667</v>
      </c>
      <c r="O140" s="54">
        <v>0</v>
      </c>
      <c r="P140" s="54">
        <v>0</v>
      </c>
      <c r="Q140" s="54">
        <v>0</v>
      </c>
      <c r="R140" s="54">
        <v>1.02291666666667</v>
      </c>
      <c r="S140" s="54">
        <v>0</v>
      </c>
      <c r="T140" s="54">
        <v>0</v>
      </c>
      <c r="U140" s="54">
        <v>0</v>
      </c>
      <c r="V140" s="54">
        <v>0</v>
      </c>
      <c r="W140" s="55">
        <v>0.42806394316163399</v>
      </c>
      <c r="X140" s="53" t="s">
        <v>581</v>
      </c>
      <c r="Y140" s="53" t="s">
        <v>583</v>
      </c>
      <c r="Z140" s="53" t="s">
        <v>583</v>
      </c>
      <c r="AA140" s="53">
        <v>3</v>
      </c>
      <c r="AB140" s="53">
        <v>1</v>
      </c>
      <c r="AC140" s="34">
        <v>649133</v>
      </c>
      <c r="AD140" s="34">
        <v>32</v>
      </c>
      <c r="AE140" s="34">
        <v>0</v>
      </c>
      <c r="AF140" s="34">
        <v>0</v>
      </c>
      <c r="AG140" s="34">
        <v>8</v>
      </c>
      <c r="AH140" s="34">
        <v>29</v>
      </c>
      <c r="AI140" s="34">
        <v>71</v>
      </c>
      <c r="AJ140" s="34">
        <v>6</v>
      </c>
      <c r="AK140" s="34">
        <v>0</v>
      </c>
      <c r="AL140" s="34">
        <v>190</v>
      </c>
      <c r="AM140" s="13" t="s">
        <v>593</v>
      </c>
      <c r="AN140" s="54">
        <v>0.15</v>
      </c>
      <c r="AO140" s="56">
        <f>--($D140='START HERE'!$C$5)</f>
        <v>0</v>
      </c>
    </row>
    <row r="141" spans="2:41">
      <c r="B141" s="34">
        <v>13274</v>
      </c>
      <c r="C141" s="7" t="s">
        <v>775</v>
      </c>
      <c r="D141" s="13" t="s">
        <v>764</v>
      </c>
      <c r="E141" s="13" t="s">
        <v>765</v>
      </c>
      <c r="F141" s="53" t="s">
        <v>590</v>
      </c>
      <c r="G141" s="53" t="s">
        <v>113</v>
      </c>
      <c r="H141" s="13" t="s">
        <v>596</v>
      </c>
      <c r="I141" s="53" t="s">
        <v>597</v>
      </c>
      <c r="J141" s="54">
        <v>1</v>
      </c>
      <c r="K141" s="54">
        <v>0</v>
      </c>
      <c r="L141" s="54">
        <v>1</v>
      </c>
      <c r="M141" s="54">
        <v>0</v>
      </c>
      <c r="N141" s="54">
        <v>0</v>
      </c>
      <c r="O141" s="54">
        <v>0</v>
      </c>
      <c r="P141" s="54">
        <v>0</v>
      </c>
      <c r="Q141" s="54">
        <v>0</v>
      </c>
      <c r="R141" s="54">
        <v>0</v>
      </c>
      <c r="S141" s="54">
        <v>0</v>
      </c>
      <c r="T141" s="54">
        <v>0</v>
      </c>
      <c r="U141" s="54">
        <v>0</v>
      </c>
      <c r="V141" s="54">
        <v>0</v>
      </c>
      <c r="W141" s="55">
        <v>1</v>
      </c>
      <c r="X141" s="53" t="s">
        <v>592</v>
      </c>
      <c r="Y141" s="53" t="s">
        <v>583</v>
      </c>
      <c r="Z141" s="53" t="s">
        <v>583</v>
      </c>
      <c r="AA141" s="53">
        <v>1</v>
      </c>
      <c r="AB141" s="53">
        <v>3</v>
      </c>
      <c r="AC141" s="34">
        <v>0</v>
      </c>
      <c r="AD141" s="34">
        <v>0</v>
      </c>
      <c r="AE141" s="34">
        <v>0</v>
      </c>
      <c r="AF141" s="34">
        <v>0</v>
      </c>
      <c r="AG141" s="34">
        <v>1</v>
      </c>
      <c r="AH141" s="34">
        <v>0</v>
      </c>
      <c r="AI141" s="34">
        <v>0</v>
      </c>
      <c r="AJ141" s="34">
        <v>1</v>
      </c>
      <c r="AK141" s="34">
        <v>0</v>
      </c>
      <c r="AL141" s="34">
        <v>1</v>
      </c>
      <c r="AM141" s="13" t="s">
        <v>593</v>
      </c>
      <c r="AN141" s="54">
        <v>0</v>
      </c>
      <c r="AO141" s="56">
        <f>--($D141='START HERE'!$C$5)</f>
        <v>0</v>
      </c>
    </row>
    <row r="142" spans="2:41">
      <c r="B142" s="34">
        <v>13500</v>
      </c>
      <c r="C142" s="7" t="s">
        <v>776</v>
      </c>
      <c r="D142" s="13" t="s">
        <v>764</v>
      </c>
      <c r="E142" s="13" t="s">
        <v>765</v>
      </c>
      <c r="F142" s="53" t="s">
        <v>590</v>
      </c>
      <c r="G142" s="53" t="s">
        <v>113</v>
      </c>
      <c r="H142" s="13" t="s">
        <v>596</v>
      </c>
      <c r="I142" s="53" t="s">
        <v>597</v>
      </c>
      <c r="J142" s="54">
        <v>0.59583333333333299</v>
      </c>
      <c r="K142" s="54">
        <v>0.39583333333333298</v>
      </c>
      <c r="L142" s="54">
        <v>0.2</v>
      </c>
      <c r="M142" s="54">
        <v>0</v>
      </c>
      <c r="N142" s="54">
        <v>0.35416666666666702</v>
      </c>
      <c r="O142" s="54">
        <v>4.1666666666666699E-2</v>
      </c>
      <c r="P142" s="54">
        <v>0</v>
      </c>
      <c r="Q142" s="54">
        <v>0</v>
      </c>
      <c r="R142" s="54">
        <v>0.35416666666666702</v>
      </c>
      <c r="S142" s="54">
        <v>4.1666666666666699E-2</v>
      </c>
      <c r="T142" s="54">
        <v>0</v>
      </c>
      <c r="U142" s="54">
        <v>0</v>
      </c>
      <c r="V142" s="54">
        <v>0</v>
      </c>
      <c r="W142" s="55">
        <v>0.66433566433566404</v>
      </c>
      <c r="X142" s="53" t="s">
        <v>592</v>
      </c>
      <c r="Y142" s="53" t="s">
        <v>583</v>
      </c>
      <c r="Z142" s="53" t="s">
        <v>583</v>
      </c>
      <c r="AA142" s="53">
        <v>3</v>
      </c>
      <c r="AB142" s="53">
        <v>1</v>
      </c>
      <c r="AC142" s="34">
        <v>16693</v>
      </c>
      <c r="AD142" s="34">
        <v>4</v>
      </c>
      <c r="AE142" s="34">
        <v>0</v>
      </c>
      <c r="AF142" s="34">
        <v>0</v>
      </c>
      <c r="AG142" s="34">
        <v>1</v>
      </c>
      <c r="AH142" s="34">
        <v>0</v>
      </c>
      <c r="AI142" s="34">
        <v>2</v>
      </c>
      <c r="AJ142" s="34">
        <v>1</v>
      </c>
      <c r="AK142" s="34">
        <v>0</v>
      </c>
      <c r="AL142" s="34">
        <v>6</v>
      </c>
      <c r="AM142" s="13" t="s">
        <v>629</v>
      </c>
      <c r="AN142" s="54">
        <v>5.8000000000000003E-2</v>
      </c>
      <c r="AO142" s="56">
        <f>--($D142='START HERE'!$C$5)</f>
        <v>0</v>
      </c>
    </row>
    <row r="143" spans="2:41">
      <c r="B143" s="34">
        <v>11893</v>
      </c>
      <c r="C143" s="7" t="s">
        <v>777</v>
      </c>
      <c r="D143" s="13" t="s">
        <v>764</v>
      </c>
      <c r="E143" s="13" t="s">
        <v>765</v>
      </c>
      <c r="F143" s="53" t="s">
        <v>595</v>
      </c>
      <c r="G143" s="53" t="s">
        <v>113</v>
      </c>
      <c r="H143" s="13" t="s">
        <v>596</v>
      </c>
      <c r="I143" s="53" t="s">
        <v>597</v>
      </c>
      <c r="J143" s="54">
        <v>0.35416666666666702</v>
      </c>
      <c r="K143" s="54">
        <v>0.25416666666666698</v>
      </c>
      <c r="L143" s="54">
        <v>0.1</v>
      </c>
      <c r="M143" s="54">
        <v>0</v>
      </c>
      <c r="N143" s="54">
        <v>0.25416666666666698</v>
      </c>
      <c r="O143" s="54">
        <v>0</v>
      </c>
      <c r="P143" s="54">
        <v>0</v>
      </c>
      <c r="Q143" s="54">
        <v>0</v>
      </c>
      <c r="R143" s="54">
        <v>0.25416666666666698</v>
      </c>
      <c r="S143" s="54">
        <v>0</v>
      </c>
      <c r="T143" s="54">
        <v>0</v>
      </c>
      <c r="U143" s="54">
        <v>0</v>
      </c>
      <c r="V143" s="54">
        <v>0</v>
      </c>
      <c r="W143" s="55">
        <v>0.56470588235294095</v>
      </c>
      <c r="X143" s="53" t="s">
        <v>581</v>
      </c>
      <c r="Y143" s="53" t="s">
        <v>583</v>
      </c>
      <c r="Z143" s="53" t="s">
        <v>583</v>
      </c>
      <c r="AA143" s="53">
        <v>3</v>
      </c>
      <c r="AB143" s="53">
        <v>1</v>
      </c>
      <c r="AC143" s="34">
        <v>22000</v>
      </c>
      <c r="AD143" s="34">
        <v>7</v>
      </c>
      <c r="AE143" s="34">
        <v>0</v>
      </c>
      <c r="AF143" s="34">
        <v>0</v>
      </c>
      <c r="AG143" s="34">
        <v>1</v>
      </c>
      <c r="AH143" s="34">
        <v>2</v>
      </c>
      <c r="AI143" s="34">
        <v>1</v>
      </c>
      <c r="AJ143" s="34">
        <v>1</v>
      </c>
      <c r="AK143" s="34">
        <v>0</v>
      </c>
      <c r="AL143" s="34">
        <v>50</v>
      </c>
      <c r="AM143" s="13" t="s">
        <v>593</v>
      </c>
      <c r="AN143" s="54">
        <v>3.6999999999999998E-2</v>
      </c>
      <c r="AO143" s="56">
        <f>--($D143='START HERE'!$C$5)</f>
        <v>0</v>
      </c>
    </row>
    <row r="144" spans="2:41">
      <c r="B144" s="34">
        <v>9834</v>
      </c>
      <c r="C144" s="7" t="s">
        <v>778</v>
      </c>
      <c r="D144" s="13" t="s">
        <v>764</v>
      </c>
      <c r="E144" s="13" t="s">
        <v>765</v>
      </c>
      <c r="F144" s="53" t="s">
        <v>149</v>
      </c>
      <c r="G144" s="53" t="s">
        <v>113</v>
      </c>
      <c r="H144" s="13" t="s">
        <v>596</v>
      </c>
      <c r="I144" s="53" t="s">
        <v>597</v>
      </c>
      <c r="J144" s="54">
        <v>0.33333333333333298</v>
      </c>
      <c r="K144" s="54">
        <v>0.133333333333333</v>
      </c>
      <c r="L144" s="54">
        <v>0.2</v>
      </c>
      <c r="M144" s="54">
        <v>0</v>
      </c>
      <c r="N144" s="54">
        <v>0.133333333333333</v>
      </c>
      <c r="O144" s="54">
        <v>0</v>
      </c>
      <c r="P144" s="54">
        <v>0</v>
      </c>
      <c r="Q144" s="54">
        <v>0</v>
      </c>
      <c r="R144" s="54">
        <v>3.3333333333333298E-2</v>
      </c>
      <c r="S144" s="54">
        <v>0</v>
      </c>
      <c r="T144" s="54">
        <v>0.1</v>
      </c>
      <c r="U144" s="54">
        <v>0</v>
      </c>
      <c r="V144" s="54">
        <v>0</v>
      </c>
      <c r="W144" s="55">
        <v>0.325842696629213</v>
      </c>
      <c r="X144" s="53" t="s">
        <v>592</v>
      </c>
      <c r="Y144" s="53" t="s">
        <v>583</v>
      </c>
      <c r="Z144" s="53" t="s">
        <v>582</v>
      </c>
      <c r="AA144" s="53">
        <v>3</v>
      </c>
      <c r="AB144" s="53">
        <v>1</v>
      </c>
      <c r="AC144" s="34">
        <v>183197</v>
      </c>
      <c r="AD144" s="34">
        <v>21</v>
      </c>
      <c r="AE144" s="34">
        <v>0</v>
      </c>
      <c r="AF144" s="34">
        <v>0</v>
      </c>
      <c r="AG144" s="34">
        <v>14</v>
      </c>
      <c r="AH144" s="34">
        <v>4</v>
      </c>
      <c r="AI144" s="34">
        <v>51</v>
      </c>
      <c r="AJ144" s="34">
        <v>6</v>
      </c>
      <c r="AK144" s="34">
        <v>0</v>
      </c>
      <c r="AL144" s="34">
        <v>37</v>
      </c>
      <c r="AM144" s="13" t="s">
        <v>636</v>
      </c>
      <c r="AN144" s="54">
        <v>0.02</v>
      </c>
      <c r="AO144" s="56">
        <f>--($D144='START HERE'!$C$5)</f>
        <v>0</v>
      </c>
    </row>
    <row r="145" spans="2:41">
      <c r="B145" s="34">
        <v>9879</v>
      </c>
      <c r="C145" s="7" t="s">
        <v>779</v>
      </c>
      <c r="D145" s="13" t="s">
        <v>764</v>
      </c>
      <c r="E145" s="13" t="s">
        <v>765</v>
      </c>
      <c r="F145" s="53" t="s">
        <v>595</v>
      </c>
      <c r="G145" s="53" t="s">
        <v>113</v>
      </c>
      <c r="H145" s="13" t="s">
        <v>596</v>
      </c>
      <c r="I145" s="53" t="s">
        <v>597</v>
      </c>
      <c r="J145" s="54">
        <v>0.30833333333333302</v>
      </c>
      <c r="K145" s="54">
        <v>0.20833333333333301</v>
      </c>
      <c r="L145" s="54">
        <v>0.1</v>
      </c>
      <c r="M145" s="54">
        <v>0</v>
      </c>
      <c r="N145" s="54">
        <v>0.20833333333333301</v>
      </c>
      <c r="O145" s="54">
        <v>0</v>
      </c>
      <c r="P145" s="54">
        <v>0</v>
      </c>
      <c r="Q145" s="54">
        <v>0</v>
      </c>
      <c r="R145" s="54">
        <v>0.20833333333333301</v>
      </c>
      <c r="S145" s="54">
        <v>0</v>
      </c>
      <c r="T145" s="54">
        <v>0</v>
      </c>
      <c r="U145" s="54">
        <v>0</v>
      </c>
      <c r="V145" s="54">
        <v>0</v>
      </c>
      <c r="W145" s="55">
        <v>0.67567567567567599</v>
      </c>
      <c r="X145" s="53" t="s">
        <v>592</v>
      </c>
      <c r="Y145" s="53" t="s">
        <v>583</v>
      </c>
      <c r="Z145" s="53" t="s">
        <v>583</v>
      </c>
      <c r="AA145" s="53">
        <v>3</v>
      </c>
      <c r="AB145" s="53">
        <v>1</v>
      </c>
      <c r="AC145" s="34">
        <v>228784</v>
      </c>
      <c r="AD145" s="34">
        <v>1</v>
      </c>
      <c r="AE145" s="34">
        <v>0</v>
      </c>
      <c r="AF145" s="34">
        <v>0</v>
      </c>
      <c r="AG145" s="34">
        <v>2</v>
      </c>
      <c r="AH145" s="34">
        <v>0</v>
      </c>
      <c r="AI145" s="34">
        <v>10</v>
      </c>
      <c r="AJ145" s="34">
        <v>0</v>
      </c>
      <c r="AK145" s="34">
        <v>0</v>
      </c>
      <c r="AL145" s="34">
        <v>22</v>
      </c>
      <c r="AM145" s="13" t="s">
        <v>584</v>
      </c>
      <c r="AN145" s="54">
        <v>3.1E-2</v>
      </c>
      <c r="AO145" s="56">
        <f>--($D145='START HERE'!$C$5)</f>
        <v>0</v>
      </c>
    </row>
    <row r="146" spans="2:41">
      <c r="B146" s="34">
        <v>12675</v>
      </c>
      <c r="C146" s="7" t="s">
        <v>780</v>
      </c>
      <c r="D146" s="13" t="s">
        <v>764</v>
      </c>
      <c r="E146" s="13" t="s">
        <v>765</v>
      </c>
      <c r="F146" s="53" t="s">
        <v>590</v>
      </c>
      <c r="G146" s="53" t="s">
        <v>113</v>
      </c>
      <c r="H146" s="13" t="s">
        <v>596</v>
      </c>
      <c r="I146" s="53" t="s">
        <v>597</v>
      </c>
      <c r="J146" s="54">
        <v>0.1</v>
      </c>
      <c r="K146" s="54">
        <v>0</v>
      </c>
      <c r="L146" s="54">
        <v>0.1</v>
      </c>
      <c r="M146" s="54">
        <v>0</v>
      </c>
      <c r="N146" s="54">
        <v>0</v>
      </c>
      <c r="O146" s="54">
        <v>0</v>
      </c>
      <c r="P146" s="54">
        <v>0</v>
      </c>
      <c r="Q146" s="54">
        <v>0</v>
      </c>
      <c r="R146" s="54">
        <v>0</v>
      </c>
      <c r="S146" s="54">
        <v>0</v>
      </c>
      <c r="T146" s="54">
        <v>0</v>
      </c>
      <c r="U146" s="54">
        <v>0</v>
      </c>
      <c r="V146" s="54">
        <v>0</v>
      </c>
      <c r="W146" s="55">
        <v>0</v>
      </c>
      <c r="X146" s="53" t="s">
        <v>592</v>
      </c>
      <c r="Y146" s="53" t="s">
        <v>583</v>
      </c>
      <c r="Z146" s="53" t="s">
        <v>583</v>
      </c>
      <c r="AA146" s="53" t="s">
        <v>601</v>
      </c>
      <c r="AB146" s="53" t="s">
        <v>601</v>
      </c>
      <c r="AC146" s="34">
        <v>0</v>
      </c>
      <c r="AD146" s="34">
        <v>0</v>
      </c>
      <c r="AE146" s="34">
        <v>0</v>
      </c>
      <c r="AF146" s="34">
        <v>0</v>
      </c>
      <c r="AG146" s="34">
        <v>0</v>
      </c>
      <c r="AH146" s="34">
        <v>0</v>
      </c>
      <c r="AI146" s="34">
        <v>0</v>
      </c>
      <c r="AJ146" s="34">
        <v>0</v>
      </c>
      <c r="AK146" s="34">
        <v>0</v>
      </c>
      <c r="AL146" s="34">
        <v>0</v>
      </c>
      <c r="AM146" s="13" t="s">
        <v>593</v>
      </c>
      <c r="AN146" s="54">
        <v>0</v>
      </c>
      <c r="AO146" s="56">
        <f>--($D146='START HERE'!$C$5)</f>
        <v>0</v>
      </c>
    </row>
    <row r="147" spans="2:41" ht="36">
      <c r="B147" s="16" t="s">
        <v>781</v>
      </c>
      <c r="J147" s="9">
        <f t="shared" ref="J147:V147" si="0">SUM(J5:J146)</f>
        <v>1528.9068750000001</v>
      </c>
      <c r="K147" s="9">
        <f t="shared" si="0"/>
        <v>1004.7768750000004</v>
      </c>
      <c r="L147" s="9">
        <f t="shared" si="0"/>
        <v>280.2270833333335</v>
      </c>
      <c r="M147" s="9">
        <f t="shared" si="0"/>
        <v>242.58625000000018</v>
      </c>
      <c r="N147" s="9">
        <f t="shared" si="0"/>
        <v>751.09844791666649</v>
      </c>
      <c r="O147" s="9">
        <f t="shared" si="0"/>
        <v>233.67079166666676</v>
      </c>
      <c r="P147" s="9">
        <f t="shared" si="0"/>
        <v>19.715968749999988</v>
      </c>
      <c r="Q147" s="9">
        <f t="shared" si="0"/>
        <v>91.920708333333437</v>
      </c>
      <c r="R147" s="9">
        <f t="shared" si="0"/>
        <v>683.47115624999992</v>
      </c>
      <c r="S147" s="9">
        <f t="shared" si="0"/>
        <v>178.98750000000004</v>
      </c>
      <c r="T147" s="9">
        <f t="shared" si="0"/>
        <v>34.909166666666628</v>
      </c>
      <c r="U147" s="9">
        <f t="shared" si="0"/>
        <v>8.842708333333329</v>
      </c>
      <c r="V147" s="9">
        <f t="shared" si="0"/>
        <v>6.433135416666663</v>
      </c>
      <c r="AD147" s="8">
        <f t="shared" ref="AD147:AK147" si="1">SUM(AD5:AD146)</f>
        <v>43646</v>
      </c>
      <c r="AE147" s="8">
        <f t="shared" si="1"/>
        <v>4</v>
      </c>
      <c r="AF147" s="8">
        <f t="shared" si="1"/>
        <v>10</v>
      </c>
      <c r="AG147" s="8">
        <f t="shared" si="1"/>
        <v>1941</v>
      </c>
      <c r="AH147" s="8">
        <f t="shared" si="1"/>
        <v>3551</v>
      </c>
      <c r="AI147" s="8">
        <f t="shared" si="1"/>
        <v>9545</v>
      </c>
      <c r="AJ147" s="8">
        <f t="shared" si="1"/>
        <v>1219</v>
      </c>
      <c r="AK147" s="8">
        <f t="shared" si="1"/>
        <v>3192</v>
      </c>
      <c r="AN147" s="9">
        <f>SUM(AN5:AN146)</f>
        <v>231.99600000000004</v>
      </c>
      <c r="AO147" s="28">
        <f>SUM(AO5:AO146)</f>
        <v>5</v>
      </c>
    </row>
    <row r="149" spans="2:41" ht="30" customHeight="1">
      <c r="B149" s="64" t="s">
        <v>782</v>
      </c>
      <c r="C149" s="64"/>
      <c r="D149" s="64"/>
      <c r="E149" s="64"/>
      <c r="F149" s="64"/>
      <c r="G149" s="64"/>
      <c r="H149" s="64"/>
      <c r="I149" s="64"/>
      <c r="J149" s="64"/>
      <c r="K149" s="64"/>
      <c r="L149" s="64"/>
      <c r="M149" s="64"/>
      <c r="N149" s="64"/>
      <c r="O149" s="64"/>
      <c r="P149" s="64"/>
      <c r="Q149" s="64"/>
      <c r="R149" s="64"/>
      <c r="S149" s="64"/>
      <c r="T149" s="64"/>
      <c r="U149" s="64"/>
    </row>
  </sheetData>
  <mergeCells count="3">
    <mergeCell ref="A1:AO1"/>
    <mergeCell ref="A2:AO2"/>
    <mergeCell ref="B149:U149"/>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34"/>
  <sheetViews>
    <sheetView zoomScaleNormal="100" workbookViewId="0">
      <selection sqref="A1:L1"/>
    </sheetView>
  </sheetViews>
  <sheetFormatPr defaultColWidth="8.6328125" defaultRowHeight="14.5"/>
  <cols>
    <col min="1" max="1" width="2.453125" customWidth="1"/>
    <col min="2" max="2" width="26" customWidth="1"/>
    <col min="3" max="3" width="30" customWidth="1"/>
    <col min="4" max="4" width="6" customWidth="1"/>
    <col min="5" max="5" width="34" customWidth="1"/>
    <col min="6" max="6" width="7" customWidth="1"/>
    <col min="7" max="7" width="11" customWidth="1"/>
    <col min="8" max="8" width="12" customWidth="1"/>
    <col min="9" max="9" width="11" customWidth="1"/>
    <col min="10" max="12" width="10" customWidth="1"/>
    <col min="13" max="13" width="13" customWidth="1"/>
    <col min="14" max="14" width="34" customWidth="1"/>
  </cols>
  <sheetData>
    <row r="1" spans="1:13" ht="25.5" customHeight="1">
      <c r="A1" s="59" t="s">
        <v>783</v>
      </c>
      <c r="B1" s="59"/>
      <c r="C1" s="59"/>
      <c r="D1" s="59"/>
      <c r="E1" s="59"/>
      <c r="F1" s="59"/>
      <c r="G1" s="59"/>
      <c r="H1" s="59"/>
      <c r="I1" s="59"/>
      <c r="J1" s="59"/>
      <c r="K1" s="59"/>
      <c r="L1" s="59"/>
    </row>
    <row r="2" spans="1:13" ht="15" customHeight="1">
      <c r="A2" s="60" t="s">
        <v>784</v>
      </c>
      <c r="B2" s="60"/>
      <c r="C2" s="60"/>
      <c r="D2" s="60"/>
      <c r="E2" s="60"/>
      <c r="F2" s="60"/>
      <c r="G2" s="60"/>
      <c r="H2" s="60"/>
      <c r="I2" s="60"/>
      <c r="J2" s="60"/>
      <c r="K2" s="60"/>
      <c r="L2" s="60"/>
    </row>
    <row r="4" spans="1:13" ht="22">
      <c r="B4" s="6" t="s">
        <v>360</v>
      </c>
      <c r="C4" s="52" t="s">
        <v>546</v>
      </c>
      <c r="D4" s="6" t="s">
        <v>247</v>
      </c>
      <c r="E4" s="6" t="s">
        <v>248</v>
      </c>
      <c r="F4" s="6" t="s">
        <v>103</v>
      </c>
      <c r="G4" s="6" t="s">
        <v>104</v>
      </c>
      <c r="H4" s="6" t="s">
        <v>250</v>
      </c>
      <c r="I4" s="6" t="s">
        <v>552</v>
      </c>
      <c r="J4" s="6" t="s">
        <v>166</v>
      </c>
      <c r="K4" s="6" t="s">
        <v>168</v>
      </c>
      <c r="L4" s="6" t="s">
        <v>785</v>
      </c>
      <c r="M4" s="6" t="s">
        <v>786</v>
      </c>
    </row>
    <row r="5" spans="1:13" ht="24">
      <c r="B5" s="41" t="s">
        <v>787</v>
      </c>
      <c r="C5" s="13" t="s">
        <v>701</v>
      </c>
      <c r="D5" s="34">
        <v>1</v>
      </c>
      <c r="E5" s="7" t="s">
        <v>702</v>
      </c>
      <c r="F5" s="34">
        <v>5</v>
      </c>
      <c r="G5" s="54">
        <v>48.510300000000001</v>
      </c>
      <c r="H5" s="53" t="s">
        <v>788</v>
      </c>
      <c r="I5" s="54">
        <v>38.147799999999997</v>
      </c>
      <c r="J5" s="54">
        <v>9.7791999999999994</v>
      </c>
      <c r="K5" s="54">
        <v>0.58330000000000004</v>
      </c>
      <c r="L5" s="57">
        <v>1</v>
      </c>
      <c r="M5" s="58" t="s">
        <v>789</v>
      </c>
    </row>
    <row r="6" spans="1:13">
      <c r="B6" s="41" t="s">
        <v>790</v>
      </c>
      <c r="C6" s="13" t="s">
        <v>605</v>
      </c>
      <c r="D6" s="34">
        <v>1</v>
      </c>
      <c r="E6" s="7" t="s">
        <v>606</v>
      </c>
      <c r="F6" s="34">
        <v>5</v>
      </c>
      <c r="G6" s="54">
        <v>67.313100000000006</v>
      </c>
      <c r="H6" s="53" t="s">
        <v>788</v>
      </c>
      <c r="I6" s="54">
        <v>59.558999999999997</v>
      </c>
      <c r="J6" s="54">
        <v>7.7542</v>
      </c>
      <c r="K6" s="54">
        <v>0</v>
      </c>
      <c r="L6" s="57">
        <v>0</v>
      </c>
      <c r="M6" s="58" t="s">
        <v>791</v>
      </c>
    </row>
    <row r="7" spans="1:13">
      <c r="B7" s="41" t="s">
        <v>792</v>
      </c>
      <c r="C7" s="13" t="s">
        <v>605</v>
      </c>
      <c r="D7" s="34">
        <v>2</v>
      </c>
      <c r="E7" s="7" t="s">
        <v>610</v>
      </c>
      <c r="F7" s="34">
        <v>9</v>
      </c>
      <c r="G7" s="54">
        <v>62.299700000000001</v>
      </c>
      <c r="H7" s="53" t="s">
        <v>788</v>
      </c>
      <c r="I7" s="54">
        <v>56.798000000000002</v>
      </c>
      <c r="J7" s="54">
        <v>5.5016999999999996</v>
      </c>
      <c r="K7" s="54">
        <v>0</v>
      </c>
      <c r="L7" s="57">
        <v>0</v>
      </c>
      <c r="M7" s="58" t="s">
        <v>793</v>
      </c>
    </row>
    <row r="8" spans="1:13">
      <c r="B8" s="41" t="s">
        <v>794</v>
      </c>
      <c r="C8" s="13" t="s">
        <v>605</v>
      </c>
      <c r="D8" s="34">
        <v>3</v>
      </c>
      <c r="E8" s="7" t="s">
        <v>612</v>
      </c>
      <c r="F8" s="34">
        <v>5</v>
      </c>
      <c r="G8" s="54">
        <v>35.680799999999998</v>
      </c>
      <c r="H8" s="53" t="s">
        <v>788</v>
      </c>
      <c r="I8" s="54">
        <v>32.884999999999998</v>
      </c>
      <c r="J8" s="54">
        <v>2.7957999999999998</v>
      </c>
      <c r="K8" s="54">
        <v>0</v>
      </c>
      <c r="L8" s="57">
        <v>0</v>
      </c>
      <c r="M8" s="58" t="s">
        <v>795</v>
      </c>
    </row>
    <row r="9" spans="1:13" ht="22">
      <c r="B9" s="41" t="s">
        <v>796</v>
      </c>
      <c r="C9" s="13" t="s">
        <v>605</v>
      </c>
      <c r="D9" s="34">
        <v>4</v>
      </c>
      <c r="E9" s="7" t="s">
        <v>614</v>
      </c>
      <c r="F9" s="34">
        <v>5</v>
      </c>
      <c r="G9" s="54">
        <v>42.667900000000003</v>
      </c>
      <c r="H9" s="53" t="s">
        <v>788</v>
      </c>
      <c r="I9" s="54">
        <v>35.767899999999997</v>
      </c>
      <c r="J9" s="54">
        <v>6.9</v>
      </c>
      <c r="K9" s="54">
        <v>0</v>
      </c>
      <c r="L9" s="57">
        <v>0</v>
      </c>
      <c r="M9" s="58" t="s">
        <v>797</v>
      </c>
    </row>
    <row r="10" spans="1:13">
      <c r="B10" s="41" t="s">
        <v>798</v>
      </c>
      <c r="C10" s="13" t="s">
        <v>605</v>
      </c>
      <c r="D10" s="34">
        <v>5</v>
      </c>
      <c r="E10" s="7" t="s">
        <v>622</v>
      </c>
      <c r="F10" s="34">
        <v>4</v>
      </c>
      <c r="G10" s="54">
        <v>22.788499999999999</v>
      </c>
      <c r="H10" s="53" t="s">
        <v>788</v>
      </c>
      <c r="I10" s="54">
        <v>18.925999999999998</v>
      </c>
      <c r="J10" s="54">
        <v>3.8624999999999998</v>
      </c>
      <c r="K10" s="54">
        <v>0</v>
      </c>
      <c r="L10" s="57">
        <v>0</v>
      </c>
      <c r="M10" s="58" t="s">
        <v>799</v>
      </c>
    </row>
    <row r="11" spans="1:13" ht="22">
      <c r="B11" s="41" t="s">
        <v>800</v>
      </c>
      <c r="C11" s="13" t="s">
        <v>731</v>
      </c>
      <c r="D11" s="34">
        <v>1</v>
      </c>
      <c r="E11" s="7" t="s">
        <v>734</v>
      </c>
      <c r="F11" s="34">
        <v>8</v>
      </c>
      <c r="G11" s="54">
        <v>24.141500000000001</v>
      </c>
      <c r="H11" s="53" t="s">
        <v>788</v>
      </c>
      <c r="I11" s="54">
        <v>23.6145</v>
      </c>
      <c r="J11" s="54">
        <v>0.52710000000000001</v>
      </c>
      <c r="K11" s="54">
        <v>0</v>
      </c>
      <c r="L11" s="57">
        <v>2.38</v>
      </c>
      <c r="M11" s="58" t="s">
        <v>801</v>
      </c>
    </row>
    <row r="12" spans="1:13" ht="22">
      <c r="B12" s="41" t="s">
        <v>802</v>
      </c>
      <c r="C12" s="13" t="s">
        <v>764</v>
      </c>
      <c r="D12" s="34">
        <v>1</v>
      </c>
      <c r="E12" s="7" t="s">
        <v>765</v>
      </c>
      <c r="F12" s="34">
        <v>12</v>
      </c>
      <c r="G12" s="54">
        <v>86.157799999999995</v>
      </c>
      <c r="H12" s="53" t="s">
        <v>803</v>
      </c>
      <c r="I12" s="54">
        <v>56.732799999999997</v>
      </c>
      <c r="J12" s="54">
        <v>18.425000000000001</v>
      </c>
      <c r="K12" s="54">
        <v>11</v>
      </c>
      <c r="L12" s="57">
        <v>39.130000000000003</v>
      </c>
      <c r="M12" s="58" t="s">
        <v>804</v>
      </c>
    </row>
    <row r="13" spans="1:13" ht="24">
      <c r="B13" s="41" t="s">
        <v>805</v>
      </c>
      <c r="C13" s="13" t="s">
        <v>710</v>
      </c>
      <c r="D13" s="34">
        <v>1</v>
      </c>
      <c r="E13" s="7" t="s">
        <v>713</v>
      </c>
      <c r="F13" s="34">
        <v>1</v>
      </c>
      <c r="G13" s="54">
        <v>34.996499999999997</v>
      </c>
      <c r="H13" s="53" t="s">
        <v>788</v>
      </c>
      <c r="I13" s="54">
        <v>29.379899999999999</v>
      </c>
      <c r="J13" s="54">
        <v>5.6166999999999998</v>
      </c>
      <c r="K13" s="54">
        <v>0</v>
      </c>
      <c r="L13" s="57">
        <v>0</v>
      </c>
      <c r="M13" s="58" t="s">
        <v>806</v>
      </c>
    </row>
    <row r="14" spans="1:13" ht="22">
      <c r="B14" s="41" t="s">
        <v>807</v>
      </c>
      <c r="C14" s="13" t="s">
        <v>685</v>
      </c>
      <c r="D14" s="34">
        <v>1</v>
      </c>
      <c r="E14" s="7" t="s">
        <v>690</v>
      </c>
      <c r="F14" s="34">
        <v>6</v>
      </c>
      <c r="G14" s="54">
        <v>19.2013</v>
      </c>
      <c r="H14" s="53" t="s">
        <v>788</v>
      </c>
      <c r="I14" s="54">
        <v>10.345000000000001</v>
      </c>
      <c r="J14" s="54">
        <v>5.8958000000000004</v>
      </c>
      <c r="K14" s="54">
        <v>2.9603999999999999</v>
      </c>
      <c r="L14" s="57">
        <v>3.11</v>
      </c>
      <c r="M14" s="58" t="s">
        <v>808</v>
      </c>
    </row>
    <row r="15" spans="1:13">
      <c r="B15" s="41" t="s">
        <v>809</v>
      </c>
      <c r="C15" s="13" t="s">
        <v>644</v>
      </c>
      <c r="D15" s="34">
        <v>1</v>
      </c>
      <c r="E15" s="7" t="s">
        <v>649</v>
      </c>
      <c r="F15" s="34">
        <v>6</v>
      </c>
      <c r="G15" s="54">
        <v>14.9</v>
      </c>
      <c r="H15" s="53" t="s">
        <v>788</v>
      </c>
      <c r="I15" s="54">
        <v>9.6750000000000007</v>
      </c>
      <c r="J15" s="54">
        <v>5.2249999999999996</v>
      </c>
      <c r="K15" s="54">
        <v>0</v>
      </c>
      <c r="L15" s="57">
        <v>0.5</v>
      </c>
      <c r="M15" s="58" t="s">
        <v>810</v>
      </c>
    </row>
    <row r="16" spans="1:13">
      <c r="B16" s="41" t="s">
        <v>811</v>
      </c>
      <c r="C16" s="13" t="s">
        <v>731</v>
      </c>
      <c r="D16" s="34">
        <v>2</v>
      </c>
      <c r="E16" s="7" t="s">
        <v>732</v>
      </c>
      <c r="F16" s="34">
        <v>4</v>
      </c>
      <c r="G16" s="54">
        <v>16.3491</v>
      </c>
      <c r="H16" s="53" t="s">
        <v>788</v>
      </c>
      <c r="I16" s="54">
        <v>15.8491</v>
      </c>
      <c r="J16" s="54">
        <v>0.5</v>
      </c>
      <c r="K16" s="54">
        <v>0</v>
      </c>
      <c r="L16" s="57">
        <v>1.61</v>
      </c>
      <c r="M16" s="58" t="s">
        <v>812</v>
      </c>
    </row>
    <row r="17" spans="2:13" ht="22">
      <c r="B17" s="41" t="s">
        <v>813</v>
      </c>
      <c r="C17" s="13" t="s">
        <v>644</v>
      </c>
      <c r="D17" s="34">
        <v>2</v>
      </c>
      <c r="E17" s="7" t="s">
        <v>645</v>
      </c>
      <c r="F17" s="34">
        <v>15</v>
      </c>
      <c r="G17" s="54">
        <v>19.6997</v>
      </c>
      <c r="H17" s="53" t="s">
        <v>788</v>
      </c>
      <c r="I17" s="54">
        <v>15.499700000000001</v>
      </c>
      <c r="J17" s="54">
        <v>3.7</v>
      </c>
      <c r="K17" s="54">
        <v>0.5</v>
      </c>
      <c r="L17" s="57">
        <v>0</v>
      </c>
      <c r="M17" s="58" t="s">
        <v>814</v>
      </c>
    </row>
    <row r="18" spans="2:13" ht="24">
      <c r="B18" s="41" t="s">
        <v>815</v>
      </c>
      <c r="C18" s="13" t="s">
        <v>710</v>
      </c>
      <c r="D18" s="34">
        <v>2</v>
      </c>
      <c r="E18" s="7" t="s">
        <v>816</v>
      </c>
      <c r="F18" s="34">
        <v>3</v>
      </c>
      <c r="G18" s="54">
        <v>67.754400000000004</v>
      </c>
      <c r="H18" s="53" t="s">
        <v>817</v>
      </c>
      <c r="I18" s="54">
        <v>42.4544</v>
      </c>
      <c r="J18" s="54">
        <v>7.1542000000000003</v>
      </c>
      <c r="K18" s="54">
        <v>18.145800000000001</v>
      </c>
      <c r="L18" s="57">
        <v>6</v>
      </c>
      <c r="M18" s="58" t="s">
        <v>818</v>
      </c>
    </row>
    <row r="19" spans="2:13" ht="22">
      <c r="B19" s="41" t="s">
        <v>819</v>
      </c>
      <c r="C19" s="13" t="s">
        <v>720</v>
      </c>
      <c r="D19" s="34">
        <v>1</v>
      </c>
      <c r="E19" s="7" t="s">
        <v>721</v>
      </c>
      <c r="F19" s="34">
        <v>9</v>
      </c>
      <c r="G19" s="54">
        <v>44.154200000000003</v>
      </c>
      <c r="H19" s="53" t="s">
        <v>817</v>
      </c>
      <c r="I19" s="54">
        <v>27.842099999999999</v>
      </c>
      <c r="J19" s="54">
        <v>7.5270999999999999</v>
      </c>
      <c r="K19" s="54">
        <v>8.7850000000000001</v>
      </c>
      <c r="L19" s="57">
        <v>4</v>
      </c>
      <c r="M19" s="58" t="s">
        <v>820</v>
      </c>
    </row>
    <row r="20" spans="2:13">
      <c r="B20" s="41" t="s">
        <v>821</v>
      </c>
      <c r="C20" s="13" t="s">
        <v>644</v>
      </c>
      <c r="D20" s="34">
        <v>3</v>
      </c>
      <c r="E20" s="7" t="s">
        <v>651</v>
      </c>
      <c r="F20" s="34">
        <v>12</v>
      </c>
      <c r="G20" s="54">
        <v>15.8391</v>
      </c>
      <c r="H20" s="53" t="s">
        <v>788</v>
      </c>
      <c r="I20" s="54">
        <v>11.57</v>
      </c>
      <c r="J20" s="54">
        <v>3.2692000000000001</v>
      </c>
      <c r="K20" s="54">
        <v>1</v>
      </c>
      <c r="L20" s="57">
        <v>0.5</v>
      </c>
      <c r="M20" s="58" t="s">
        <v>822</v>
      </c>
    </row>
    <row r="21" spans="2:13">
      <c r="B21" s="41" t="s">
        <v>823</v>
      </c>
      <c r="C21" s="13" t="s">
        <v>746</v>
      </c>
      <c r="D21" s="34">
        <v>1</v>
      </c>
      <c r="E21" s="7" t="s">
        <v>755</v>
      </c>
      <c r="F21" s="34">
        <v>4</v>
      </c>
      <c r="G21" s="54">
        <v>23.122299999999999</v>
      </c>
      <c r="H21" s="53" t="s">
        <v>817</v>
      </c>
      <c r="I21" s="54">
        <v>14.1431</v>
      </c>
      <c r="J21" s="54">
        <v>5.9791999999999996</v>
      </c>
      <c r="K21" s="54">
        <v>3</v>
      </c>
      <c r="L21" s="57">
        <v>2.68</v>
      </c>
      <c r="M21" s="58" t="s">
        <v>824</v>
      </c>
    </row>
    <row r="22" spans="2:13" ht="22">
      <c r="B22" s="41" t="s">
        <v>825</v>
      </c>
      <c r="C22" s="13" t="s">
        <v>576</v>
      </c>
      <c r="D22" s="34">
        <v>1</v>
      </c>
      <c r="E22" s="7" t="s">
        <v>577</v>
      </c>
      <c r="F22" s="34">
        <v>6</v>
      </c>
      <c r="G22" s="54">
        <v>143.63990000000001</v>
      </c>
      <c r="H22" s="53" t="s">
        <v>803</v>
      </c>
      <c r="I22" s="54">
        <v>71.532399999999996</v>
      </c>
      <c r="J22" s="54">
        <v>26.885400000000001</v>
      </c>
      <c r="K22" s="54">
        <v>45.222099999999998</v>
      </c>
      <c r="L22" s="57">
        <v>18.37</v>
      </c>
      <c r="M22" s="58" t="s">
        <v>826</v>
      </c>
    </row>
    <row r="23" spans="2:13" ht="22">
      <c r="B23" s="41" t="s">
        <v>827</v>
      </c>
      <c r="C23" s="13" t="s">
        <v>746</v>
      </c>
      <c r="D23" s="34">
        <v>2</v>
      </c>
      <c r="E23" s="7" t="s">
        <v>749</v>
      </c>
      <c r="F23" s="34">
        <v>4</v>
      </c>
      <c r="G23" s="54">
        <v>168.91669999999999</v>
      </c>
      <c r="H23" s="53" t="s">
        <v>817</v>
      </c>
      <c r="I23" s="54">
        <v>97.379199999999997</v>
      </c>
      <c r="J23" s="54">
        <v>40.958300000000001</v>
      </c>
      <c r="K23" s="54">
        <v>30.5792</v>
      </c>
      <c r="L23" s="57">
        <v>32</v>
      </c>
      <c r="M23" s="58" t="s">
        <v>828</v>
      </c>
    </row>
    <row r="24" spans="2:13">
      <c r="B24" s="41" t="s">
        <v>829</v>
      </c>
      <c r="C24" s="13" t="s">
        <v>764</v>
      </c>
      <c r="D24" s="34">
        <v>2</v>
      </c>
      <c r="E24" s="7" t="s">
        <v>768</v>
      </c>
      <c r="F24" s="34">
        <v>3</v>
      </c>
      <c r="G24" s="54">
        <v>19.922499999999999</v>
      </c>
      <c r="H24" s="53" t="s">
        <v>788</v>
      </c>
      <c r="I24" s="54">
        <v>12.693300000000001</v>
      </c>
      <c r="J24" s="54">
        <v>7.2291999999999996</v>
      </c>
      <c r="K24" s="54">
        <v>0</v>
      </c>
      <c r="L24" s="57">
        <v>1.86</v>
      </c>
      <c r="M24" s="58" t="s">
        <v>830</v>
      </c>
    </row>
    <row r="25" spans="2:13">
      <c r="B25" s="41" t="s">
        <v>831</v>
      </c>
      <c r="C25" s="13" t="s">
        <v>4</v>
      </c>
      <c r="D25" s="34">
        <v>1</v>
      </c>
      <c r="E25" s="7" t="s">
        <v>697</v>
      </c>
      <c r="F25" s="34">
        <v>3</v>
      </c>
      <c r="G25" s="54">
        <v>100.765</v>
      </c>
      <c r="H25" s="53" t="s">
        <v>817</v>
      </c>
      <c r="I25" s="54">
        <v>65.381600000000006</v>
      </c>
      <c r="J25" s="54">
        <v>18.074999999999999</v>
      </c>
      <c r="K25" s="54">
        <v>15.9917</v>
      </c>
      <c r="L25" s="57">
        <v>20</v>
      </c>
      <c r="M25" s="58" t="s">
        <v>832</v>
      </c>
    </row>
    <row r="26" spans="2:13">
      <c r="B26" s="41" t="s">
        <v>833</v>
      </c>
      <c r="C26" s="13" t="s">
        <v>576</v>
      </c>
      <c r="D26" s="34">
        <v>2</v>
      </c>
      <c r="E26" s="7" t="s">
        <v>586</v>
      </c>
      <c r="F26" s="34">
        <v>4</v>
      </c>
      <c r="G26" s="54">
        <v>55.1404</v>
      </c>
      <c r="H26" s="53" t="s">
        <v>803</v>
      </c>
      <c r="I26" s="54">
        <v>26.563300000000002</v>
      </c>
      <c r="J26" s="54">
        <v>8.4291999999999998</v>
      </c>
      <c r="K26" s="54">
        <v>20.1479</v>
      </c>
      <c r="L26" s="57">
        <v>19.63</v>
      </c>
      <c r="M26" s="58" t="s">
        <v>834</v>
      </c>
    </row>
    <row r="27" spans="2:13">
      <c r="B27" s="41" t="s">
        <v>835</v>
      </c>
      <c r="C27" s="13" t="s">
        <v>746</v>
      </c>
      <c r="D27" s="34">
        <v>3</v>
      </c>
      <c r="E27" s="7" t="s">
        <v>752</v>
      </c>
      <c r="F27" s="34">
        <v>1</v>
      </c>
      <c r="G27" s="54">
        <v>43.5625</v>
      </c>
      <c r="H27" s="53" t="s">
        <v>817</v>
      </c>
      <c r="I27" s="54">
        <v>20.833300000000001</v>
      </c>
      <c r="J27" s="54">
        <v>10.004200000000001</v>
      </c>
      <c r="K27" s="54">
        <v>12.725</v>
      </c>
      <c r="L27" s="57">
        <v>8.81</v>
      </c>
      <c r="M27" s="58" t="s">
        <v>836</v>
      </c>
    </row>
    <row r="28" spans="2:13">
      <c r="B28" s="41" t="s">
        <v>837</v>
      </c>
      <c r="C28" s="13" t="s">
        <v>685</v>
      </c>
      <c r="D28" s="34">
        <v>2</v>
      </c>
      <c r="E28" s="7" t="s">
        <v>688</v>
      </c>
      <c r="F28" s="34">
        <v>1</v>
      </c>
      <c r="G28" s="54">
        <v>28.004200000000001</v>
      </c>
      <c r="H28" s="53" t="s">
        <v>803</v>
      </c>
      <c r="I28" s="54">
        <v>9.5832999999999995</v>
      </c>
      <c r="J28" s="54">
        <v>11.3375</v>
      </c>
      <c r="K28" s="54">
        <v>7.0833000000000004</v>
      </c>
      <c r="L28" s="57">
        <v>5.42</v>
      </c>
      <c r="M28" s="58" t="s">
        <v>838</v>
      </c>
    </row>
    <row r="29" spans="2:13">
      <c r="B29" s="41" t="s">
        <v>839</v>
      </c>
      <c r="C29" s="13" t="s">
        <v>685</v>
      </c>
      <c r="D29" s="34">
        <v>3</v>
      </c>
      <c r="E29" s="7" t="s">
        <v>686</v>
      </c>
      <c r="F29" s="34">
        <v>1</v>
      </c>
      <c r="G29" s="54">
        <v>73.686300000000003</v>
      </c>
      <c r="H29" s="53" t="s">
        <v>803</v>
      </c>
      <c r="I29" s="54">
        <v>35.819600000000001</v>
      </c>
      <c r="J29" s="54">
        <v>25</v>
      </c>
      <c r="K29" s="54">
        <v>12.8667</v>
      </c>
      <c r="L29" s="57">
        <v>9.4700000000000006</v>
      </c>
      <c r="M29" s="58" t="s">
        <v>840</v>
      </c>
    </row>
    <row r="30" spans="2:13">
      <c r="B30" s="41" t="s">
        <v>841</v>
      </c>
      <c r="C30" s="13" t="s">
        <v>746</v>
      </c>
      <c r="D30" s="34">
        <v>4</v>
      </c>
      <c r="E30" s="7" t="s">
        <v>747</v>
      </c>
      <c r="F30" s="34">
        <v>4</v>
      </c>
      <c r="G30" s="54">
        <v>230.8708</v>
      </c>
      <c r="H30" s="53" t="s">
        <v>817</v>
      </c>
      <c r="I30" s="54">
        <v>152.1875</v>
      </c>
      <c r="J30" s="54">
        <v>31.1875</v>
      </c>
      <c r="K30" s="54">
        <v>47.495800000000003</v>
      </c>
      <c r="L30" s="57">
        <v>55.51</v>
      </c>
      <c r="M30" s="58" t="s">
        <v>842</v>
      </c>
    </row>
    <row r="31" spans="2:13" ht="24">
      <c r="B31" s="41" t="s">
        <v>843</v>
      </c>
      <c r="C31" s="13" t="s">
        <v>710</v>
      </c>
      <c r="D31" s="34">
        <v>3</v>
      </c>
      <c r="E31" s="7" t="s">
        <v>716</v>
      </c>
      <c r="F31" s="34">
        <v>2</v>
      </c>
      <c r="G31" s="54">
        <v>18.822500000000002</v>
      </c>
      <c r="H31" s="53" t="s">
        <v>803</v>
      </c>
      <c r="I31" s="54">
        <v>13.6142</v>
      </c>
      <c r="J31" s="54">
        <v>0.70830000000000004</v>
      </c>
      <c r="K31" s="54">
        <v>4.5</v>
      </c>
      <c r="L31" s="57">
        <v>0</v>
      </c>
      <c r="M31" s="58" t="s">
        <v>789</v>
      </c>
    </row>
    <row r="34" spans="2:12" ht="30" customHeight="1">
      <c r="B34" s="64" t="s">
        <v>844</v>
      </c>
      <c r="C34" s="64"/>
      <c r="D34" s="64"/>
      <c r="E34" s="64"/>
      <c r="F34" s="64"/>
      <c r="G34" s="64"/>
      <c r="H34" s="64"/>
      <c r="I34" s="64"/>
      <c r="J34" s="64"/>
      <c r="K34" s="64"/>
      <c r="L34" s="64"/>
    </row>
  </sheetData>
  <mergeCells count="3">
    <mergeCell ref="A1:L1"/>
    <mergeCell ref="A2:L2"/>
    <mergeCell ref="B34:L34"/>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24"/>
  <sheetViews>
    <sheetView topLeftCell="A20" zoomScaleNormal="100" workbookViewId="0">
      <selection sqref="A1:D1"/>
    </sheetView>
  </sheetViews>
  <sheetFormatPr defaultColWidth="8.6328125" defaultRowHeight="14.5"/>
  <cols>
    <col min="1" max="1" width="2.453125" customWidth="1"/>
    <col min="2" max="2" width="30" customWidth="1"/>
    <col min="3" max="3" width="104" customWidth="1"/>
  </cols>
  <sheetData>
    <row r="1" spans="1:4" ht="25.5" customHeight="1">
      <c r="A1" s="59" t="s">
        <v>845</v>
      </c>
      <c r="B1" s="59"/>
      <c r="C1" s="59"/>
      <c r="D1" s="59"/>
    </row>
    <row r="2" spans="1:4" ht="15" customHeight="1">
      <c r="A2" s="60" t="s">
        <v>846</v>
      </c>
      <c r="B2" s="60"/>
      <c r="C2" s="60"/>
      <c r="D2" s="60"/>
    </row>
    <row r="4" spans="1:4" ht="15" customHeight="1">
      <c r="A4" s="63" t="s">
        <v>847</v>
      </c>
      <c r="B4" s="63"/>
      <c r="C4" s="63"/>
    </row>
    <row r="5" spans="1:4" ht="51.75" customHeight="1">
      <c r="B5" s="12" t="s">
        <v>848</v>
      </c>
      <c r="C5" s="13" t="s">
        <v>849</v>
      </c>
    </row>
    <row r="6" spans="1:4" ht="51.75" customHeight="1">
      <c r="B6" s="12" t="s">
        <v>850</v>
      </c>
      <c r="C6" s="13" t="s">
        <v>851</v>
      </c>
    </row>
    <row r="7" spans="1:4" ht="51.75" customHeight="1">
      <c r="B7" s="12" t="s">
        <v>852</v>
      </c>
      <c r="C7" s="13" t="s">
        <v>853</v>
      </c>
    </row>
    <row r="8" spans="1:4" ht="51.75" customHeight="1">
      <c r="B8" s="12" t="s">
        <v>854</v>
      </c>
      <c r="C8" s="13" t="s">
        <v>855</v>
      </c>
    </row>
    <row r="9" spans="1:4" ht="15" customHeight="1">
      <c r="A9" s="63" t="s">
        <v>856</v>
      </c>
      <c r="B9" s="63"/>
      <c r="C9" s="63"/>
    </row>
    <row r="10" spans="1:4" ht="51.75" customHeight="1">
      <c r="B10" s="12" t="s">
        <v>857</v>
      </c>
      <c r="C10" s="13" t="s">
        <v>858</v>
      </c>
    </row>
    <row r="11" spans="1:4" ht="51.75" customHeight="1">
      <c r="B11" s="12" t="s">
        <v>859</v>
      </c>
      <c r="C11" s="13" t="s">
        <v>860</v>
      </c>
    </row>
    <row r="12" spans="1:4" ht="15" customHeight="1">
      <c r="A12" s="63" t="s">
        <v>861</v>
      </c>
      <c r="B12" s="63"/>
      <c r="C12" s="63"/>
    </row>
    <row r="13" spans="1:4" ht="51.75" customHeight="1">
      <c r="B13" s="12" t="s">
        <v>862</v>
      </c>
      <c r="C13" s="13" t="s">
        <v>863</v>
      </c>
    </row>
    <row r="14" spans="1:4" ht="51.75" customHeight="1">
      <c r="B14" s="12" t="s">
        <v>864</v>
      </c>
      <c r="C14" s="13" t="s">
        <v>865</v>
      </c>
    </row>
    <row r="15" spans="1:4" ht="51.75" customHeight="1">
      <c r="B15" s="12" t="s">
        <v>866</v>
      </c>
      <c r="C15" s="13" t="s">
        <v>867</v>
      </c>
    </row>
    <row r="16" spans="1:4" ht="15" customHeight="1">
      <c r="A16" s="63" t="s">
        <v>868</v>
      </c>
      <c r="B16" s="63"/>
      <c r="C16" s="63"/>
    </row>
    <row r="17" spans="1:3" ht="51.75" customHeight="1">
      <c r="B17" s="12" t="s">
        <v>869</v>
      </c>
      <c r="C17" s="13" t="s">
        <v>870</v>
      </c>
    </row>
    <row r="18" spans="1:3" ht="51.75" customHeight="1">
      <c r="B18" s="12" t="s">
        <v>871</v>
      </c>
      <c r="C18" s="13" t="s">
        <v>872</v>
      </c>
    </row>
    <row r="19" spans="1:3" ht="51.75" customHeight="1">
      <c r="B19" s="12" t="s">
        <v>873</v>
      </c>
      <c r="C19" s="13" t="s">
        <v>874</v>
      </c>
    </row>
    <row r="20" spans="1:3" ht="51.75" customHeight="1">
      <c r="B20" s="12" t="s">
        <v>875</v>
      </c>
      <c r="C20" s="13" t="s">
        <v>876</v>
      </c>
    </row>
    <row r="21" spans="1:3" ht="15" customHeight="1">
      <c r="A21" s="63" t="s">
        <v>877</v>
      </c>
      <c r="B21" s="63"/>
      <c r="C21" s="63"/>
    </row>
    <row r="22" spans="1:3" ht="51.75" customHeight="1">
      <c r="B22" s="12" t="s">
        <v>82</v>
      </c>
      <c r="C22" s="13" t="s">
        <v>878</v>
      </c>
    </row>
    <row r="23" spans="1:3" ht="51.75" customHeight="1">
      <c r="B23" s="12" t="s">
        <v>879</v>
      </c>
      <c r="C23" s="13" t="s">
        <v>880</v>
      </c>
    </row>
    <row r="24" spans="1:3" ht="51.75" customHeight="1">
      <c r="B24" s="12" t="s">
        <v>881</v>
      </c>
      <c r="C24" s="13" t="s">
        <v>882</v>
      </c>
    </row>
  </sheetData>
  <mergeCells count="7">
    <mergeCell ref="A16:C16"/>
    <mergeCell ref="A21:C21"/>
    <mergeCell ref="A1:D1"/>
    <mergeCell ref="A2:D2"/>
    <mergeCell ref="A4:C4"/>
    <mergeCell ref="A9:C9"/>
    <mergeCell ref="A12:C12"/>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10378-C44E-40D4-96CD-E7E11A18A3D6}">
  <dimension ref="A1:N123"/>
  <sheetViews>
    <sheetView workbookViewId="0">
      <selection activeCell="K5" sqref="K5"/>
    </sheetView>
  </sheetViews>
  <sheetFormatPr defaultColWidth="8.6328125" defaultRowHeight="14.5"/>
  <cols>
    <col min="1" max="1" width="2.453125" customWidth="1"/>
    <col min="2" max="2" width="6" customWidth="1"/>
    <col min="3" max="3" width="8" customWidth="1"/>
    <col min="4" max="4" width="7" customWidth="1"/>
    <col min="5" max="5" width="34" customWidth="1"/>
    <col min="6" max="7" width="7" customWidth="1"/>
    <col min="8" max="8" width="8" customWidth="1"/>
    <col min="9" max="9" width="9" customWidth="1"/>
    <col min="10" max="10" width="9" style="78" customWidth="1"/>
    <col min="11" max="11" width="13" customWidth="1"/>
  </cols>
  <sheetData>
    <row r="1" spans="1:11" ht="25.5" customHeight="1">
      <c r="A1" s="66" t="s">
        <v>883</v>
      </c>
      <c r="B1" s="66"/>
      <c r="C1" s="66"/>
      <c r="D1" s="66"/>
      <c r="E1" s="66"/>
      <c r="F1" s="66"/>
      <c r="G1" s="66"/>
      <c r="H1" s="66"/>
      <c r="I1" s="66"/>
      <c r="J1" s="66"/>
    </row>
    <row r="2" spans="1:11" ht="15" customHeight="1">
      <c r="A2" s="67" t="s">
        <v>884</v>
      </c>
      <c r="B2" s="67"/>
      <c r="C2" s="67"/>
      <c r="D2" s="67"/>
      <c r="E2" s="67"/>
      <c r="F2" s="67"/>
      <c r="G2" s="67"/>
      <c r="H2" s="67"/>
      <c r="I2" s="67"/>
      <c r="J2" s="67"/>
    </row>
    <row r="4" spans="1:11" ht="15" customHeight="1">
      <c r="B4" s="6" t="s">
        <v>346</v>
      </c>
      <c r="C4" s="6" t="s">
        <v>347</v>
      </c>
      <c r="D4" s="6" t="s">
        <v>349</v>
      </c>
      <c r="E4" s="6" t="s">
        <v>350</v>
      </c>
      <c r="F4" s="6" t="s">
        <v>351</v>
      </c>
      <c r="G4" s="6" t="s">
        <v>352</v>
      </c>
      <c r="H4" s="6" t="s">
        <v>353</v>
      </c>
      <c r="I4" s="6" t="s">
        <v>354</v>
      </c>
      <c r="J4" s="68" t="s">
        <v>885</v>
      </c>
      <c r="K4" s="6" t="s">
        <v>886</v>
      </c>
    </row>
    <row r="5" spans="1:11" ht="15" customHeight="1">
      <c r="B5" s="34">
        <v>1</v>
      </c>
      <c r="C5" s="14" t="s">
        <v>887</v>
      </c>
      <c r="D5" s="34">
        <v>1</v>
      </c>
      <c r="E5" s="13" t="s">
        <v>888</v>
      </c>
      <c r="F5" s="14" t="s">
        <v>94</v>
      </c>
      <c r="G5" s="53" t="s">
        <v>533</v>
      </c>
      <c r="H5" s="53" t="s">
        <v>536</v>
      </c>
      <c r="I5" s="53" t="s">
        <v>166</v>
      </c>
      <c r="J5" s="69">
        <v>0.875</v>
      </c>
      <c r="K5" s="70">
        <f t="shared" ref="K5:K16" si="0">J5*4</f>
        <v>3.5</v>
      </c>
    </row>
    <row r="6" spans="1:11" ht="15" customHeight="1">
      <c r="B6" s="34">
        <v>1</v>
      </c>
      <c r="C6" s="14" t="s">
        <v>887</v>
      </c>
      <c r="D6" s="34">
        <v>2</v>
      </c>
      <c r="E6" s="13" t="s">
        <v>889</v>
      </c>
      <c r="F6" s="14" t="s">
        <v>86</v>
      </c>
      <c r="G6" s="53" t="s">
        <v>533</v>
      </c>
      <c r="H6" s="53" t="s">
        <v>536</v>
      </c>
      <c r="I6" s="53" t="s">
        <v>166</v>
      </c>
      <c r="J6" s="69">
        <v>0.75</v>
      </c>
      <c r="K6" s="70">
        <f t="shared" si="0"/>
        <v>3</v>
      </c>
    </row>
    <row r="7" spans="1:11" ht="15" customHeight="1">
      <c r="B7" s="34">
        <v>1</v>
      </c>
      <c r="C7" s="14" t="s">
        <v>887</v>
      </c>
      <c r="D7" s="34">
        <v>3</v>
      </c>
      <c r="E7" s="13" t="s">
        <v>890</v>
      </c>
      <c r="F7" s="14" t="s">
        <v>891</v>
      </c>
      <c r="G7" s="53" t="s">
        <v>532</v>
      </c>
      <c r="H7" s="53" t="s">
        <v>538</v>
      </c>
      <c r="I7" s="53" t="s">
        <v>168</v>
      </c>
      <c r="J7" s="69">
        <v>2</v>
      </c>
      <c r="K7" s="70">
        <f t="shared" si="0"/>
        <v>8</v>
      </c>
    </row>
    <row r="8" spans="1:11" ht="15" customHeight="1">
      <c r="B8" s="34">
        <v>1</v>
      </c>
      <c r="C8" s="14" t="s">
        <v>887</v>
      </c>
      <c r="D8" s="34">
        <v>4</v>
      </c>
      <c r="E8" s="13" t="s">
        <v>892</v>
      </c>
      <c r="F8" s="14" t="s">
        <v>86</v>
      </c>
      <c r="G8" s="53" t="s">
        <v>532</v>
      </c>
      <c r="H8" s="53" t="s">
        <v>536</v>
      </c>
      <c r="I8" s="53" t="s">
        <v>162</v>
      </c>
      <c r="J8" s="69">
        <v>0.875</v>
      </c>
      <c r="K8" s="70">
        <f t="shared" si="0"/>
        <v>3.5</v>
      </c>
    </row>
    <row r="9" spans="1:11" ht="15" customHeight="1">
      <c r="B9" s="34">
        <v>1</v>
      </c>
      <c r="C9" s="14" t="s">
        <v>887</v>
      </c>
      <c r="D9" s="34">
        <v>5</v>
      </c>
      <c r="E9" s="13" t="s">
        <v>893</v>
      </c>
      <c r="F9" s="14" t="s">
        <v>891</v>
      </c>
      <c r="G9" s="53" t="s">
        <v>533</v>
      </c>
      <c r="H9" s="53" t="s">
        <v>536</v>
      </c>
      <c r="I9" s="53" t="s">
        <v>162</v>
      </c>
      <c r="J9" s="69">
        <v>1.5</v>
      </c>
      <c r="K9" s="70">
        <f t="shared" si="0"/>
        <v>6</v>
      </c>
    </row>
    <row r="10" spans="1:11" ht="15" customHeight="1">
      <c r="B10" s="34">
        <v>1</v>
      </c>
      <c r="C10" s="14" t="s">
        <v>887</v>
      </c>
      <c r="D10" s="34">
        <v>6</v>
      </c>
      <c r="E10" s="13" t="s">
        <v>894</v>
      </c>
      <c r="F10" s="14" t="s">
        <v>891</v>
      </c>
      <c r="G10" s="53" t="s">
        <v>532</v>
      </c>
      <c r="H10" s="53" t="s">
        <v>536</v>
      </c>
      <c r="I10" s="53" t="s">
        <v>162</v>
      </c>
      <c r="J10" s="69">
        <v>0.5</v>
      </c>
      <c r="K10" s="70">
        <f t="shared" si="0"/>
        <v>2</v>
      </c>
    </row>
    <row r="11" spans="1:11" ht="15" customHeight="1">
      <c r="B11" s="34">
        <v>1</v>
      </c>
      <c r="C11" s="14" t="s">
        <v>887</v>
      </c>
      <c r="D11" s="34">
        <v>7</v>
      </c>
      <c r="E11" s="13" t="s">
        <v>894</v>
      </c>
      <c r="F11" s="14" t="s">
        <v>891</v>
      </c>
      <c r="G11" s="53" t="s">
        <v>532</v>
      </c>
      <c r="H11" s="53" t="s">
        <v>538</v>
      </c>
      <c r="I11" s="53" t="s">
        <v>162</v>
      </c>
      <c r="J11" s="69">
        <v>0.25</v>
      </c>
      <c r="K11" s="70">
        <f t="shared" si="0"/>
        <v>1</v>
      </c>
    </row>
    <row r="12" spans="1:11" ht="15" customHeight="1">
      <c r="B12" s="34">
        <v>1</v>
      </c>
      <c r="C12" s="14" t="s">
        <v>887</v>
      </c>
      <c r="D12" s="34">
        <v>8</v>
      </c>
      <c r="E12" s="13" t="s">
        <v>894</v>
      </c>
      <c r="F12" s="14" t="s">
        <v>891</v>
      </c>
      <c r="G12" s="53" t="s">
        <v>531</v>
      </c>
      <c r="H12" s="53" t="s">
        <v>538</v>
      </c>
      <c r="I12" s="53" t="s">
        <v>162</v>
      </c>
      <c r="J12" s="69">
        <v>0.25</v>
      </c>
      <c r="K12" s="70">
        <f t="shared" si="0"/>
        <v>1</v>
      </c>
    </row>
    <row r="13" spans="1:11" ht="15" customHeight="1">
      <c r="B13" s="34">
        <v>1</v>
      </c>
      <c r="C13" s="14" t="s">
        <v>887</v>
      </c>
      <c r="D13" s="34">
        <v>9</v>
      </c>
      <c r="E13" s="13" t="s">
        <v>894</v>
      </c>
      <c r="F13" s="14" t="s">
        <v>891</v>
      </c>
      <c r="G13" s="53" t="s">
        <v>530</v>
      </c>
      <c r="H13" s="53" t="s">
        <v>538</v>
      </c>
      <c r="I13" s="53" t="s">
        <v>162</v>
      </c>
      <c r="J13" s="69">
        <v>0</v>
      </c>
      <c r="K13" s="70">
        <f t="shared" si="0"/>
        <v>0</v>
      </c>
    </row>
    <row r="14" spans="1:11" ht="15" customHeight="1">
      <c r="B14" s="34">
        <v>1</v>
      </c>
      <c r="C14" s="14" t="s">
        <v>887</v>
      </c>
      <c r="D14" s="34">
        <v>10</v>
      </c>
      <c r="E14" s="13" t="s">
        <v>895</v>
      </c>
      <c r="F14" s="14" t="s">
        <v>896</v>
      </c>
      <c r="G14" s="53" t="s">
        <v>531</v>
      </c>
      <c r="H14" s="53" t="s">
        <v>538</v>
      </c>
      <c r="I14" s="53" t="s">
        <v>162</v>
      </c>
      <c r="J14" s="69">
        <v>0.5</v>
      </c>
      <c r="K14" s="70">
        <f t="shared" si="0"/>
        <v>2</v>
      </c>
    </row>
    <row r="15" spans="1:11" ht="15" customHeight="1">
      <c r="B15" s="34">
        <v>1</v>
      </c>
      <c r="C15" s="14" t="s">
        <v>887</v>
      </c>
      <c r="D15" s="34">
        <v>11</v>
      </c>
      <c r="E15" s="13" t="s">
        <v>897</v>
      </c>
      <c r="F15" s="14" t="s">
        <v>898</v>
      </c>
      <c r="G15" s="53" t="s">
        <v>531</v>
      </c>
      <c r="H15" s="53" t="s">
        <v>538</v>
      </c>
      <c r="I15" s="53" t="s">
        <v>162</v>
      </c>
      <c r="J15" s="69">
        <v>0.25</v>
      </c>
      <c r="K15" s="70">
        <f t="shared" si="0"/>
        <v>1</v>
      </c>
    </row>
    <row r="16" spans="1:11" ht="15" customHeight="1">
      <c r="B16" s="34">
        <v>1</v>
      </c>
      <c r="C16" s="14" t="s">
        <v>887</v>
      </c>
      <c r="D16" s="34">
        <v>12</v>
      </c>
      <c r="E16" s="13" t="s">
        <v>899</v>
      </c>
      <c r="F16" s="14" t="s">
        <v>900</v>
      </c>
      <c r="G16" s="53" t="s">
        <v>533</v>
      </c>
      <c r="H16" s="53" t="s">
        <v>536</v>
      </c>
      <c r="I16" s="53" t="s">
        <v>162</v>
      </c>
      <c r="J16" s="69">
        <v>0.5</v>
      </c>
      <c r="K16" s="70">
        <f t="shared" si="0"/>
        <v>2</v>
      </c>
    </row>
    <row r="17" spans="2:11" ht="34.5" customHeight="1">
      <c r="D17" s="71" t="s">
        <v>901</v>
      </c>
      <c r="J17" s="72">
        <f>SUM(J5:J16)</f>
        <v>8.25</v>
      </c>
    </row>
    <row r="19" spans="2:11" ht="15" customHeight="1">
      <c r="B19" s="34">
        <v>1</v>
      </c>
      <c r="C19" s="14" t="s">
        <v>902</v>
      </c>
      <c r="D19" s="34">
        <v>1</v>
      </c>
      <c r="E19" s="13" t="s">
        <v>888</v>
      </c>
      <c r="F19" s="14" t="s">
        <v>94</v>
      </c>
      <c r="G19" s="53" t="s">
        <v>533</v>
      </c>
      <c r="H19" s="53" t="s">
        <v>536</v>
      </c>
      <c r="I19" s="53" t="s">
        <v>166</v>
      </c>
      <c r="J19" s="69">
        <v>1.2</v>
      </c>
      <c r="K19" s="70">
        <f t="shared" ref="K19:K32" si="1">J19*5</f>
        <v>6</v>
      </c>
    </row>
    <row r="20" spans="2:11" ht="15" customHeight="1">
      <c r="B20" s="34">
        <v>1</v>
      </c>
      <c r="C20" s="14" t="s">
        <v>902</v>
      </c>
      <c r="D20" s="34">
        <v>2</v>
      </c>
      <c r="E20" s="13" t="s">
        <v>889</v>
      </c>
      <c r="F20" s="14" t="s">
        <v>86</v>
      </c>
      <c r="G20" s="53" t="s">
        <v>533</v>
      </c>
      <c r="H20" s="53" t="s">
        <v>536</v>
      </c>
      <c r="I20" s="53" t="s">
        <v>166</v>
      </c>
      <c r="J20" s="69">
        <v>0.9</v>
      </c>
      <c r="K20" s="70">
        <f t="shared" si="1"/>
        <v>4.5</v>
      </c>
    </row>
    <row r="21" spans="2:11" ht="15" customHeight="1">
      <c r="B21" s="34">
        <v>1</v>
      </c>
      <c r="C21" s="14" t="s">
        <v>902</v>
      </c>
      <c r="D21" s="34">
        <v>3</v>
      </c>
      <c r="E21" s="13" t="s">
        <v>903</v>
      </c>
      <c r="F21" s="14" t="s">
        <v>898</v>
      </c>
      <c r="G21" s="53" t="s">
        <v>532</v>
      </c>
      <c r="H21" s="53" t="s">
        <v>536</v>
      </c>
      <c r="I21" s="53" t="s">
        <v>166</v>
      </c>
      <c r="J21" s="69">
        <v>0.9</v>
      </c>
      <c r="K21" s="70">
        <f t="shared" si="1"/>
        <v>4.5</v>
      </c>
    </row>
    <row r="22" spans="2:11" ht="15" customHeight="1">
      <c r="B22" s="34">
        <v>1</v>
      </c>
      <c r="C22" s="14" t="s">
        <v>902</v>
      </c>
      <c r="D22" s="34">
        <v>4</v>
      </c>
      <c r="E22" s="13" t="s">
        <v>904</v>
      </c>
      <c r="F22" s="14" t="s">
        <v>891</v>
      </c>
      <c r="G22" s="53" t="s">
        <v>532</v>
      </c>
      <c r="H22" s="53" t="s">
        <v>536</v>
      </c>
      <c r="I22" s="53" t="s">
        <v>164</v>
      </c>
      <c r="J22" s="69">
        <v>1.8</v>
      </c>
      <c r="K22" s="70">
        <f t="shared" si="1"/>
        <v>9</v>
      </c>
    </row>
    <row r="23" spans="2:11" ht="15" customHeight="1">
      <c r="B23" s="34">
        <v>1</v>
      </c>
      <c r="C23" s="14" t="s">
        <v>902</v>
      </c>
      <c r="D23" s="34">
        <v>5</v>
      </c>
      <c r="E23" s="13" t="s">
        <v>905</v>
      </c>
      <c r="F23" s="14" t="s">
        <v>86</v>
      </c>
      <c r="G23" s="53" t="s">
        <v>532</v>
      </c>
      <c r="H23" s="53" t="s">
        <v>536</v>
      </c>
      <c r="I23" s="53" t="s">
        <v>164</v>
      </c>
      <c r="J23" s="69">
        <v>0.6</v>
      </c>
      <c r="K23" s="70">
        <f t="shared" si="1"/>
        <v>3</v>
      </c>
    </row>
    <row r="24" spans="2:11" ht="15" customHeight="1">
      <c r="B24" s="34">
        <v>1</v>
      </c>
      <c r="C24" s="14" t="s">
        <v>902</v>
      </c>
      <c r="D24" s="34">
        <v>6</v>
      </c>
      <c r="E24" s="13" t="s">
        <v>892</v>
      </c>
      <c r="F24" s="14" t="s">
        <v>86</v>
      </c>
      <c r="G24" s="53" t="s">
        <v>532</v>
      </c>
      <c r="H24" s="53" t="s">
        <v>536</v>
      </c>
      <c r="I24" s="53" t="s">
        <v>162</v>
      </c>
      <c r="J24" s="69">
        <v>0.5</v>
      </c>
      <c r="K24" s="70">
        <f t="shared" si="1"/>
        <v>2.5</v>
      </c>
    </row>
    <row r="25" spans="2:11" ht="15" customHeight="1">
      <c r="B25" s="34">
        <v>1</v>
      </c>
      <c r="C25" s="14" t="s">
        <v>902</v>
      </c>
      <c r="D25" s="34">
        <v>7</v>
      </c>
      <c r="E25" s="13" t="s">
        <v>906</v>
      </c>
      <c r="F25" s="14" t="s">
        <v>891</v>
      </c>
      <c r="G25" s="53" t="s">
        <v>533</v>
      </c>
      <c r="H25" s="53" t="s">
        <v>536</v>
      </c>
      <c r="I25" s="53" t="s">
        <v>162</v>
      </c>
      <c r="J25" s="69">
        <v>0.5</v>
      </c>
      <c r="K25" s="70">
        <f t="shared" si="1"/>
        <v>2.5</v>
      </c>
    </row>
    <row r="26" spans="2:11" ht="15" customHeight="1">
      <c r="B26" s="34">
        <v>1</v>
      </c>
      <c r="C26" s="14" t="s">
        <v>902</v>
      </c>
      <c r="D26" s="34">
        <v>8</v>
      </c>
      <c r="E26" s="13" t="s">
        <v>907</v>
      </c>
      <c r="F26" s="14" t="s">
        <v>891</v>
      </c>
      <c r="G26" s="53" t="s">
        <v>532</v>
      </c>
      <c r="H26" s="53" t="s">
        <v>536</v>
      </c>
      <c r="I26" s="53" t="s">
        <v>162</v>
      </c>
      <c r="J26" s="69">
        <v>1.8</v>
      </c>
      <c r="K26" s="70">
        <f t="shared" si="1"/>
        <v>9</v>
      </c>
    </row>
    <row r="27" spans="2:11" ht="15" customHeight="1">
      <c r="B27" s="34">
        <v>1</v>
      </c>
      <c r="C27" s="14" t="s">
        <v>902</v>
      </c>
      <c r="D27" s="34">
        <v>9</v>
      </c>
      <c r="E27" s="13" t="s">
        <v>907</v>
      </c>
      <c r="F27" s="14" t="s">
        <v>891</v>
      </c>
      <c r="G27" s="53" t="s">
        <v>531</v>
      </c>
      <c r="H27" s="53" t="s">
        <v>536</v>
      </c>
      <c r="I27" s="53" t="s">
        <v>162</v>
      </c>
      <c r="J27" s="69">
        <v>1.1000000000000001</v>
      </c>
      <c r="K27" s="70">
        <f t="shared" si="1"/>
        <v>5.5</v>
      </c>
    </row>
    <row r="28" spans="2:11" ht="15" customHeight="1">
      <c r="B28" s="34">
        <v>1</v>
      </c>
      <c r="C28" s="14" t="s">
        <v>902</v>
      </c>
      <c r="D28" s="34">
        <v>10</v>
      </c>
      <c r="E28" s="13" t="s">
        <v>907</v>
      </c>
      <c r="F28" s="14" t="s">
        <v>891</v>
      </c>
      <c r="G28" s="53" t="s">
        <v>532</v>
      </c>
      <c r="H28" s="53" t="s">
        <v>538</v>
      </c>
      <c r="I28" s="53" t="s">
        <v>162</v>
      </c>
      <c r="J28" s="69">
        <v>0.2</v>
      </c>
      <c r="K28" s="70">
        <f t="shared" si="1"/>
        <v>1</v>
      </c>
    </row>
    <row r="29" spans="2:11" ht="15" customHeight="1">
      <c r="B29" s="34">
        <v>1</v>
      </c>
      <c r="C29" s="14" t="s">
        <v>902</v>
      </c>
      <c r="D29" s="34">
        <v>11</v>
      </c>
      <c r="E29" s="13" t="s">
        <v>908</v>
      </c>
      <c r="F29" s="14" t="s">
        <v>896</v>
      </c>
      <c r="G29" s="53" t="s">
        <v>531</v>
      </c>
      <c r="H29" s="53" t="s">
        <v>536</v>
      </c>
      <c r="I29" s="53" t="s">
        <v>162</v>
      </c>
      <c r="J29" s="69">
        <v>1.5</v>
      </c>
      <c r="K29" s="70">
        <f t="shared" si="1"/>
        <v>7.5</v>
      </c>
    </row>
    <row r="30" spans="2:11" ht="15" customHeight="1">
      <c r="B30" s="34">
        <v>1</v>
      </c>
      <c r="C30" s="14" t="s">
        <v>902</v>
      </c>
      <c r="D30" s="34">
        <v>12</v>
      </c>
      <c r="E30" s="13" t="s">
        <v>908</v>
      </c>
      <c r="F30" s="14" t="s">
        <v>896</v>
      </c>
      <c r="G30" s="53" t="s">
        <v>531</v>
      </c>
      <c r="H30" s="53" t="s">
        <v>538</v>
      </c>
      <c r="I30" s="53" t="s">
        <v>162</v>
      </c>
      <c r="J30" s="69">
        <v>0</v>
      </c>
      <c r="K30" s="70">
        <f t="shared" si="1"/>
        <v>0</v>
      </c>
    </row>
    <row r="31" spans="2:11" ht="15" customHeight="1">
      <c r="B31" s="34">
        <v>1</v>
      </c>
      <c r="C31" s="14" t="s">
        <v>902</v>
      </c>
      <c r="D31" s="34">
        <v>13</v>
      </c>
      <c r="E31" s="13" t="s">
        <v>897</v>
      </c>
      <c r="F31" s="14" t="s">
        <v>898</v>
      </c>
      <c r="G31" s="53" t="s">
        <v>531</v>
      </c>
      <c r="H31" s="53" t="s">
        <v>536</v>
      </c>
      <c r="I31" s="53" t="s">
        <v>162</v>
      </c>
      <c r="J31" s="69">
        <v>0</v>
      </c>
      <c r="K31" s="70">
        <f t="shared" si="1"/>
        <v>0</v>
      </c>
    </row>
    <row r="32" spans="2:11" ht="15" customHeight="1">
      <c r="B32" s="34">
        <v>1</v>
      </c>
      <c r="C32" s="14" t="s">
        <v>902</v>
      </c>
      <c r="D32" s="34">
        <v>14</v>
      </c>
      <c r="E32" s="13" t="s">
        <v>899</v>
      </c>
      <c r="F32" s="14" t="s">
        <v>900</v>
      </c>
      <c r="G32" s="53" t="s">
        <v>533</v>
      </c>
      <c r="H32" s="53" t="s">
        <v>536</v>
      </c>
      <c r="I32" s="53" t="s">
        <v>162</v>
      </c>
      <c r="J32" s="69">
        <v>0</v>
      </c>
      <c r="K32" s="70">
        <f t="shared" si="1"/>
        <v>0</v>
      </c>
    </row>
    <row r="33" spans="2:13" ht="34.5" customHeight="1">
      <c r="D33" s="71" t="s">
        <v>909</v>
      </c>
      <c r="J33" s="72">
        <f>SUM(J19:J32)</f>
        <v>10.999999999999998</v>
      </c>
    </row>
    <row r="34" spans="2:13" ht="34.5" customHeight="1">
      <c r="D34" s="73"/>
      <c r="J34" s="74"/>
    </row>
    <row r="35" spans="2:13" ht="22">
      <c r="B35" s="6" t="s">
        <v>346</v>
      </c>
      <c r="C35" s="6" t="s">
        <v>347</v>
      </c>
      <c r="D35" s="6" t="s">
        <v>349</v>
      </c>
      <c r="E35" s="6" t="s">
        <v>350</v>
      </c>
      <c r="F35" s="6" t="s">
        <v>351</v>
      </c>
      <c r="G35" s="6" t="s">
        <v>352</v>
      </c>
      <c r="H35" s="6" t="s">
        <v>353</v>
      </c>
      <c r="I35" s="6" t="s">
        <v>354</v>
      </c>
      <c r="J35" s="68" t="s">
        <v>885</v>
      </c>
      <c r="K35" s="6" t="s">
        <v>886</v>
      </c>
    </row>
    <row r="36" spans="2:13" ht="15" customHeight="1">
      <c r="B36" s="34">
        <v>2</v>
      </c>
      <c r="C36" s="14" t="s">
        <v>887</v>
      </c>
      <c r="D36" s="34">
        <v>1</v>
      </c>
      <c r="E36" s="13" t="s">
        <v>888</v>
      </c>
      <c r="F36" s="14" t="s">
        <v>94</v>
      </c>
      <c r="G36" s="53" t="s">
        <v>533</v>
      </c>
      <c r="H36" s="53" t="s">
        <v>536</v>
      </c>
      <c r="I36" s="53" t="s">
        <v>166</v>
      </c>
      <c r="J36" s="69">
        <v>1.08</v>
      </c>
      <c r="K36" s="70">
        <f t="shared" ref="K36:K46" si="2">J36*6</f>
        <v>6.48</v>
      </c>
    </row>
    <row r="37" spans="2:13" ht="15" customHeight="1">
      <c r="B37" s="34">
        <v>2</v>
      </c>
      <c r="C37" s="14" t="s">
        <v>887</v>
      </c>
      <c r="D37" s="34">
        <v>2</v>
      </c>
      <c r="E37" s="13" t="s">
        <v>889</v>
      </c>
      <c r="F37" s="14" t="s">
        <v>86</v>
      </c>
      <c r="G37" s="53" t="s">
        <v>533</v>
      </c>
      <c r="H37" s="53" t="s">
        <v>536</v>
      </c>
      <c r="I37" s="53" t="s">
        <v>166</v>
      </c>
      <c r="J37" s="69">
        <v>0.91666666699999999</v>
      </c>
      <c r="K37" s="70">
        <f t="shared" si="2"/>
        <v>5.5000000020000002</v>
      </c>
    </row>
    <row r="38" spans="2:13" ht="15" customHeight="1">
      <c r="B38" s="34">
        <v>2</v>
      </c>
      <c r="C38" s="14" t="s">
        <v>887</v>
      </c>
      <c r="D38" s="34">
        <v>3</v>
      </c>
      <c r="E38" s="13" t="s">
        <v>890</v>
      </c>
      <c r="F38" s="14" t="s">
        <v>891</v>
      </c>
      <c r="G38" s="53" t="s">
        <v>532</v>
      </c>
      <c r="H38" s="53" t="s">
        <v>538</v>
      </c>
      <c r="I38" s="53" t="s">
        <v>168</v>
      </c>
      <c r="J38" s="69">
        <v>1.17</v>
      </c>
      <c r="K38" s="70">
        <f t="shared" si="2"/>
        <v>7.02</v>
      </c>
    </row>
    <row r="39" spans="2:13" ht="15" customHeight="1">
      <c r="B39" s="34">
        <v>2</v>
      </c>
      <c r="C39" s="14" t="s">
        <v>887</v>
      </c>
      <c r="D39" s="34">
        <v>4</v>
      </c>
      <c r="E39" s="13" t="s">
        <v>892</v>
      </c>
      <c r="F39" s="14" t="s">
        <v>86</v>
      </c>
      <c r="G39" s="53" t="s">
        <v>532</v>
      </c>
      <c r="H39" s="53" t="s">
        <v>536</v>
      </c>
      <c r="I39" s="53" t="s">
        <v>162</v>
      </c>
      <c r="J39" s="69">
        <v>1</v>
      </c>
      <c r="K39" s="70">
        <f t="shared" si="2"/>
        <v>6</v>
      </c>
    </row>
    <row r="40" spans="2:13" ht="15" customHeight="1">
      <c r="B40" s="34">
        <v>2</v>
      </c>
      <c r="C40" s="14" t="s">
        <v>887</v>
      </c>
      <c r="D40" s="34">
        <v>5</v>
      </c>
      <c r="E40" s="13" t="s">
        <v>893</v>
      </c>
      <c r="F40" s="14" t="s">
        <v>891</v>
      </c>
      <c r="G40" s="53" t="s">
        <v>533</v>
      </c>
      <c r="H40" s="75" t="s">
        <v>538</v>
      </c>
      <c r="I40" s="53" t="s">
        <v>162</v>
      </c>
      <c r="J40" s="69">
        <v>0.5</v>
      </c>
      <c r="K40" s="70">
        <f t="shared" si="2"/>
        <v>3</v>
      </c>
    </row>
    <row r="41" spans="2:13" ht="15" customHeight="1">
      <c r="B41" s="34">
        <v>2</v>
      </c>
      <c r="C41" s="14" t="s">
        <v>887</v>
      </c>
      <c r="D41" s="34">
        <v>6</v>
      </c>
      <c r="E41" s="13" t="s">
        <v>910</v>
      </c>
      <c r="F41" s="14" t="s">
        <v>891</v>
      </c>
      <c r="G41" s="53" t="s">
        <v>532</v>
      </c>
      <c r="H41" s="53" t="s">
        <v>538</v>
      </c>
      <c r="I41" s="53" t="s">
        <v>162</v>
      </c>
      <c r="J41" s="69">
        <v>0.5</v>
      </c>
      <c r="K41" s="70">
        <f t="shared" si="2"/>
        <v>3</v>
      </c>
    </row>
    <row r="42" spans="2:13" ht="15" customHeight="1">
      <c r="B42" s="34">
        <v>2</v>
      </c>
      <c r="C42" s="14" t="s">
        <v>887</v>
      </c>
      <c r="D42" s="34">
        <v>7</v>
      </c>
      <c r="E42" s="13" t="s">
        <v>911</v>
      </c>
      <c r="F42" s="14" t="s">
        <v>891</v>
      </c>
      <c r="G42" s="53" t="s">
        <v>531</v>
      </c>
      <c r="H42" s="53" t="s">
        <v>538</v>
      </c>
      <c r="I42" s="53" t="s">
        <v>162</v>
      </c>
      <c r="J42" s="69">
        <v>0.5</v>
      </c>
      <c r="K42" s="70">
        <f t="shared" si="2"/>
        <v>3</v>
      </c>
    </row>
    <row r="43" spans="2:13" ht="15" customHeight="1">
      <c r="B43" s="34">
        <v>2</v>
      </c>
      <c r="C43" s="14" t="s">
        <v>887</v>
      </c>
      <c r="D43" s="34">
        <v>8</v>
      </c>
      <c r="E43" s="13" t="s">
        <v>911</v>
      </c>
      <c r="F43" s="14" t="s">
        <v>891</v>
      </c>
      <c r="G43" s="53" t="s">
        <v>530</v>
      </c>
      <c r="H43" s="53" t="s">
        <v>538</v>
      </c>
      <c r="I43" s="53" t="s">
        <v>162</v>
      </c>
      <c r="J43" s="69">
        <v>0</v>
      </c>
      <c r="K43" s="70">
        <f t="shared" si="2"/>
        <v>0</v>
      </c>
    </row>
    <row r="44" spans="2:13" ht="15" customHeight="1">
      <c r="B44" s="34">
        <v>2</v>
      </c>
      <c r="C44" s="14" t="s">
        <v>887</v>
      </c>
      <c r="D44" s="34">
        <v>9</v>
      </c>
      <c r="E44" s="13" t="s">
        <v>895</v>
      </c>
      <c r="F44" s="14" t="s">
        <v>896</v>
      </c>
      <c r="G44" s="53" t="s">
        <v>532</v>
      </c>
      <c r="H44" s="53" t="s">
        <v>538</v>
      </c>
      <c r="I44" s="53" t="s">
        <v>162</v>
      </c>
      <c r="J44" s="69">
        <v>1.5</v>
      </c>
      <c r="K44" s="70">
        <f t="shared" si="2"/>
        <v>9</v>
      </c>
    </row>
    <row r="45" spans="2:13" ht="15" customHeight="1">
      <c r="B45" s="34">
        <v>2</v>
      </c>
      <c r="C45" s="14" t="s">
        <v>887</v>
      </c>
      <c r="D45" s="34">
        <v>10</v>
      </c>
      <c r="E45" s="13" t="s">
        <v>897</v>
      </c>
      <c r="F45" s="14" t="s">
        <v>898</v>
      </c>
      <c r="G45" s="53" t="s">
        <v>531</v>
      </c>
      <c r="H45" s="53" t="s">
        <v>538</v>
      </c>
      <c r="I45" s="53" t="s">
        <v>162</v>
      </c>
      <c r="J45" s="69">
        <v>0.3333333</v>
      </c>
      <c r="K45" s="70">
        <f t="shared" si="2"/>
        <v>1.9999997999999999</v>
      </c>
    </row>
    <row r="46" spans="2:13" ht="15" customHeight="1">
      <c r="B46" s="34">
        <v>2</v>
      </c>
      <c r="C46" s="14" t="s">
        <v>887</v>
      </c>
      <c r="D46" s="34">
        <v>11</v>
      </c>
      <c r="E46" s="13" t="s">
        <v>899</v>
      </c>
      <c r="F46" s="14" t="s">
        <v>900</v>
      </c>
      <c r="G46" s="53" t="s">
        <v>533</v>
      </c>
      <c r="H46" s="53" t="s">
        <v>536</v>
      </c>
      <c r="I46" s="53" t="s">
        <v>162</v>
      </c>
      <c r="J46" s="69">
        <v>0</v>
      </c>
      <c r="K46" s="70">
        <f t="shared" si="2"/>
        <v>0</v>
      </c>
    </row>
    <row r="47" spans="2:13" ht="34.5" customHeight="1">
      <c r="D47" s="71" t="s">
        <v>912</v>
      </c>
      <c r="J47" s="72">
        <f>SUM(J36:J46)</f>
        <v>7.499999966999999</v>
      </c>
      <c r="K47" s="72">
        <f>SUM(K36:K46)</f>
        <v>44.999999801999998</v>
      </c>
      <c r="L47">
        <v>7.25</v>
      </c>
      <c r="M47">
        <v>43.5</v>
      </c>
    </row>
    <row r="48" spans="2:13" ht="34.5" customHeight="1">
      <c r="D48" s="73"/>
      <c r="J48" s="74"/>
    </row>
    <row r="50" spans="2:11" ht="15" customHeight="1">
      <c r="B50" s="34">
        <v>2</v>
      </c>
      <c r="C50" s="14" t="s">
        <v>902</v>
      </c>
      <c r="D50" s="34">
        <v>1</v>
      </c>
      <c r="E50" s="13" t="s">
        <v>888</v>
      </c>
      <c r="F50" s="14" t="s">
        <v>94</v>
      </c>
      <c r="G50" s="53" t="s">
        <v>533</v>
      </c>
      <c r="H50" s="53" t="s">
        <v>536</v>
      </c>
      <c r="I50" s="53" t="s">
        <v>166</v>
      </c>
      <c r="J50" s="69">
        <v>0.75</v>
      </c>
      <c r="K50" s="70">
        <f t="shared" ref="K50:K61" si="3">J50*2</f>
        <v>1.5</v>
      </c>
    </row>
    <row r="51" spans="2:11" ht="15" customHeight="1">
      <c r="B51" s="34">
        <v>2</v>
      </c>
      <c r="C51" s="14" t="s">
        <v>902</v>
      </c>
      <c r="D51" s="34">
        <v>2</v>
      </c>
      <c r="E51" s="13" t="s">
        <v>889</v>
      </c>
      <c r="F51" s="14" t="s">
        <v>86</v>
      </c>
      <c r="G51" s="53" t="s">
        <v>533</v>
      </c>
      <c r="H51" s="53" t="s">
        <v>536</v>
      </c>
      <c r="I51" s="53" t="s">
        <v>166</v>
      </c>
      <c r="J51" s="69">
        <v>1</v>
      </c>
      <c r="K51" s="70">
        <f t="shared" si="3"/>
        <v>2</v>
      </c>
    </row>
    <row r="52" spans="2:11" ht="15" customHeight="1">
      <c r="B52" s="34">
        <v>2</v>
      </c>
      <c r="C52" s="14" t="s">
        <v>902</v>
      </c>
      <c r="D52" s="34">
        <v>3</v>
      </c>
      <c r="E52" s="13" t="s">
        <v>904</v>
      </c>
      <c r="F52" s="14" t="s">
        <v>891</v>
      </c>
      <c r="G52" s="53" t="s">
        <v>532</v>
      </c>
      <c r="H52" s="53" t="s">
        <v>536</v>
      </c>
      <c r="I52" s="53" t="s">
        <v>164</v>
      </c>
      <c r="J52" s="69">
        <v>2.75</v>
      </c>
      <c r="K52" s="70">
        <f t="shared" si="3"/>
        <v>5.5</v>
      </c>
    </row>
    <row r="53" spans="2:11" ht="15" customHeight="1">
      <c r="B53" s="34">
        <v>2</v>
      </c>
      <c r="C53" s="14" t="s">
        <v>902</v>
      </c>
      <c r="D53" s="34">
        <v>4</v>
      </c>
      <c r="E53" s="13" t="s">
        <v>905</v>
      </c>
      <c r="F53" s="14" t="s">
        <v>86</v>
      </c>
      <c r="G53" s="53" t="s">
        <v>532</v>
      </c>
      <c r="H53" s="53" t="s">
        <v>536</v>
      </c>
      <c r="I53" s="53" t="s">
        <v>164</v>
      </c>
      <c r="J53" s="69">
        <v>1.5</v>
      </c>
      <c r="K53" s="70">
        <f t="shared" si="3"/>
        <v>3</v>
      </c>
    </row>
    <row r="54" spans="2:11" ht="15" customHeight="1">
      <c r="B54" s="34">
        <v>2</v>
      </c>
      <c r="C54" s="14" t="s">
        <v>902</v>
      </c>
      <c r="D54" s="34">
        <v>5</v>
      </c>
      <c r="E54" s="13" t="s">
        <v>892</v>
      </c>
      <c r="F54" s="14" t="s">
        <v>86</v>
      </c>
      <c r="G54" s="53" t="s">
        <v>532</v>
      </c>
      <c r="H54" s="53" t="s">
        <v>536</v>
      </c>
      <c r="I54" s="53" t="s">
        <v>162</v>
      </c>
      <c r="J54" s="69">
        <v>0.5</v>
      </c>
      <c r="K54" s="70">
        <f t="shared" si="3"/>
        <v>1</v>
      </c>
    </row>
    <row r="55" spans="2:11" ht="15" customHeight="1">
      <c r="B55" s="34">
        <v>2</v>
      </c>
      <c r="C55" s="14" t="s">
        <v>902</v>
      </c>
      <c r="D55" s="34">
        <v>6</v>
      </c>
      <c r="E55" s="13" t="s">
        <v>906</v>
      </c>
      <c r="F55" s="14" t="s">
        <v>891</v>
      </c>
      <c r="G55" s="53" t="s">
        <v>533</v>
      </c>
      <c r="H55" s="53" t="s">
        <v>536</v>
      </c>
      <c r="I55" s="53" t="s">
        <v>162</v>
      </c>
      <c r="J55" s="69">
        <v>0.5</v>
      </c>
      <c r="K55" s="70">
        <f t="shared" si="3"/>
        <v>1</v>
      </c>
    </row>
    <row r="56" spans="2:11" ht="15" customHeight="1">
      <c r="B56" s="34">
        <v>2</v>
      </c>
      <c r="C56" s="14" t="s">
        <v>902</v>
      </c>
      <c r="D56" s="34">
        <v>7</v>
      </c>
      <c r="E56" s="13" t="s">
        <v>907</v>
      </c>
      <c r="F56" s="14" t="s">
        <v>891</v>
      </c>
      <c r="G56" s="53" t="s">
        <v>532</v>
      </c>
      <c r="H56" s="53" t="s">
        <v>536</v>
      </c>
      <c r="I56" s="53" t="s">
        <v>162</v>
      </c>
      <c r="J56" s="69">
        <v>0.75</v>
      </c>
      <c r="K56" s="70">
        <f t="shared" si="3"/>
        <v>1.5</v>
      </c>
    </row>
    <row r="57" spans="2:11" ht="15" customHeight="1">
      <c r="B57" s="34">
        <v>2</v>
      </c>
      <c r="C57" s="14" t="s">
        <v>902</v>
      </c>
      <c r="D57" s="34">
        <v>8</v>
      </c>
      <c r="E57" s="13" t="s">
        <v>907</v>
      </c>
      <c r="F57" s="14" t="s">
        <v>891</v>
      </c>
      <c r="G57" s="53" t="s">
        <v>532</v>
      </c>
      <c r="H57" s="53" t="s">
        <v>538</v>
      </c>
      <c r="I57" s="53" t="s">
        <v>162</v>
      </c>
      <c r="J57" s="69">
        <v>0</v>
      </c>
      <c r="K57" s="70">
        <f t="shared" si="3"/>
        <v>0</v>
      </c>
    </row>
    <row r="58" spans="2:11" ht="15" customHeight="1">
      <c r="B58" s="34">
        <v>2</v>
      </c>
      <c r="C58" s="14" t="s">
        <v>902</v>
      </c>
      <c r="D58" s="34">
        <v>9</v>
      </c>
      <c r="E58" s="13" t="s">
        <v>907</v>
      </c>
      <c r="F58" s="14" t="s">
        <v>891</v>
      </c>
      <c r="G58" s="53" t="s">
        <v>531</v>
      </c>
      <c r="H58" s="53" t="s">
        <v>538</v>
      </c>
      <c r="I58" s="53" t="s">
        <v>162</v>
      </c>
      <c r="J58" s="69">
        <v>1</v>
      </c>
      <c r="K58" s="70">
        <f t="shared" si="3"/>
        <v>2</v>
      </c>
    </row>
    <row r="59" spans="2:11" ht="15" customHeight="1">
      <c r="B59" s="34">
        <v>2</v>
      </c>
      <c r="C59" s="14" t="s">
        <v>902</v>
      </c>
      <c r="D59" s="34">
        <v>10</v>
      </c>
      <c r="E59" s="13" t="s">
        <v>913</v>
      </c>
      <c r="F59" s="14" t="s">
        <v>896</v>
      </c>
      <c r="G59" s="53" t="s">
        <v>532</v>
      </c>
      <c r="H59" s="53" t="s">
        <v>538</v>
      </c>
      <c r="I59" s="53" t="s">
        <v>162</v>
      </c>
      <c r="J59" s="69">
        <v>0</v>
      </c>
      <c r="K59" s="70">
        <f t="shared" si="3"/>
        <v>0</v>
      </c>
    </row>
    <row r="60" spans="2:11" ht="15" customHeight="1">
      <c r="B60" s="34">
        <v>2</v>
      </c>
      <c r="C60" s="14" t="s">
        <v>902</v>
      </c>
      <c r="D60" s="34">
        <v>11</v>
      </c>
      <c r="E60" s="13" t="s">
        <v>897</v>
      </c>
      <c r="F60" s="14" t="s">
        <v>898</v>
      </c>
      <c r="G60" s="53" t="s">
        <v>531</v>
      </c>
      <c r="H60" s="53" t="s">
        <v>538</v>
      </c>
      <c r="I60" s="53" t="s">
        <v>162</v>
      </c>
      <c r="J60" s="69">
        <v>0</v>
      </c>
      <c r="K60" s="70">
        <f t="shared" si="3"/>
        <v>0</v>
      </c>
    </row>
    <row r="61" spans="2:11" ht="15" customHeight="1">
      <c r="B61" s="34">
        <v>2</v>
      </c>
      <c r="C61" s="14" t="s">
        <v>902</v>
      </c>
      <c r="D61" s="34">
        <v>12</v>
      </c>
      <c r="E61" s="13" t="s">
        <v>899</v>
      </c>
      <c r="F61" s="14" t="s">
        <v>900</v>
      </c>
      <c r="G61" s="53" t="s">
        <v>533</v>
      </c>
      <c r="H61" s="53" t="s">
        <v>536</v>
      </c>
      <c r="I61" s="53" t="s">
        <v>162</v>
      </c>
      <c r="J61" s="69">
        <v>0.5</v>
      </c>
      <c r="K61" s="70">
        <f t="shared" si="3"/>
        <v>1</v>
      </c>
    </row>
    <row r="62" spans="2:11" ht="34.5" customHeight="1">
      <c r="D62" s="71" t="s">
        <v>914</v>
      </c>
      <c r="J62" s="72">
        <f>SUM(J50:J61)</f>
        <v>9.25</v>
      </c>
    </row>
    <row r="63" spans="2:11" ht="34.5" customHeight="1">
      <c r="D63" s="73"/>
      <c r="J63" s="74"/>
    </row>
    <row r="64" spans="2:11" ht="22">
      <c r="B64" s="6" t="s">
        <v>346</v>
      </c>
      <c r="C64" s="6" t="s">
        <v>347</v>
      </c>
      <c r="D64" s="6" t="s">
        <v>349</v>
      </c>
      <c r="E64" s="6" t="s">
        <v>350</v>
      </c>
      <c r="F64" s="6" t="s">
        <v>351</v>
      </c>
      <c r="G64" s="6" t="s">
        <v>352</v>
      </c>
      <c r="H64" s="6" t="s">
        <v>353</v>
      </c>
      <c r="I64" s="6" t="s">
        <v>354</v>
      </c>
      <c r="J64" s="68" t="s">
        <v>885</v>
      </c>
      <c r="K64" s="6" t="s">
        <v>886</v>
      </c>
    </row>
    <row r="65" spans="2:14" ht="15" customHeight="1">
      <c r="B65" s="34">
        <v>3</v>
      </c>
      <c r="C65" s="14" t="s">
        <v>887</v>
      </c>
      <c r="D65" s="34">
        <v>1</v>
      </c>
      <c r="E65" s="13" t="s">
        <v>888</v>
      </c>
      <c r="F65" s="14" t="s">
        <v>94</v>
      </c>
      <c r="G65" s="53" t="s">
        <v>533</v>
      </c>
      <c r="H65" s="53" t="s">
        <v>536</v>
      </c>
      <c r="I65" s="53" t="s">
        <v>166</v>
      </c>
      <c r="J65" s="76">
        <v>1.21</v>
      </c>
      <c r="K65" s="70">
        <f t="shared" ref="K65:K75" si="4">J65*7</f>
        <v>8.4699999999999989</v>
      </c>
      <c r="M65" s="76">
        <v>1.21</v>
      </c>
      <c r="N65" s="70">
        <f t="shared" ref="N65:N75" si="5">M65*7</f>
        <v>8.4699999999999989</v>
      </c>
    </row>
    <row r="66" spans="2:14" ht="15" customHeight="1">
      <c r="B66" s="34">
        <v>3</v>
      </c>
      <c r="C66" s="14" t="s">
        <v>887</v>
      </c>
      <c r="D66" s="34">
        <v>2</v>
      </c>
      <c r="E66" s="13" t="s">
        <v>889</v>
      </c>
      <c r="F66" s="14" t="s">
        <v>86</v>
      </c>
      <c r="G66" s="53" t="s">
        <v>533</v>
      </c>
      <c r="H66" s="53" t="s">
        <v>536</v>
      </c>
      <c r="I66" s="53" t="s">
        <v>166</v>
      </c>
      <c r="J66" s="76">
        <v>1</v>
      </c>
      <c r="K66" s="70">
        <f t="shared" si="4"/>
        <v>7</v>
      </c>
      <c r="M66" s="76">
        <v>1</v>
      </c>
      <c r="N66" s="70">
        <f t="shared" si="5"/>
        <v>7</v>
      </c>
    </row>
    <row r="67" spans="2:14" ht="15" customHeight="1">
      <c r="B67" s="34">
        <v>3</v>
      </c>
      <c r="C67" s="14" t="s">
        <v>887</v>
      </c>
      <c r="D67" s="34">
        <v>3</v>
      </c>
      <c r="E67" s="13" t="s">
        <v>890</v>
      </c>
      <c r="F67" s="14" t="s">
        <v>891</v>
      </c>
      <c r="G67" s="53" t="s">
        <v>532</v>
      </c>
      <c r="H67" s="53" t="s">
        <v>538</v>
      </c>
      <c r="I67" s="53" t="s">
        <v>168</v>
      </c>
      <c r="J67" s="76">
        <v>0.71</v>
      </c>
      <c r="K67" s="70">
        <f t="shared" si="4"/>
        <v>4.97</v>
      </c>
      <c r="M67" s="76">
        <v>0.71</v>
      </c>
      <c r="N67" s="70">
        <f t="shared" si="5"/>
        <v>4.97</v>
      </c>
    </row>
    <row r="68" spans="2:14" ht="15" customHeight="1">
      <c r="B68" s="34">
        <v>3</v>
      </c>
      <c r="C68" s="14" t="s">
        <v>887</v>
      </c>
      <c r="D68" s="34">
        <v>4</v>
      </c>
      <c r="E68" s="13" t="s">
        <v>892</v>
      </c>
      <c r="F68" s="14" t="s">
        <v>86</v>
      </c>
      <c r="G68" s="53" t="s">
        <v>532</v>
      </c>
      <c r="H68" s="53" t="s">
        <v>536</v>
      </c>
      <c r="I68" s="53" t="s">
        <v>162</v>
      </c>
      <c r="J68" s="76">
        <v>1</v>
      </c>
      <c r="K68" s="70">
        <f t="shared" si="4"/>
        <v>7</v>
      </c>
      <c r="M68" s="76">
        <v>0.64</v>
      </c>
      <c r="N68" s="70">
        <f t="shared" si="5"/>
        <v>4.4800000000000004</v>
      </c>
    </row>
    <row r="69" spans="2:14" ht="15" customHeight="1">
      <c r="B69" s="34">
        <v>3</v>
      </c>
      <c r="C69" s="14" t="s">
        <v>887</v>
      </c>
      <c r="D69" s="34">
        <v>5</v>
      </c>
      <c r="E69" s="77" t="s">
        <v>915</v>
      </c>
      <c r="F69" s="14" t="s">
        <v>891</v>
      </c>
      <c r="G69" s="53" t="s">
        <v>533</v>
      </c>
      <c r="H69" s="75" t="s">
        <v>538</v>
      </c>
      <c r="I69" s="53" t="s">
        <v>162</v>
      </c>
      <c r="J69" s="76">
        <v>0</v>
      </c>
      <c r="K69" s="70">
        <f t="shared" si="4"/>
        <v>0</v>
      </c>
      <c r="M69" s="76">
        <v>0.28999999999999998</v>
      </c>
      <c r="N69" s="70">
        <f t="shared" si="5"/>
        <v>2.0299999999999998</v>
      </c>
    </row>
    <row r="70" spans="2:14" ht="15" customHeight="1">
      <c r="B70" s="34">
        <v>3</v>
      </c>
      <c r="C70" s="14" t="s">
        <v>887</v>
      </c>
      <c r="D70" s="34">
        <v>6</v>
      </c>
      <c r="E70" s="13" t="s">
        <v>893</v>
      </c>
      <c r="F70" s="14" t="s">
        <v>891</v>
      </c>
      <c r="G70" s="53" t="s">
        <v>533</v>
      </c>
      <c r="H70" s="53" t="s">
        <v>538</v>
      </c>
      <c r="I70" s="53" t="s">
        <v>162</v>
      </c>
      <c r="J70" s="76">
        <v>0.5</v>
      </c>
      <c r="K70" s="70">
        <f t="shared" si="4"/>
        <v>3.5</v>
      </c>
      <c r="M70" s="76">
        <v>0.14000000000000001</v>
      </c>
      <c r="N70" s="70">
        <f t="shared" si="5"/>
        <v>0.98000000000000009</v>
      </c>
    </row>
    <row r="71" spans="2:14" ht="15" customHeight="1">
      <c r="B71" s="34">
        <v>3</v>
      </c>
      <c r="C71" s="14" t="s">
        <v>887</v>
      </c>
      <c r="D71" s="34">
        <v>7</v>
      </c>
      <c r="E71" s="13" t="s">
        <v>910</v>
      </c>
      <c r="F71" s="14" t="s">
        <v>891</v>
      </c>
      <c r="G71" s="53" t="s">
        <v>532</v>
      </c>
      <c r="H71" s="53" t="s">
        <v>538</v>
      </c>
      <c r="I71" s="53" t="s">
        <v>162</v>
      </c>
      <c r="J71" s="76">
        <v>0.5</v>
      </c>
      <c r="K71" s="70">
        <f t="shared" si="4"/>
        <v>3.5</v>
      </c>
      <c r="M71" s="76">
        <v>1.07</v>
      </c>
      <c r="N71" s="70">
        <f t="shared" si="5"/>
        <v>7.49</v>
      </c>
    </row>
    <row r="72" spans="2:14" ht="15" customHeight="1">
      <c r="B72" s="34">
        <v>3</v>
      </c>
      <c r="C72" s="14" t="s">
        <v>887</v>
      </c>
      <c r="D72" s="34">
        <v>8</v>
      </c>
      <c r="E72" s="13" t="s">
        <v>911</v>
      </c>
      <c r="F72" s="14" t="s">
        <v>891</v>
      </c>
      <c r="G72" s="53" t="s">
        <v>531</v>
      </c>
      <c r="H72" s="53" t="s">
        <v>538</v>
      </c>
      <c r="I72" s="53" t="s">
        <v>162</v>
      </c>
      <c r="J72" s="76">
        <v>0.5</v>
      </c>
      <c r="K72" s="70">
        <f t="shared" si="4"/>
        <v>3.5</v>
      </c>
      <c r="M72" s="76">
        <v>0.5</v>
      </c>
      <c r="N72" s="70">
        <f t="shared" si="5"/>
        <v>3.5</v>
      </c>
    </row>
    <row r="73" spans="2:14" ht="15" customHeight="1">
      <c r="B73" s="34">
        <v>3</v>
      </c>
      <c r="C73" s="14" t="s">
        <v>887</v>
      </c>
      <c r="D73" s="34">
        <v>9</v>
      </c>
      <c r="E73" s="13" t="s">
        <v>895</v>
      </c>
      <c r="F73" s="14" t="s">
        <v>896</v>
      </c>
      <c r="G73" s="53" t="s">
        <v>532</v>
      </c>
      <c r="H73" s="53" t="s">
        <v>538</v>
      </c>
      <c r="I73" s="53" t="s">
        <v>162</v>
      </c>
      <c r="J73" s="76">
        <v>1</v>
      </c>
      <c r="K73" s="70">
        <f t="shared" si="4"/>
        <v>7</v>
      </c>
      <c r="M73" s="76">
        <v>0.43</v>
      </c>
      <c r="N73" s="70">
        <f t="shared" si="5"/>
        <v>3.01</v>
      </c>
    </row>
    <row r="74" spans="2:14" ht="15" customHeight="1">
      <c r="B74" s="34">
        <v>3</v>
      </c>
      <c r="C74" s="14" t="s">
        <v>887</v>
      </c>
      <c r="D74" s="34">
        <v>10</v>
      </c>
      <c r="E74" s="13" t="s">
        <v>897</v>
      </c>
      <c r="F74" s="14" t="s">
        <v>898</v>
      </c>
      <c r="G74" s="53" t="s">
        <v>531</v>
      </c>
      <c r="H74" s="53" t="s">
        <v>538</v>
      </c>
      <c r="I74" s="53" t="s">
        <v>162</v>
      </c>
      <c r="J74" s="76">
        <v>0.5</v>
      </c>
      <c r="K74" s="70">
        <f t="shared" si="4"/>
        <v>3.5</v>
      </c>
      <c r="M74" s="76">
        <v>0.14000000000000001</v>
      </c>
      <c r="N74" s="70">
        <f t="shared" si="5"/>
        <v>0.98000000000000009</v>
      </c>
    </row>
    <row r="75" spans="2:14" ht="15" customHeight="1">
      <c r="B75" s="34">
        <v>3</v>
      </c>
      <c r="C75" s="14" t="s">
        <v>887</v>
      </c>
      <c r="D75" s="34">
        <v>11</v>
      </c>
      <c r="E75" s="13" t="s">
        <v>899</v>
      </c>
      <c r="F75" s="14" t="s">
        <v>900</v>
      </c>
      <c r="G75" s="53" t="s">
        <v>533</v>
      </c>
      <c r="H75" s="53" t="s">
        <v>536</v>
      </c>
      <c r="I75" s="53" t="s">
        <v>162</v>
      </c>
      <c r="J75" s="76">
        <v>0</v>
      </c>
      <c r="K75" s="70">
        <f t="shared" si="4"/>
        <v>0</v>
      </c>
      <c r="M75" s="76">
        <v>0.56999999999999995</v>
      </c>
      <c r="N75" s="70">
        <f t="shared" si="5"/>
        <v>3.9899999999999998</v>
      </c>
    </row>
    <row r="76" spans="2:14" ht="34.5" customHeight="1">
      <c r="D76" s="71" t="s">
        <v>916</v>
      </c>
      <c r="J76" s="72">
        <f>SUM(J65:J75)</f>
        <v>6.92</v>
      </c>
      <c r="K76" s="72">
        <f>SUM(K65:K75)</f>
        <v>48.44</v>
      </c>
      <c r="M76" s="72">
        <f>SUM(M65:M75)</f>
        <v>6.7</v>
      </c>
      <c r="N76" s="72">
        <f>SUM(N65:N75)</f>
        <v>46.9</v>
      </c>
    </row>
    <row r="77" spans="2:14" ht="34.5" customHeight="1">
      <c r="D77" s="73"/>
      <c r="J77" s="74"/>
    </row>
    <row r="79" spans="2:14" ht="15" customHeight="1">
      <c r="B79" s="34">
        <v>3</v>
      </c>
      <c r="C79" s="14" t="s">
        <v>902</v>
      </c>
      <c r="D79" s="34">
        <v>1</v>
      </c>
      <c r="E79" s="13" t="s">
        <v>888</v>
      </c>
      <c r="F79" s="14" t="s">
        <v>94</v>
      </c>
      <c r="G79" s="53" t="s">
        <v>533</v>
      </c>
      <c r="H79" s="53" t="s">
        <v>536</v>
      </c>
      <c r="I79" s="53" t="s">
        <v>166</v>
      </c>
      <c r="J79" s="69">
        <v>0</v>
      </c>
      <c r="K79" s="70">
        <f t="shared" ref="K79:K90" si="6">J79*0</f>
        <v>0</v>
      </c>
    </row>
    <row r="80" spans="2:14" ht="15" customHeight="1">
      <c r="B80" s="34">
        <v>3</v>
      </c>
      <c r="C80" s="14" t="s">
        <v>902</v>
      </c>
      <c r="D80" s="34">
        <v>2</v>
      </c>
      <c r="E80" s="13" t="s">
        <v>889</v>
      </c>
      <c r="F80" s="14" t="s">
        <v>86</v>
      </c>
      <c r="G80" s="53" t="s">
        <v>533</v>
      </c>
      <c r="H80" s="53" t="s">
        <v>536</v>
      </c>
      <c r="I80" s="53" t="s">
        <v>166</v>
      </c>
      <c r="J80" s="69">
        <v>0</v>
      </c>
      <c r="K80" s="70">
        <f t="shared" si="6"/>
        <v>0</v>
      </c>
    </row>
    <row r="81" spans="2:14" ht="15" customHeight="1">
      <c r="B81" s="34">
        <v>3</v>
      </c>
      <c r="C81" s="14" t="s">
        <v>902</v>
      </c>
      <c r="D81" s="34">
        <v>3</v>
      </c>
      <c r="E81" s="13" t="s">
        <v>904</v>
      </c>
      <c r="F81" s="14" t="s">
        <v>891</v>
      </c>
      <c r="G81" s="53" t="s">
        <v>532</v>
      </c>
      <c r="H81" s="53" t="s">
        <v>536</v>
      </c>
      <c r="I81" s="53" t="s">
        <v>164</v>
      </c>
      <c r="J81" s="69">
        <v>0</v>
      </c>
      <c r="K81" s="70">
        <f t="shared" si="6"/>
        <v>0</v>
      </c>
    </row>
    <row r="82" spans="2:14" ht="15" customHeight="1">
      <c r="B82" s="34">
        <v>3</v>
      </c>
      <c r="C82" s="14" t="s">
        <v>902</v>
      </c>
      <c r="D82" s="34">
        <v>4</v>
      </c>
      <c r="E82" s="13" t="s">
        <v>905</v>
      </c>
      <c r="F82" s="14" t="s">
        <v>86</v>
      </c>
      <c r="G82" s="53" t="s">
        <v>532</v>
      </c>
      <c r="H82" s="53" t="s">
        <v>536</v>
      </c>
      <c r="I82" s="53" t="s">
        <v>164</v>
      </c>
      <c r="J82" s="69">
        <v>0</v>
      </c>
      <c r="K82" s="70">
        <f t="shared" si="6"/>
        <v>0</v>
      </c>
    </row>
    <row r="83" spans="2:14" ht="15" customHeight="1">
      <c r="B83" s="34">
        <v>3</v>
      </c>
      <c r="C83" s="14" t="s">
        <v>902</v>
      </c>
      <c r="D83" s="34">
        <v>5</v>
      </c>
      <c r="E83" s="13" t="s">
        <v>892</v>
      </c>
      <c r="F83" s="14" t="s">
        <v>86</v>
      </c>
      <c r="G83" s="53" t="s">
        <v>532</v>
      </c>
      <c r="H83" s="53" t="s">
        <v>536</v>
      </c>
      <c r="I83" s="53" t="s">
        <v>162</v>
      </c>
      <c r="J83" s="69">
        <v>0</v>
      </c>
      <c r="K83" s="70">
        <f t="shared" si="6"/>
        <v>0</v>
      </c>
    </row>
    <row r="84" spans="2:14" ht="15" customHeight="1">
      <c r="B84" s="34">
        <v>3</v>
      </c>
      <c r="C84" s="14" t="s">
        <v>902</v>
      </c>
      <c r="D84" s="34">
        <v>6</v>
      </c>
      <c r="E84" s="13" t="s">
        <v>906</v>
      </c>
      <c r="F84" s="14" t="s">
        <v>891</v>
      </c>
      <c r="G84" s="53" t="s">
        <v>533</v>
      </c>
      <c r="H84" s="53" t="s">
        <v>536</v>
      </c>
      <c r="I84" s="53" t="s">
        <v>162</v>
      </c>
      <c r="J84" s="69">
        <v>0</v>
      </c>
      <c r="K84" s="70">
        <f t="shared" si="6"/>
        <v>0</v>
      </c>
    </row>
    <row r="85" spans="2:14" ht="15" customHeight="1">
      <c r="B85" s="34">
        <v>3</v>
      </c>
      <c r="C85" s="14" t="s">
        <v>902</v>
      </c>
      <c r="D85" s="34">
        <v>7</v>
      </c>
      <c r="E85" s="13" t="s">
        <v>907</v>
      </c>
      <c r="F85" s="14" t="s">
        <v>891</v>
      </c>
      <c r="G85" s="53" t="s">
        <v>532</v>
      </c>
      <c r="H85" s="53" t="s">
        <v>536</v>
      </c>
      <c r="I85" s="53" t="s">
        <v>162</v>
      </c>
      <c r="J85" s="69">
        <v>0</v>
      </c>
      <c r="K85" s="70">
        <f t="shared" si="6"/>
        <v>0</v>
      </c>
    </row>
    <row r="86" spans="2:14" ht="15" customHeight="1">
      <c r="B86" s="34">
        <v>3</v>
      </c>
      <c r="C86" s="14" t="s">
        <v>902</v>
      </c>
      <c r="D86" s="34">
        <v>8</v>
      </c>
      <c r="E86" s="13" t="s">
        <v>907</v>
      </c>
      <c r="F86" s="14" t="s">
        <v>891</v>
      </c>
      <c r="G86" s="53" t="s">
        <v>532</v>
      </c>
      <c r="H86" s="53" t="s">
        <v>538</v>
      </c>
      <c r="I86" s="53" t="s">
        <v>162</v>
      </c>
      <c r="J86" s="69">
        <v>0</v>
      </c>
      <c r="K86" s="70">
        <f t="shared" si="6"/>
        <v>0</v>
      </c>
    </row>
    <row r="87" spans="2:14" ht="15" customHeight="1">
      <c r="B87" s="34">
        <v>3</v>
      </c>
      <c r="C87" s="14" t="s">
        <v>902</v>
      </c>
      <c r="D87" s="34">
        <v>9</v>
      </c>
      <c r="E87" s="13" t="s">
        <v>907</v>
      </c>
      <c r="F87" s="14" t="s">
        <v>891</v>
      </c>
      <c r="G87" s="53" t="s">
        <v>531</v>
      </c>
      <c r="H87" s="53" t="s">
        <v>538</v>
      </c>
      <c r="I87" s="53" t="s">
        <v>162</v>
      </c>
      <c r="J87" s="69">
        <v>0</v>
      </c>
      <c r="K87" s="70">
        <f t="shared" si="6"/>
        <v>0</v>
      </c>
    </row>
    <row r="88" spans="2:14" ht="15" customHeight="1">
      <c r="B88" s="34">
        <v>3</v>
      </c>
      <c r="C88" s="14" t="s">
        <v>902</v>
      </c>
      <c r="D88" s="34">
        <v>10</v>
      </c>
      <c r="E88" s="13" t="s">
        <v>913</v>
      </c>
      <c r="F88" s="14" t="s">
        <v>896</v>
      </c>
      <c r="G88" s="53" t="s">
        <v>532</v>
      </c>
      <c r="H88" s="53" t="s">
        <v>538</v>
      </c>
      <c r="I88" s="53" t="s">
        <v>162</v>
      </c>
      <c r="J88" s="69">
        <v>0</v>
      </c>
      <c r="K88" s="70">
        <f t="shared" si="6"/>
        <v>0</v>
      </c>
    </row>
    <row r="89" spans="2:14" ht="15" customHeight="1">
      <c r="B89" s="34">
        <v>3</v>
      </c>
      <c r="C89" s="14" t="s">
        <v>902</v>
      </c>
      <c r="D89" s="34">
        <v>11</v>
      </c>
      <c r="E89" s="13" t="s">
        <v>897</v>
      </c>
      <c r="F89" s="14" t="s">
        <v>898</v>
      </c>
      <c r="G89" s="53" t="s">
        <v>531</v>
      </c>
      <c r="H89" s="53" t="s">
        <v>538</v>
      </c>
      <c r="I89" s="53" t="s">
        <v>162</v>
      </c>
      <c r="J89" s="69">
        <v>0</v>
      </c>
      <c r="K89" s="70">
        <f t="shared" si="6"/>
        <v>0</v>
      </c>
    </row>
    <row r="90" spans="2:14" ht="15" customHeight="1">
      <c r="B90" s="34">
        <v>3</v>
      </c>
      <c r="C90" s="14" t="s">
        <v>902</v>
      </c>
      <c r="D90" s="34">
        <v>12</v>
      </c>
      <c r="E90" s="13" t="s">
        <v>899</v>
      </c>
      <c r="F90" s="14" t="s">
        <v>900</v>
      </c>
      <c r="G90" s="53" t="s">
        <v>533</v>
      </c>
      <c r="H90" s="53" t="s">
        <v>536</v>
      </c>
      <c r="I90" s="53" t="s">
        <v>162</v>
      </c>
      <c r="J90" s="69">
        <v>0</v>
      </c>
      <c r="K90" s="70">
        <f t="shared" si="6"/>
        <v>0</v>
      </c>
    </row>
    <row r="91" spans="2:14" ht="34.5" customHeight="1">
      <c r="D91" s="71" t="s">
        <v>917</v>
      </c>
      <c r="J91" s="72">
        <f>SUM(J79:J90)</f>
        <v>0</v>
      </c>
    </row>
    <row r="92" spans="2:14" ht="34.5" customHeight="1">
      <c r="D92" s="73"/>
      <c r="J92" s="74"/>
    </row>
    <row r="93" spans="2:14" ht="22">
      <c r="B93" s="6" t="s">
        <v>346</v>
      </c>
      <c r="C93" s="6" t="s">
        <v>347</v>
      </c>
      <c r="D93" s="6" t="s">
        <v>349</v>
      </c>
      <c r="E93" s="6" t="s">
        <v>350</v>
      </c>
      <c r="F93" s="6" t="s">
        <v>351</v>
      </c>
      <c r="G93" s="6" t="s">
        <v>352</v>
      </c>
      <c r="H93" s="6" t="s">
        <v>353</v>
      </c>
      <c r="I93" s="6" t="s">
        <v>354</v>
      </c>
      <c r="J93" s="68" t="s">
        <v>885</v>
      </c>
      <c r="K93" s="6" t="s">
        <v>886</v>
      </c>
    </row>
    <row r="94" spans="2:14" ht="15" customHeight="1">
      <c r="B94" s="34">
        <v>4</v>
      </c>
      <c r="C94" s="14" t="s">
        <v>887</v>
      </c>
      <c r="D94" s="34">
        <v>1</v>
      </c>
      <c r="E94" s="13" t="s">
        <v>888</v>
      </c>
      <c r="F94" s="14" t="s">
        <v>94</v>
      </c>
      <c r="G94" s="53" t="s">
        <v>533</v>
      </c>
      <c r="H94" s="53" t="s">
        <v>536</v>
      </c>
      <c r="I94" s="53" t="s">
        <v>166</v>
      </c>
      <c r="J94" s="69">
        <v>0.64285714285714302</v>
      </c>
      <c r="K94" s="70">
        <f t="shared" ref="K94:K104" si="7">J94*7</f>
        <v>4.5000000000000009</v>
      </c>
      <c r="M94" s="69">
        <v>0.64285714285714302</v>
      </c>
      <c r="N94" s="70">
        <f t="shared" ref="N94:N104" si="8">M94*7</f>
        <v>4.5000000000000009</v>
      </c>
    </row>
    <row r="95" spans="2:14" ht="15" customHeight="1">
      <c r="B95" s="34">
        <v>4</v>
      </c>
      <c r="C95" s="14" t="s">
        <v>887</v>
      </c>
      <c r="D95" s="34">
        <v>2</v>
      </c>
      <c r="E95" s="13" t="s">
        <v>918</v>
      </c>
      <c r="F95" s="14" t="s">
        <v>86</v>
      </c>
      <c r="G95" s="53" t="s">
        <v>532</v>
      </c>
      <c r="H95" s="53" t="s">
        <v>536</v>
      </c>
      <c r="I95" s="53" t="s">
        <v>166</v>
      </c>
      <c r="J95" s="69">
        <v>0.71428571428571397</v>
      </c>
      <c r="K95" s="70">
        <f t="shared" si="7"/>
        <v>4.9999999999999982</v>
      </c>
      <c r="M95" s="69">
        <v>0.71428571428571397</v>
      </c>
      <c r="N95" s="70">
        <f t="shared" si="8"/>
        <v>4.9999999999999982</v>
      </c>
    </row>
    <row r="96" spans="2:14" ht="15" customHeight="1">
      <c r="B96" s="34">
        <v>4</v>
      </c>
      <c r="C96" s="14" t="s">
        <v>887</v>
      </c>
      <c r="D96" s="34">
        <v>3</v>
      </c>
      <c r="E96" s="13" t="s">
        <v>890</v>
      </c>
      <c r="F96" s="14" t="s">
        <v>891</v>
      </c>
      <c r="G96" s="53" t="s">
        <v>532</v>
      </c>
      <c r="H96" s="53" t="s">
        <v>538</v>
      </c>
      <c r="I96" s="53" t="s">
        <v>168</v>
      </c>
      <c r="J96" s="69">
        <v>0.35714285714285698</v>
      </c>
      <c r="K96" s="70">
        <f t="shared" si="7"/>
        <v>2.4999999999999991</v>
      </c>
      <c r="M96" s="69">
        <v>0.35714285714285698</v>
      </c>
      <c r="N96" s="70">
        <f t="shared" si="8"/>
        <v>2.4999999999999991</v>
      </c>
    </row>
    <row r="97" spans="2:14" ht="15" customHeight="1">
      <c r="B97" s="34">
        <v>4</v>
      </c>
      <c r="C97" s="14" t="s">
        <v>887</v>
      </c>
      <c r="D97" s="34">
        <v>4</v>
      </c>
      <c r="E97" s="13" t="s">
        <v>919</v>
      </c>
      <c r="F97" s="14" t="s">
        <v>891</v>
      </c>
      <c r="G97" s="53" t="s">
        <v>533</v>
      </c>
      <c r="H97" s="53" t="s">
        <v>538</v>
      </c>
      <c r="I97" s="53" t="s">
        <v>168</v>
      </c>
      <c r="J97" s="69">
        <v>0.42857142857142899</v>
      </c>
      <c r="K97" s="70">
        <f t="shared" si="7"/>
        <v>3.0000000000000031</v>
      </c>
      <c r="M97" s="69">
        <v>0.42857142857142899</v>
      </c>
      <c r="N97" s="70">
        <f t="shared" si="8"/>
        <v>3.0000000000000031</v>
      </c>
    </row>
    <row r="98" spans="2:14" ht="15" customHeight="1">
      <c r="B98" s="34">
        <v>4</v>
      </c>
      <c r="C98" s="14" t="s">
        <v>887</v>
      </c>
      <c r="D98" s="34">
        <v>5</v>
      </c>
      <c r="E98" s="13" t="s">
        <v>892</v>
      </c>
      <c r="F98" s="14" t="s">
        <v>86</v>
      </c>
      <c r="G98" s="53" t="s">
        <v>532</v>
      </c>
      <c r="H98" s="53" t="s">
        <v>536</v>
      </c>
      <c r="I98" s="53" t="s">
        <v>162</v>
      </c>
      <c r="J98" s="69">
        <v>0.5</v>
      </c>
      <c r="K98" s="70">
        <f t="shared" si="7"/>
        <v>3.5</v>
      </c>
      <c r="M98" s="69">
        <v>0</v>
      </c>
      <c r="N98" s="70">
        <f t="shared" si="8"/>
        <v>0</v>
      </c>
    </row>
    <row r="99" spans="2:14" ht="15" customHeight="1">
      <c r="B99" s="34">
        <v>4</v>
      </c>
      <c r="C99" s="14" t="s">
        <v>887</v>
      </c>
      <c r="D99" s="34">
        <v>6</v>
      </c>
      <c r="E99" s="13" t="s">
        <v>915</v>
      </c>
      <c r="F99" s="14" t="s">
        <v>891</v>
      </c>
      <c r="G99" s="53" t="s">
        <v>533</v>
      </c>
      <c r="H99" s="53" t="s">
        <v>538</v>
      </c>
      <c r="I99" s="53" t="s">
        <v>162</v>
      </c>
      <c r="J99" s="69">
        <v>0.5</v>
      </c>
      <c r="K99" s="70">
        <f t="shared" si="7"/>
        <v>3.5</v>
      </c>
      <c r="M99" s="69">
        <v>0.214285714285714</v>
      </c>
      <c r="N99" s="70">
        <f t="shared" si="8"/>
        <v>1.499999999999998</v>
      </c>
    </row>
    <row r="100" spans="2:14" ht="15" customHeight="1">
      <c r="B100" s="34">
        <v>4</v>
      </c>
      <c r="C100" s="14" t="s">
        <v>887</v>
      </c>
      <c r="D100" s="34">
        <v>7</v>
      </c>
      <c r="E100" s="13" t="s">
        <v>920</v>
      </c>
      <c r="F100" s="14" t="s">
        <v>891</v>
      </c>
      <c r="G100" s="53" t="s">
        <v>533</v>
      </c>
      <c r="H100" s="53" t="s">
        <v>538</v>
      </c>
      <c r="I100" s="53" t="s">
        <v>162</v>
      </c>
      <c r="J100" s="69">
        <v>0.5</v>
      </c>
      <c r="K100" s="70">
        <f t="shared" si="7"/>
        <v>3.5</v>
      </c>
      <c r="M100" s="69">
        <v>1</v>
      </c>
      <c r="N100" s="70">
        <f t="shared" si="8"/>
        <v>7</v>
      </c>
    </row>
    <row r="101" spans="2:14" ht="15" customHeight="1">
      <c r="B101" s="34">
        <v>4</v>
      </c>
      <c r="C101" s="14" t="s">
        <v>887</v>
      </c>
      <c r="D101" s="34">
        <v>8</v>
      </c>
      <c r="E101" s="13" t="s">
        <v>910</v>
      </c>
      <c r="F101" s="14" t="s">
        <v>891</v>
      </c>
      <c r="G101" s="53" t="s">
        <v>532</v>
      </c>
      <c r="H101" s="53" t="s">
        <v>538</v>
      </c>
      <c r="I101" s="53" t="s">
        <v>162</v>
      </c>
      <c r="J101" s="69">
        <v>0.5</v>
      </c>
      <c r="K101" s="70">
        <f t="shared" si="7"/>
        <v>3.5</v>
      </c>
      <c r="M101" s="69">
        <v>0.78571428571428603</v>
      </c>
      <c r="N101" s="70">
        <f t="shared" si="8"/>
        <v>5.5000000000000018</v>
      </c>
    </row>
    <row r="102" spans="2:14" ht="15" customHeight="1">
      <c r="B102" s="34">
        <v>4</v>
      </c>
      <c r="C102" s="14" t="s">
        <v>887</v>
      </c>
      <c r="D102" s="34">
        <v>9</v>
      </c>
      <c r="E102" s="13" t="s">
        <v>895</v>
      </c>
      <c r="F102" s="14" t="s">
        <v>896</v>
      </c>
      <c r="G102" s="53" t="s">
        <v>532</v>
      </c>
      <c r="H102" s="53" t="s">
        <v>538</v>
      </c>
      <c r="I102" s="53" t="s">
        <v>162</v>
      </c>
      <c r="J102" s="69">
        <v>1</v>
      </c>
      <c r="K102" s="70">
        <f t="shared" si="7"/>
        <v>7</v>
      </c>
      <c r="M102" s="69">
        <v>0.214285714285714</v>
      </c>
      <c r="N102" s="70">
        <f t="shared" si="8"/>
        <v>1.499999999999998</v>
      </c>
    </row>
    <row r="103" spans="2:14" ht="15" customHeight="1">
      <c r="B103" s="34">
        <v>4</v>
      </c>
      <c r="C103" s="14" t="s">
        <v>887</v>
      </c>
      <c r="D103" s="34">
        <v>10</v>
      </c>
      <c r="E103" s="13" t="s">
        <v>897</v>
      </c>
      <c r="F103" s="14" t="s">
        <v>898</v>
      </c>
      <c r="G103" s="53" t="s">
        <v>531</v>
      </c>
      <c r="H103" s="53" t="s">
        <v>538</v>
      </c>
      <c r="I103" s="53" t="s">
        <v>162</v>
      </c>
      <c r="J103" s="69">
        <v>0</v>
      </c>
      <c r="K103" s="70">
        <f t="shared" si="7"/>
        <v>0</v>
      </c>
      <c r="M103" s="69">
        <v>0.14285714285714299</v>
      </c>
      <c r="N103" s="70">
        <f t="shared" si="8"/>
        <v>1.0000000000000009</v>
      </c>
    </row>
    <row r="104" spans="2:14" ht="15" customHeight="1">
      <c r="B104" s="34">
        <v>4</v>
      </c>
      <c r="C104" s="14" t="s">
        <v>887</v>
      </c>
      <c r="D104" s="34">
        <v>11</v>
      </c>
      <c r="E104" s="13" t="s">
        <v>899</v>
      </c>
      <c r="F104" s="14" t="s">
        <v>900</v>
      </c>
      <c r="G104" s="53" t="s">
        <v>533</v>
      </c>
      <c r="H104" s="53" t="s">
        <v>536</v>
      </c>
      <c r="I104" s="53" t="s">
        <v>162</v>
      </c>
      <c r="J104" s="69">
        <v>0</v>
      </c>
      <c r="K104" s="70">
        <f t="shared" si="7"/>
        <v>0</v>
      </c>
      <c r="M104" s="69">
        <v>0.42857142857142899</v>
      </c>
      <c r="N104" s="70">
        <f t="shared" si="8"/>
        <v>3.0000000000000031</v>
      </c>
    </row>
    <row r="105" spans="2:14" ht="34.5" customHeight="1">
      <c r="D105" s="71" t="s">
        <v>921</v>
      </c>
      <c r="J105" s="72">
        <f>SUM(J94:J104)</f>
        <v>5.1428571428571423</v>
      </c>
      <c r="K105" s="72">
        <f>SUM(K94:K104)</f>
        <v>36</v>
      </c>
      <c r="M105" s="72">
        <f>SUM(M94:M104)</f>
        <v>4.9285714285714288</v>
      </c>
      <c r="N105" s="72">
        <f>SUM(N94:N104)</f>
        <v>34.5</v>
      </c>
    </row>
    <row r="106" spans="2:14" ht="34.5" customHeight="1">
      <c r="D106" s="73"/>
      <c r="J106" s="74"/>
    </row>
    <row r="107" spans="2:14" ht="22">
      <c r="B107" s="6" t="s">
        <v>346</v>
      </c>
      <c r="C107" s="6" t="s">
        <v>347</v>
      </c>
      <c r="D107" s="6" t="s">
        <v>349</v>
      </c>
      <c r="E107" s="6" t="s">
        <v>350</v>
      </c>
      <c r="F107" s="6" t="s">
        <v>351</v>
      </c>
      <c r="G107" s="6" t="s">
        <v>352</v>
      </c>
      <c r="H107" s="6" t="s">
        <v>353</v>
      </c>
      <c r="I107" s="6" t="s">
        <v>354</v>
      </c>
      <c r="J107" s="68" t="s">
        <v>885</v>
      </c>
      <c r="K107" s="6" t="s">
        <v>886</v>
      </c>
    </row>
    <row r="108" spans="2:14" ht="15" customHeight="1">
      <c r="B108" s="34">
        <v>5</v>
      </c>
      <c r="C108" s="14" t="s">
        <v>887</v>
      </c>
      <c r="D108" s="34">
        <v>1</v>
      </c>
      <c r="E108" s="13" t="s">
        <v>888</v>
      </c>
      <c r="F108" s="14" t="s">
        <v>94</v>
      </c>
      <c r="G108" s="53" t="s">
        <v>533</v>
      </c>
      <c r="H108" s="53" t="s">
        <v>536</v>
      </c>
      <c r="I108" s="53" t="s">
        <v>166</v>
      </c>
      <c r="J108" s="69">
        <v>0.83333333333333304</v>
      </c>
      <c r="K108" s="70">
        <f t="shared" ref="K108:K118" si="9">J108*6</f>
        <v>4.9999999999999982</v>
      </c>
      <c r="M108" s="69">
        <v>0.83333333333333304</v>
      </c>
      <c r="N108" s="70">
        <f t="shared" ref="N108:N118" si="10">M108*6</f>
        <v>4.9999999999999982</v>
      </c>
    </row>
    <row r="109" spans="2:14" ht="15" customHeight="1">
      <c r="B109" s="34">
        <v>5</v>
      </c>
      <c r="C109" s="14" t="s">
        <v>887</v>
      </c>
      <c r="D109" s="34">
        <v>2</v>
      </c>
      <c r="E109" s="13" t="s">
        <v>918</v>
      </c>
      <c r="F109" s="14" t="s">
        <v>86</v>
      </c>
      <c r="G109" s="53" t="s">
        <v>532</v>
      </c>
      <c r="H109" s="53" t="s">
        <v>536</v>
      </c>
      <c r="I109" s="53" t="s">
        <v>166</v>
      </c>
      <c r="J109" s="69">
        <v>0.66666666666666696</v>
      </c>
      <c r="K109" s="70">
        <f t="shared" si="9"/>
        <v>4.0000000000000018</v>
      </c>
      <c r="M109" s="69">
        <v>0.66666666666666696</v>
      </c>
      <c r="N109" s="70">
        <f t="shared" si="10"/>
        <v>4.0000000000000018</v>
      </c>
    </row>
    <row r="110" spans="2:14" ht="15" customHeight="1">
      <c r="B110" s="34">
        <v>5</v>
      </c>
      <c r="C110" s="14" t="s">
        <v>887</v>
      </c>
      <c r="D110" s="34">
        <v>3</v>
      </c>
      <c r="E110" s="13" t="s">
        <v>890</v>
      </c>
      <c r="F110" s="14" t="s">
        <v>891</v>
      </c>
      <c r="G110" s="53" t="s">
        <v>532</v>
      </c>
      <c r="H110" s="53" t="s">
        <v>538</v>
      </c>
      <c r="I110" s="53" t="s">
        <v>168</v>
      </c>
      <c r="J110" s="69">
        <v>0.33333333333333298</v>
      </c>
      <c r="K110" s="70">
        <f t="shared" si="9"/>
        <v>1.9999999999999978</v>
      </c>
      <c r="M110" s="69">
        <v>0.33333333333333298</v>
      </c>
      <c r="N110" s="70">
        <f t="shared" si="10"/>
        <v>1.9999999999999978</v>
      </c>
    </row>
    <row r="111" spans="2:14" ht="15" customHeight="1">
      <c r="B111" s="34">
        <v>5</v>
      </c>
      <c r="C111" s="14" t="s">
        <v>887</v>
      </c>
      <c r="D111" s="34">
        <v>4</v>
      </c>
      <c r="E111" s="13" t="s">
        <v>919</v>
      </c>
      <c r="F111" s="14" t="s">
        <v>891</v>
      </c>
      <c r="G111" s="53" t="s">
        <v>533</v>
      </c>
      <c r="H111" s="53" t="s">
        <v>538</v>
      </c>
      <c r="I111" s="53" t="s">
        <v>168</v>
      </c>
      <c r="J111" s="69">
        <v>0.5</v>
      </c>
      <c r="K111" s="70">
        <f t="shared" si="9"/>
        <v>3</v>
      </c>
      <c r="M111" s="69">
        <v>0.5</v>
      </c>
      <c r="N111" s="70">
        <f t="shared" si="10"/>
        <v>3</v>
      </c>
    </row>
    <row r="112" spans="2:14" ht="15" customHeight="1">
      <c r="B112" s="34">
        <v>5</v>
      </c>
      <c r="C112" s="14" t="s">
        <v>887</v>
      </c>
      <c r="D112" s="34">
        <v>5</v>
      </c>
      <c r="E112" s="13" t="s">
        <v>892</v>
      </c>
      <c r="F112" s="14" t="s">
        <v>86</v>
      </c>
      <c r="G112" s="53" t="s">
        <v>532</v>
      </c>
      <c r="H112" s="53" t="s">
        <v>536</v>
      </c>
      <c r="I112" s="53" t="s">
        <v>162</v>
      </c>
      <c r="J112" s="69">
        <v>0.5</v>
      </c>
      <c r="K112" s="70">
        <f t="shared" si="9"/>
        <v>3</v>
      </c>
      <c r="M112" s="69">
        <v>0</v>
      </c>
      <c r="N112" s="70">
        <f t="shared" si="10"/>
        <v>0</v>
      </c>
    </row>
    <row r="113" spans="2:14" ht="15" customHeight="1">
      <c r="B113" s="34">
        <v>5</v>
      </c>
      <c r="C113" s="14" t="s">
        <v>887</v>
      </c>
      <c r="D113" s="34">
        <v>6</v>
      </c>
      <c r="E113" s="13" t="s">
        <v>915</v>
      </c>
      <c r="F113" s="14" t="s">
        <v>891</v>
      </c>
      <c r="G113" s="53" t="s">
        <v>533</v>
      </c>
      <c r="H113" s="53" t="s">
        <v>536</v>
      </c>
      <c r="I113" s="53" t="s">
        <v>162</v>
      </c>
      <c r="J113" s="69">
        <v>0.5</v>
      </c>
      <c r="K113" s="70">
        <f t="shared" si="9"/>
        <v>3</v>
      </c>
      <c r="M113" s="69">
        <v>0.41666666666666702</v>
      </c>
      <c r="N113" s="70">
        <f t="shared" si="10"/>
        <v>2.5000000000000022</v>
      </c>
    </row>
    <row r="114" spans="2:14" ht="15" customHeight="1">
      <c r="B114" s="34">
        <v>5</v>
      </c>
      <c r="C114" s="14" t="s">
        <v>887</v>
      </c>
      <c r="D114" s="34">
        <v>7</v>
      </c>
      <c r="E114" s="13" t="s">
        <v>920</v>
      </c>
      <c r="F114" s="14" t="s">
        <v>891</v>
      </c>
      <c r="G114" s="53" t="s">
        <v>533</v>
      </c>
      <c r="H114" s="53" t="s">
        <v>538</v>
      </c>
      <c r="I114" s="53" t="s">
        <v>162</v>
      </c>
      <c r="J114" s="69">
        <v>0.5</v>
      </c>
      <c r="K114" s="70">
        <f t="shared" si="9"/>
        <v>3</v>
      </c>
      <c r="M114" s="69">
        <v>1.0833333333333299</v>
      </c>
      <c r="N114" s="70">
        <f t="shared" si="10"/>
        <v>6.4999999999999796</v>
      </c>
    </row>
    <row r="115" spans="2:14" ht="15" customHeight="1">
      <c r="B115" s="34">
        <v>5</v>
      </c>
      <c r="C115" s="14" t="s">
        <v>887</v>
      </c>
      <c r="D115" s="34">
        <v>8</v>
      </c>
      <c r="E115" s="13" t="s">
        <v>910</v>
      </c>
      <c r="F115" s="14" t="s">
        <v>891</v>
      </c>
      <c r="G115" s="53" t="s">
        <v>532</v>
      </c>
      <c r="H115" s="53" t="s">
        <v>538</v>
      </c>
      <c r="I115" s="53" t="s">
        <v>162</v>
      </c>
      <c r="J115" s="69">
        <v>0.5</v>
      </c>
      <c r="K115" s="70">
        <f t="shared" si="9"/>
        <v>3</v>
      </c>
      <c r="M115" s="69">
        <v>0.83333333333333304</v>
      </c>
      <c r="N115" s="70">
        <f t="shared" si="10"/>
        <v>4.9999999999999982</v>
      </c>
    </row>
    <row r="116" spans="2:14" ht="15" customHeight="1">
      <c r="B116" s="34">
        <v>5</v>
      </c>
      <c r="C116" s="14" t="s">
        <v>887</v>
      </c>
      <c r="D116" s="34">
        <v>9</v>
      </c>
      <c r="E116" s="13" t="s">
        <v>895</v>
      </c>
      <c r="F116" s="14" t="s">
        <v>896</v>
      </c>
      <c r="G116" s="53" t="s">
        <v>532</v>
      </c>
      <c r="H116" s="53" t="s">
        <v>538</v>
      </c>
      <c r="I116" s="53" t="s">
        <v>162</v>
      </c>
      <c r="J116" s="69">
        <v>1</v>
      </c>
      <c r="K116" s="70">
        <f t="shared" si="9"/>
        <v>6</v>
      </c>
      <c r="M116" s="69">
        <v>0.66666666666666696</v>
      </c>
      <c r="N116" s="70">
        <f t="shared" si="10"/>
        <v>4.0000000000000018</v>
      </c>
    </row>
    <row r="117" spans="2:14" ht="15" customHeight="1">
      <c r="B117" s="34">
        <v>5</v>
      </c>
      <c r="C117" s="14" t="s">
        <v>887</v>
      </c>
      <c r="D117" s="34">
        <v>10</v>
      </c>
      <c r="E117" s="13" t="s">
        <v>897</v>
      </c>
      <c r="F117" s="14" t="s">
        <v>898</v>
      </c>
      <c r="G117" s="53" t="s">
        <v>531</v>
      </c>
      <c r="H117" s="53" t="s">
        <v>538</v>
      </c>
      <c r="I117" s="53" t="s">
        <v>162</v>
      </c>
      <c r="J117" s="69">
        <v>0</v>
      </c>
      <c r="K117" s="70">
        <f t="shared" si="9"/>
        <v>0</v>
      </c>
      <c r="M117" s="69">
        <v>0</v>
      </c>
      <c r="N117" s="70">
        <f t="shared" si="10"/>
        <v>0</v>
      </c>
    </row>
    <row r="118" spans="2:14" ht="15" customHeight="1">
      <c r="B118" s="34">
        <v>5</v>
      </c>
      <c r="C118" s="14" t="s">
        <v>887</v>
      </c>
      <c r="D118" s="34">
        <v>11</v>
      </c>
      <c r="E118" s="13" t="s">
        <v>899</v>
      </c>
      <c r="F118" s="14" t="s">
        <v>900</v>
      </c>
      <c r="G118" s="53" t="s">
        <v>533</v>
      </c>
      <c r="H118" s="53" t="s">
        <v>536</v>
      </c>
      <c r="I118" s="53" t="s">
        <v>162</v>
      </c>
      <c r="J118" s="69">
        <v>0</v>
      </c>
      <c r="K118" s="70">
        <f t="shared" si="9"/>
        <v>0</v>
      </c>
      <c r="M118" s="69">
        <v>0</v>
      </c>
      <c r="N118" s="70">
        <f t="shared" si="10"/>
        <v>0</v>
      </c>
    </row>
    <row r="119" spans="2:14" ht="34.5" customHeight="1">
      <c r="D119" s="71" t="s">
        <v>922</v>
      </c>
      <c r="J119" s="72">
        <f>SUM(J108:J118)</f>
        <v>5.333333333333333</v>
      </c>
      <c r="K119" s="72">
        <f>SUM(K108:K118)</f>
        <v>32</v>
      </c>
      <c r="M119" s="72">
        <f>SUM(M108:M118)</f>
        <v>5.3333333333333295</v>
      </c>
    </row>
    <row r="121" spans="2:14" ht="409.6" customHeight="1">
      <c r="B121" s="2" t="s">
        <v>923</v>
      </c>
    </row>
    <row r="123" spans="2:14" ht="39.75" customHeight="1">
      <c r="B123" s="79" t="s">
        <v>924</v>
      </c>
      <c r="C123" s="79"/>
      <c r="D123" s="79"/>
      <c r="E123" s="79"/>
      <c r="F123" s="79"/>
      <c r="G123" s="79"/>
      <c r="H123" s="79"/>
      <c r="I123" s="79"/>
      <c r="J123" s="79"/>
      <c r="K123" s="79"/>
    </row>
  </sheetData>
  <mergeCells count="3">
    <mergeCell ref="A1:J1"/>
    <mergeCell ref="A2:J2"/>
    <mergeCell ref="B123:K123"/>
  </mergeCells>
  <pageMargins left="0.7" right="0.7" top="0.75" bottom="0.75" header="0.3" footer="0.3"/>
</worksheet>
</file>

<file path=docMetadata/LabelInfo.xml><?xml version="1.0" encoding="utf-8"?>
<clbl:labelList xmlns:clbl="http://schemas.microsoft.com/office/2020/mipLabelMetadata">
  <clbl:label id="{bb5d96ea-ab39-44a0-a6d6-b6f0aac5958b}"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START HERE</vt:lpstr>
      <vt:lpstr>Logic Tree</vt:lpstr>
      <vt:lpstr>Value Streams &amp; Delivery Mode</vt:lpstr>
      <vt:lpstr>Role x Sourcing</vt:lpstr>
      <vt:lpstr>AMS &amp; Ticket Load</vt:lpstr>
      <vt:lpstr>Seat Planner</vt:lpstr>
      <vt:lpstr>Seat Planner — how</vt:lpstr>
      <vt:lpstr>Reconciliation &amp; Checks</vt:lpstr>
      <vt:lpstr>Rates &amp; Tables</vt:lpstr>
      <vt:lpstr>Inventory v5</vt:lpstr>
      <vt:lpstr>Stream Catalogue</vt:lpstr>
      <vt:lpstr>Method Note</vt:lpstr>
      <vt:lpstr>Pod Library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Prasad, Mukesh Kumar</cp:lastModifiedBy>
  <cp:revision>0</cp:revision>
  <dcterms:created xsi:type="dcterms:W3CDTF">2026-09-14T04:34:23Z</dcterms:created>
  <dcterms:modified xsi:type="dcterms:W3CDTF">2026-09-16T18:09:13Z</dcterms:modified>
  <dc:language>en-US</dc:language>
</cp:coreProperties>
</file>