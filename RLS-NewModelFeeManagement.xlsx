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f0256186c38449ae/Documents/mlj/"/>
    </mc:Choice>
  </mc:AlternateContent>
  <xr:revisionPtr revIDLastSave="49" documentId="11_12E26F18F158764A8C17BD1DA70A6355A42AEA02" xr6:coauthVersionLast="47" xr6:coauthVersionMax="47" xr10:uidLastSave="{A819C597-71DE-461B-932E-98AB3514325E}"/>
  <bookViews>
    <workbookView xWindow="28690" yWindow="-80" windowWidth="38620" windowHeight="21100" activeTab="4" xr2:uid="{00000000-000D-0000-FFFF-FFFF00000000}"/>
  </bookViews>
  <sheets>
    <sheet name="FTE" sheetId="1" r:id="rId1"/>
    <sheet name="India Role Distribution" sheetId="2" r:id="rId2"/>
    <sheet name="Onsite Role Distribution" sheetId="3" r:id="rId3"/>
    <sheet name="RLS" sheetId="4" r:id="rId4"/>
    <sheet name="RLS Detail" sheetId="5" r:id="rId5"/>
    <sheet name="Productivity" sheetId="6" r:id="rId6"/>
    <sheet name="Unit Distribution" sheetId="7" r:id="rId7"/>
    <sheet name="Transfer" sheetId="8" r:id="rId8"/>
  </sheet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" i="7" l="1"/>
  <c r="E6" i="7"/>
  <c r="D5" i="7"/>
  <c r="C5" i="7"/>
  <c r="B5" i="7"/>
  <c r="D4" i="7"/>
  <c r="C4" i="7"/>
  <c r="B4" i="7"/>
  <c r="F3" i="7"/>
  <c r="E3" i="7"/>
  <c r="D3" i="7"/>
  <c r="C3" i="7"/>
  <c r="B3" i="7"/>
  <c r="BK41" i="4"/>
  <c r="BJ41" i="4"/>
  <c r="BI41" i="4"/>
  <c r="BH41" i="4"/>
  <c r="BG41" i="4"/>
  <c r="BF41" i="4"/>
  <c r="BE41" i="4"/>
  <c r="BD41" i="4"/>
  <c r="BC41" i="4"/>
  <c r="BB41" i="4"/>
  <c r="BA41" i="4"/>
  <c r="AZ41" i="4"/>
  <c r="AY41" i="4"/>
  <c r="AX41" i="4"/>
  <c r="AW41" i="4"/>
  <c r="AV41" i="4"/>
  <c r="AU41" i="4"/>
  <c r="AT41" i="4"/>
  <c r="AS41" i="4"/>
  <c r="AR41" i="4"/>
  <c r="AQ41" i="4"/>
  <c r="AP41" i="4"/>
  <c r="AO41" i="4"/>
  <c r="AN41" i="4"/>
  <c r="AM41" i="4"/>
  <c r="AL41" i="4"/>
  <c r="AK41" i="4"/>
  <c r="AJ41" i="4"/>
  <c r="AI41" i="4"/>
  <c r="AH41" i="4"/>
  <c r="AG41" i="4"/>
  <c r="AF41" i="4"/>
  <c r="AE41" i="4"/>
  <c r="AD41" i="4"/>
  <c r="AC41" i="4"/>
  <c r="AB41" i="4"/>
  <c r="AA41" i="4"/>
  <c r="Z41" i="4"/>
  <c r="Y41" i="4"/>
  <c r="X41" i="4"/>
  <c r="W41" i="4"/>
  <c r="V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BK40" i="4"/>
  <c r="BJ40" i="4"/>
  <c r="BI40" i="4"/>
  <c r="BH40" i="4"/>
  <c r="BG40" i="4"/>
  <c r="BF40" i="4"/>
  <c r="BE40" i="4"/>
  <c r="BD40" i="4"/>
  <c r="BC40" i="4"/>
  <c r="BB40" i="4"/>
  <c r="BA40" i="4"/>
  <c r="AZ40" i="4"/>
  <c r="AY40" i="4"/>
  <c r="AX40" i="4"/>
  <c r="AW40" i="4"/>
  <c r="AV40" i="4"/>
  <c r="AU40" i="4"/>
  <c r="AT40" i="4"/>
  <c r="AS40" i="4"/>
  <c r="AR40" i="4"/>
  <c r="AQ40" i="4"/>
  <c r="AP40" i="4"/>
  <c r="AO40" i="4"/>
  <c r="AN40" i="4"/>
  <c r="AM40" i="4"/>
  <c r="AL40" i="4"/>
  <c r="AK40" i="4"/>
  <c r="AJ40" i="4"/>
  <c r="AI40" i="4"/>
  <c r="AH40" i="4"/>
  <c r="AG40" i="4"/>
  <c r="AF40" i="4"/>
  <c r="AE40" i="4"/>
  <c r="AD40" i="4"/>
  <c r="AC40" i="4"/>
  <c r="AB40" i="4"/>
  <c r="AA40" i="4"/>
  <c r="Z40" i="4"/>
  <c r="Y40" i="4"/>
  <c r="X40" i="4"/>
  <c r="W40" i="4"/>
  <c r="V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BK39" i="4"/>
  <c r="BJ39" i="4"/>
  <c r="BI39" i="4"/>
  <c r="BH39" i="4"/>
  <c r="BG39" i="4"/>
  <c r="BF39" i="4"/>
  <c r="BE39" i="4"/>
  <c r="BD39" i="4"/>
  <c r="BC39" i="4"/>
  <c r="BB39" i="4"/>
  <c r="BA39" i="4"/>
  <c r="AZ39" i="4"/>
  <c r="AY39" i="4"/>
  <c r="AX39" i="4"/>
  <c r="AW39" i="4"/>
  <c r="AV39" i="4"/>
  <c r="AU39" i="4"/>
  <c r="AT39" i="4"/>
  <c r="AS39" i="4"/>
  <c r="AR39" i="4"/>
  <c r="AQ39" i="4"/>
  <c r="AP39" i="4"/>
  <c r="AO39" i="4"/>
  <c r="AN39" i="4"/>
  <c r="AM39" i="4"/>
  <c r="AL39" i="4"/>
  <c r="AK39" i="4"/>
  <c r="AJ39" i="4"/>
  <c r="AI39" i="4"/>
  <c r="AH39" i="4"/>
  <c r="AG39" i="4"/>
  <c r="AF39" i="4"/>
  <c r="AE39" i="4"/>
  <c r="AD39" i="4"/>
  <c r="AC39" i="4"/>
  <c r="AB39" i="4"/>
  <c r="AA39" i="4"/>
  <c r="Z39" i="4"/>
  <c r="Y39" i="4"/>
  <c r="X39" i="4"/>
  <c r="W39" i="4"/>
  <c r="V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BK38" i="4"/>
  <c r="BJ38" i="4"/>
  <c r="BI38" i="4"/>
  <c r="BH38" i="4"/>
  <c r="BG38" i="4"/>
  <c r="BF38" i="4"/>
  <c r="BE38" i="4"/>
  <c r="BD38" i="4"/>
  <c r="BC38" i="4"/>
  <c r="BB38" i="4"/>
  <c r="BA38" i="4"/>
  <c r="AZ38" i="4"/>
  <c r="AY38" i="4"/>
  <c r="AX38" i="4"/>
  <c r="AW38" i="4"/>
  <c r="AV38" i="4"/>
  <c r="AU38" i="4"/>
  <c r="AT38" i="4"/>
  <c r="AS38" i="4"/>
  <c r="AR38" i="4"/>
  <c r="AQ38" i="4"/>
  <c r="AP38" i="4"/>
  <c r="AO38" i="4"/>
  <c r="AN38" i="4"/>
  <c r="AM38" i="4"/>
  <c r="AL38" i="4"/>
  <c r="AK38" i="4"/>
  <c r="AJ38" i="4"/>
  <c r="AI38" i="4"/>
  <c r="AH38" i="4"/>
  <c r="AG38" i="4"/>
  <c r="AF38" i="4"/>
  <c r="AE38" i="4"/>
  <c r="AD38" i="4"/>
  <c r="AC38" i="4"/>
  <c r="AB38" i="4"/>
  <c r="AA38" i="4"/>
  <c r="Z38" i="4"/>
  <c r="Y38" i="4"/>
  <c r="X38" i="4"/>
  <c r="W38" i="4"/>
  <c r="V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BK37" i="4"/>
  <c r="BJ37" i="4"/>
  <c r="BI37" i="4"/>
  <c r="BH37" i="4"/>
  <c r="BG37" i="4"/>
  <c r="BF37" i="4"/>
  <c r="BE37" i="4"/>
  <c r="BD37" i="4"/>
  <c r="BC37" i="4"/>
  <c r="BB37" i="4"/>
  <c r="BA37" i="4"/>
  <c r="AZ37" i="4"/>
  <c r="AY37" i="4"/>
  <c r="AX37" i="4"/>
  <c r="AW37" i="4"/>
  <c r="AV37" i="4"/>
  <c r="AU37" i="4"/>
  <c r="AT37" i="4"/>
  <c r="AS37" i="4"/>
  <c r="AR37" i="4"/>
  <c r="AQ37" i="4"/>
  <c r="AP37" i="4"/>
  <c r="AO37" i="4"/>
  <c r="AN37" i="4"/>
  <c r="AM37" i="4"/>
  <c r="AL37" i="4"/>
  <c r="AK37" i="4"/>
  <c r="AJ37" i="4"/>
  <c r="AI37" i="4"/>
  <c r="AH37" i="4"/>
  <c r="AG37" i="4"/>
  <c r="AF37" i="4"/>
  <c r="AE37" i="4"/>
  <c r="AD37" i="4"/>
  <c r="AC37" i="4"/>
  <c r="AB37" i="4"/>
  <c r="AA37" i="4"/>
  <c r="Z37" i="4"/>
  <c r="Y37" i="4"/>
  <c r="X37" i="4"/>
  <c r="W37" i="4"/>
  <c r="V37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BK36" i="4"/>
  <c r="BJ36" i="4"/>
  <c r="BI36" i="4"/>
  <c r="BH36" i="4"/>
  <c r="BG36" i="4"/>
  <c r="BF36" i="4"/>
  <c r="BE36" i="4"/>
  <c r="BD36" i="4"/>
  <c r="BC36" i="4"/>
  <c r="BB36" i="4"/>
  <c r="BA36" i="4"/>
  <c r="AZ36" i="4"/>
  <c r="AY36" i="4"/>
  <c r="AX36" i="4"/>
  <c r="AW36" i="4"/>
  <c r="AV36" i="4"/>
  <c r="AU36" i="4"/>
  <c r="AT36" i="4"/>
  <c r="AS36" i="4"/>
  <c r="AR36" i="4"/>
  <c r="AQ36" i="4"/>
  <c r="AP36" i="4"/>
  <c r="AO36" i="4"/>
  <c r="AN36" i="4"/>
  <c r="AM36" i="4"/>
  <c r="AL36" i="4"/>
  <c r="AK36" i="4"/>
  <c r="AJ36" i="4"/>
  <c r="AI36" i="4"/>
  <c r="AH36" i="4"/>
  <c r="AG36" i="4"/>
  <c r="AF36" i="4"/>
  <c r="AE36" i="4"/>
  <c r="AD36" i="4"/>
  <c r="AC36" i="4"/>
  <c r="AB36" i="4"/>
  <c r="AA36" i="4"/>
  <c r="Z36" i="4"/>
  <c r="Y36" i="4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BK35" i="4"/>
  <c r="BJ35" i="4"/>
  <c r="BI35" i="4"/>
  <c r="BH35" i="4"/>
  <c r="BG35" i="4"/>
  <c r="BF35" i="4"/>
  <c r="BE35" i="4"/>
  <c r="BD35" i="4"/>
  <c r="BC35" i="4"/>
  <c r="BB35" i="4"/>
  <c r="BA35" i="4"/>
  <c r="AZ35" i="4"/>
  <c r="AY35" i="4"/>
  <c r="AX35" i="4"/>
  <c r="AW35" i="4"/>
  <c r="AV35" i="4"/>
  <c r="AU35" i="4"/>
  <c r="AT35" i="4"/>
  <c r="AS35" i="4"/>
  <c r="AR35" i="4"/>
  <c r="AQ35" i="4"/>
  <c r="AP35" i="4"/>
  <c r="AO35" i="4"/>
  <c r="AN35" i="4"/>
  <c r="AM35" i="4"/>
  <c r="AL35" i="4"/>
  <c r="AK35" i="4"/>
  <c r="AJ35" i="4"/>
  <c r="AI35" i="4"/>
  <c r="AH35" i="4"/>
  <c r="AG35" i="4"/>
  <c r="AF35" i="4"/>
  <c r="AE35" i="4"/>
  <c r="AD35" i="4"/>
  <c r="AC35" i="4"/>
  <c r="AB35" i="4"/>
  <c r="AA35" i="4"/>
  <c r="Z35" i="4"/>
  <c r="Y35" i="4"/>
  <c r="X35" i="4"/>
  <c r="W35" i="4"/>
  <c r="V35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BK34" i="4"/>
  <c r="BJ34" i="4"/>
  <c r="BI34" i="4"/>
  <c r="BH34" i="4"/>
  <c r="BG34" i="4"/>
  <c r="BF34" i="4"/>
  <c r="BE34" i="4"/>
  <c r="BD34" i="4"/>
  <c r="BC34" i="4"/>
  <c r="BB34" i="4"/>
  <c r="BA34" i="4"/>
  <c r="AZ34" i="4"/>
  <c r="AY34" i="4"/>
  <c r="AX34" i="4"/>
  <c r="AW34" i="4"/>
  <c r="AV34" i="4"/>
  <c r="AU34" i="4"/>
  <c r="AT34" i="4"/>
  <c r="AS34" i="4"/>
  <c r="AR34" i="4"/>
  <c r="AQ34" i="4"/>
  <c r="AP34" i="4"/>
  <c r="AO34" i="4"/>
  <c r="AN34" i="4"/>
  <c r="AM34" i="4"/>
  <c r="AL34" i="4"/>
  <c r="AK34" i="4"/>
  <c r="AJ34" i="4"/>
  <c r="AI34" i="4"/>
  <c r="AH34" i="4"/>
  <c r="AG34" i="4"/>
  <c r="AF34" i="4"/>
  <c r="AE34" i="4"/>
  <c r="AD34" i="4"/>
  <c r="AC34" i="4"/>
  <c r="AB34" i="4"/>
  <c r="AA34" i="4"/>
  <c r="Z34" i="4"/>
  <c r="Y34" i="4"/>
  <c r="X34" i="4"/>
  <c r="W34" i="4"/>
  <c r="V34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K33" i="4"/>
  <c r="BJ33" i="4"/>
  <c r="BI33" i="4"/>
  <c r="BH33" i="4"/>
  <c r="BG33" i="4"/>
  <c r="BF33" i="4"/>
  <c r="BE33" i="4"/>
  <c r="BD33" i="4"/>
  <c r="BC33" i="4"/>
  <c r="BB33" i="4"/>
  <c r="BA33" i="4"/>
  <c r="AZ33" i="4"/>
  <c r="AY33" i="4"/>
  <c r="AX33" i="4"/>
  <c r="AW33" i="4"/>
  <c r="AV33" i="4"/>
  <c r="AU33" i="4"/>
  <c r="AT33" i="4"/>
  <c r="AS33" i="4"/>
  <c r="AR33" i="4"/>
  <c r="AQ33" i="4"/>
  <c r="AP33" i="4"/>
  <c r="AO33" i="4"/>
  <c r="AN33" i="4"/>
  <c r="AM33" i="4"/>
  <c r="AL33" i="4"/>
  <c r="AK33" i="4"/>
  <c r="AJ33" i="4"/>
  <c r="AI33" i="4"/>
  <c r="AH33" i="4"/>
  <c r="AG33" i="4"/>
  <c r="AF33" i="4"/>
  <c r="AE33" i="4"/>
  <c r="AD33" i="4"/>
  <c r="AC33" i="4"/>
  <c r="AB33" i="4"/>
  <c r="AA33" i="4"/>
  <c r="Z33" i="4"/>
  <c r="Y33" i="4"/>
  <c r="X33" i="4"/>
  <c r="W33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K32" i="4"/>
  <c r="BJ32" i="4"/>
  <c r="BI32" i="4"/>
  <c r="BH32" i="4"/>
  <c r="BG32" i="4"/>
  <c r="BF32" i="4"/>
  <c r="BE32" i="4"/>
  <c r="BD32" i="4"/>
  <c r="BC32" i="4"/>
  <c r="BB32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Y32" i="4"/>
  <c r="X32" i="4"/>
  <c r="W32" i="4"/>
  <c r="V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N44" i="5" s="1"/>
  <c r="BK31" i="4"/>
  <c r="BJ31" i="4"/>
  <c r="BI31" i="4"/>
  <c r="BH31" i="4"/>
  <c r="BG31" i="4"/>
  <c r="BF31" i="4"/>
  <c r="BE31" i="4"/>
  <c r="BD31" i="4"/>
  <c r="BC31" i="4"/>
  <c r="BB31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AI31" i="4"/>
  <c r="AH31" i="4"/>
  <c r="AG31" i="4"/>
  <c r="AF31" i="4"/>
  <c r="AE31" i="4"/>
  <c r="AD31" i="4"/>
  <c r="AC31" i="4"/>
  <c r="AB31" i="4"/>
  <c r="AA31" i="4"/>
  <c r="Z31" i="4"/>
  <c r="Y31" i="4"/>
  <c r="X31" i="4"/>
  <c r="W31" i="4"/>
  <c r="V31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K30" i="4"/>
  <c r="BJ30" i="4"/>
  <c r="BI30" i="4"/>
  <c r="BH30" i="4"/>
  <c r="BG30" i="4"/>
  <c r="BF30" i="4"/>
  <c r="BE30" i="4"/>
  <c r="BD30" i="4"/>
  <c r="BC30" i="4"/>
  <c r="BB30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A30" i="4"/>
  <c r="Z30" i="4"/>
  <c r="Y30" i="4"/>
  <c r="X30" i="4"/>
  <c r="W30" i="4"/>
  <c r="V30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BK29" i="4"/>
  <c r="BJ29" i="4"/>
  <c r="BI29" i="4"/>
  <c r="BH29" i="4"/>
  <c r="BG29" i="4"/>
  <c r="BF29" i="4"/>
  <c r="BE29" i="4"/>
  <c r="BD29" i="4"/>
  <c r="BC29" i="4"/>
  <c r="BB29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AJ29" i="4"/>
  <c r="AI29" i="4"/>
  <c r="AH29" i="4"/>
  <c r="AG29" i="4"/>
  <c r="AF29" i="4"/>
  <c r="AE29" i="4"/>
  <c r="AD29" i="4"/>
  <c r="AC29" i="4"/>
  <c r="AB29" i="4"/>
  <c r="AA29" i="4"/>
  <c r="Z29" i="4"/>
  <c r="Y29" i="4"/>
  <c r="X29" i="4"/>
  <c r="W29" i="4"/>
  <c r="V29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BK28" i="4"/>
  <c r="BJ28" i="4"/>
  <c r="BI28" i="4"/>
  <c r="BH28" i="4"/>
  <c r="BG28" i="4"/>
  <c r="BF28" i="4"/>
  <c r="BE28" i="4"/>
  <c r="BD28" i="4"/>
  <c r="BC28" i="4"/>
  <c r="BB28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Y28" i="4"/>
  <c r="X28" i="4"/>
  <c r="W28" i="4"/>
  <c r="V28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BK27" i="4"/>
  <c r="BJ27" i="4"/>
  <c r="BI27" i="4"/>
  <c r="BH27" i="4"/>
  <c r="BG27" i="4"/>
  <c r="BF27" i="4"/>
  <c r="BE27" i="4"/>
  <c r="BD27" i="4"/>
  <c r="BC27" i="4"/>
  <c r="BF16" i="5" s="1"/>
  <c r="BB27" i="4"/>
  <c r="BA27" i="4"/>
  <c r="AZ27" i="4"/>
  <c r="AY27" i="4"/>
  <c r="AX27" i="4"/>
  <c r="AW27" i="4"/>
  <c r="AV27" i="4"/>
  <c r="AU27" i="4"/>
  <c r="AT27" i="4"/>
  <c r="AS27" i="4"/>
  <c r="AR27" i="4"/>
  <c r="AQ27" i="4"/>
  <c r="AT16" i="5" s="1"/>
  <c r="AP27" i="4"/>
  <c r="AO27" i="4"/>
  <c r="AN27" i="4"/>
  <c r="AM27" i="4"/>
  <c r="AL27" i="4"/>
  <c r="AK27" i="4"/>
  <c r="AJ27" i="4"/>
  <c r="AI27" i="4"/>
  <c r="AH27" i="4"/>
  <c r="AG27" i="4"/>
  <c r="AF27" i="4"/>
  <c r="AE27" i="4"/>
  <c r="AH16" i="5" s="1"/>
  <c r="AD27" i="4"/>
  <c r="AC27" i="4"/>
  <c r="AF16" i="5" s="1"/>
  <c r="AB27" i="4"/>
  <c r="AA27" i="4"/>
  <c r="Z27" i="4"/>
  <c r="Y27" i="4"/>
  <c r="X27" i="4"/>
  <c r="W27" i="4"/>
  <c r="V27" i="4"/>
  <c r="U27" i="4"/>
  <c r="T27" i="4"/>
  <c r="W16" i="5" s="1"/>
  <c r="S27" i="4"/>
  <c r="V16" i="5" s="1"/>
  <c r="R27" i="4"/>
  <c r="Q27" i="4"/>
  <c r="T16" i="5" s="1"/>
  <c r="P27" i="4"/>
  <c r="O27" i="4"/>
  <c r="N27" i="4"/>
  <c r="M27" i="4"/>
  <c r="L27" i="4"/>
  <c r="K27" i="4"/>
  <c r="J27" i="4"/>
  <c r="I27" i="4"/>
  <c r="H27" i="4"/>
  <c r="K16" i="5" s="1"/>
  <c r="G27" i="4"/>
  <c r="J16" i="5" s="1"/>
  <c r="F27" i="4"/>
  <c r="E27" i="4"/>
  <c r="D27" i="4"/>
  <c r="C27" i="4"/>
  <c r="BK26" i="4"/>
  <c r="BJ26" i="4"/>
  <c r="BI26" i="4"/>
  <c r="BH26" i="4"/>
  <c r="BG26" i="4"/>
  <c r="BF26" i="4"/>
  <c r="BE26" i="4"/>
  <c r="BD26" i="4"/>
  <c r="BC26" i="4"/>
  <c r="BB26" i="4"/>
  <c r="BA26" i="4"/>
  <c r="AZ26" i="4"/>
  <c r="AY26" i="4"/>
  <c r="AX26" i="4"/>
  <c r="AW26" i="4"/>
  <c r="AV26" i="4"/>
  <c r="AU26" i="4"/>
  <c r="AT26" i="4"/>
  <c r="AS26" i="4"/>
  <c r="AR26" i="4"/>
  <c r="AQ26" i="4"/>
  <c r="AP26" i="4"/>
  <c r="AO26" i="4"/>
  <c r="AN26" i="4"/>
  <c r="AM26" i="4"/>
  <c r="AL26" i="4"/>
  <c r="AK26" i="4"/>
  <c r="AJ26" i="4"/>
  <c r="AI26" i="4"/>
  <c r="AH26" i="4"/>
  <c r="AG26" i="4"/>
  <c r="AF26" i="4"/>
  <c r="AE26" i="4"/>
  <c r="AD26" i="4"/>
  <c r="AC26" i="4"/>
  <c r="AB26" i="4"/>
  <c r="AA26" i="4"/>
  <c r="Z26" i="4"/>
  <c r="Y26" i="4"/>
  <c r="X26" i="4"/>
  <c r="W26" i="4"/>
  <c r="V26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D7" i="2"/>
  <c r="D6" i="2"/>
  <c r="D5" i="2"/>
  <c r="D4" i="2"/>
  <c r="D3" i="2"/>
  <c r="D2" i="2"/>
  <c r="E8" i="1"/>
  <c r="F6" i="1"/>
  <c r="F8" i="1" s="1"/>
  <c r="E6" i="1"/>
  <c r="D6" i="1"/>
  <c r="D8" i="1" s="1"/>
  <c r="C6" i="1"/>
  <c r="C8" i="1" s="1"/>
  <c r="B6" i="1"/>
  <c r="B8" i="1" s="1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BN19" i="5"/>
  <c r="BM19" i="5"/>
  <c r="BL19" i="5"/>
  <c r="BK19" i="5"/>
  <c r="BJ19" i="5"/>
  <c r="BI19" i="5"/>
  <c r="BH19" i="5"/>
  <c r="BG19" i="5"/>
  <c r="BF19" i="5"/>
  <c r="BE19" i="5"/>
  <c r="BD19" i="5"/>
  <c r="BC19" i="5"/>
  <c r="E19" i="5"/>
  <c r="E18" i="5"/>
  <c r="E17" i="5"/>
  <c r="BN17" i="5" s="1"/>
  <c r="AS16" i="5"/>
  <c r="AE16" i="5"/>
  <c r="S16" i="5"/>
  <c r="Q16" i="5"/>
  <c r="I16" i="5"/>
  <c r="E16" i="5"/>
  <c r="E15" i="5"/>
  <c r="E14" i="5"/>
  <c r="E13" i="5"/>
  <c r="E12" i="5"/>
  <c r="E11" i="5"/>
  <c r="E10" i="5"/>
  <c r="E9" i="5"/>
  <c r="E8" i="5"/>
  <c r="E7" i="5"/>
  <c r="E6" i="5"/>
  <c r="BN6" i="5" s="1"/>
  <c r="E5" i="5"/>
  <c r="E4" i="5"/>
  <c r="E3" i="5"/>
  <c r="BC16" i="5" l="1"/>
  <c r="BK55" i="5"/>
  <c r="BM53" i="5"/>
  <c r="AX57" i="5"/>
  <c r="AY58" i="5"/>
  <c r="BN47" i="5"/>
  <c r="Q50" i="5"/>
  <c r="BN51" i="5"/>
  <c r="BE5" i="5"/>
  <c r="AD16" i="5"/>
  <c r="BN16" i="5"/>
  <c r="BN7" i="5" s="1"/>
  <c r="BJ56" i="5"/>
  <c r="BK52" i="5"/>
  <c r="Y16" i="5"/>
  <c r="R16" i="5"/>
  <c r="U16" i="5"/>
  <c r="AG16" i="5"/>
  <c r="AX16" i="5"/>
  <c r="G16" i="5"/>
  <c r="G7" i="5" s="1"/>
  <c r="AO16" i="5"/>
  <c r="AO9" i="5" s="1"/>
  <c r="N16" i="5"/>
  <c r="N9" i="5" s="1"/>
  <c r="AQ16" i="5"/>
  <c r="AQ9" i="5" s="1"/>
  <c r="P16" i="5"/>
  <c r="P9" i="5" s="1"/>
  <c r="AN16" i="5"/>
  <c r="AN8" i="5" s="1"/>
  <c r="BB16" i="5"/>
  <c r="BB9" i="5" s="1"/>
  <c r="AW16" i="5"/>
  <c r="AW9" i="5" s="1"/>
  <c r="W50" i="5"/>
  <c r="V55" i="5"/>
  <c r="T49" i="5"/>
  <c r="AI16" i="5"/>
  <c r="AI7" i="5" s="1"/>
  <c r="AU16" i="5"/>
  <c r="AU10" i="5" s="1"/>
  <c r="O16" i="5"/>
  <c r="O9" i="5" s="1"/>
  <c r="AM16" i="5"/>
  <c r="AM8" i="5" s="1"/>
  <c r="BG6" i="5"/>
  <c r="AK16" i="5"/>
  <c r="AK8" i="5" s="1"/>
  <c r="BI16" i="5"/>
  <c r="BI9" i="5" s="1"/>
  <c r="AY16" i="5"/>
  <c r="AY10" i="5" s="1"/>
  <c r="AU6" i="5"/>
  <c r="AZ16" i="5"/>
  <c r="AA16" i="5"/>
  <c r="AA8" i="5" s="1"/>
  <c r="BA16" i="5"/>
  <c r="BA10" i="5" s="1"/>
  <c r="BM16" i="5"/>
  <c r="BM9" i="5" s="1"/>
  <c r="BN15" i="5"/>
  <c r="AC16" i="5"/>
  <c r="AC8" i="5" s="1"/>
  <c r="J8" i="5"/>
  <c r="AO4" i="5"/>
  <c r="Y54" i="5"/>
  <c r="BD16" i="5"/>
  <c r="BD9" i="5" s="1"/>
  <c r="AY48" i="5"/>
  <c r="BL16" i="5"/>
  <c r="BL7" i="5" s="1"/>
  <c r="AR3" i="5"/>
  <c r="BK16" i="5"/>
  <c r="L16" i="5"/>
  <c r="L9" i="5" s="1"/>
  <c r="X16" i="5"/>
  <c r="X8" i="5" s="1"/>
  <c r="H16" i="5"/>
  <c r="H7" i="5" s="1"/>
  <c r="Z16" i="5"/>
  <c r="Z7" i="5" s="1"/>
  <c r="AP16" i="5"/>
  <c r="AP8" i="5" s="1"/>
  <c r="BE16" i="5"/>
  <c r="BE9" i="5" s="1"/>
  <c r="M16" i="5"/>
  <c r="M7" i="5" s="1"/>
  <c r="AB16" i="5"/>
  <c r="AB8" i="5" s="1"/>
  <c r="AR16" i="5"/>
  <c r="AR9" i="5" s="1"/>
  <c r="Y44" i="5"/>
  <c r="Y22" i="5" s="1"/>
  <c r="Y23" i="5" s="1"/>
  <c r="K44" i="5"/>
  <c r="K22" i="5" s="1"/>
  <c r="K23" i="5" s="1"/>
  <c r="AJ16" i="5"/>
  <c r="AJ7" i="5" s="1"/>
  <c r="Z55" i="5"/>
  <c r="R7" i="5"/>
  <c r="AL16" i="5"/>
  <c r="AL8" i="5" s="1"/>
  <c r="BJ16" i="5"/>
  <c r="BJ7" i="5" s="1"/>
  <c r="AR49" i="5"/>
  <c r="BL51" i="5"/>
  <c r="AV16" i="5"/>
  <c r="AV7" i="5" s="1"/>
  <c r="AO57" i="5"/>
  <c r="AI17" i="5"/>
  <c r="AK58" i="5"/>
  <c r="O55" i="5"/>
  <c r="AV47" i="5"/>
  <c r="AS47" i="5"/>
  <c r="AA58" i="5"/>
  <c r="AW6" i="5"/>
  <c r="BI6" i="5"/>
  <c r="BH16" i="5"/>
  <c r="BH9" i="5" s="1"/>
  <c r="X47" i="5"/>
  <c r="BD48" i="5"/>
  <c r="AE58" i="5"/>
  <c r="BG58" i="5"/>
  <c r="U50" i="5"/>
  <c r="AW55" i="5"/>
  <c r="P3" i="5"/>
  <c r="AC50" i="5"/>
  <c r="BI55" i="5"/>
  <c r="Y9" i="5"/>
  <c r="AP50" i="5"/>
  <c r="BJ55" i="5"/>
  <c r="BM51" i="5"/>
  <c r="AL57" i="5"/>
  <c r="AV6" i="5"/>
  <c r="BH6" i="5"/>
  <c r="L50" i="5"/>
  <c r="X50" i="5"/>
  <c r="AJ49" i="5"/>
  <c r="BH49" i="5"/>
  <c r="AO3" i="5"/>
  <c r="BB3" i="5"/>
  <c r="BE48" i="5"/>
  <c r="BC58" i="5"/>
  <c r="J49" i="5"/>
  <c r="BH58" i="5"/>
  <c r="P49" i="5"/>
  <c r="AQ49" i="5"/>
  <c r="AS6" i="5"/>
  <c r="AT6" i="5"/>
  <c r="V17" i="5"/>
  <c r="W47" i="5"/>
  <c r="AZ49" i="5"/>
  <c r="AR57" i="5"/>
  <c r="BJ6" i="5"/>
  <c r="W17" i="5"/>
  <c r="AB47" i="5"/>
  <c r="BB49" i="5"/>
  <c r="BD57" i="5"/>
  <c r="AT9" i="5"/>
  <c r="AP47" i="5"/>
  <c r="AE8" i="5"/>
  <c r="AJ17" i="5"/>
  <c r="AR47" i="5"/>
  <c r="O50" i="5"/>
  <c r="Y55" i="5"/>
  <c r="G58" i="5"/>
  <c r="I17" i="5"/>
  <c r="AS17" i="5"/>
  <c r="BE17" i="5"/>
  <c r="AB3" i="5"/>
  <c r="W8" i="5"/>
  <c r="AQ56" i="5"/>
  <c r="AV57" i="5"/>
  <c r="J9" i="5"/>
  <c r="AN44" i="5"/>
  <c r="AN19" i="5" s="1"/>
  <c r="I8" i="5"/>
  <c r="AK17" i="5"/>
  <c r="Q51" i="5"/>
  <c r="AY17" i="5"/>
  <c r="BA44" i="5"/>
  <c r="BA19" i="5" s="1"/>
  <c r="BA20" i="5" s="1"/>
  <c r="BL47" i="5"/>
  <c r="BC49" i="5"/>
  <c r="R51" i="5"/>
  <c r="L57" i="5"/>
  <c r="BL57" i="5"/>
  <c r="BK58" i="5"/>
  <c r="AZ17" i="5"/>
  <c r="BB44" i="5"/>
  <c r="BB19" i="5" s="1"/>
  <c r="BB20" i="5" s="1"/>
  <c r="BE49" i="5"/>
  <c r="S51" i="5"/>
  <c r="N55" i="5"/>
  <c r="M57" i="5"/>
  <c r="BM57" i="5"/>
  <c r="AM44" i="5"/>
  <c r="AM19" i="5" s="1"/>
  <c r="AM20" i="5" s="1"/>
  <c r="BA17" i="5"/>
  <c r="T29" i="5"/>
  <c r="BH45" i="5"/>
  <c r="BF49" i="5"/>
  <c r="V51" i="5"/>
  <c r="P57" i="5"/>
  <c r="BN57" i="5"/>
  <c r="Z44" i="5"/>
  <c r="Z19" i="5" s="1"/>
  <c r="Z20" i="5" s="1"/>
  <c r="AF8" i="5"/>
  <c r="BN18" i="5"/>
  <c r="AK46" i="5"/>
  <c r="BL49" i="5"/>
  <c r="Z51" i="5"/>
  <c r="Q57" i="5"/>
  <c r="AT31" i="5"/>
  <c r="BH47" i="5"/>
  <c r="AQ51" i="5"/>
  <c r="R57" i="5"/>
  <c r="AS7" i="5"/>
  <c r="H47" i="5"/>
  <c r="AC57" i="5"/>
  <c r="Q17" i="5"/>
  <c r="BG51" i="5"/>
  <c r="O3" i="5"/>
  <c r="BK6" i="5"/>
  <c r="S9" i="5"/>
  <c r="R17" i="5"/>
  <c r="I44" i="5"/>
  <c r="I19" i="5" s="1"/>
  <c r="I20" i="5" s="1"/>
  <c r="U47" i="5"/>
  <c r="I49" i="5"/>
  <c r="S50" i="5"/>
  <c r="BH51" i="5"/>
  <c r="BF55" i="5"/>
  <c r="AK57" i="5"/>
  <c r="AB58" i="5"/>
  <c r="J5" i="5"/>
  <c r="L44" i="5"/>
  <c r="L22" i="5" s="1"/>
  <c r="Y46" i="5"/>
  <c r="H18" i="5"/>
  <c r="T18" i="5"/>
  <c r="AF18" i="5"/>
  <c r="AR18" i="5"/>
  <c r="BD18" i="5"/>
  <c r="G44" i="5"/>
  <c r="G21" i="5" s="1"/>
  <c r="S44" i="5"/>
  <c r="S19" i="5" s="1"/>
  <c r="S20" i="5" s="1"/>
  <c r="AE44" i="5"/>
  <c r="AE19" i="5" s="1"/>
  <c r="AE20" i="5" s="1"/>
  <c r="AQ44" i="5"/>
  <c r="AQ22" i="5" s="1"/>
  <c r="BC44" i="5"/>
  <c r="BC22" i="5" s="1"/>
  <c r="I28" i="5"/>
  <c r="Z47" i="5"/>
  <c r="AL45" i="5"/>
  <c r="Y49" i="5"/>
  <c r="BH56" i="5"/>
  <c r="K57" i="5"/>
  <c r="AI57" i="5"/>
  <c r="AU57" i="5"/>
  <c r="J58" i="5"/>
  <c r="V58" i="5"/>
  <c r="AW18" i="5"/>
  <c r="W46" i="5"/>
  <c r="G46" i="5"/>
  <c r="AN46" i="5"/>
  <c r="G54" i="5"/>
  <c r="K5" i="5"/>
  <c r="AK18" i="5"/>
  <c r="AL17" i="5"/>
  <c r="BB17" i="5"/>
  <c r="J18" i="5"/>
  <c r="X18" i="5"/>
  <c r="AL18" i="5"/>
  <c r="AZ18" i="5"/>
  <c r="M44" i="5"/>
  <c r="M22" i="5" s="1"/>
  <c r="M23" i="5" s="1"/>
  <c r="AB44" i="5"/>
  <c r="AB21" i="5" s="1"/>
  <c r="AP44" i="5"/>
  <c r="AP21" i="5" s="1"/>
  <c r="BE44" i="5"/>
  <c r="BE20" i="5" s="1"/>
  <c r="R45" i="5"/>
  <c r="J46" i="5"/>
  <c r="AA46" i="5"/>
  <c r="AA47" i="5"/>
  <c r="AT47" i="5"/>
  <c r="AQ48" i="5"/>
  <c r="BG48" i="5"/>
  <c r="U49" i="5"/>
  <c r="I54" i="5"/>
  <c r="AF54" i="5"/>
  <c r="AI58" i="5"/>
  <c r="BI58" i="5"/>
  <c r="Z54" i="5"/>
  <c r="AX18" i="5"/>
  <c r="AP3" i="5"/>
  <c r="BA18" i="5"/>
  <c r="N44" i="5"/>
  <c r="N21" i="5" s="1"/>
  <c r="T45" i="5"/>
  <c r="K54" i="5"/>
  <c r="AC3" i="5"/>
  <c r="BA5" i="5"/>
  <c r="G18" i="5"/>
  <c r="BL18" i="5"/>
  <c r="AN3" i="5"/>
  <c r="AF5" i="5"/>
  <c r="V9" i="5"/>
  <c r="BM18" i="5"/>
  <c r="AA44" i="5"/>
  <c r="AA22" i="5" s="1"/>
  <c r="AA23" i="5" s="1"/>
  <c r="P45" i="5"/>
  <c r="W9" i="5"/>
  <c r="K18" i="5"/>
  <c r="H29" i="5"/>
  <c r="BG44" i="5"/>
  <c r="BG25" i="5" s="1"/>
  <c r="BG26" i="5" s="1"/>
  <c r="AB46" i="5"/>
  <c r="AR48" i="5"/>
  <c r="BI48" i="5"/>
  <c r="BA3" i="5"/>
  <c r="O5" i="5"/>
  <c r="AL5" i="5"/>
  <c r="BJ5" i="5"/>
  <c r="AY6" i="5"/>
  <c r="BM6" i="5"/>
  <c r="S8" i="5"/>
  <c r="AA9" i="5"/>
  <c r="AA15" i="5"/>
  <c r="J17" i="5"/>
  <c r="Y17" i="5"/>
  <c r="AN17" i="5"/>
  <c r="BF17" i="5"/>
  <c r="L18" i="5"/>
  <c r="Z18" i="5"/>
  <c r="AN18" i="5"/>
  <c r="BC18" i="5"/>
  <c r="O44" i="5"/>
  <c r="O22" i="5" s="1"/>
  <c r="AD44" i="5"/>
  <c r="AS44" i="5"/>
  <c r="AS25" i="5" s="1"/>
  <c r="BH44" i="5"/>
  <c r="BH22" i="5" s="1"/>
  <c r="BH23" i="5" s="1"/>
  <c r="W45" i="5"/>
  <c r="L46" i="5"/>
  <c r="AC46" i="5"/>
  <c r="I47" i="5"/>
  <c r="AD47" i="5"/>
  <c r="AY47" i="5"/>
  <c r="AS48" i="5"/>
  <c r="BK48" i="5"/>
  <c r="AF49" i="5"/>
  <c r="AF50" i="5"/>
  <c r="AI51" i="5"/>
  <c r="AQ52" i="5"/>
  <c r="N54" i="5"/>
  <c r="AI54" i="5"/>
  <c r="AA55" i="5"/>
  <c r="AY56" i="5"/>
  <c r="T57" i="5"/>
  <c r="AW57" i="5"/>
  <c r="K58" i="5"/>
  <c r="AM58" i="5"/>
  <c r="V44" i="5"/>
  <c r="V19" i="5" s="1"/>
  <c r="V20" i="5" s="1"/>
  <c r="AH44" i="5"/>
  <c r="AH22" i="5" s="1"/>
  <c r="AT44" i="5"/>
  <c r="AT19" i="5" s="1"/>
  <c r="AT20" i="5" s="1"/>
  <c r="BF44" i="5"/>
  <c r="BF22" i="5" s="1"/>
  <c r="AI18" i="5"/>
  <c r="AH8" i="5"/>
  <c r="BF48" i="5"/>
  <c r="AJ5" i="5"/>
  <c r="AR44" i="5"/>
  <c r="AR25" i="5" s="1"/>
  <c r="AR26" i="5" s="1"/>
  <c r="BF9" i="5"/>
  <c r="AD9" i="5"/>
  <c r="K17" i="5"/>
  <c r="Z17" i="5"/>
  <c r="AO17" i="5"/>
  <c r="BI17" i="5"/>
  <c r="M18" i="5"/>
  <c r="AA18" i="5"/>
  <c r="AO18" i="5"/>
  <c r="BE18" i="5"/>
  <c r="P44" i="5"/>
  <c r="P19" i="5" s="1"/>
  <c r="AF44" i="5"/>
  <c r="AF19" i="5" s="1"/>
  <c r="AU44" i="5"/>
  <c r="AU22" i="5" s="1"/>
  <c r="BI44" i="5"/>
  <c r="BI22" i="5" s="1"/>
  <c r="BI23" i="5" s="1"/>
  <c r="AC45" i="5"/>
  <c r="M46" i="5"/>
  <c r="AE46" i="5"/>
  <c r="J47" i="5"/>
  <c r="AG47" i="5"/>
  <c r="AZ47" i="5"/>
  <c r="AT48" i="5"/>
  <c r="BL48" i="5"/>
  <c r="AH49" i="5"/>
  <c r="AI50" i="5"/>
  <c r="AL51" i="5"/>
  <c r="AS52" i="5"/>
  <c r="P54" i="5"/>
  <c r="AK54" i="5"/>
  <c r="AD55" i="5"/>
  <c r="BA56" i="5"/>
  <c r="X57" i="5"/>
  <c r="AZ57" i="5"/>
  <c r="L58" i="5"/>
  <c r="AN58" i="5"/>
  <c r="AY18" i="5"/>
  <c r="BD44" i="5"/>
  <c r="I46" i="5"/>
  <c r="AO46" i="5"/>
  <c r="AC54" i="5"/>
  <c r="L5" i="5"/>
  <c r="AM17" i="5"/>
  <c r="BD17" i="5"/>
  <c r="Y18" i="5"/>
  <c r="AM18" i="5"/>
  <c r="AD49" i="5"/>
  <c r="AG54" i="5"/>
  <c r="P5" i="5"/>
  <c r="AN5" i="5"/>
  <c r="BK5" i="5"/>
  <c r="AZ6" i="5"/>
  <c r="V8" i="5"/>
  <c r="AV15" i="5"/>
  <c r="R5" i="5"/>
  <c r="AO5" i="5"/>
  <c r="BL5" i="5"/>
  <c r="BA6" i="5"/>
  <c r="R9" i="5"/>
  <c r="L17" i="5"/>
  <c r="AP17" i="5"/>
  <c r="N18" i="5"/>
  <c r="AB18" i="5"/>
  <c r="AQ18" i="5"/>
  <c r="BF18" i="5"/>
  <c r="Q44" i="5"/>
  <c r="Q19" i="5" s="1"/>
  <c r="AG44" i="5"/>
  <c r="AG22" i="5" s="1"/>
  <c r="AV44" i="5"/>
  <c r="AV25" i="5" s="1"/>
  <c r="BJ44" i="5"/>
  <c r="BJ20" i="5" s="1"/>
  <c r="AO45" i="5"/>
  <c r="O46" i="5"/>
  <c r="AG46" i="5"/>
  <c r="K47" i="5"/>
  <c r="AH47" i="5"/>
  <c r="BD47" i="5"/>
  <c r="AU48" i="5"/>
  <c r="BM48" i="5"/>
  <c r="AM50" i="5"/>
  <c r="AO51" i="5"/>
  <c r="AT52" i="5"/>
  <c r="Q54" i="5"/>
  <c r="AM54" i="5"/>
  <c r="AQ55" i="5"/>
  <c r="BB56" i="5"/>
  <c r="Z57" i="5"/>
  <c r="BA57" i="5"/>
  <c r="O58" i="5"/>
  <c r="AQ58" i="5"/>
  <c r="X44" i="5"/>
  <c r="X22" i="5" s="1"/>
  <c r="X23" i="5" s="1"/>
  <c r="S46" i="5"/>
  <c r="BC48" i="5"/>
  <c r="BL58" i="5"/>
  <c r="U18" i="5"/>
  <c r="BK18" i="5"/>
  <c r="AJ18" i="5"/>
  <c r="M45" i="5"/>
  <c r="S49" i="5"/>
  <c r="N5" i="5"/>
  <c r="AK5" i="5"/>
  <c r="BF5" i="5"/>
  <c r="AX6" i="5"/>
  <c r="BL6" i="5"/>
  <c r="X17" i="5"/>
  <c r="AC44" i="5"/>
  <c r="AC21" i="5" s="1"/>
  <c r="K46" i="5"/>
  <c r="BK7" i="5"/>
  <c r="AF9" i="5"/>
  <c r="BC3" i="5"/>
  <c r="AG9" i="5"/>
  <c r="AA17" i="5"/>
  <c r="BJ17" i="5"/>
  <c r="N3" i="5"/>
  <c r="BN3" i="5"/>
  <c r="W5" i="5"/>
  <c r="AP5" i="5"/>
  <c r="BN5" i="5"/>
  <c r="BC6" i="5"/>
  <c r="AE7" i="5"/>
  <c r="I9" i="5"/>
  <c r="M17" i="5"/>
  <c r="AB17" i="5"/>
  <c r="AR17" i="5"/>
  <c r="BK17" i="5"/>
  <c r="O18" i="5"/>
  <c r="AC18" i="5"/>
  <c r="AS18" i="5"/>
  <c r="BG18" i="5"/>
  <c r="R44" i="5"/>
  <c r="R21" i="5" s="1"/>
  <c r="AI44" i="5"/>
  <c r="AI21" i="5" s="1"/>
  <c r="AW44" i="5"/>
  <c r="AW25" i="5" s="1"/>
  <c r="AW26" i="5" s="1"/>
  <c r="BK44" i="5"/>
  <c r="BK22" i="5" s="1"/>
  <c r="AT45" i="5"/>
  <c r="P46" i="5"/>
  <c r="AH46" i="5"/>
  <c r="L47" i="5"/>
  <c r="AI47" i="5"/>
  <c r="BE47" i="5"/>
  <c r="AW48" i="5"/>
  <c r="AL49" i="5"/>
  <c r="G50" i="5"/>
  <c r="AO50" i="5"/>
  <c r="AP51" i="5"/>
  <c r="S54" i="5"/>
  <c r="AN54" i="5"/>
  <c r="AR55" i="5"/>
  <c r="BC56" i="5"/>
  <c r="AB57" i="5"/>
  <c r="BB57" i="5"/>
  <c r="Q58" i="5"/>
  <c r="AU58" i="5"/>
  <c r="AB5" i="5"/>
  <c r="AY5" i="5"/>
  <c r="AC5" i="5"/>
  <c r="X46" i="5"/>
  <c r="AA54" i="5"/>
  <c r="BB5" i="5"/>
  <c r="I18" i="5"/>
  <c r="AO44" i="5"/>
  <c r="AO22" i="5" s="1"/>
  <c r="AO23" i="5" s="1"/>
  <c r="AO24" i="5" s="1"/>
  <c r="AS5" i="5"/>
  <c r="BF10" i="5"/>
  <c r="BG16" i="5"/>
  <c r="BG7" i="5" s="1"/>
  <c r="AV17" i="5"/>
  <c r="AE18" i="5"/>
  <c r="BD31" i="5"/>
  <c r="T44" i="5"/>
  <c r="T21" i="5" s="1"/>
  <c r="AJ44" i="5"/>
  <c r="AJ21" i="5" s="1"/>
  <c r="AX44" i="5"/>
  <c r="AX25" i="5" s="1"/>
  <c r="BL44" i="5"/>
  <c r="BL25" i="5" s="1"/>
  <c r="AZ45" i="5"/>
  <c r="Q46" i="5"/>
  <c r="AI46" i="5"/>
  <c r="P47" i="5"/>
  <c r="AJ47" i="5"/>
  <c r="BF47" i="5"/>
  <c r="AP49" i="5"/>
  <c r="T54" i="5"/>
  <c r="AO54" i="5"/>
  <c r="BI56" i="5"/>
  <c r="S58" i="5"/>
  <c r="AV58" i="5"/>
  <c r="AM46" i="5"/>
  <c r="V18" i="5"/>
  <c r="BH48" i="5"/>
  <c r="BD6" i="5"/>
  <c r="BL17" i="5"/>
  <c r="BH18" i="5"/>
  <c r="AD17" i="5"/>
  <c r="Q18" i="5"/>
  <c r="AU18" i="5"/>
  <c r="U44" i="5"/>
  <c r="U21" i="5" s="1"/>
  <c r="AY44" i="5"/>
  <c r="AY25" i="5" s="1"/>
  <c r="AY26" i="5" s="1"/>
  <c r="BM44" i="5"/>
  <c r="BM25" i="5" s="1"/>
  <c r="BM26" i="5" s="1"/>
  <c r="BM27" i="5" s="1"/>
  <c r="BA45" i="5"/>
  <c r="U46" i="5"/>
  <c r="AJ46" i="5"/>
  <c r="R47" i="5"/>
  <c r="AM47" i="5"/>
  <c r="BG47" i="5"/>
  <c r="AZ48" i="5"/>
  <c r="AU51" i="5"/>
  <c r="I53" i="5"/>
  <c r="W54" i="5"/>
  <c r="AX55" i="5"/>
  <c r="AD57" i="5"/>
  <c r="BH57" i="5"/>
  <c r="W58" i="5"/>
  <c r="AW58" i="5"/>
  <c r="W18" i="5"/>
  <c r="H54" i="5"/>
  <c r="BD5" i="5"/>
  <c r="X5" i="5"/>
  <c r="N17" i="5"/>
  <c r="AC17" i="5"/>
  <c r="P18" i="5"/>
  <c r="AT18" i="5"/>
  <c r="R4" i="5"/>
  <c r="Y5" i="5"/>
  <c r="AW5" i="5"/>
  <c r="AQ6" i="5"/>
  <c r="BE6" i="5"/>
  <c r="O17" i="5"/>
  <c r="AW17" i="5"/>
  <c r="BM17" i="5"/>
  <c r="AG18" i="5"/>
  <c r="BI18" i="5"/>
  <c r="AK44" i="5"/>
  <c r="AK19" i="5" s="1"/>
  <c r="AK20" i="5" s="1"/>
  <c r="AA3" i="5"/>
  <c r="AE4" i="5"/>
  <c r="AA5" i="5"/>
  <c r="AX5" i="5"/>
  <c r="AR6" i="5"/>
  <c r="BF6" i="5"/>
  <c r="P17" i="5"/>
  <c r="AF17" i="5"/>
  <c r="AX17" i="5"/>
  <c r="S18" i="5"/>
  <c r="AH18" i="5"/>
  <c r="AV18" i="5"/>
  <c r="BJ18" i="5"/>
  <c r="H44" i="5"/>
  <c r="H21" i="5" s="1"/>
  <c r="W44" i="5"/>
  <c r="W21" i="5" s="1"/>
  <c r="AL44" i="5"/>
  <c r="AL21" i="5" s="1"/>
  <c r="AZ44" i="5"/>
  <c r="AZ25" i="5" s="1"/>
  <c r="BB45" i="5"/>
  <c r="V46" i="5"/>
  <c r="T47" i="5"/>
  <c r="AN47" i="5"/>
  <c r="BA48" i="5"/>
  <c r="L49" i="5"/>
  <c r="AS49" i="5"/>
  <c r="P51" i="5"/>
  <c r="BF51" i="5"/>
  <c r="M55" i="5"/>
  <c r="AY55" i="5"/>
  <c r="H57" i="5"/>
  <c r="AJ57" i="5"/>
  <c r="BJ57" i="5"/>
  <c r="Y58" i="5"/>
  <c r="AJ9" i="5"/>
  <c r="BE15" i="5"/>
  <c r="AS15" i="5"/>
  <c r="AG15" i="5"/>
  <c r="U15" i="5"/>
  <c r="I15" i="5"/>
  <c r="BD15" i="5"/>
  <c r="AQ15" i="5"/>
  <c r="AD15" i="5"/>
  <c r="Q15" i="5"/>
  <c r="BC15" i="5"/>
  <c r="AP15" i="5"/>
  <c r="AC15" i="5"/>
  <c r="P15" i="5"/>
  <c r="BF15" i="5"/>
  <c r="AN15" i="5"/>
  <c r="Y15" i="5"/>
  <c r="J15" i="5"/>
  <c r="BB15" i="5"/>
  <c r="AM15" i="5"/>
  <c r="X15" i="5"/>
  <c r="H15" i="5"/>
  <c r="BA15" i="5"/>
  <c r="AL15" i="5"/>
  <c r="W15" i="5"/>
  <c r="G15" i="5"/>
  <c r="G4" i="5"/>
  <c r="N47" i="5"/>
  <c r="N45" i="5"/>
  <c r="M50" i="5"/>
  <c r="M49" i="5"/>
  <c r="BI49" i="5"/>
  <c r="BI52" i="5"/>
  <c r="Q3" i="5"/>
  <c r="AD3" i="5"/>
  <c r="AQ3" i="5"/>
  <c r="BD3" i="5"/>
  <c r="I4" i="5"/>
  <c r="V4" i="5"/>
  <c r="AI4" i="5"/>
  <c r="M5" i="5"/>
  <c r="Z5" i="5"/>
  <c r="AM5" i="5"/>
  <c r="AZ5" i="5"/>
  <c r="BM5" i="5"/>
  <c r="U7" i="5"/>
  <c r="AH7" i="5"/>
  <c r="AD8" i="5"/>
  <c r="BC9" i="5"/>
  <c r="AX10" i="5"/>
  <c r="L15" i="5"/>
  <c r="AF15" i="5"/>
  <c r="AY15" i="5"/>
  <c r="AX48" i="5"/>
  <c r="AX47" i="5"/>
  <c r="AX45" i="5"/>
  <c r="I7" i="5"/>
  <c r="V7" i="5"/>
  <c r="AZ10" i="5"/>
  <c r="M15" i="5"/>
  <c r="AH15" i="5"/>
  <c r="AZ15" i="5"/>
  <c r="BM30" i="5"/>
  <c r="BA30" i="5"/>
  <c r="AO30" i="5"/>
  <c r="AC30" i="5"/>
  <c r="Q30" i="5"/>
  <c r="BL30" i="5"/>
  <c r="AZ30" i="5"/>
  <c r="AN30" i="5"/>
  <c r="AB30" i="5"/>
  <c r="P30" i="5"/>
  <c r="BI30" i="5"/>
  <c r="AW30" i="5"/>
  <c r="AK30" i="5"/>
  <c r="Y30" i="5"/>
  <c r="M30" i="5"/>
  <c r="BG30" i="5"/>
  <c r="AR30" i="5"/>
  <c r="AA30" i="5"/>
  <c r="K30" i="5"/>
  <c r="BF30" i="5"/>
  <c r="AQ30" i="5"/>
  <c r="Z30" i="5"/>
  <c r="J30" i="5"/>
  <c r="BE30" i="5"/>
  <c r="AP30" i="5"/>
  <c r="X30" i="5"/>
  <c r="I30" i="5"/>
  <c r="BC30" i="5"/>
  <c r="AL30" i="5"/>
  <c r="V30" i="5"/>
  <c r="G30" i="5"/>
  <c r="AY30" i="5"/>
  <c r="AE30" i="5"/>
  <c r="AX30" i="5"/>
  <c r="AD30" i="5"/>
  <c r="AV30" i="5"/>
  <c r="W30" i="5"/>
  <c r="AU30" i="5"/>
  <c r="U30" i="5"/>
  <c r="AT30" i="5"/>
  <c r="T30" i="5"/>
  <c r="AS30" i="5"/>
  <c r="S30" i="5"/>
  <c r="BJ30" i="5"/>
  <c r="AI30" i="5"/>
  <c r="N30" i="5"/>
  <c r="AM30" i="5"/>
  <c r="AJ30" i="5"/>
  <c r="AH30" i="5"/>
  <c r="AG30" i="5"/>
  <c r="AF30" i="5"/>
  <c r="R30" i="5"/>
  <c r="O30" i="5"/>
  <c r="BD30" i="5"/>
  <c r="AH4" i="5"/>
  <c r="AE15" i="5"/>
  <c r="AK50" i="5"/>
  <c r="AK49" i="5"/>
  <c r="R3" i="5"/>
  <c r="AE3" i="5"/>
  <c r="W4" i="5"/>
  <c r="N15" i="5"/>
  <c r="AI15" i="5"/>
  <c r="BG15" i="5"/>
  <c r="H30" i="5"/>
  <c r="AH41" i="5"/>
  <c r="BC7" i="5"/>
  <c r="Q7" i="5"/>
  <c r="AF7" i="5"/>
  <c r="AT7" i="5"/>
  <c r="K15" i="5"/>
  <c r="AF3" i="5"/>
  <c r="X4" i="5"/>
  <c r="W7" i="5"/>
  <c r="AX7" i="5"/>
  <c r="T3" i="5"/>
  <c r="BH3" i="5"/>
  <c r="O15" i="5"/>
  <c r="AJ15" i="5"/>
  <c r="BH15" i="5"/>
  <c r="L30" i="5"/>
  <c r="BI41" i="5"/>
  <c r="S7" i="5"/>
  <c r="S3" i="5"/>
  <c r="J7" i="5"/>
  <c r="R8" i="5"/>
  <c r="H3" i="5"/>
  <c r="AH3" i="5"/>
  <c r="AU3" i="5"/>
  <c r="L4" i="5"/>
  <c r="Y4" i="5"/>
  <c r="AL4" i="5"/>
  <c r="K7" i="5"/>
  <c r="BM7" i="5"/>
  <c r="I3" i="5"/>
  <c r="V3" i="5"/>
  <c r="AI3" i="5"/>
  <c r="AV3" i="5"/>
  <c r="BI3" i="5"/>
  <c r="M4" i="5"/>
  <c r="Z4" i="5"/>
  <c r="AM4" i="5"/>
  <c r="Q5" i="5"/>
  <c r="AD5" i="5"/>
  <c r="AR5" i="5"/>
  <c r="Y7" i="5"/>
  <c r="AZ7" i="5"/>
  <c r="Q8" i="5"/>
  <c r="AG8" i="5"/>
  <c r="T8" i="5"/>
  <c r="U8" i="5"/>
  <c r="Q9" i="5"/>
  <c r="AE9" i="5"/>
  <c r="AS9" i="5"/>
  <c r="R15" i="5"/>
  <c r="AK15" i="5"/>
  <c r="BI15" i="5"/>
  <c r="BN20" i="5"/>
  <c r="BB30" i="5"/>
  <c r="T7" i="5"/>
  <c r="BI59" i="5"/>
  <c r="BI14" i="5" s="1"/>
  <c r="AW59" i="5"/>
  <c r="AK59" i="5"/>
  <c r="AK11" i="5" s="1"/>
  <c r="Y59" i="5"/>
  <c r="Y12" i="5" s="1"/>
  <c r="M59" i="5"/>
  <c r="M13" i="5" s="1"/>
  <c r="BD59" i="5"/>
  <c r="BD11" i="5" s="1"/>
  <c r="AR59" i="5"/>
  <c r="AR13" i="5" s="1"/>
  <c r="AF59" i="5"/>
  <c r="AF12" i="5" s="1"/>
  <c r="T59" i="5"/>
  <c r="T11" i="5" s="1"/>
  <c r="H59" i="5"/>
  <c r="H13" i="5" s="1"/>
  <c r="BC59" i="5"/>
  <c r="AQ59" i="5"/>
  <c r="AQ11" i="5" s="1"/>
  <c r="AE59" i="5"/>
  <c r="AE12" i="5" s="1"/>
  <c r="S59" i="5"/>
  <c r="S11" i="5" s="1"/>
  <c r="G59" i="5"/>
  <c r="BM59" i="5"/>
  <c r="BM14" i="5" s="1"/>
  <c r="BA59" i="5"/>
  <c r="BA13" i="5" s="1"/>
  <c r="AO59" i="5"/>
  <c r="AO12" i="5" s="1"/>
  <c r="AC59" i="5"/>
  <c r="AC12" i="5" s="1"/>
  <c r="Q59" i="5"/>
  <c r="Q12" i="5" s="1"/>
  <c r="BL59" i="5"/>
  <c r="BL11" i="5" s="1"/>
  <c r="AZ59" i="5"/>
  <c r="AZ13" i="5" s="1"/>
  <c r="AN59" i="5"/>
  <c r="AB59" i="5"/>
  <c r="AB11" i="5" s="1"/>
  <c r="P59" i="5"/>
  <c r="P12" i="5" s="1"/>
  <c r="BF59" i="5"/>
  <c r="BF13" i="5" s="1"/>
  <c r="AJ59" i="5"/>
  <c r="AJ11" i="5" s="1"/>
  <c r="O59" i="5"/>
  <c r="O12" i="5" s="1"/>
  <c r="BL40" i="5"/>
  <c r="BL32" i="5" s="1"/>
  <c r="BL33" i="5" s="1"/>
  <c r="AZ40" i="5"/>
  <c r="AZ32" i="5" s="1"/>
  <c r="AN40" i="5"/>
  <c r="AN32" i="5" s="1"/>
  <c r="AB40" i="5"/>
  <c r="AB32" i="5" s="1"/>
  <c r="AB33" i="5" s="1"/>
  <c r="P40" i="5"/>
  <c r="BE59" i="5"/>
  <c r="BE11" i="5" s="1"/>
  <c r="AI59" i="5"/>
  <c r="N59" i="5"/>
  <c r="N11" i="5" s="1"/>
  <c r="BB59" i="5"/>
  <c r="BB14" i="5" s="1"/>
  <c r="AH59" i="5"/>
  <c r="AH11" i="5" s="1"/>
  <c r="L59" i="5"/>
  <c r="L12" i="5" s="1"/>
  <c r="AY59" i="5"/>
  <c r="AY14" i="5" s="1"/>
  <c r="AG59" i="5"/>
  <c r="AG11" i="5" s="1"/>
  <c r="K59" i="5"/>
  <c r="K13" i="5" s="1"/>
  <c r="BN59" i="5"/>
  <c r="BN14" i="5" s="1"/>
  <c r="AT59" i="5"/>
  <c r="AT13" i="5" s="1"/>
  <c r="X59" i="5"/>
  <c r="X12" i="5" s="1"/>
  <c r="BE40" i="5"/>
  <c r="AS40" i="5"/>
  <c r="AG40" i="5"/>
  <c r="AG32" i="5" s="1"/>
  <c r="AG33" i="5" s="1"/>
  <c r="U40" i="5"/>
  <c r="U34" i="5" s="1"/>
  <c r="I40" i="5"/>
  <c r="I34" i="5" s="1"/>
  <c r="AU59" i="5"/>
  <c r="AU14" i="5" s="1"/>
  <c r="J59" i="5"/>
  <c r="J13" i="5" s="1"/>
  <c r="BK40" i="5"/>
  <c r="BK32" i="5" s="1"/>
  <c r="AW40" i="5"/>
  <c r="AW35" i="5" s="1"/>
  <c r="AI40" i="5"/>
  <c r="AI34" i="5" s="1"/>
  <c r="T40" i="5"/>
  <c r="T34" i="5" s="1"/>
  <c r="AS59" i="5"/>
  <c r="I59" i="5"/>
  <c r="I11" i="5" s="1"/>
  <c r="BJ40" i="5"/>
  <c r="AV40" i="5"/>
  <c r="AV35" i="5" s="1"/>
  <c r="AV36" i="5" s="1"/>
  <c r="AH40" i="5"/>
  <c r="AH35" i="5" s="1"/>
  <c r="S40" i="5"/>
  <c r="S34" i="5" s="1"/>
  <c r="AP59" i="5"/>
  <c r="AP12" i="5" s="1"/>
  <c r="AM59" i="5"/>
  <c r="AM12" i="5" s="1"/>
  <c r="BH40" i="5"/>
  <c r="BH35" i="5" s="1"/>
  <c r="AT40" i="5"/>
  <c r="AT35" i="5" s="1"/>
  <c r="AE40" i="5"/>
  <c r="AE32" i="5" s="1"/>
  <c r="AE33" i="5" s="1"/>
  <c r="Q40" i="5"/>
  <c r="Q34" i="5" s="1"/>
  <c r="AL59" i="5"/>
  <c r="AL12" i="5" s="1"/>
  <c r="AD59" i="5"/>
  <c r="AD12" i="5" s="1"/>
  <c r="BK59" i="5"/>
  <c r="AA59" i="5"/>
  <c r="AA12" i="5" s="1"/>
  <c r="BJ59" i="5"/>
  <c r="Z59" i="5"/>
  <c r="Z11" i="5" s="1"/>
  <c r="U59" i="5"/>
  <c r="U12" i="5" s="1"/>
  <c r="AU40" i="5"/>
  <c r="AU32" i="5" s="1"/>
  <c r="AU33" i="5" s="1"/>
  <c r="AA40" i="5"/>
  <c r="AA32" i="5" s="1"/>
  <c r="AA33" i="5" s="1"/>
  <c r="J40" i="5"/>
  <c r="R59" i="5"/>
  <c r="R11" i="5" s="1"/>
  <c r="BN40" i="5"/>
  <c r="BN38" i="5" s="1"/>
  <c r="AR40" i="5"/>
  <c r="Z40" i="5"/>
  <c r="H40" i="5"/>
  <c r="AO29" i="5"/>
  <c r="BF41" i="5"/>
  <c r="AL41" i="5"/>
  <c r="U41" i="5"/>
  <c r="BI40" i="5"/>
  <c r="BI32" i="5" s="1"/>
  <c r="AP40" i="5"/>
  <c r="AP32" i="5" s="1"/>
  <c r="AP33" i="5" s="1"/>
  <c r="BG40" i="5"/>
  <c r="BG32" i="5" s="1"/>
  <c r="AO40" i="5"/>
  <c r="AO32" i="5" s="1"/>
  <c r="W40" i="5"/>
  <c r="W34" i="5" s="1"/>
  <c r="BG59" i="5"/>
  <c r="BG11" i="5" s="1"/>
  <c r="BB41" i="5"/>
  <c r="AC41" i="5"/>
  <c r="BM40" i="5"/>
  <c r="BM35" i="5" s="1"/>
  <c r="AJ40" i="5"/>
  <c r="K40" i="5"/>
  <c r="K34" i="5" s="1"/>
  <c r="AN29" i="5"/>
  <c r="Y29" i="5"/>
  <c r="K29" i="5"/>
  <c r="BA41" i="5"/>
  <c r="Z41" i="5"/>
  <c r="BF40" i="5"/>
  <c r="BF35" i="5" s="1"/>
  <c r="AF40" i="5"/>
  <c r="AF35" i="5" s="1"/>
  <c r="G40" i="5"/>
  <c r="AM29" i="5"/>
  <c r="X29" i="5"/>
  <c r="J29" i="5"/>
  <c r="AZ41" i="5"/>
  <c r="Y41" i="5"/>
  <c r="BD40" i="5"/>
  <c r="BD32" i="5" s="1"/>
  <c r="AD40" i="5"/>
  <c r="AD32" i="5" s="1"/>
  <c r="AK29" i="5"/>
  <c r="W29" i="5"/>
  <c r="I29" i="5"/>
  <c r="AX41" i="5"/>
  <c r="V41" i="5"/>
  <c r="BC40" i="5"/>
  <c r="AC40" i="5"/>
  <c r="AC32" i="5" s="1"/>
  <c r="AC33" i="5" s="1"/>
  <c r="AW41" i="5"/>
  <c r="R41" i="5"/>
  <c r="BB40" i="5"/>
  <c r="BB32" i="5" s="1"/>
  <c r="BB33" i="5" s="1"/>
  <c r="Y40" i="5"/>
  <c r="Y35" i="5" s="1"/>
  <c r="AI29" i="5"/>
  <c r="U29" i="5"/>
  <c r="G29" i="5"/>
  <c r="AV41" i="5"/>
  <c r="N41" i="5"/>
  <c r="BA40" i="5"/>
  <c r="BA32" i="5" s="1"/>
  <c r="X40" i="5"/>
  <c r="BH59" i="5"/>
  <c r="BH14" i="5" s="1"/>
  <c r="AU41" i="5"/>
  <c r="L41" i="5"/>
  <c r="AX59" i="5"/>
  <c r="AN41" i="5"/>
  <c r="K41" i="5"/>
  <c r="J41" i="5"/>
  <c r="O40" i="5"/>
  <c r="S29" i="5"/>
  <c r="I41" i="5"/>
  <c r="N40" i="5"/>
  <c r="N32" i="5" s="1"/>
  <c r="Q29" i="5"/>
  <c r="G41" i="5"/>
  <c r="M40" i="5"/>
  <c r="AJ29" i="5"/>
  <c r="P29" i="5"/>
  <c r="L40" i="5"/>
  <c r="L32" i="5" s="1"/>
  <c r="L33" i="5" s="1"/>
  <c r="AH29" i="5"/>
  <c r="O29" i="5"/>
  <c r="AY40" i="5"/>
  <c r="AY32" i="5" s="1"/>
  <c r="AG29" i="5"/>
  <c r="M29" i="5"/>
  <c r="BN41" i="5"/>
  <c r="AX40" i="5"/>
  <c r="AF29" i="5"/>
  <c r="L29" i="5"/>
  <c r="AV59" i="5"/>
  <c r="AV13" i="5" s="1"/>
  <c r="BM41" i="5"/>
  <c r="AQ40" i="5"/>
  <c r="AQ32" i="5" s="1"/>
  <c r="AQ33" i="5" s="1"/>
  <c r="BG31" i="5"/>
  <c r="V59" i="5"/>
  <c r="V11" i="5" s="1"/>
  <c r="BL42" i="5"/>
  <c r="BL43" i="5" s="1"/>
  <c r="AJ41" i="5"/>
  <c r="AL40" i="5"/>
  <c r="AL34" i="5" s="1"/>
  <c r="BC31" i="5"/>
  <c r="AB29" i="5"/>
  <c r="AG41" i="5"/>
  <c r="AR31" i="5"/>
  <c r="BJ28" i="5"/>
  <c r="H28" i="5"/>
  <c r="AW28" i="5"/>
  <c r="AM40" i="5"/>
  <c r="AM32" i="5" s="1"/>
  <c r="AM33" i="5" s="1"/>
  <c r="AV28" i="5"/>
  <c r="AK40" i="5"/>
  <c r="AK32" i="5" s="1"/>
  <c r="AE29" i="5"/>
  <c r="AT28" i="5"/>
  <c r="V40" i="5"/>
  <c r="V35" i="5" s="1"/>
  <c r="AC29" i="5"/>
  <c r="AO28" i="5"/>
  <c r="BK42" i="5"/>
  <c r="BK43" i="5" s="1"/>
  <c r="R40" i="5"/>
  <c r="R34" i="5" s="1"/>
  <c r="AA29" i="5"/>
  <c r="AL28" i="5"/>
  <c r="W59" i="5"/>
  <c r="W13" i="5" s="1"/>
  <c r="BI42" i="5"/>
  <c r="BI43" i="5" s="1"/>
  <c r="V29" i="5"/>
  <c r="AC28" i="5"/>
  <c r="AI41" i="5"/>
  <c r="AY31" i="5"/>
  <c r="BM28" i="5"/>
  <c r="U28" i="5"/>
  <c r="S15" i="5"/>
  <c r="AO15" i="5"/>
  <c r="BJ15" i="5"/>
  <c r="BN22" i="5"/>
  <c r="BN23" i="5" s="1"/>
  <c r="BN24" i="5" s="1"/>
  <c r="AE22" i="5"/>
  <c r="AE23" i="5" s="1"/>
  <c r="V28" i="5"/>
  <c r="BH30" i="5"/>
  <c r="BF42" i="5"/>
  <c r="AX15" i="5"/>
  <c r="BJ48" i="5"/>
  <c r="BJ47" i="5"/>
  <c r="BE3" i="5"/>
  <c r="AS3" i="5"/>
  <c r="AG3" i="5"/>
  <c r="U3" i="5"/>
  <c r="J4" i="5"/>
  <c r="AJ3" i="5"/>
  <c r="X3" i="5"/>
  <c r="BK3" i="5"/>
  <c r="T15" i="5"/>
  <c r="AR15" i="5"/>
  <c r="BK15" i="5"/>
  <c r="W28" i="5"/>
  <c r="BK30" i="5"/>
  <c r="AF4" i="5"/>
  <c r="T4" i="5"/>
  <c r="H4" i="5"/>
  <c r="S4" i="5"/>
  <c r="AG4" i="5"/>
  <c r="BK10" i="5"/>
  <c r="BC10" i="5"/>
  <c r="AB15" i="5"/>
  <c r="AW15" i="5"/>
  <c r="BF3" i="5"/>
  <c r="AJ4" i="5"/>
  <c r="W3" i="5"/>
  <c r="BJ3" i="5"/>
  <c r="AA4" i="5"/>
  <c r="AN4" i="5"/>
  <c r="K3" i="5"/>
  <c r="AK3" i="5"/>
  <c r="BC5" i="5"/>
  <c r="AQ5" i="5"/>
  <c r="AE5" i="5"/>
  <c r="S5" i="5"/>
  <c r="G5" i="5"/>
  <c r="AG5" i="5"/>
  <c r="AT5" i="5"/>
  <c r="BG5" i="5"/>
  <c r="Y3" i="5"/>
  <c r="AL3" i="5"/>
  <c r="BL3" i="5"/>
  <c r="AC4" i="5"/>
  <c r="AH5" i="5"/>
  <c r="AQ7" i="5"/>
  <c r="T9" i="5"/>
  <c r="V15" i="5"/>
  <c r="AT15" i="5"/>
  <c r="Z28" i="5"/>
  <c r="BN30" i="5"/>
  <c r="U4" i="5"/>
  <c r="AG7" i="5"/>
  <c r="G3" i="5"/>
  <c r="AT3" i="5"/>
  <c r="BG3" i="5"/>
  <c r="K4" i="5"/>
  <c r="AK4" i="5"/>
  <c r="J3" i="5"/>
  <c r="AW3" i="5"/>
  <c r="N4" i="5"/>
  <c r="AX3" i="5"/>
  <c r="O4" i="5"/>
  <c r="AB4" i="5"/>
  <c r="T5" i="5"/>
  <c r="AA7" i="5"/>
  <c r="L3" i="5"/>
  <c r="AY3" i="5"/>
  <c r="P4" i="5"/>
  <c r="AP4" i="5"/>
  <c r="H5" i="5"/>
  <c r="U5" i="5"/>
  <c r="AU5" i="5"/>
  <c r="BH5" i="5"/>
  <c r="AZ9" i="5"/>
  <c r="AN9" i="5"/>
  <c r="BK9" i="5"/>
  <c r="AX9" i="5"/>
  <c r="K9" i="5"/>
  <c r="AH9" i="5"/>
  <c r="AS10" i="5"/>
  <c r="BL15" i="5"/>
  <c r="M3" i="5"/>
  <c r="Z3" i="5"/>
  <c r="AM3" i="5"/>
  <c r="AZ3" i="5"/>
  <c r="BM3" i="5"/>
  <c r="Q4" i="5"/>
  <c r="AD4" i="5"/>
  <c r="I5" i="5"/>
  <c r="V5" i="5"/>
  <c r="AI5" i="5"/>
  <c r="AV5" i="5"/>
  <c r="BI5" i="5"/>
  <c r="AD7" i="5"/>
  <c r="BF7" i="5"/>
  <c r="K8" i="5"/>
  <c r="Y8" i="5"/>
  <c r="U9" i="5"/>
  <c r="AT10" i="5"/>
  <c r="Z15" i="5"/>
  <c r="AU15" i="5"/>
  <c r="BM15" i="5"/>
  <c r="BL28" i="5"/>
  <c r="AE21" i="5"/>
  <c r="BB6" i="5"/>
  <c r="BC28" i="5"/>
  <c r="AQ28" i="5"/>
  <c r="AE28" i="5"/>
  <c r="S28" i="5"/>
  <c r="G28" i="5"/>
  <c r="BK28" i="5"/>
  <c r="AY28" i="5"/>
  <c r="AM28" i="5"/>
  <c r="AA28" i="5"/>
  <c r="O28" i="5"/>
  <c r="BG28" i="5"/>
  <c r="AS28" i="5"/>
  <c r="AD28" i="5"/>
  <c r="P28" i="5"/>
  <c r="BF28" i="5"/>
  <c r="AR28" i="5"/>
  <c r="BE28" i="5"/>
  <c r="AP28" i="5"/>
  <c r="AB28" i="5"/>
  <c r="M28" i="5"/>
  <c r="BB28" i="5"/>
  <c r="AN28" i="5"/>
  <c r="Y28" i="5"/>
  <c r="K28" i="5"/>
  <c r="X28" i="5"/>
  <c r="AU28" i="5"/>
  <c r="BN28" i="5"/>
  <c r="J28" i="5"/>
  <c r="AF28" i="5"/>
  <c r="AX28" i="5"/>
  <c r="BM31" i="5"/>
  <c r="BA31" i="5"/>
  <c r="BL31" i="5"/>
  <c r="AZ31" i="5"/>
  <c r="BJ31" i="5"/>
  <c r="AX31" i="5"/>
  <c r="BF31" i="5"/>
  <c r="AQ31" i="5"/>
  <c r="BE31" i="5"/>
  <c r="BB31" i="5"/>
  <c r="AW31" i="5"/>
  <c r="AV31" i="5"/>
  <c r="AU31" i="5"/>
  <c r="BN31" i="5"/>
  <c r="AS31" i="5"/>
  <c r="BH31" i="5"/>
  <c r="L28" i="5"/>
  <c r="AG28" i="5"/>
  <c r="AZ28" i="5"/>
  <c r="BI31" i="5"/>
  <c r="BJ42" i="5"/>
  <c r="BJ43" i="5" s="1"/>
  <c r="AX42" i="5"/>
  <c r="AX43" i="5" s="1"/>
  <c r="AL42" i="5"/>
  <c r="AL43" i="5" s="1"/>
  <c r="Z42" i="5"/>
  <c r="Z43" i="5" s="1"/>
  <c r="N42" i="5"/>
  <c r="N43" i="5" s="1"/>
  <c r="BC42" i="5"/>
  <c r="BC43" i="5" s="1"/>
  <c r="AQ42" i="5"/>
  <c r="AQ43" i="5" s="1"/>
  <c r="AE42" i="5"/>
  <c r="AE43" i="5" s="1"/>
  <c r="S42" i="5"/>
  <c r="S43" i="5" s="1"/>
  <c r="G42" i="5"/>
  <c r="G43" i="5" s="1"/>
  <c r="BE42" i="5"/>
  <c r="BE43" i="5" s="1"/>
  <c r="AP42" i="5"/>
  <c r="AP43" i="5" s="1"/>
  <c r="AB42" i="5"/>
  <c r="AB43" i="5" s="1"/>
  <c r="M42" i="5"/>
  <c r="M43" i="5" s="1"/>
  <c r="BD42" i="5"/>
  <c r="BD43" i="5" s="1"/>
  <c r="AO42" i="5"/>
  <c r="AO43" i="5" s="1"/>
  <c r="AA42" i="5"/>
  <c r="AA43" i="5" s="1"/>
  <c r="L42" i="5"/>
  <c r="L43" i="5" s="1"/>
  <c r="BA42" i="5"/>
  <c r="BA43" i="5" s="1"/>
  <c r="AM42" i="5"/>
  <c r="AM43" i="5" s="1"/>
  <c r="X42" i="5"/>
  <c r="X43" i="5" s="1"/>
  <c r="J42" i="5"/>
  <c r="J43" i="5" s="1"/>
  <c r="BH42" i="5"/>
  <c r="BH43" i="5" s="1"/>
  <c r="AN42" i="5"/>
  <c r="AN43" i="5" s="1"/>
  <c r="U42" i="5"/>
  <c r="U43" i="5" s="1"/>
  <c r="BG42" i="5"/>
  <c r="BG43" i="5" s="1"/>
  <c r="AK42" i="5"/>
  <c r="AK43" i="5" s="1"/>
  <c r="T42" i="5"/>
  <c r="T43" i="5" s="1"/>
  <c r="BB42" i="5"/>
  <c r="BB43" i="5" s="1"/>
  <c r="AI42" i="5"/>
  <c r="AI43" i="5" s="1"/>
  <c r="Q42" i="5"/>
  <c r="Q43" i="5" s="1"/>
  <c r="AZ42" i="5"/>
  <c r="AZ43" i="5" s="1"/>
  <c r="AH42" i="5"/>
  <c r="AH43" i="5" s="1"/>
  <c r="P42" i="5"/>
  <c r="P43" i="5" s="1"/>
  <c r="AY42" i="5"/>
  <c r="AY43" i="5" s="1"/>
  <c r="Y42" i="5"/>
  <c r="Y43" i="5" s="1"/>
  <c r="AW42" i="5"/>
  <c r="AW43" i="5" s="1"/>
  <c r="W42" i="5"/>
  <c r="W43" i="5" s="1"/>
  <c r="AV42" i="5"/>
  <c r="AV43" i="5" s="1"/>
  <c r="V42" i="5"/>
  <c r="V43" i="5" s="1"/>
  <c r="AU42" i="5"/>
  <c r="AU43" i="5" s="1"/>
  <c r="R42" i="5"/>
  <c r="R43" i="5" s="1"/>
  <c r="AT42" i="5"/>
  <c r="AT43" i="5" s="1"/>
  <c r="O42" i="5"/>
  <c r="O43" i="5" s="1"/>
  <c r="AS42" i="5"/>
  <c r="AS43" i="5" s="1"/>
  <c r="K42" i="5"/>
  <c r="K43" i="5" s="1"/>
  <c r="BN42" i="5"/>
  <c r="BN43" i="5" s="1"/>
  <c r="AR42" i="5"/>
  <c r="AR43" i="5" s="1"/>
  <c r="I42" i="5"/>
  <c r="I43" i="5" s="1"/>
  <c r="BM42" i="5"/>
  <c r="BM43" i="5" s="1"/>
  <c r="AJ42" i="5"/>
  <c r="AJ43" i="5" s="1"/>
  <c r="H42" i="5"/>
  <c r="H43" i="5" s="1"/>
  <c r="N28" i="5"/>
  <c r="AH28" i="5"/>
  <c r="BA28" i="5"/>
  <c r="BK31" i="5"/>
  <c r="BJ41" i="5"/>
  <c r="AC42" i="5"/>
  <c r="AC43" i="5" s="1"/>
  <c r="Q28" i="5"/>
  <c r="AI28" i="5"/>
  <c r="BD28" i="5"/>
  <c r="AD42" i="5"/>
  <c r="AD43" i="5" s="1"/>
  <c r="BC17" i="5"/>
  <c r="AQ17" i="5"/>
  <c r="AE17" i="5"/>
  <c r="S17" i="5"/>
  <c r="G17" i="5"/>
  <c r="T17" i="5"/>
  <c r="AG17" i="5"/>
  <c r="AT17" i="5"/>
  <c r="BG17" i="5"/>
  <c r="R28" i="5"/>
  <c r="AJ28" i="5"/>
  <c r="BH28" i="5"/>
  <c r="AF42" i="5"/>
  <c r="AF43" i="5" s="1"/>
  <c r="H17" i="5"/>
  <c r="U17" i="5"/>
  <c r="AH17" i="5"/>
  <c r="AU17" i="5"/>
  <c r="BH17" i="5"/>
  <c r="T28" i="5"/>
  <c r="AK28" i="5"/>
  <c r="BI28" i="5"/>
  <c r="AG42" i="5"/>
  <c r="AG43" i="5" s="1"/>
  <c r="BC53" i="5"/>
  <c r="AQ53" i="5"/>
  <c r="AE53" i="5"/>
  <c r="S53" i="5"/>
  <c r="G53" i="5"/>
  <c r="BI53" i="5"/>
  <c r="AW53" i="5"/>
  <c r="AK53" i="5"/>
  <c r="Y53" i="5"/>
  <c r="M53" i="5"/>
  <c r="BG53" i="5"/>
  <c r="AU53" i="5"/>
  <c r="AI53" i="5"/>
  <c r="W53" i="5"/>
  <c r="K53" i="5"/>
  <c r="BJ53" i="5"/>
  <c r="AS53" i="5"/>
  <c r="AC53" i="5"/>
  <c r="N53" i="5"/>
  <c r="BF53" i="5"/>
  <c r="AP53" i="5"/>
  <c r="AA53" i="5"/>
  <c r="J53" i="5"/>
  <c r="AZ53" i="5"/>
  <c r="AJ53" i="5"/>
  <c r="T53" i="5"/>
  <c r="BK53" i="5"/>
  <c r="AN53" i="5"/>
  <c r="R53" i="5"/>
  <c r="BH53" i="5"/>
  <c r="AM53" i="5"/>
  <c r="Q53" i="5"/>
  <c r="BE53" i="5"/>
  <c r="AL53" i="5"/>
  <c r="P53" i="5"/>
  <c r="BD53" i="5"/>
  <c r="AH53" i="5"/>
  <c r="O53" i="5"/>
  <c r="BB53" i="5"/>
  <c r="AG53" i="5"/>
  <c r="L53" i="5"/>
  <c r="AY53" i="5"/>
  <c r="AD53" i="5"/>
  <c r="H53" i="5"/>
  <c r="AV53" i="5"/>
  <c r="AT53" i="5"/>
  <c r="AR53" i="5"/>
  <c r="AO53" i="5"/>
  <c r="AF53" i="5"/>
  <c r="AB53" i="5"/>
  <c r="BN53" i="5"/>
  <c r="X53" i="5"/>
  <c r="U53" i="5"/>
  <c r="V53" i="5"/>
  <c r="Z53" i="5"/>
  <c r="AX53" i="5"/>
  <c r="BA53" i="5"/>
  <c r="R18" i="5"/>
  <c r="AD18" i="5"/>
  <c r="AP18" i="5"/>
  <c r="BB18" i="5"/>
  <c r="BL53" i="5"/>
  <c r="BN25" i="5"/>
  <c r="N29" i="5"/>
  <c r="Z29" i="5"/>
  <c r="AL29" i="5"/>
  <c r="S41" i="5"/>
  <c r="AK41" i="5"/>
  <c r="BC41" i="5"/>
  <c r="AD45" i="5"/>
  <c r="BF45" i="5"/>
  <c r="BD52" i="5"/>
  <c r="AR52" i="5"/>
  <c r="BJ52" i="5"/>
  <c r="AX52" i="5"/>
  <c r="BH52" i="5"/>
  <c r="AV52" i="5"/>
  <c r="BF52" i="5"/>
  <c r="BC52" i="5"/>
  <c r="BM52" i="5"/>
  <c r="AW52" i="5"/>
  <c r="BG52" i="5"/>
  <c r="BE52" i="5"/>
  <c r="BB52" i="5"/>
  <c r="BA52" i="5"/>
  <c r="AZ52" i="5"/>
  <c r="AU52" i="5"/>
  <c r="AY52" i="5"/>
  <c r="AF45" i="5"/>
  <c r="BK45" i="5"/>
  <c r="AY45" i="5"/>
  <c r="AM45" i="5"/>
  <c r="AA45" i="5"/>
  <c r="O45" i="5"/>
  <c r="BE45" i="5"/>
  <c r="AS45" i="5"/>
  <c r="AG45" i="5"/>
  <c r="U45" i="5"/>
  <c r="I45" i="5"/>
  <c r="BC45" i="5"/>
  <c r="AQ45" i="5"/>
  <c r="AE45" i="5"/>
  <c r="S45" i="5"/>
  <c r="G45" i="5"/>
  <c r="BG45" i="5"/>
  <c r="AP45" i="5"/>
  <c r="Z45" i="5"/>
  <c r="K45" i="5"/>
  <c r="BD45" i="5"/>
  <c r="AN45" i="5"/>
  <c r="X45" i="5"/>
  <c r="H45" i="5"/>
  <c r="BM45" i="5"/>
  <c r="AW45" i="5"/>
  <c r="AH45" i="5"/>
  <c r="Q45" i="5"/>
  <c r="AV45" i="5"/>
  <c r="AB45" i="5"/>
  <c r="AU45" i="5"/>
  <c r="Y45" i="5"/>
  <c r="BL45" i="5"/>
  <c r="AR45" i="5"/>
  <c r="V45" i="5"/>
  <c r="AI45" i="5"/>
  <c r="BI45" i="5"/>
  <c r="W41" i="5"/>
  <c r="AO41" i="5"/>
  <c r="J45" i="5"/>
  <c r="AJ45" i="5"/>
  <c r="BJ45" i="5"/>
  <c r="BL52" i="5"/>
  <c r="R29" i="5"/>
  <c r="AD29" i="5"/>
  <c r="AP29" i="5"/>
  <c r="BK41" i="5"/>
  <c r="AY41" i="5"/>
  <c r="AM41" i="5"/>
  <c r="AA41" i="5"/>
  <c r="O41" i="5"/>
  <c r="BD41" i="5"/>
  <c r="AR41" i="5"/>
  <c r="AF41" i="5"/>
  <c r="T41" i="5"/>
  <c r="H41" i="5"/>
  <c r="BH41" i="5"/>
  <c r="AT41" i="5"/>
  <c r="AE41" i="5"/>
  <c r="Q41" i="5"/>
  <c r="BG41" i="5"/>
  <c r="AS41" i="5"/>
  <c r="AD41" i="5"/>
  <c r="P41" i="5"/>
  <c r="BE41" i="5"/>
  <c r="AP41" i="5"/>
  <c r="AB41" i="5"/>
  <c r="M41" i="5"/>
  <c r="X41" i="5"/>
  <c r="AQ41" i="5"/>
  <c r="BL41" i="5"/>
  <c r="L45" i="5"/>
  <c r="AK45" i="5"/>
  <c r="BN45" i="5"/>
  <c r="BN52" i="5"/>
  <c r="X51" i="5"/>
  <c r="AR51" i="5"/>
  <c r="BE51" i="5"/>
  <c r="AS51" i="5"/>
  <c r="AG51" i="5"/>
  <c r="U51" i="5"/>
  <c r="I51" i="5"/>
  <c r="BK51" i="5"/>
  <c r="AY51" i="5"/>
  <c r="AM51" i="5"/>
  <c r="AA51" i="5"/>
  <c r="O51" i="5"/>
  <c r="BI51" i="5"/>
  <c r="AW51" i="5"/>
  <c r="AK51" i="5"/>
  <c r="Y51" i="5"/>
  <c r="M51" i="5"/>
  <c r="BC51" i="5"/>
  <c r="AN51" i="5"/>
  <c r="W51" i="5"/>
  <c r="G51" i="5"/>
  <c r="BA51" i="5"/>
  <c r="AJ51" i="5"/>
  <c r="T51" i="5"/>
  <c r="BJ51" i="5"/>
  <c r="AT51" i="5"/>
  <c r="AD51" i="5"/>
  <c r="N51" i="5"/>
  <c r="AB51" i="5"/>
  <c r="AV51" i="5"/>
  <c r="V49" i="5"/>
  <c r="AH50" i="5"/>
  <c r="V50" i="5"/>
  <c r="J50" i="5"/>
  <c r="AN50" i="5"/>
  <c r="AB50" i="5"/>
  <c r="P50" i="5"/>
  <c r="AL50" i="5"/>
  <c r="Z50" i="5"/>
  <c r="N50" i="5"/>
  <c r="AJ50" i="5"/>
  <c r="T50" i="5"/>
  <c r="AG50" i="5"/>
  <c r="R50" i="5"/>
  <c r="AA50" i="5"/>
  <c r="K50" i="5"/>
  <c r="Y50" i="5"/>
  <c r="H51" i="5"/>
  <c r="AC51" i="5"/>
  <c r="AX51" i="5"/>
  <c r="AE55" i="5"/>
  <c r="J51" i="5"/>
  <c r="AE51" i="5"/>
  <c r="AZ51" i="5"/>
  <c r="BM55" i="5"/>
  <c r="BA55" i="5"/>
  <c r="AO55" i="5"/>
  <c r="AC55" i="5"/>
  <c r="Q55" i="5"/>
  <c r="BH55" i="5"/>
  <c r="AV55" i="5"/>
  <c r="AJ55" i="5"/>
  <c r="X55" i="5"/>
  <c r="L55" i="5"/>
  <c r="BG55" i="5"/>
  <c r="AU55" i="5"/>
  <c r="AI55" i="5"/>
  <c r="W55" i="5"/>
  <c r="K55" i="5"/>
  <c r="BE55" i="5"/>
  <c r="AS55" i="5"/>
  <c r="AG55" i="5"/>
  <c r="U55" i="5"/>
  <c r="I55" i="5"/>
  <c r="BD55" i="5"/>
  <c r="AM55" i="5"/>
  <c r="T55" i="5"/>
  <c r="BC55" i="5"/>
  <c r="AL55" i="5"/>
  <c r="S55" i="5"/>
  <c r="BB55" i="5"/>
  <c r="AK55" i="5"/>
  <c r="R55" i="5"/>
  <c r="AZ55" i="5"/>
  <c r="AH55" i="5"/>
  <c r="P55" i="5"/>
  <c r="BL55" i="5"/>
  <c r="AT55" i="5"/>
  <c r="AB55" i="5"/>
  <c r="J55" i="5"/>
  <c r="AF55" i="5"/>
  <c r="BN55" i="5"/>
  <c r="BG49" i="5"/>
  <c r="AU49" i="5"/>
  <c r="AI49" i="5"/>
  <c r="W49" i="5"/>
  <c r="K49" i="5"/>
  <c r="BM49" i="5"/>
  <c r="BA49" i="5"/>
  <c r="AO49" i="5"/>
  <c r="AC49" i="5"/>
  <c r="Q49" i="5"/>
  <c r="BK49" i="5"/>
  <c r="AY49" i="5"/>
  <c r="AM49" i="5"/>
  <c r="AA49" i="5"/>
  <c r="O49" i="5"/>
  <c r="BN49" i="5"/>
  <c r="AW49" i="5"/>
  <c r="AG49" i="5"/>
  <c r="R49" i="5"/>
  <c r="BJ49" i="5"/>
  <c r="AT49" i="5"/>
  <c r="AE49" i="5"/>
  <c r="N49" i="5"/>
  <c r="BD49" i="5"/>
  <c r="AN49" i="5"/>
  <c r="X49" i="5"/>
  <c r="H49" i="5"/>
  <c r="Z49" i="5"/>
  <c r="AV49" i="5"/>
  <c r="H50" i="5"/>
  <c r="AD50" i="5"/>
  <c r="K51" i="5"/>
  <c r="AF51" i="5"/>
  <c r="BB51" i="5"/>
  <c r="G55" i="5"/>
  <c r="AN55" i="5"/>
  <c r="BL56" i="5"/>
  <c r="AZ56" i="5"/>
  <c r="BG56" i="5"/>
  <c r="AU56" i="5"/>
  <c r="BF56" i="5"/>
  <c r="AT56" i="5"/>
  <c r="BD56" i="5"/>
  <c r="AR56" i="5"/>
  <c r="AX56" i="5"/>
  <c r="BN56" i="5"/>
  <c r="AW56" i="5"/>
  <c r="BM56" i="5"/>
  <c r="AV56" i="5"/>
  <c r="BK56" i="5"/>
  <c r="AS56" i="5"/>
  <c r="BE56" i="5"/>
  <c r="G49" i="5"/>
  <c r="AB49" i="5"/>
  <c r="AX49" i="5"/>
  <c r="I50" i="5"/>
  <c r="AE50" i="5"/>
  <c r="L51" i="5"/>
  <c r="AH51" i="5"/>
  <c r="BD51" i="5"/>
  <c r="H55" i="5"/>
  <c r="AP55" i="5"/>
  <c r="BF43" i="5"/>
  <c r="BI47" i="5"/>
  <c r="AW47" i="5"/>
  <c r="AK47" i="5"/>
  <c r="Y47" i="5"/>
  <c r="M47" i="5"/>
  <c r="BC47" i="5"/>
  <c r="AQ47" i="5"/>
  <c r="AE47" i="5"/>
  <c r="S47" i="5"/>
  <c r="G47" i="5"/>
  <c r="BM47" i="5"/>
  <c r="BA47" i="5"/>
  <c r="AO47" i="5"/>
  <c r="AC47" i="5"/>
  <c r="Q47" i="5"/>
  <c r="V47" i="5"/>
  <c r="AL47" i="5"/>
  <c r="BB47" i="5"/>
  <c r="U54" i="5"/>
  <c r="AL54" i="5"/>
  <c r="N57" i="5"/>
  <c r="AF57" i="5"/>
  <c r="BJ58" i="5"/>
  <c r="X58" i="5"/>
  <c r="AT58" i="5"/>
  <c r="BE58" i="5"/>
  <c r="AS58" i="5"/>
  <c r="AG58" i="5"/>
  <c r="U58" i="5"/>
  <c r="I58" i="5"/>
  <c r="AH54" i="5"/>
  <c r="V54" i="5"/>
  <c r="J54" i="5"/>
  <c r="BM58" i="5"/>
  <c r="BA58" i="5"/>
  <c r="AO58" i="5"/>
  <c r="AC58" i="5"/>
  <c r="J44" i="5"/>
  <c r="J21" i="5" s="1"/>
  <c r="M54" i="5"/>
  <c r="AB54" i="5"/>
  <c r="W57" i="5"/>
  <c r="AN57" i="5"/>
  <c r="BG57" i="5"/>
  <c r="M58" i="5"/>
  <c r="AH58" i="5"/>
  <c r="AZ58" i="5"/>
  <c r="O47" i="5"/>
  <c r="AF47" i="5"/>
  <c r="AU47" i="5"/>
  <c r="BK47" i="5"/>
  <c r="O54" i="5"/>
  <c r="AE54" i="5"/>
  <c r="BK57" i="5"/>
  <c r="AY57" i="5"/>
  <c r="AM57" i="5"/>
  <c r="AA57" i="5"/>
  <c r="O57" i="5"/>
  <c r="BF57" i="5"/>
  <c r="AT57" i="5"/>
  <c r="AH57" i="5"/>
  <c r="V57" i="5"/>
  <c r="J57" i="5"/>
  <c r="BE57" i="5"/>
  <c r="AS57" i="5"/>
  <c r="AG57" i="5"/>
  <c r="U57" i="5"/>
  <c r="I57" i="5"/>
  <c r="BC57" i="5"/>
  <c r="AQ57" i="5"/>
  <c r="AE57" i="5"/>
  <c r="S57" i="5"/>
  <c r="G57" i="5"/>
  <c r="Y57" i="5"/>
  <c r="AP57" i="5"/>
  <c r="BI57" i="5"/>
  <c r="P58" i="5"/>
  <c r="AJ58" i="5"/>
  <c r="BF58" i="5"/>
  <c r="R46" i="5"/>
  <c r="AD46" i="5"/>
  <c r="AP46" i="5"/>
  <c r="R58" i="5"/>
  <c r="AD58" i="5"/>
  <c r="AP58" i="5"/>
  <c r="BB58" i="5"/>
  <c r="BN58" i="5"/>
  <c r="H46" i="5"/>
  <c r="T46" i="5"/>
  <c r="AF46" i="5"/>
  <c r="BB48" i="5"/>
  <c r="BN48" i="5"/>
  <c r="L54" i="5"/>
  <c r="X54" i="5"/>
  <c r="AJ54" i="5"/>
  <c r="H58" i="5"/>
  <c r="T58" i="5"/>
  <c r="AF58" i="5"/>
  <c r="AR58" i="5"/>
  <c r="BD58" i="5"/>
  <c r="N46" i="5"/>
  <c r="Z46" i="5"/>
  <c r="AL46" i="5"/>
  <c r="AV48" i="5"/>
  <c r="R54" i="5"/>
  <c r="AD54" i="5"/>
  <c r="AP54" i="5"/>
  <c r="N58" i="5"/>
  <c r="Z58" i="5"/>
  <c r="AL58" i="5"/>
  <c r="AX58" i="5"/>
  <c r="AV9" i="5" l="1"/>
  <c r="AV8" i="5" s="1"/>
  <c r="M8" i="5"/>
  <c r="P7" i="5"/>
  <c r="BN9" i="5"/>
  <c r="AK7" i="5"/>
  <c r="M9" i="5"/>
  <c r="BN10" i="5"/>
  <c r="AV10" i="5"/>
  <c r="AK9" i="5"/>
  <c r="P8" i="5"/>
  <c r="AB7" i="5"/>
  <c r="AB10" i="5" s="1"/>
  <c r="BI7" i="5"/>
  <c r="AN7" i="5"/>
  <c r="AB9" i="5"/>
  <c r="S22" i="5"/>
  <c r="S23" i="5" s="1"/>
  <c r="BD10" i="5"/>
  <c r="BD7" i="5"/>
  <c r="U22" i="5"/>
  <c r="U23" i="5" s="1"/>
  <c r="U24" i="5" s="1"/>
  <c r="AY46" i="5"/>
  <c r="AC9" i="5"/>
  <c r="AC10" i="5" s="1"/>
  <c r="G8" i="5"/>
  <c r="G9" i="5"/>
  <c r="U19" i="5"/>
  <c r="U20" i="5" s="1"/>
  <c r="AC7" i="5"/>
  <c r="AO7" i="5"/>
  <c r="AO8" i="5"/>
  <c r="H8" i="5"/>
  <c r="H10" i="5" s="1"/>
  <c r="O7" i="5"/>
  <c r="BG22" i="5"/>
  <c r="BG23" i="5" s="1"/>
  <c r="AU9" i="5"/>
  <c r="AL7" i="5"/>
  <c r="AL10" i="5" s="1"/>
  <c r="O8" i="5"/>
  <c r="AL9" i="5"/>
  <c r="AI52" i="5"/>
  <c r="AU7" i="5"/>
  <c r="H9" i="5"/>
  <c r="AQ10" i="5"/>
  <c r="N8" i="5"/>
  <c r="AM7" i="5"/>
  <c r="N7" i="5"/>
  <c r="AM9" i="5"/>
  <c r="W22" i="5"/>
  <c r="W23" i="5" s="1"/>
  <c r="AY9" i="5"/>
  <c r="BB7" i="5"/>
  <c r="BB8" i="5" s="1"/>
  <c r="BB10" i="5"/>
  <c r="AR7" i="5"/>
  <c r="AY7" i="5"/>
  <c r="AR10" i="5"/>
  <c r="AW7" i="5"/>
  <c r="AW10" i="5"/>
  <c r="BI10" i="5"/>
  <c r="AI8" i="5"/>
  <c r="BM10" i="5"/>
  <c r="AI9" i="5"/>
  <c r="AI10" i="5" s="1"/>
  <c r="BF14" i="5"/>
  <c r="V56" i="5"/>
  <c r="X9" i="5"/>
  <c r="I32" i="5"/>
  <c r="I33" i="5" s="1"/>
  <c r="R22" i="5"/>
  <c r="R23" i="5" s="1"/>
  <c r="AZ4" i="5"/>
  <c r="X7" i="5"/>
  <c r="R19" i="5"/>
  <c r="R20" i="5" s="1"/>
  <c r="AU19" i="5"/>
  <c r="AU20" i="5" s="1"/>
  <c r="AU25" i="5"/>
  <c r="AU26" i="5" s="1"/>
  <c r="AL52" i="5"/>
  <c r="K32" i="5"/>
  <c r="K33" i="5" s="1"/>
  <c r="BI25" i="5"/>
  <c r="BI26" i="5" s="1"/>
  <c r="BI27" i="5" s="1"/>
  <c r="BI20" i="5"/>
  <c r="BL9" i="5"/>
  <c r="X21" i="5"/>
  <c r="X19" i="5"/>
  <c r="X20" i="5" s="1"/>
  <c r="Y21" i="5"/>
  <c r="AA11" i="5"/>
  <c r="AQ25" i="5"/>
  <c r="AQ26" i="5" s="1"/>
  <c r="AQ27" i="5" s="1"/>
  <c r="Y19" i="5"/>
  <c r="Y20" i="5" s="1"/>
  <c r="N10" i="5"/>
  <c r="BL10" i="5"/>
  <c r="AG34" i="5"/>
  <c r="X31" i="5"/>
  <c r="AA13" i="5"/>
  <c r="BH13" i="5"/>
  <c r="I10" i="5"/>
  <c r="AA10" i="5"/>
  <c r="AQ19" i="5"/>
  <c r="AQ20" i="5" s="1"/>
  <c r="K56" i="5"/>
  <c r="BG20" i="5"/>
  <c r="L8" i="5"/>
  <c r="L7" i="5"/>
  <c r="M19" i="5"/>
  <c r="M20" i="5" s="1"/>
  <c r="M21" i="5"/>
  <c r="AT22" i="5"/>
  <c r="AT23" i="5" s="1"/>
  <c r="AT24" i="5" s="1"/>
  <c r="BA7" i="5"/>
  <c r="BC25" i="5"/>
  <c r="BC26" i="5" s="1"/>
  <c r="BC27" i="5" s="1"/>
  <c r="BA9" i="5"/>
  <c r="AT25" i="5"/>
  <c r="AT26" i="5" s="1"/>
  <c r="AT27" i="5" s="1"/>
  <c r="BC20" i="5"/>
  <c r="AO6" i="5"/>
  <c r="AN6" i="5"/>
  <c r="AP9" i="5"/>
  <c r="AP7" i="5"/>
  <c r="BJ54" i="5"/>
  <c r="BH7" i="5"/>
  <c r="BH10" i="5"/>
  <c r="BE4" i="5"/>
  <c r="AR4" i="5"/>
  <c r="BI35" i="5"/>
  <c r="BF11" i="5"/>
  <c r="AS50" i="5"/>
  <c r="AU38" i="5"/>
  <c r="AU39" i="5" s="1"/>
  <c r="BJ10" i="5"/>
  <c r="I21" i="5"/>
  <c r="BE10" i="5"/>
  <c r="BF20" i="5"/>
  <c r="I22" i="5"/>
  <c r="I23" i="5" s="1"/>
  <c r="BA25" i="5"/>
  <c r="BA26" i="5" s="1"/>
  <c r="BA27" i="5" s="1"/>
  <c r="L11" i="5"/>
  <c r="BE7" i="5"/>
  <c r="Z9" i="5"/>
  <c r="BA22" i="5"/>
  <c r="BA23" i="5" s="1"/>
  <c r="BA24" i="5" s="1"/>
  <c r="BH25" i="5"/>
  <c r="BH26" i="5" s="1"/>
  <c r="Z8" i="5"/>
  <c r="BF25" i="5"/>
  <c r="BF26" i="5" s="1"/>
  <c r="BF27" i="5" s="1"/>
  <c r="BJ9" i="5"/>
  <c r="BH20" i="5"/>
  <c r="BJ46" i="5"/>
  <c r="W48" i="5"/>
  <c r="AN21" i="5"/>
  <c r="W10" i="5"/>
  <c r="AR27" i="5"/>
  <c r="AJ31" i="5"/>
  <c r="AJ48" i="5"/>
  <c r="AN22" i="5"/>
  <c r="AN23" i="5" s="1"/>
  <c r="S21" i="5"/>
  <c r="BM4" i="5"/>
  <c r="AR22" i="5"/>
  <c r="AR23" i="5" s="1"/>
  <c r="AR19" i="5"/>
  <c r="AR20" i="5" s="1"/>
  <c r="U13" i="5"/>
  <c r="K19" i="5"/>
  <c r="K20" i="5" s="1"/>
  <c r="AK13" i="5"/>
  <c r="AU13" i="5"/>
  <c r="BB38" i="5"/>
  <c r="BB39" i="5" s="1"/>
  <c r="K21" i="5"/>
  <c r="L13" i="5"/>
  <c r="AJ13" i="5"/>
  <c r="BB35" i="5"/>
  <c r="BB36" i="5" s="1"/>
  <c r="BB37" i="5" s="1"/>
  <c r="AJ8" i="5"/>
  <c r="AJ10" i="5" s="1"/>
  <c r="U35" i="5"/>
  <c r="U36" i="5" s="1"/>
  <c r="U37" i="5" s="1"/>
  <c r="AP31" i="5"/>
  <c r="BN13" i="5"/>
  <c r="BL50" i="5"/>
  <c r="AY19" i="5"/>
  <c r="AQ54" i="5"/>
  <c r="AY22" i="5"/>
  <c r="AY23" i="5" s="1"/>
  <c r="AY24" i="5" s="1"/>
  <c r="AK22" i="5"/>
  <c r="AK23" i="5" s="1"/>
  <c r="U52" i="5"/>
  <c r="AF32" i="5"/>
  <c r="AF33" i="5" s="1"/>
  <c r="Z21" i="5"/>
  <c r="AO21" i="5"/>
  <c r="G6" i="5"/>
  <c r="AH48" i="5"/>
  <c r="AO19" i="5"/>
  <c r="AO20" i="5" s="1"/>
  <c r="N56" i="5"/>
  <c r="AK21" i="5"/>
  <c r="O52" i="5"/>
  <c r="AW50" i="5"/>
  <c r="AZ14" i="5"/>
  <c r="AQ50" i="5"/>
  <c r="AM21" i="5"/>
  <c r="G19" i="5"/>
  <c r="G20" i="5" s="1"/>
  <c r="N22" i="5"/>
  <c r="N23" i="5" s="1"/>
  <c r="N24" i="5" s="1"/>
  <c r="BC4" i="5"/>
  <c r="BG9" i="5"/>
  <c r="AM22" i="5"/>
  <c r="AM23" i="5" s="1"/>
  <c r="AM24" i="5" s="1"/>
  <c r="R10" i="5"/>
  <c r="AO48" i="5"/>
  <c r="AY4" i="5"/>
  <c r="J6" i="5"/>
  <c r="AP11" i="5"/>
  <c r="BH50" i="5"/>
  <c r="AW8" i="5"/>
  <c r="N19" i="5"/>
  <c r="N20" i="5" s="1"/>
  <c r="X52" i="5"/>
  <c r="I48" i="5"/>
  <c r="AK34" i="5"/>
  <c r="BG10" i="5"/>
  <c r="G22" i="5"/>
  <c r="G23" i="5" s="1"/>
  <c r="G24" i="5" s="1"/>
  <c r="AS46" i="5"/>
  <c r="P52" i="5"/>
  <c r="AP52" i="5"/>
  <c r="L52" i="5"/>
  <c r="BK4" i="5"/>
  <c r="O19" i="5"/>
  <c r="O20" i="5" s="1"/>
  <c r="BA46" i="5"/>
  <c r="AW22" i="5"/>
  <c r="AW23" i="5" s="1"/>
  <c r="BB22" i="5"/>
  <c r="BB23" i="5" s="1"/>
  <c r="BB24" i="5" s="1"/>
  <c r="AE10" i="5"/>
  <c r="L19" i="5"/>
  <c r="L20" i="5" s="1"/>
  <c r="AB19" i="5"/>
  <c r="AB20" i="5" s="1"/>
  <c r="AI48" i="5"/>
  <c r="AF31" i="5"/>
  <c r="O21" i="5"/>
  <c r="X48" i="5"/>
  <c r="AH31" i="5"/>
  <c r="K48" i="5"/>
  <c r="AB22" i="5"/>
  <c r="AB23" i="5" s="1"/>
  <c r="AB24" i="5" s="1"/>
  <c r="Q52" i="5"/>
  <c r="L21" i="5"/>
  <c r="AT29" i="5"/>
  <c r="AW19" i="5"/>
  <c r="AW20" i="5" s="1"/>
  <c r="AB48" i="5"/>
  <c r="BB25" i="5"/>
  <c r="BB26" i="5" s="1"/>
  <c r="BB27" i="5" s="1"/>
  <c r="BD8" i="5"/>
  <c r="BB29" i="5"/>
  <c r="Y56" i="5"/>
  <c r="AC22" i="5"/>
  <c r="AC23" i="5" s="1"/>
  <c r="AC24" i="5" s="1"/>
  <c r="AF56" i="5"/>
  <c r="BH46" i="5"/>
  <c r="Y11" i="5"/>
  <c r="AS4" i="5"/>
  <c r="BM22" i="5"/>
  <c r="BM23" i="5" s="1"/>
  <c r="AC19" i="5"/>
  <c r="AC20" i="5" s="1"/>
  <c r="AN31" i="5"/>
  <c r="R6" i="5"/>
  <c r="AG31" i="5"/>
  <c r="BI29" i="5"/>
  <c r="BN8" i="5"/>
  <c r="BM20" i="5"/>
  <c r="AN52" i="5"/>
  <c r="AK31" i="5"/>
  <c r="L6" i="5"/>
  <c r="M10" i="5"/>
  <c r="H22" i="5"/>
  <c r="H23" i="5" s="1"/>
  <c r="H24" i="5" s="1"/>
  <c r="AY50" i="5"/>
  <c r="AR46" i="5"/>
  <c r="AN48" i="5"/>
  <c r="H19" i="5"/>
  <c r="H20" i="5" s="1"/>
  <c r="M48" i="5"/>
  <c r="BD46" i="5"/>
  <c r="BF54" i="5"/>
  <c r="AU46" i="5"/>
  <c r="BE46" i="5"/>
  <c r="AB6" i="5"/>
  <c r="AP22" i="5"/>
  <c r="AJ52" i="5"/>
  <c r="N52" i="5"/>
  <c r="Y52" i="5"/>
  <c r="AU4" i="5"/>
  <c r="BF4" i="5"/>
  <c r="S10" i="5"/>
  <c r="S52" i="5"/>
  <c r="P56" i="5"/>
  <c r="Z52" i="5"/>
  <c r="BE50" i="5"/>
  <c r="AC6" i="5"/>
  <c r="AP19" i="5"/>
  <c r="AP20" i="5" s="1"/>
  <c r="I56" i="5"/>
  <c r="BN4" i="5"/>
  <c r="BG38" i="5"/>
  <c r="BG39" i="5" s="1"/>
  <c r="K52" i="5"/>
  <c r="AK52" i="5"/>
  <c r="AO10" i="5"/>
  <c r="BB4" i="5"/>
  <c r="AI22" i="5"/>
  <c r="AI23" i="5" s="1"/>
  <c r="AI24" i="5" s="1"/>
  <c r="AX46" i="5"/>
  <c r="BF50" i="5"/>
  <c r="AZ29" i="5"/>
  <c r="AI19" i="5"/>
  <c r="AI20" i="5" s="1"/>
  <c r="BD4" i="5"/>
  <c r="AA19" i="5"/>
  <c r="AA20" i="5" s="1"/>
  <c r="AA56" i="5"/>
  <c r="BN50" i="5"/>
  <c r="AK35" i="5"/>
  <c r="AK36" i="5" s="1"/>
  <c r="AV46" i="5"/>
  <c r="AA48" i="5"/>
  <c r="AY54" i="5"/>
  <c r="AC56" i="5"/>
  <c r="BI54" i="5"/>
  <c r="BA29" i="5"/>
  <c r="BG4" i="5"/>
  <c r="AI31" i="5"/>
  <c r="AV4" i="5"/>
  <c r="BI8" i="5"/>
  <c r="BA4" i="5"/>
  <c r="BL20" i="5"/>
  <c r="H52" i="5"/>
  <c r="L56" i="5"/>
  <c r="G56" i="5"/>
  <c r="O32" i="5"/>
  <c r="O33" i="5" s="1"/>
  <c r="AE34" i="5"/>
  <c r="AL19" i="5"/>
  <c r="AL20" i="5" s="1"/>
  <c r="AT46" i="5"/>
  <c r="AU50" i="5"/>
  <c r="S56" i="5"/>
  <c r="N31" i="5"/>
  <c r="AN34" i="5"/>
  <c r="O10" i="5"/>
  <c r="BJ4" i="5"/>
  <c r="BH4" i="5"/>
  <c r="AF10" i="5"/>
  <c r="W19" i="5"/>
  <c r="W20" i="5" s="1"/>
  <c r="AQ4" i="5"/>
  <c r="AM52" i="5"/>
  <c r="BG50" i="5"/>
  <c r="J52" i="5"/>
  <c r="O34" i="5"/>
  <c r="AH10" i="5"/>
  <c r="O6" i="5"/>
  <c r="AG10" i="5"/>
  <c r="X24" i="5"/>
  <c r="Q10" i="5"/>
  <c r="Q20" i="5"/>
  <c r="O23" i="5"/>
  <c r="O24" i="5" s="1"/>
  <c r="L31" i="5"/>
  <c r="AA21" i="5"/>
  <c r="AV54" i="5"/>
  <c r="BF46" i="5"/>
  <c r="AO34" i="5"/>
  <c r="W56" i="5"/>
  <c r="AT14" i="5"/>
  <c r="AR11" i="5"/>
  <c r="BN46" i="5"/>
  <c r="AI56" i="5"/>
  <c r="BM54" i="5"/>
  <c r="AJ56" i="5"/>
  <c r="G31" i="5"/>
  <c r="Q21" i="5"/>
  <c r="AC11" i="5"/>
  <c r="AM6" i="5"/>
  <c r="BM8" i="5"/>
  <c r="J10" i="5"/>
  <c r="AT50" i="5"/>
  <c r="AC48" i="5"/>
  <c r="L48" i="5"/>
  <c r="J32" i="5"/>
  <c r="J33" i="5" s="1"/>
  <c r="AX4" i="5"/>
  <c r="Q22" i="5"/>
  <c r="Q23" i="5" s="1"/>
  <c r="AL48" i="5"/>
  <c r="AX50" i="5"/>
  <c r="BB50" i="5"/>
  <c r="AE52" i="5"/>
  <c r="Q35" i="5"/>
  <c r="Q36" i="5" s="1"/>
  <c r="S31" i="5"/>
  <c r="X6" i="5"/>
  <c r="Z22" i="5"/>
  <c r="Z23" i="5" s="1"/>
  <c r="Z24" i="5" s="1"/>
  <c r="U10" i="5"/>
  <c r="I31" i="5"/>
  <c r="M31" i="5"/>
  <c r="AO31" i="5"/>
  <c r="BN54" i="5"/>
  <c r="U48" i="5"/>
  <c r="W32" i="5"/>
  <c r="W33" i="5" s="1"/>
  <c r="BN29" i="5"/>
  <c r="AE31" i="5"/>
  <c r="P10" i="5"/>
  <c r="AP6" i="5"/>
  <c r="AL6" i="5"/>
  <c r="W31" i="5"/>
  <c r="AZ22" i="5"/>
  <c r="AZ23" i="5" s="1"/>
  <c r="AL22" i="5"/>
  <c r="AL23" i="5" s="1"/>
  <c r="AL24" i="5" s="1"/>
  <c r="AH52" i="5"/>
  <c r="G52" i="5"/>
  <c r="M52" i="5"/>
  <c r="AG52" i="5"/>
  <c r="BL46" i="5"/>
  <c r="AG48" i="5"/>
  <c r="Q32" i="5"/>
  <c r="Q33" i="5" s="1"/>
  <c r="P31" i="5"/>
  <c r="Y6" i="5"/>
  <c r="AZ19" i="5"/>
  <c r="AZ20" i="5" s="1"/>
  <c r="AV26" i="5"/>
  <c r="AV27" i="5" s="1"/>
  <c r="AZ26" i="5"/>
  <c r="AZ27" i="5" s="1"/>
  <c r="BF23" i="5"/>
  <c r="BF24" i="5" s="1"/>
  <c r="R48" i="5"/>
  <c r="AD19" i="5"/>
  <c r="AD20" i="5" s="1"/>
  <c r="BH36" i="5"/>
  <c r="BH37" i="5" s="1"/>
  <c r="BB54" i="5"/>
  <c r="BK54" i="5"/>
  <c r="BD33" i="5"/>
  <c r="K31" i="5"/>
  <c r="AF21" i="5"/>
  <c r="AY13" i="5"/>
  <c r="BK8" i="5"/>
  <c r="P6" i="5"/>
  <c r="AD22" i="5"/>
  <c r="AD23" i="5" s="1"/>
  <c r="AX22" i="5"/>
  <c r="AX23" i="5" s="1"/>
  <c r="AX24" i="5" s="1"/>
  <c r="J11" i="5"/>
  <c r="S6" i="5"/>
  <c r="AX8" i="5"/>
  <c r="AT11" i="5"/>
  <c r="T19" i="5"/>
  <c r="BD25" i="5"/>
  <c r="BD26" i="5" s="1"/>
  <c r="AX26" i="5"/>
  <c r="AX27" i="5" s="1"/>
  <c r="J35" i="5"/>
  <c r="J36" i="5" s="1"/>
  <c r="J34" i="5"/>
  <c r="BK25" i="5"/>
  <c r="BK26" i="5" s="1"/>
  <c r="BK27" i="5" s="1"/>
  <c r="Y32" i="5"/>
  <c r="Y33" i="5" s="1"/>
  <c r="L34" i="5"/>
  <c r="Y34" i="5"/>
  <c r="Y31" i="5"/>
  <c r="N6" i="5"/>
  <c r="Z31" i="5"/>
  <c r="W6" i="5"/>
  <c r="P22" i="5"/>
  <c r="P23" i="5" s="1"/>
  <c r="T22" i="5"/>
  <c r="BJ22" i="5"/>
  <c r="BJ23" i="5" s="1"/>
  <c r="AK10" i="5"/>
  <c r="BD20" i="5"/>
  <c r="N48" i="5"/>
  <c r="AU27" i="5"/>
  <c r="BL26" i="5"/>
  <c r="BL27" i="5" s="1"/>
  <c r="AP48" i="5"/>
  <c r="AH23" i="5"/>
  <c r="AH24" i="5" s="1"/>
  <c r="J31" i="5"/>
  <c r="K10" i="5"/>
  <c r="U11" i="5"/>
  <c r="U14" i="5" s="1"/>
  <c r="AG19" i="5"/>
  <c r="AG20" i="5" s="1"/>
  <c r="AG21" i="5"/>
  <c r="BE25" i="5"/>
  <c r="BE26" i="5" s="1"/>
  <c r="BE27" i="5" s="1"/>
  <c r="BL22" i="5"/>
  <c r="BL23" i="5" s="1"/>
  <c r="BL24" i="5" s="1"/>
  <c r="BG27" i="5"/>
  <c r="Y48" i="5"/>
  <c r="AA6" i="5"/>
  <c r="BG46" i="5"/>
  <c r="AM34" i="5"/>
  <c r="O31" i="5"/>
  <c r="V21" i="5"/>
  <c r="AG12" i="5"/>
  <c r="AW4" i="5"/>
  <c r="AZ50" i="5"/>
  <c r="V52" i="5"/>
  <c r="L35" i="5"/>
  <c r="L36" i="5" s="1"/>
  <c r="AM48" i="5"/>
  <c r="AO56" i="5"/>
  <c r="AZ54" i="5"/>
  <c r="AW32" i="5"/>
  <c r="AW33" i="5" s="1"/>
  <c r="AH21" i="5"/>
  <c r="P21" i="5"/>
  <c r="V13" i="5"/>
  <c r="AN10" i="5"/>
  <c r="K24" i="5"/>
  <c r="T10" i="5"/>
  <c r="AX19" i="5"/>
  <c r="AX20" i="5" s="1"/>
  <c r="V10" i="5"/>
  <c r="AY11" i="5"/>
  <c r="K11" i="5"/>
  <c r="BD22" i="5"/>
  <c r="BD23" i="5" s="1"/>
  <c r="BD24" i="5" s="1"/>
  <c r="AN56" i="5"/>
  <c r="BH32" i="5"/>
  <c r="BH33" i="5" s="1"/>
  <c r="AE56" i="5"/>
  <c r="AF52" i="5"/>
  <c r="BJ50" i="5"/>
  <c r="R31" i="5"/>
  <c r="S48" i="5"/>
  <c r="AP34" i="5"/>
  <c r="AD21" i="5"/>
  <c r="Y13" i="5"/>
  <c r="AF22" i="5"/>
  <c r="AF23" i="5" s="1"/>
  <c r="AF24" i="5" s="1"/>
  <c r="BL4" i="5"/>
  <c r="AS22" i="5"/>
  <c r="AJ22" i="5"/>
  <c r="AJ23" i="5" s="1"/>
  <c r="AJ24" i="5" s="1"/>
  <c r="BM29" i="5"/>
  <c r="AC31" i="5"/>
  <c r="Q31" i="5"/>
  <c r="AS8" i="5"/>
  <c r="BJ29" i="5"/>
  <c r="V12" i="5"/>
  <c r="AY27" i="5"/>
  <c r="R56" i="5"/>
  <c r="AL31" i="5"/>
  <c r="T48" i="5"/>
  <c r="AD56" i="5"/>
  <c r="AO52" i="5"/>
  <c r="T56" i="5"/>
  <c r="AH56" i="5"/>
  <c r="AD52" i="5"/>
  <c r="BA50" i="5"/>
  <c r="AM56" i="5"/>
  <c r="Y36" i="5"/>
  <c r="Y37" i="5" s="1"/>
  <c r="AW46" i="5"/>
  <c r="BK46" i="5"/>
  <c r="AL56" i="5"/>
  <c r="M56" i="5"/>
  <c r="AM13" i="5"/>
  <c r="AD6" i="5"/>
  <c r="AK6" i="5"/>
  <c r="L23" i="5"/>
  <c r="L24" i="5" s="1"/>
  <c r="BE22" i="5"/>
  <c r="BE23" i="5" s="1"/>
  <c r="V22" i="5"/>
  <c r="V23" i="5" s="1"/>
  <c r="V24" i="5" s="1"/>
  <c r="AV22" i="5"/>
  <c r="AV23" i="5" s="1"/>
  <c r="BI4" i="5"/>
  <c r="BK20" i="5"/>
  <c r="K12" i="5"/>
  <c r="BL54" i="5"/>
  <c r="AO11" i="5"/>
  <c r="AG56" i="5"/>
  <c r="J48" i="5"/>
  <c r="I52" i="5"/>
  <c r="T52" i="5"/>
  <c r="W52" i="5"/>
  <c r="BI46" i="5"/>
  <c r="BM46" i="5"/>
  <c r="AF48" i="5"/>
  <c r="AD48" i="5"/>
  <c r="AD34" i="5"/>
  <c r="AX29" i="5"/>
  <c r="M11" i="5"/>
  <c r="BF8" i="5"/>
  <c r="K6" i="5"/>
  <c r="U6" i="5"/>
  <c r="AE24" i="5"/>
  <c r="AE25" i="5" s="1"/>
  <c r="BH24" i="5"/>
  <c r="AZ8" i="5"/>
  <c r="G10" i="5"/>
  <c r="H31" i="5"/>
  <c r="AJ19" i="5"/>
  <c r="AJ20" i="5" s="1"/>
  <c r="BJ25" i="5"/>
  <c r="BJ26" i="5" s="1"/>
  <c r="BJ27" i="5" s="1"/>
  <c r="AW27" i="5"/>
  <c r="P48" i="5"/>
  <c r="BH54" i="5"/>
  <c r="AS19" i="5"/>
  <c r="AS20" i="5" s="1"/>
  <c r="AS26" i="5"/>
  <c r="AS27" i="5" s="1"/>
  <c r="Z56" i="5"/>
  <c r="H56" i="5"/>
  <c r="Q56" i="5"/>
  <c r="AK56" i="5"/>
  <c r="BE29" i="5"/>
  <c r="AG6" i="5"/>
  <c r="AH19" i="5"/>
  <c r="AH20" i="5" s="1"/>
  <c r="M12" i="5"/>
  <c r="AZ46" i="5"/>
  <c r="BB46" i="5"/>
  <c r="AB52" i="5"/>
  <c r="BC50" i="5"/>
  <c r="AM35" i="5"/>
  <c r="AM36" i="5" s="1"/>
  <c r="AM37" i="5" s="1"/>
  <c r="AD10" i="5"/>
  <c r="AT4" i="5"/>
  <c r="J12" i="5"/>
  <c r="Y10" i="5"/>
  <c r="AT8" i="5"/>
  <c r="AV19" i="5"/>
  <c r="AV20" i="5" s="1"/>
  <c r="BC14" i="5"/>
  <c r="BC13" i="5"/>
  <c r="AE48" i="5"/>
  <c r="X34" i="5"/>
  <c r="X35" i="5"/>
  <c r="H35" i="5"/>
  <c r="H36" i="5" s="1"/>
  <c r="H34" i="5"/>
  <c r="H32" i="5"/>
  <c r="H33" i="5" s="1"/>
  <c r="U56" i="5"/>
  <c r="AM31" i="5"/>
  <c r="AQ23" i="5"/>
  <c r="AQ24" i="5" s="1"/>
  <c r="S24" i="5"/>
  <c r="AP23" i="5"/>
  <c r="AP24" i="5" s="1"/>
  <c r="BG24" i="5"/>
  <c r="AX38" i="5"/>
  <c r="AX39" i="5" s="1"/>
  <c r="AX32" i="5"/>
  <c r="AX33" i="5" s="1"/>
  <c r="AS35" i="5"/>
  <c r="AS38" i="5"/>
  <c r="AS39" i="5" s="1"/>
  <c r="AS32" i="5"/>
  <c r="AS33" i="5" s="1"/>
  <c r="AY33" i="5"/>
  <c r="AB31" i="5"/>
  <c r="BK14" i="5"/>
  <c r="BK13" i="5"/>
  <c r="BK11" i="5"/>
  <c r="AN13" i="5"/>
  <c r="AN11" i="5"/>
  <c r="AN12" i="5"/>
  <c r="AX35" i="5"/>
  <c r="AX36" i="5" s="1"/>
  <c r="R52" i="5"/>
  <c r="BJ35" i="5"/>
  <c r="BJ36" i="5" s="1"/>
  <c r="BJ37" i="5" s="1"/>
  <c r="BJ32" i="5"/>
  <c r="BJ33" i="5" s="1"/>
  <c r="BJ38" i="5"/>
  <c r="BJ39" i="5" s="1"/>
  <c r="X32" i="5"/>
  <c r="X33" i="5" s="1"/>
  <c r="BC11" i="5"/>
  <c r="BC38" i="5"/>
  <c r="BC39" i="5" s="1"/>
  <c r="BC35" i="5"/>
  <c r="BC36" i="5" s="1"/>
  <c r="BC32" i="5"/>
  <c r="BC33" i="5" s="1"/>
  <c r="AI12" i="5"/>
  <c r="AI11" i="5"/>
  <c r="AI13" i="5"/>
  <c r="BC23" i="5"/>
  <c r="AD31" i="5"/>
  <c r="AB56" i="5"/>
  <c r="AF20" i="5"/>
  <c r="AA52" i="5"/>
  <c r="AZ33" i="5"/>
  <c r="J56" i="5"/>
  <c r="AS29" i="5"/>
  <c r="AJ32" i="5"/>
  <c r="AJ33" i="5" s="1"/>
  <c r="BJ14" i="5"/>
  <c r="BJ13" i="5"/>
  <c r="AH36" i="5"/>
  <c r="AH37" i="5" s="1"/>
  <c r="AH32" i="5"/>
  <c r="U32" i="5"/>
  <c r="U33" i="5" s="1"/>
  <c r="BB13" i="5"/>
  <c r="P11" i="5"/>
  <c r="P13" i="5"/>
  <c r="AE11" i="5"/>
  <c r="AE13" i="5"/>
  <c r="BJ11" i="5"/>
  <c r="AY20" i="5"/>
  <c r="AC52" i="5"/>
  <c r="Q48" i="5"/>
  <c r="G48" i="5"/>
  <c r="AW54" i="5"/>
  <c r="AL32" i="5"/>
  <c r="AL33" i="5" s="1"/>
  <c r="M32" i="5"/>
  <c r="M33" i="5" s="1"/>
  <c r="BG29" i="5"/>
  <c r="BL29" i="5"/>
  <c r="BI11" i="5"/>
  <c r="U31" i="5"/>
  <c r="AC35" i="5"/>
  <c r="AC36" i="5" s="1"/>
  <c r="AC34" i="5"/>
  <c r="BM32" i="5"/>
  <c r="BM33" i="5" s="1"/>
  <c r="BM38" i="5"/>
  <c r="BM39" i="5" s="1"/>
  <c r="BM36" i="5"/>
  <c r="BM37" i="5" s="1"/>
  <c r="AV38" i="5"/>
  <c r="AV39" i="5" s="1"/>
  <c r="AV37" i="5"/>
  <c r="AV32" i="5"/>
  <c r="AG35" i="5"/>
  <c r="AG36" i="5" s="1"/>
  <c r="AG37" i="5" s="1"/>
  <c r="N13" i="5"/>
  <c r="AB13" i="5"/>
  <c r="AQ14" i="5"/>
  <c r="AQ13" i="5"/>
  <c r="I12" i="5"/>
  <c r="T6" i="5"/>
  <c r="AJ12" i="5"/>
  <c r="N35" i="5"/>
  <c r="N36" i="5" s="1"/>
  <c r="N37" i="5" s="1"/>
  <c r="AD11" i="5"/>
  <c r="AD13" i="5"/>
  <c r="BG14" i="5"/>
  <c r="T13" i="5"/>
  <c r="T12" i="5"/>
  <c r="AV50" i="5"/>
  <c r="BC46" i="5"/>
  <c r="G34" i="5"/>
  <c r="AJ34" i="5"/>
  <c r="M34" i="5"/>
  <c r="AY29" i="5"/>
  <c r="AL13" i="5"/>
  <c r="X13" i="5"/>
  <c r="AA24" i="5"/>
  <c r="BK23" i="5"/>
  <c r="BK24" i="5" s="1"/>
  <c r="BI24" i="5"/>
  <c r="BF38" i="5"/>
  <c r="BF39" i="5" s="1"/>
  <c r="BF36" i="5"/>
  <c r="BF37" i="5" s="1"/>
  <c r="BF32" i="5"/>
  <c r="W35" i="5"/>
  <c r="BN39" i="5"/>
  <c r="BN32" i="5"/>
  <c r="BN33" i="5" s="1"/>
  <c r="BN35" i="5"/>
  <c r="T35" i="5"/>
  <c r="T32" i="5"/>
  <c r="T33" i="5" s="1"/>
  <c r="AB34" i="5"/>
  <c r="AB35" i="5"/>
  <c r="AB36" i="5" s="1"/>
  <c r="Q11" i="5"/>
  <c r="Q13" i="5"/>
  <c r="AF11" i="5"/>
  <c r="AF13" i="5"/>
  <c r="H12" i="5"/>
  <c r="X11" i="5"/>
  <c r="P20" i="5"/>
  <c r="H48" i="5"/>
  <c r="AR50" i="5"/>
  <c r="AJ35" i="5"/>
  <c r="AJ36" i="5" s="1"/>
  <c r="V48" i="5"/>
  <c r="O56" i="5"/>
  <c r="BK33" i="5"/>
  <c r="BK29" i="5"/>
  <c r="AK24" i="5"/>
  <c r="M24" i="5"/>
  <c r="AK33" i="5"/>
  <c r="AY38" i="5"/>
  <c r="AY39" i="5" s="1"/>
  <c r="AY35" i="5"/>
  <c r="AY36" i="5" s="1"/>
  <c r="AY37" i="5" s="1"/>
  <c r="O35" i="5"/>
  <c r="AO35" i="5"/>
  <c r="AO36" i="5" s="1"/>
  <c r="AO33" i="5"/>
  <c r="R13" i="5"/>
  <c r="R12" i="5"/>
  <c r="AE35" i="5"/>
  <c r="AE36" i="5" s="1"/>
  <c r="AI35" i="5"/>
  <c r="AI32" i="5"/>
  <c r="AN35" i="5"/>
  <c r="AN36" i="5" s="1"/>
  <c r="AN33" i="5"/>
  <c r="AC13" i="5"/>
  <c r="AR14" i="5"/>
  <c r="AI6" i="5"/>
  <c r="BB11" i="5"/>
  <c r="AF6" i="5"/>
  <c r="AU11" i="5"/>
  <c r="AE6" i="5"/>
  <c r="AN20" i="5"/>
  <c r="AK12" i="5"/>
  <c r="BE38" i="5"/>
  <c r="BE39" i="5" s="1"/>
  <c r="BE35" i="5"/>
  <c r="BE36" i="5" s="1"/>
  <c r="BE32" i="5"/>
  <c r="BE33" i="5" s="1"/>
  <c r="AQ46" i="5"/>
  <c r="X56" i="5"/>
  <c r="AL35" i="5"/>
  <c r="AF34" i="5"/>
  <c r="AF36" i="5"/>
  <c r="AF37" i="5" s="1"/>
  <c r="AR38" i="5"/>
  <c r="AR39" i="5" s="1"/>
  <c r="AR35" i="5"/>
  <c r="AS14" i="5"/>
  <c r="AS13" i="5"/>
  <c r="AS11" i="5"/>
  <c r="P35" i="5"/>
  <c r="P36" i="5" s="1"/>
  <c r="P37" i="5" s="1"/>
  <c r="M35" i="5"/>
  <c r="BC54" i="5"/>
  <c r="G32" i="5"/>
  <c r="G33" i="5" s="1"/>
  <c r="P34" i="5"/>
  <c r="I13" i="5"/>
  <c r="AV29" i="5"/>
  <c r="BG35" i="5"/>
  <c r="BG33" i="5"/>
  <c r="AT38" i="5"/>
  <c r="AT39" i="5" s="1"/>
  <c r="AT36" i="5"/>
  <c r="AT37" i="5" s="1"/>
  <c r="AT32" i="5"/>
  <c r="AW38" i="5"/>
  <c r="AW36" i="5"/>
  <c r="AW37" i="5" s="1"/>
  <c r="AZ38" i="5"/>
  <c r="AZ39" i="5" s="1"/>
  <c r="AZ35" i="5"/>
  <c r="AZ36" i="5" s="1"/>
  <c r="AO13" i="5"/>
  <c r="BD13" i="5"/>
  <c r="BD14" i="5"/>
  <c r="V6" i="5"/>
  <c r="AM11" i="5"/>
  <c r="BC8" i="5"/>
  <c r="BH11" i="5"/>
  <c r="N12" i="5"/>
  <c r="AS54" i="5"/>
  <c r="AA31" i="5"/>
  <c r="AG23" i="5"/>
  <c r="AG24" i="5" s="1"/>
  <c r="BA35" i="5"/>
  <c r="BA36" i="5" s="1"/>
  <c r="BA38" i="5"/>
  <c r="BA39" i="5" s="1"/>
  <c r="BA33" i="5"/>
  <c r="N33" i="5"/>
  <c r="AR29" i="5"/>
  <c r="BL13" i="5"/>
  <c r="BI13" i="5"/>
  <c r="AU23" i="5"/>
  <c r="W12" i="5"/>
  <c r="AD33" i="5"/>
  <c r="AD35" i="5"/>
  <c r="AD36" i="5" s="1"/>
  <c r="AP35" i="5"/>
  <c r="AP36" i="5" s="1"/>
  <c r="AA35" i="5"/>
  <c r="AA34" i="5"/>
  <c r="BH38" i="5"/>
  <c r="BH39" i="5" s="1"/>
  <c r="BK38" i="5"/>
  <c r="BK39" i="5" s="1"/>
  <c r="BK35" i="5"/>
  <c r="BK36" i="5" s="1"/>
  <c r="AG13" i="5"/>
  <c r="BL35" i="5"/>
  <c r="BL36" i="5" s="1"/>
  <c r="BL38" i="5"/>
  <c r="BL39" i="5" s="1"/>
  <c r="BA14" i="5"/>
  <c r="I6" i="5"/>
  <c r="H11" i="5"/>
  <c r="BA11" i="5"/>
  <c r="J19" i="5"/>
  <c r="J20" i="5" s="1"/>
  <c r="AB12" i="5"/>
  <c r="V31" i="5"/>
  <c r="V36" i="5"/>
  <c r="V37" i="5" s="1"/>
  <c r="V34" i="5"/>
  <c r="V32" i="5"/>
  <c r="V33" i="5" s="1"/>
  <c r="Z32" i="5"/>
  <c r="Z33" i="5" s="1"/>
  <c r="Z35" i="5"/>
  <c r="Z36" i="5" s="1"/>
  <c r="BN26" i="5"/>
  <c r="BN27" i="5" s="1"/>
  <c r="BD54" i="5"/>
  <c r="AR54" i="5"/>
  <c r="BG54" i="5"/>
  <c r="P32" i="5"/>
  <c r="P33" i="5" s="1"/>
  <c r="BD29" i="5"/>
  <c r="BF29" i="5"/>
  <c r="BG13" i="5"/>
  <c r="AQ8" i="5"/>
  <c r="AW29" i="5"/>
  <c r="AQ38" i="5"/>
  <c r="AQ39" i="5" s="1"/>
  <c r="AQ35" i="5"/>
  <c r="AQ36" i="5" s="1"/>
  <c r="BD38" i="5"/>
  <c r="BD39" i="5" s="1"/>
  <c r="BD35" i="5"/>
  <c r="BD36" i="5" s="1"/>
  <c r="BI38" i="5"/>
  <c r="BI39" i="5" s="1"/>
  <c r="BI36" i="5"/>
  <c r="BI37" i="5" s="1"/>
  <c r="BI33" i="5"/>
  <c r="AU35" i="5"/>
  <c r="O11" i="5"/>
  <c r="O13" i="5"/>
  <c r="BM13" i="5"/>
  <c r="BM11" i="5"/>
  <c r="W11" i="5"/>
  <c r="Q6" i="5"/>
  <c r="BH29" i="5"/>
  <c r="G35" i="5"/>
  <c r="G36" i="5" s="1"/>
  <c r="AU54" i="5"/>
  <c r="BD50" i="5"/>
  <c r="Z48" i="5"/>
  <c r="BA54" i="5"/>
  <c r="AT54" i="5"/>
  <c r="AH34" i="5"/>
  <c r="N34" i="5"/>
  <c r="AU29" i="5"/>
  <c r="AQ29" i="5"/>
  <c r="BL14" i="5"/>
  <c r="Z6" i="5"/>
  <c r="J22" i="5"/>
  <c r="AX14" i="5"/>
  <c r="AX13" i="5"/>
  <c r="AP13" i="5"/>
  <c r="AP14" i="5" s="1"/>
  <c r="G13" i="5"/>
  <c r="G12" i="5"/>
  <c r="AH6" i="5"/>
  <c r="AL11" i="5"/>
  <c r="AZ11" i="5"/>
  <c r="AZ12" i="5" s="1"/>
  <c r="BE13" i="5"/>
  <c r="BE14" i="5"/>
  <c r="BM50" i="5"/>
  <c r="BK50" i="5"/>
  <c r="AK48" i="5"/>
  <c r="O48" i="5"/>
  <c r="AX54" i="5"/>
  <c r="BE54" i="5"/>
  <c r="AP56" i="5"/>
  <c r="T31" i="5"/>
  <c r="AR32" i="5"/>
  <c r="AR33" i="5" s="1"/>
  <c r="Z34" i="5"/>
  <c r="BC29" i="5"/>
  <c r="M6" i="5"/>
  <c r="AJ6" i="5"/>
  <c r="W24" i="5"/>
  <c r="Y24" i="5"/>
  <c r="R35" i="5"/>
  <c r="R36" i="5" s="1"/>
  <c r="R37" i="5" s="1"/>
  <c r="R32" i="5"/>
  <c r="AV14" i="5"/>
  <c r="AV11" i="5"/>
  <c r="K35" i="5"/>
  <c r="Z13" i="5"/>
  <c r="Z12" i="5"/>
  <c r="S35" i="5"/>
  <c r="S36" i="5" s="1"/>
  <c r="S32" i="5"/>
  <c r="S33" i="5" s="1"/>
  <c r="I35" i="5"/>
  <c r="I36" i="5" s="1"/>
  <c r="I37" i="5" s="1"/>
  <c r="AH12" i="5"/>
  <c r="AH13" i="5"/>
  <c r="S13" i="5"/>
  <c r="S12" i="5"/>
  <c r="AW13" i="5"/>
  <c r="AW11" i="5"/>
  <c r="AW14" i="5"/>
  <c r="H6" i="5"/>
  <c r="G11" i="5"/>
  <c r="AX11" i="5"/>
  <c r="BN11" i="5"/>
  <c r="BI50" i="5"/>
  <c r="U25" i="5" l="1"/>
  <c r="U26" i="5" s="1"/>
  <c r="AM10" i="5"/>
  <c r="AK14" i="5"/>
  <c r="BF12" i="5"/>
  <c r="AY8" i="5"/>
  <c r="AU8" i="5"/>
  <c r="BL8" i="5"/>
  <c r="X10" i="5"/>
  <c r="BH12" i="5"/>
  <c r="AR8" i="5"/>
  <c r="X25" i="5"/>
  <c r="X26" i="5" s="1"/>
  <c r="X27" i="5" s="1"/>
  <c r="BH8" i="5"/>
  <c r="M25" i="5"/>
  <c r="M26" i="5" s="1"/>
  <c r="AA14" i="5"/>
  <c r="AW24" i="5"/>
  <c r="BJ8" i="5"/>
  <c r="Y25" i="5"/>
  <c r="Y26" i="5" s="1"/>
  <c r="Y27" i="5" s="1"/>
  <c r="AR24" i="5"/>
  <c r="AR21" i="5" s="1"/>
  <c r="AR12" i="5"/>
  <c r="Y14" i="5"/>
  <c r="AP10" i="5"/>
  <c r="L10" i="5"/>
  <c r="BI21" i="5"/>
  <c r="BA8" i="5"/>
  <c r="K14" i="5"/>
  <c r="BG8" i="5"/>
  <c r="N25" i="5"/>
  <c r="N26" i="5" s="1"/>
  <c r="N27" i="5" s="1"/>
  <c r="AI25" i="5"/>
  <c r="AI26" i="5" s="1"/>
  <c r="S25" i="5"/>
  <c r="S26" i="5" s="1"/>
  <c r="BG12" i="5"/>
  <c r="AB25" i="5"/>
  <c r="AB26" i="5" s="1"/>
  <c r="I24" i="5"/>
  <c r="I25" i="5" s="1"/>
  <c r="I26" i="5" s="1"/>
  <c r="L14" i="5"/>
  <c r="AU12" i="5"/>
  <c r="Z10" i="5"/>
  <c r="BE8" i="5"/>
  <c r="AM14" i="5"/>
  <c r="AN24" i="5"/>
  <c r="AN25" i="5" s="1"/>
  <c r="AN26" i="5" s="1"/>
  <c r="AN27" i="5" s="1"/>
  <c r="BA21" i="5"/>
  <c r="AJ14" i="5"/>
  <c r="BH27" i="5"/>
  <c r="BH21" i="5" s="1"/>
  <c r="BN12" i="5"/>
  <c r="AW21" i="5"/>
  <c r="J14" i="5"/>
  <c r="G25" i="5"/>
  <c r="G26" i="5" s="1"/>
  <c r="G27" i="5" s="1"/>
  <c r="O25" i="5"/>
  <c r="O26" i="5" s="1"/>
  <c r="O27" i="5" s="1"/>
  <c r="BB21" i="5"/>
  <c r="AH25" i="5"/>
  <c r="AH26" i="5" s="1"/>
  <c r="AH27" i="5" s="1"/>
  <c r="AL14" i="5"/>
  <c r="AQ12" i="5"/>
  <c r="AK37" i="5"/>
  <c r="AK38" i="5" s="1"/>
  <c r="AK39" i="5" s="1"/>
  <c r="Z14" i="5"/>
  <c r="BA12" i="5"/>
  <c r="H25" i="5"/>
  <c r="H26" i="5" s="1"/>
  <c r="Q24" i="5"/>
  <c r="Q25" i="5" s="1"/>
  <c r="Q26" i="5" s="1"/>
  <c r="AF14" i="5"/>
  <c r="AZ24" i="5"/>
  <c r="AZ21" i="5" s="1"/>
  <c r="O14" i="5"/>
  <c r="BC12" i="5"/>
  <c r="AC14" i="5"/>
  <c r="BK12" i="5"/>
  <c r="P24" i="5"/>
  <c r="P25" i="5" s="1"/>
  <c r="P26" i="5" s="1"/>
  <c r="P27" i="5" s="1"/>
  <c r="AB14" i="5"/>
  <c r="AP25" i="5"/>
  <c r="AP26" i="5" s="1"/>
  <c r="AP27" i="5" s="1"/>
  <c r="BH34" i="5"/>
  <c r="BL12" i="5"/>
  <c r="H14" i="5"/>
  <c r="T14" i="5"/>
  <c r="Q37" i="5"/>
  <c r="Q38" i="5" s="1"/>
  <c r="Q39" i="5" s="1"/>
  <c r="AF25" i="5"/>
  <c r="AF26" i="5" s="1"/>
  <c r="AF27" i="5" s="1"/>
  <c r="AT12" i="5"/>
  <c r="BD12" i="5"/>
  <c r="BJ12" i="5"/>
  <c r="AL25" i="5"/>
  <c r="AL26" i="5" s="1"/>
  <c r="AG14" i="5"/>
  <c r="BB34" i="5"/>
  <c r="AO14" i="5"/>
  <c r="Q14" i="5"/>
  <c r="V14" i="5"/>
  <c r="AE14" i="5"/>
  <c r="AS12" i="5"/>
  <c r="BE12" i="5"/>
  <c r="BM34" i="5"/>
  <c r="P14" i="5"/>
  <c r="T23" i="5"/>
  <c r="T24" i="5" s="1"/>
  <c r="N14" i="5"/>
  <c r="X14" i="5"/>
  <c r="AN14" i="5"/>
  <c r="H37" i="5"/>
  <c r="H38" i="5" s="1"/>
  <c r="H39" i="5" s="1"/>
  <c r="AH14" i="5"/>
  <c r="BB12" i="5"/>
  <c r="R14" i="5"/>
  <c r="AE26" i="5"/>
  <c r="AE27" i="5" s="1"/>
  <c r="BE24" i="5"/>
  <c r="BE21" i="5" s="1"/>
  <c r="AT21" i="5"/>
  <c r="BG21" i="5"/>
  <c r="X36" i="5"/>
  <c r="X37" i="5" s="1"/>
  <c r="X38" i="5" s="1"/>
  <c r="X39" i="5" s="1"/>
  <c r="AE37" i="5"/>
  <c r="AE38" i="5" s="1"/>
  <c r="AD14" i="5"/>
  <c r="AU24" i="5"/>
  <c r="AU21" i="5" s="1"/>
  <c r="BL21" i="5"/>
  <c r="L37" i="5"/>
  <c r="M14" i="5"/>
  <c r="L25" i="5"/>
  <c r="L26" i="5" s="1"/>
  <c r="L27" i="5" s="1"/>
  <c r="AA25" i="5"/>
  <c r="AA26" i="5" s="1"/>
  <c r="AC37" i="5"/>
  <c r="AC38" i="5" s="1"/>
  <c r="BF21" i="5"/>
  <c r="AS23" i="5"/>
  <c r="AY34" i="5"/>
  <c r="AQ21" i="5"/>
  <c r="AY12" i="5"/>
  <c r="P38" i="5"/>
  <c r="P39" i="5" s="1"/>
  <c r="G14" i="5"/>
  <c r="I14" i="5"/>
  <c r="J23" i="5"/>
  <c r="J24" i="5" s="1"/>
  <c r="J25" i="5" s="1"/>
  <c r="AD37" i="5"/>
  <c r="AD38" i="5" s="1"/>
  <c r="AD39" i="5" s="1"/>
  <c r="AI14" i="5"/>
  <c r="T20" i="5"/>
  <c r="G37" i="5"/>
  <c r="G38" i="5" s="1"/>
  <c r="G39" i="5" s="1"/>
  <c r="V25" i="5"/>
  <c r="V26" i="5" s="1"/>
  <c r="V27" i="5" s="1"/>
  <c r="BN21" i="5"/>
  <c r="AN37" i="5"/>
  <c r="AN38" i="5" s="1"/>
  <c r="AN39" i="5" s="1"/>
  <c r="AG38" i="5"/>
  <c r="AG39" i="5" s="1"/>
  <c r="AW12" i="5"/>
  <c r="W14" i="5"/>
  <c r="AM38" i="5"/>
  <c r="AM39" i="5" s="1"/>
  <c r="AK25" i="5"/>
  <c r="AK26" i="5" s="1"/>
  <c r="AK27" i="5" s="1"/>
  <c r="AY21" i="5"/>
  <c r="S14" i="5"/>
  <c r="AD24" i="5"/>
  <c r="AD25" i="5" s="1"/>
  <c r="AV12" i="5"/>
  <c r="BM12" i="5"/>
  <c r="Y38" i="5"/>
  <c r="Y39" i="5" s="1"/>
  <c r="U27" i="5"/>
  <c r="BI12" i="5"/>
  <c r="AX21" i="5"/>
  <c r="BJ24" i="5"/>
  <c r="BJ21" i="5" s="1"/>
  <c r="BD27" i="5"/>
  <c r="BD21" i="5" s="1"/>
  <c r="AC25" i="5"/>
  <c r="AC26" i="5" s="1"/>
  <c r="BJ34" i="5"/>
  <c r="BI34" i="5"/>
  <c r="Z37" i="5"/>
  <c r="V38" i="5"/>
  <c r="V39" i="5" s="1"/>
  <c r="Z25" i="5"/>
  <c r="Z26" i="5" s="1"/>
  <c r="AJ25" i="5"/>
  <c r="AJ26" i="5" s="1"/>
  <c r="AJ27" i="5" s="1"/>
  <c r="AT33" i="5"/>
  <c r="AT34" i="5" s="1"/>
  <c r="AQ37" i="5"/>
  <c r="AQ34" i="5" s="1"/>
  <c r="U38" i="5"/>
  <c r="U39" i="5" s="1"/>
  <c r="M36" i="5"/>
  <c r="M37" i="5" s="1"/>
  <c r="BC37" i="5"/>
  <c r="BC34" i="5" s="1"/>
  <c r="AS36" i="5"/>
  <c r="AS37" i="5" s="1"/>
  <c r="AS34" i="5" s="1"/>
  <c r="BF33" i="5"/>
  <c r="BF34" i="5" s="1"/>
  <c r="I27" i="5"/>
  <c r="AI27" i="5"/>
  <c r="O36" i="5"/>
  <c r="O37" i="5" s="1"/>
  <c r="AH33" i="5"/>
  <c r="AH38" i="5" s="1"/>
  <c r="AH39" i="5" s="1"/>
  <c r="T36" i="5"/>
  <c r="K25" i="5"/>
  <c r="BC24" i="5"/>
  <c r="BC21" i="5" s="1"/>
  <c r="R24" i="5"/>
  <c r="R25" i="5" s="1"/>
  <c r="BM24" i="5"/>
  <c r="BM21" i="5" s="1"/>
  <c r="AG25" i="5"/>
  <c r="AG26" i="5" s="1"/>
  <c r="BL37" i="5"/>
  <c r="BL34" i="5" s="1"/>
  <c r="AF38" i="5"/>
  <c r="AF39" i="5" s="1"/>
  <c r="AW39" i="5"/>
  <c r="AW34" i="5" s="1"/>
  <c r="I38" i="5"/>
  <c r="I39" i="5" s="1"/>
  <c r="BE37" i="5"/>
  <c r="BE34" i="5" s="1"/>
  <c r="AV24" i="5"/>
  <c r="AV21" i="5" s="1"/>
  <c r="AB37" i="5"/>
  <c r="AX12" i="5"/>
  <c r="R33" i="5"/>
  <c r="R38" i="5" s="1"/>
  <c r="AA36" i="5"/>
  <c r="AZ37" i="5"/>
  <c r="AZ34" i="5" s="1"/>
  <c r="AL36" i="5"/>
  <c r="N38" i="5"/>
  <c r="N39" i="5" s="1"/>
  <c r="AO25" i="5"/>
  <c r="AO26" i="5" s="1"/>
  <c r="J37" i="5"/>
  <c r="J38" i="5" s="1"/>
  <c r="AI33" i="5"/>
  <c r="AO37" i="5"/>
  <c r="AO38" i="5" s="1"/>
  <c r="AO39" i="5" s="1"/>
  <c r="BN36" i="5"/>
  <c r="BN37" i="5" s="1"/>
  <c r="AJ37" i="5"/>
  <c r="AJ38" i="5" s="1"/>
  <c r="AX37" i="5"/>
  <c r="AX34" i="5" s="1"/>
  <c r="BD37" i="5"/>
  <c r="BD34" i="5" s="1"/>
  <c r="AI36" i="5"/>
  <c r="AI37" i="5" s="1"/>
  <c r="BK21" i="5"/>
  <c r="W36" i="5"/>
  <c r="W37" i="5" s="1"/>
  <c r="AM25" i="5"/>
  <c r="AM26" i="5" s="1"/>
  <c r="S37" i="5"/>
  <c r="S38" i="5" s="1"/>
  <c r="BK37" i="5"/>
  <c r="BK34" i="5" s="1"/>
  <c r="AP37" i="5"/>
  <c r="AP38" i="5" s="1"/>
  <c r="AP39" i="5" s="1"/>
  <c r="BA37" i="5"/>
  <c r="BA34" i="5" s="1"/>
  <c r="AB27" i="5"/>
  <c r="K36" i="5"/>
  <c r="W25" i="5"/>
  <c r="AU36" i="5"/>
  <c r="BG36" i="5"/>
  <c r="BG37" i="5" s="1"/>
  <c r="BG34" i="5" s="1"/>
  <c r="AR36" i="5"/>
  <c r="AR37" i="5" s="1"/>
  <c r="AV33" i="5"/>
  <c r="AV34" i="5" s="1"/>
  <c r="M27" i="5" l="1"/>
  <c r="H27" i="5"/>
  <c r="S27" i="5"/>
  <c r="Q27" i="5"/>
  <c r="AC39" i="5"/>
  <c r="AI38" i="5"/>
  <c r="AI39" i="5" s="1"/>
  <c r="T25" i="5"/>
  <c r="AL27" i="5"/>
  <c r="AR34" i="5"/>
  <c r="T26" i="5"/>
  <c r="T27" i="5" s="1"/>
  <c r="K37" i="5"/>
  <c r="K38" i="5" s="1"/>
  <c r="K39" i="5" s="1"/>
  <c r="AG27" i="5"/>
  <c r="AC27" i="5"/>
  <c r="AM27" i="5"/>
  <c r="AB38" i="5"/>
  <c r="AB39" i="5" s="1"/>
  <c r="W38" i="5"/>
  <c r="W39" i="5" s="1"/>
  <c r="AE39" i="5"/>
  <c r="AA27" i="5"/>
  <c r="AS24" i="5"/>
  <c r="AS21" i="5" s="1"/>
  <c r="L38" i="5"/>
  <c r="L39" i="5" s="1"/>
  <c r="AD26" i="5"/>
  <c r="AD27" i="5" s="1"/>
  <c r="S39" i="5"/>
  <c r="M38" i="5"/>
  <c r="M39" i="5" s="1"/>
  <c r="BN34" i="5"/>
  <c r="Z27" i="5"/>
  <c r="J26" i="5"/>
  <c r="J27" i="5" s="1"/>
  <c r="T37" i="5"/>
  <c r="T38" i="5" s="1"/>
  <c r="Z38" i="5"/>
  <c r="Z39" i="5" s="1"/>
  <c r="J39" i="5"/>
  <c r="W26" i="5"/>
  <c r="W27" i="5" s="1"/>
  <c r="K26" i="5"/>
  <c r="K27" i="5" s="1"/>
  <c r="AO27" i="5"/>
  <c r="R39" i="5"/>
  <c r="AL37" i="5"/>
  <c r="AL38" i="5" s="1"/>
  <c r="AU37" i="5"/>
  <c r="AU34" i="5" s="1"/>
  <c r="R26" i="5"/>
  <c r="R27" i="5" s="1"/>
  <c r="AJ39" i="5"/>
  <c r="AA37" i="5"/>
  <c r="O38" i="5"/>
  <c r="O39" i="5" s="1"/>
  <c r="T39" i="5" l="1"/>
  <c r="AL39" i="5"/>
  <c r="AA38" i="5"/>
  <c r="AA39" i="5" s="1"/>
</calcChain>
</file>

<file path=xl/sharedStrings.xml><?xml version="1.0" encoding="utf-8"?>
<sst xmlns="http://schemas.openxmlformats.org/spreadsheetml/2006/main" count="504" uniqueCount="113">
  <si>
    <t>Role</t>
  </si>
  <si>
    <t>LocalGrade</t>
  </si>
  <si>
    <t>Location</t>
  </si>
  <si>
    <t>RoleLocation</t>
  </si>
  <si>
    <t>Pool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</si>
  <si>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</si>
  <si>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</si>
  <si>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</si>
  <si>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</si>
  <si>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</si>
  <si>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</si>
  <si>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</si>
  <si>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</si>
  <si>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</si>
  <si>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</si>
  <si>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</si>
  <si>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</si>
  <si>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</si>
  <si>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</si>
  <si>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</si>
  <si>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</si>
  <si>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</si>
  <si>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</si>
  <si>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</si>
  <si>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</si>
  <si>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</si>
  <si>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</si>
  <si>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</si>
  <si>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</si>
  <si>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</si>
  <si>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</si>
  <si>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</si>
  <si>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</si>
  <si>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M29</t>
  </si>
  <si>
    <t>M30</t>
  </si>
  <si>
    <t>M31</t>
  </si>
  <si>
    <t>M32</t>
  </si>
  <si>
    <t>M33</t>
  </si>
  <si>
    <t>M34</t>
  </si>
  <si>
    <t>M35</t>
  </si>
  <si>
    <t>M36</t>
  </si>
  <si>
    <t>M37</t>
  </si>
  <si>
    <t>M38</t>
  </si>
  <si>
    <t>M39</t>
  </si>
  <si>
    <t>M40</t>
  </si>
  <si>
    <t>M41</t>
  </si>
  <si>
    <t>M42</t>
  </si>
  <si>
    <t>M43</t>
  </si>
  <si>
    <t>M44</t>
  </si>
  <si>
    <t>M45</t>
  </si>
  <si>
    <t>M46</t>
  </si>
  <si>
    <t>M47</t>
  </si>
  <si>
    <t>M48</t>
  </si>
  <si>
    <t>M49</t>
  </si>
  <si>
    <t>M50</t>
  </si>
  <si>
    <t>M51</t>
  </si>
  <si>
    <t>M52</t>
  </si>
  <si>
    <t>M53</t>
  </si>
  <si>
    <t>M54</t>
  </si>
  <si>
    <t>M55</t>
  </si>
  <si>
    <t>M56</t>
  </si>
  <si>
    <t>M57</t>
  </si>
  <si>
    <t>M58</t>
  </si>
  <si>
    <t>M59</t>
  </si>
  <si>
    <t>M60</t>
  </si>
  <si>
    <t>BSA</t>
  </si>
  <si>
    <t>B2-Consultant</t>
  </si>
  <si>
    <t>India</t>
  </si>
  <si>
    <t>POD</t>
  </si>
  <si>
    <t>C1-Senior Consultant</t>
  </si>
  <si>
    <t>Team</t>
  </si>
  <si>
    <t>Dev</t>
  </si>
  <si>
    <t>Tester</t>
  </si>
  <si>
    <t>A5-Senior software engineer</t>
  </si>
  <si>
    <t>Maintenance</t>
  </si>
  <si>
    <t>HZ</t>
  </si>
  <si>
    <t>DevOps</t>
  </si>
  <si>
    <t>PM</t>
  </si>
  <si>
    <t>C2-Manager</t>
  </si>
  <si>
    <t>Lead</t>
  </si>
  <si>
    <t>Onsite</t>
  </si>
  <si>
    <t>B1-AssociateConsultant</t>
  </si>
  <si>
    <t>Test Lead</t>
  </si>
  <si>
    <t>D1-SeniorManager</t>
  </si>
  <si>
    <t>Onsite-Landed</t>
  </si>
  <si>
    <t>Unassigned</t>
  </si>
  <si>
    <t>TOTAL FTE Year 1</t>
  </si>
  <si>
    <t>Year1</t>
  </si>
  <si>
    <t>Year2</t>
  </si>
  <si>
    <t>Year3</t>
  </si>
  <si>
    <t>Year4</t>
  </si>
  <si>
    <t>Year5</t>
  </si>
  <si>
    <t>Onsite FTE (non-FSI)</t>
  </si>
  <si>
    <t>Onsite FTE (FSI)</t>
  </si>
  <si>
    <t>Onsite FTE (Landed)</t>
  </si>
  <si>
    <t>Offshore</t>
  </si>
  <si>
    <t>Total</t>
  </si>
  <si>
    <t>Developer</t>
  </si>
  <si>
    <t>Other</t>
  </si>
  <si>
    <t>Onsite-FSI</t>
  </si>
  <si>
    <t>Productivity</t>
  </si>
  <si>
    <t>Unit</t>
  </si>
  <si>
    <t>Percentage</t>
  </si>
  <si>
    <t>POD1</t>
  </si>
  <si>
    <t>Team1</t>
  </si>
  <si>
    <t>Team2</t>
  </si>
  <si>
    <t>POD2</t>
  </si>
  <si>
    <t>Transfer</t>
  </si>
  <si>
    <t>Japan Grade</t>
  </si>
  <si>
    <t>E2</t>
  </si>
  <si>
    <t>E1</t>
  </si>
  <si>
    <t>E3</t>
  </si>
  <si>
    <t>SubCon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</si>
</sst>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Calibri"/>
      <family val="2"/>
      <scheme val="minor"/>
    </font>
    <font>
      <sz val="9.5"/>
      <name val="Arial"/>
      <charset val="1"/>
    </font>
  </fonts>
  <fills count="14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rgb="FFD2DCE3"/>
      </left>
      <right style="thin">
        <color rgb="FFD2DCE3"/>
      </right>
      <top style="thin">
        <color rgb="FFD2DCE3"/>
      </top>
      <bottom style="thin">
        <color rgb="FFD2DCE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9" fontId="0" fillId="0" borderId="0" xfId="0" applyNumberFormat="1"/>
    <xf numFmtId="10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9" borderId="2" xfId="0" applyFill="1" applyBorder="1"/>
    <xf numFmtId="0" fontId="0" fillId="7" borderId="2" xfId="0" applyFill="1" applyBorder="1"/>
    <xf numFmtId="0" fontId="0" fillId="8" borderId="2" xfId="0" applyFill="1" applyBorder="1"/>
    <xf numFmtId="164" fontId="1" fillId="2" borderId="1" xfId="0" applyNumberFormat="1" applyFont="1" applyFill="1" applyBorder="1" applyAlignment="1">
      <alignment horizontal="center" vertical="center" wrapText="1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zoomScale="93" zoomScaleNormal="93" workbookViewId="0">
      <selection activeCell="B7" sqref="B7"/>
    </sheetView>
  </sheetViews>
  <sheetFormatPr defaultRowHeight="14.5" x14ac:dyDescent="0.35"/>
  <cols>
    <col min="1" max="1" width="23.7265625" customWidth="1"/>
  </cols>
  <sheetData>
    <row r="1" spans="1:6" x14ac:dyDescent="0.35">
      <c r="A1" t="s">
        <v>86</v>
      </c>
    </row>
    <row r="2" spans="1:6" x14ac:dyDescent="0.35">
      <c r="B2" s="18" t="s">
        <v>87</v>
      </c>
      <c r="C2" s="18" t="s">
        <v>88</v>
      </c>
      <c r="D2" s="18" t="s">
        <v>89</v>
      </c>
      <c r="E2" s="18" t="s">
        <v>90</v>
      </c>
      <c r="F2" s="18" t="s">
        <v>91</v>
      </c>
    </row>
    <row r="3" spans="1:6" x14ac:dyDescent="0.35">
      <c r="A3" t="s">
        <v>92</v>
      </c>
      <c r="B3" s="3">
        <v>5</v>
      </c>
      <c r="C3" s="3">
        <v>5</v>
      </c>
      <c r="D3" s="3">
        <v>5</v>
      </c>
      <c r="E3" s="3">
        <v>4</v>
      </c>
      <c r="F3" s="3">
        <v>2</v>
      </c>
    </row>
    <row r="4" spans="1:6" x14ac:dyDescent="0.35">
      <c r="A4" t="s">
        <v>93</v>
      </c>
      <c r="B4" s="4">
        <v>20</v>
      </c>
      <c r="C4" s="4">
        <v>14</v>
      </c>
      <c r="D4" s="4">
        <v>7</v>
      </c>
      <c r="E4" s="4">
        <v>2</v>
      </c>
      <c r="F4" s="4">
        <v>1</v>
      </c>
    </row>
    <row r="5" spans="1:6" x14ac:dyDescent="0.35">
      <c r="A5" t="s">
        <v>94</v>
      </c>
      <c r="B5" s="5">
        <v>3</v>
      </c>
      <c r="C5" s="5">
        <v>3</v>
      </c>
      <c r="D5" s="5">
        <v>1</v>
      </c>
      <c r="E5" s="5">
        <v>1</v>
      </c>
      <c r="F5" s="5">
        <v>1</v>
      </c>
    </row>
    <row r="6" spans="1:6" x14ac:dyDescent="0.35">
      <c r="A6" t="s">
        <v>80</v>
      </c>
      <c r="B6">
        <f>B3+B4+B5</f>
        <v>28</v>
      </c>
      <c r="C6">
        <f>C3+C4+C5</f>
        <v>22</v>
      </c>
      <c r="D6">
        <f>D3+D4+D5</f>
        <v>13</v>
      </c>
      <c r="E6">
        <f>E3+E4+E5</f>
        <v>7</v>
      </c>
      <c r="F6">
        <f>F3+F4+F5</f>
        <v>4</v>
      </c>
    </row>
    <row r="7" spans="1:6" x14ac:dyDescent="0.35">
      <c r="A7" t="s">
        <v>95</v>
      </c>
      <c r="B7" s="6">
        <v>9</v>
      </c>
      <c r="C7" s="6">
        <v>10</v>
      </c>
      <c r="D7" s="6">
        <v>14</v>
      </c>
      <c r="E7" s="6">
        <v>15</v>
      </c>
      <c r="F7" s="6">
        <v>17</v>
      </c>
    </row>
    <row r="8" spans="1:6" x14ac:dyDescent="0.35">
      <c r="A8" t="s">
        <v>96</v>
      </c>
      <c r="B8">
        <f>SUM(B6:B7)</f>
        <v>37</v>
      </c>
      <c r="C8">
        <f>SUM(C6:C7)</f>
        <v>32</v>
      </c>
      <c r="D8">
        <f>SUM(D6:D7)</f>
        <v>27</v>
      </c>
      <c r="E8">
        <f>SUM(E6:E7)</f>
        <v>22</v>
      </c>
      <c r="F8">
        <f>SUM(F6:F7)</f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D7"/>
  <sheetViews>
    <sheetView zoomScale="116" zoomScaleNormal="116" workbookViewId="0">
      <selection activeCell="E8" sqref="E8"/>
    </sheetView>
  </sheetViews>
  <sheetFormatPr defaultRowHeight="14.5" x14ac:dyDescent="0.35"/>
  <cols>
    <col min="2" max="2" width="17.81640625" customWidth="1"/>
    <col min="6" max="6" width="12.1796875" customWidth="1"/>
  </cols>
  <sheetData>
    <row r="2" spans="1:4" x14ac:dyDescent="0.35">
      <c r="A2" t="s">
        <v>67</v>
      </c>
      <c r="B2" t="s">
        <v>65</v>
      </c>
      <c r="C2" s="13">
        <v>0.122</v>
      </c>
      <c r="D2">
        <f t="shared" ref="D2:D7" si="0">9*C2</f>
        <v>1.0979999999999999</v>
      </c>
    </row>
    <row r="3" spans="1:4" x14ac:dyDescent="0.35">
      <c r="A3" t="s">
        <v>67</v>
      </c>
      <c r="B3" t="s">
        <v>97</v>
      </c>
      <c r="C3" s="13">
        <v>0.41699999999999998</v>
      </c>
      <c r="D3">
        <f t="shared" si="0"/>
        <v>3.7529999999999997</v>
      </c>
    </row>
    <row r="4" spans="1:4" x14ac:dyDescent="0.35">
      <c r="A4" t="s">
        <v>67</v>
      </c>
      <c r="B4" t="s">
        <v>72</v>
      </c>
      <c r="C4" s="13">
        <v>0.247</v>
      </c>
      <c r="D4">
        <f t="shared" si="0"/>
        <v>2.2229999999999999</v>
      </c>
    </row>
    <row r="5" spans="1:4" x14ac:dyDescent="0.35">
      <c r="A5" t="s">
        <v>67</v>
      </c>
      <c r="B5" t="s">
        <v>74</v>
      </c>
      <c r="C5" s="13">
        <v>8.8999999999999996E-2</v>
      </c>
      <c r="D5">
        <f t="shared" si="0"/>
        <v>0.80099999999999993</v>
      </c>
    </row>
    <row r="6" spans="1:4" x14ac:dyDescent="0.35">
      <c r="A6" t="s">
        <v>67</v>
      </c>
      <c r="B6" t="s">
        <v>77</v>
      </c>
      <c r="C6" s="13">
        <v>5.1999999999999998E-2</v>
      </c>
      <c r="D6">
        <f t="shared" si="0"/>
        <v>0.46799999999999997</v>
      </c>
    </row>
    <row r="7" spans="1:4" x14ac:dyDescent="0.35">
      <c r="A7" t="s">
        <v>67</v>
      </c>
      <c r="B7" t="s">
        <v>98</v>
      </c>
      <c r="C7" s="13">
        <v>7.2999999999999995E-2</v>
      </c>
      <c r="D7">
        <f t="shared" si="0"/>
        <v>0.65699999999999992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17"/>
  <sheetViews>
    <sheetView topLeftCell="A4" zoomScale="128" zoomScaleNormal="128" workbookViewId="0">
      <selection activeCell="C5" sqref="C5"/>
    </sheetView>
  </sheetViews>
  <sheetFormatPr defaultRowHeight="14.5" x14ac:dyDescent="0.35"/>
  <cols>
    <col min="1" max="1" width="13.453125" bestFit="1" customWidth="1"/>
    <col min="2" max="2" width="10.81640625" bestFit="1" customWidth="1"/>
  </cols>
  <sheetData>
    <row r="2" spans="1:7" x14ac:dyDescent="0.35">
      <c r="C2" t="s">
        <v>87</v>
      </c>
      <c r="D2" t="s">
        <v>88</v>
      </c>
      <c r="E2" t="s">
        <v>89</v>
      </c>
      <c r="F2" t="s">
        <v>90</v>
      </c>
      <c r="G2" t="s">
        <v>91</v>
      </c>
    </row>
    <row r="3" spans="1:7" x14ac:dyDescent="0.35">
      <c r="A3" s="9" t="s">
        <v>80</v>
      </c>
      <c r="B3" t="s">
        <v>77</v>
      </c>
      <c r="C3" s="10">
        <v>0</v>
      </c>
      <c r="D3" s="10">
        <v>0</v>
      </c>
      <c r="E3" s="10">
        <v>0</v>
      </c>
      <c r="F3" s="10">
        <v>0</v>
      </c>
      <c r="G3" s="10">
        <v>0</v>
      </c>
    </row>
    <row r="4" spans="1:7" x14ac:dyDescent="0.35">
      <c r="B4" t="s">
        <v>79</v>
      </c>
      <c r="C4" s="10">
        <v>1</v>
      </c>
      <c r="D4" s="10">
        <v>1</v>
      </c>
      <c r="E4" s="10">
        <v>1</v>
      </c>
      <c r="F4" s="10">
        <v>1</v>
      </c>
      <c r="G4" s="10">
        <v>1</v>
      </c>
    </row>
    <row r="5" spans="1:7" x14ac:dyDescent="0.35">
      <c r="B5" t="s">
        <v>65</v>
      </c>
      <c r="C5" s="10">
        <v>4</v>
      </c>
      <c r="D5" s="10">
        <v>4</v>
      </c>
      <c r="E5" s="10">
        <v>4</v>
      </c>
      <c r="F5" s="10">
        <v>3</v>
      </c>
      <c r="G5" s="10">
        <v>1</v>
      </c>
    </row>
    <row r="6" spans="1:7" x14ac:dyDescent="0.35">
      <c r="B6" t="s">
        <v>71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</row>
    <row r="7" spans="1:7" x14ac:dyDescent="0.35">
      <c r="B7" t="s">
        <v>72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</row>
    <row r="8" spans="1:7" x14ac:dyDescent="0.35">
      <c r="A8" s="7" t="s">
        <v>99</v>
      </c>
      <c r="B8" t="s">
        <v>77</v>
      </c>
      <c r="C8" s="11"/>
      <c r="D8" s="11"/>
      <c r="E8" s="11"/>
      <c r="F8" s="11"/>
      <c r="G8" s="11"/>
    </row>
    <row r="9" spans="1:7" x14ac:dyDescent="0.35">
      <c r="B9" t="s">
        <v>79</v>
      </c>
      <c r="C9" s="11"/>
      <c r="D9" s="11"/>
      <c r="E9" s="11"/>
      <c r="F9" s="11"/>
      <c r="G9" s="11"/>
    </row>
    <row r="10" spans="1:7" x14ac:dyDescent="0.35">
      <c r="B10" t="s">
        <v>65</v>
      </c>
      <c r="C10" s="11">
        <v>8</v>
      </c>
      <c r="D10" s="11">
        <v>6</v>
      </c>
      <c r="E10" s="11">
        <v>3</v>
      </c>
      <c r="F10" s="11">
        <v>1</v>
      </c>
      <c r="G10" s="11">
        <v>1</v>
      </c>
    </row>
    <row r="11" spans="1:7" x14ac:dyDescent="0.35">
      <c r="B11" t="s">
        <v>71</v>
      </c>
      <c r="C11" s="11">
        <v>0</v>
      </c>
      <c r="D11" s="11">
        <v>0</v>
      </c>
      <c r="E11" s="11">
        <v>0</v>
      </c>
      <c r="F11" s="11">
        <v>0</v>
      </c>
      <c r="G11" s="11">
        <v>0</v>
      </c>
    </row>
    <row r="12" spans="1:7" x14ac:dyDescent="0.35">
      <c r="B12" t="s">
        <v>72</v>
      </c>
      <c r="C12" s="11">
        <v>12</v>
      </c>
      <c r="D12" s="11">
        <v>8</v>
      </c>
      <c r="E12" s="11">
        <v>4</v>
      </c>
      <c r="F12" s="11">
        <v>1</v>
      </c>
      <c r="G12" s="11">
        <v>0</v>
      </c>
    </row>
    <row r="13" spans="1:7" x14ac:dyDescent="0.35">
      <c r="A13" s="8" t="s">
        <v>84</v>
      </c>
      <c r="B13" t="s">
        <v>77</v>
      </c>
      <c r="C13" s="12"/>
      <c r="D13" s="12"/>
      <c r="E13" s="12"/>
      <c r="F13" s="12"/>
      <c r="G13" s="12"/>
    </row>
    <row r="14" spans="1:7" x14ac:dyDescent="0.35">
      <c r="B14" t="s">
        <v>79</v>
      </c>
      <c r="C14" s="12">
        <v>0</v>
      </c>
      <c r="D14" s="12">
        <v>0</v>
      </c>
      <c r="E14" s="12">
        <v>0</v>
      </c>
      <c r="F14" s="12">
        <v>0</v>
      </c>
      <c r="G14" s="12">
        <v>0</v>
      </c>
    </row>
    <row r="15" spans="1:7" x14ac:dyDescent="0.35">
      <c r="B15" t="s">
        <v>65</v>
      </c>
      <c r="C15" s="12">
        <v>0</v>
      </c>
      <c r="D15" s="12">
        <v>0</v>
      </c>
      <c r="E15" s="12">
        <v>0</v>
      </c>
      <c r="F15" s="12">
        <v>0</v>
      </c>
      <c r="G15" s="12">
        <v>0</v>
      </c>
    </row>
    <row r="16" spans="1:7" x14ac:dyDescent="0.35">
      <c r="B16" t="s">
        <v>71</v>
      </c>
      <c r="C16" s="12">
        <v>3</v>
      </c>
      <c r="D16" s="12">
        <v>3</v>
      </c>
      <c r="E16" s="12">
        <v>1</v>
      </c>
      <c r="F16" s="12">
        <v>1</v>
      </c>
      <c r="G16" s="12">
        <v>1</v>
      </c>
    </row>
    <row r="17" spans="2:7" x14ac:dyDescent="0.35">
      <c r="B17" t="s">
        <v>72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5:BK41"/>
  <sheetViews>
    <sheetView topLeftCell="A26" zoomScale="93" zoomScaleNormal="93" workbookViewId="0">
      <selection activeCell="AZ26" sqref="AZ1:AZ1048576"/>
    </sheetView>
  </sheetViews>
  <sheetFormatPr defaultRowHeight="14.5" x14ac:dyDescent="0.35"/>
  <cols>
    <col min="1" max="1" width="18.453125" customWidth="1"/>
    <col min="2" max="2" width="13.1796875" customWidth="1"/>
    <col min="3" max="3" width="18.26953125" bestFit="1" customWidth="1"/>
  </cols>
  <sheetData>
    <row r="25" spans="1:63" x14ac:dyDescent="0.35">
      <c r="A25" t="s">
        <v>0</v>
      </c>
      <c r="B25" t="s">
        <v>2</v>
      </c>
      <c r="C25" t="s">
        <v>3</v>
      </c>
      <c r="D25" t="s">
        <v>5</v>
      </c>
      <c r="E25" t="s">
        <v>6</v>
      </c>
      <c r="F25" t="s">
        <v>7</v>
      </c>
      <c r="G25" t="s">
        <v>8</v>
      </c>
      <c r="H25" t="s">
        <v>9</v>
      </c>
      <c r="I25" t="s">
        <v>10</v>
      </c>
      <c r="J25" t="s">
        <v>11</v>
      </c>
      <c r="K25" t="s">
        <v>12</v>
      </c>
      <c r="L25" t="s">
        <v>13</v>
      </c>
      <c r="M25" t="s">
        <v>14</v>
      </c>
      <c r="N25" t="s">
        <v>15</v>
      </c>
      <c r="O25" t="s">
        <v>16</v>
      </c>
      <c r="P25" t="s">
        <v>17</v>
      </c>
      <c r="Q25" t="s">
        <v>18</v>
      </c>
      <c r="R25" t="s">
        <v>19</v>
      </c>
      <c r="S25" t="s">
        <v>20</v>
      </c>
      <c r="T25" t="s">
        <v>21</v>
      </c>
      <c r="U25" t="s">
        <v>22</v>
      </c>
      <c r="V25" t="s">
        <v>23</v>
      </c>
      <c r="W25" t="s">
        <v>24</v>
      </c>
      <c r="X25" t="s">
        <v>25</v>
      </c>
      <c r="Y25" t="s">
        <v>26</v>
      </c>
      <c r="Z25" t="s">
        <v>27</v>
      </c>
      <c r="AA25" t="s">
        <v>28</v>
      </c>
      <c r="AB25" t="s">
        <v>29</v>
      </c>
      <c r="AC25" t="s">
        <v>30</v>
      </c>
      <c r="AD25" t="s">
        <v>31</v>
      </c>
      <c r="AE25" t="s">
        <v>32</v>
      </c>
      <c r="AF25" t="s">
        <v>33</v>
      </c>
      <c r="AG25" t="s">
        <v>34</v>
      </c>
      <c r="AH25" t="s">
        <v>35</v>
      </c>
      <c r="AI25" t="s">
        <v>36</v>
      </c>
      <c r="AJ25" t="s">
        <v>37</v>
      </c>
      <c r="AK25" t="s">
        <v>38</v>
      </c>
      <c r="AL25" t="s">
        <v>39</v>
      </c>
      <c r="AM25" t="s">
        <v>40</v>
      </c>
      <c r="AN25" t="s">
        <v>41</v>
      </c>
      <c r="AO25" t="s">
        <v>42</v>
      </c>
      <c r="AP25" t="s">
        <v>43</v>
      </c>
      <c r="AQ25" t="s">
        <v>44</v>
      </c>
      <c r="AR25" t="s">
        <v>45</v>
      </c>
      <c r="AS25" t="s">
        <v>46</v>
      </c>
      <c r="AT25" t="s">
        <v>47</v>
      </c>
      <c r="AU25" t="s">
        <v>48</v>
      </c>
      <c r="AV25" t="s">
        <v>49</v>
      </c>
      <c r="AW25" t="s">
        <v>50</v>
      </c>
      <c r="AX25" t="s">
        <v>51</v>
      </c>
      <c r="AY25" t="s">
        <v>52</v>
      </c>
      <c r="AZ25" t="s">
        <v>53</v>
      </c>
      <c r="BA25" t="s">
        <v>54</v>
      </c>
      <c r="BB25" t="s">
        <v>55</v>
      </c>
      <c r="BC25" t="s">
        <v>56</v>
      </c>
      <c r="BD25" t="s">
        <v>57</v>
      </c>
      <c r="BE25" t="s">
        <v>58</v>
      </c>
      <c r="BF25" t="s">
        <v>59</v>
      </c>
      <c r="BG25" t="s">
        <v>60</v>
      </c>
      <c r="BH25" t="s">
        <v>61</v>
      </c>
      <c r="BI25" t="s">
        <v>62</v>
      </c>
      <c r="BJ25" t="s">
        <v>63</v>
      </c>
      <c r="BK25" t="s">
        <v>64</v>
      </c>
    </row>
    <row r="26" spans="1:63" x14ac:dyDescent="0.35">
      <c r="A26" t="s">
        <v>65</v>
      </c>
      <c r="B26" t="s">
        <v>67</v>
      </c>
      <c r="C26" t="str">
        <f t="shared" ref="C26:C41" si="0">A26&amp;B26</f>
        <v>BSAIndia</v>
      </c>
      <c r="D26" s="14">
        <f>ROUND(FTE!$B$7*'India Role Distribution'!$C2,0)</f>
        <v>1</v>
      </c>
      <c r="E26" s="14">
        <f>ROUND(FTE!$B$7*'India Role Distribution'!$C2,0)</f>
        <v>1</v>
      </c>
      <c r="F26" s="14">
        <f>ROUND(FTE!$B$7*'India Role Distribution'!$C2,0)</f>
        <v>1</v>
      </c>
      <c r="G26" s="14">
        <f>ROUND(FTE!$B$7*'India Role Distribution'!$C2,0)</f>
        <v>1</v>
      </c>
      <c r="H26" s="14">
        <f>ROUND(FTE!$B$7*'India Role Distribution'!$C2,0)</f>
        <v>1</v>
      </c>
      <c r="I26" s="14">
        <f>ROUND(FTE!$B$7*'India Role Distribution'!$C2,0)</f>
        <v>1</v>
      </c>
      <c r="J26" s="14">
        <f>ROUND(FTE!$B$7*'India Role Distribution'!$C2,0)</f>
        <v>1</v>
      </c>
      <c r="K26" s="14">
        <f>ROUND(FTE!$B$7*'India Role Distribution'!$C2,0)</f>
        <v>1</v>
      </c>
      <c r="L26" s="14">
        <f>ROUND(FTE!$B$7*'India Role Distribution'!$C2,0)</f>
        <v>1</v>
      </c>
      <c r="M26" s="14">
        <f>ROUND(FTE!$B$7*'India Role Distribution'!$C2,0)</f>
        <v>1</v>
      </c>
      <c r="N26" s="14">
        <f>ROUND(FTE!$B$7*'India Role Distribution'!$C2,0)</f>
        <v>1</v>
      </c>
      <c r="O26" s="14">
        <f>ROUND(FTE!$B$7*'India Role Distribution'!$C2,0)</f>
        <v>1</v>
      </c>
      <c r="P26" s="6">
        <f>ROUND(FTE!$C$7*'India Role Distribution'!$C2,0)</f>
        <v>1</v>
      </c>
      <c r="Q26" s="6">
        <f>ROUND(FTE!$C$7*'India Role Distribution'!$C2,0)</f>
        <v>1</v>
      </c>
      <c r="R26" s="6">
        <f>ROUND(FTE!$C$7*'India Role Distribution'!$C2,0)</f>
        <v>1</v>
      </c>
      <c r="S26" s="6">
        <f>ROUND(FTE!$C$7*'India Role Distribution'!$C2,0)</f>
        <v>1</v>
      </c>
      <c r="T26" s="6">
        <f>ROUND(FTE!$C$7*'India Role Distribution'!$C2,0)</f>
        <v>1</v>
      </c>
      <c r="U26" s="6">
        <f>ROUND(FTE!$C$7*'India Role Distribution'!$C2,0)</f>
        <v>1</v>
      </c>
      <c r="V26" s="6">
        <f>ROUND(FTE!$C$7*'India Role Distribution'!$C2,0)</f>
        <v>1</v>
      </c>
      <c r="W26" s="6">
        <f>ROUND(FTE!$C$7*'India Role Distribution'!$C2,0)</f>
        <v>1</v>
      </c>
      <c r="X26" s="6">
        <f>ROUND(FTE!$C$7*'India Role Distribution'!$C2,0)</f>
        <v>1</v>
      </c>
      <c r="Y26" s="6">
        <f>ROUND(FTE!$C$7*'India Role Distribution'!$C2,0)</f>
        <v>1</v>
      </c>
      <c r="Z26" s="6">
        <f>ROUND(FTE!$C$7*'India Role Distribution'!$C2,0)</f>
        <v>1</v>
      </c>
      <c r="AA26" s="6">
        <f>ROUND(FTE!$C$7*'India Role Distribution'!$C2,0)</f>
        <v>1</v>
      </c>
      <c r="AB26" s="15">
        <f>ROUND(FTE!$D$7*'India Role Distribution'!$C2,0)</f>
        <v>2</v>
      </c>
      <c r="AC26" s="15">
        <f>ROUND(FTE!$D$7*'India Role Distribution'!$C2,0)</f>
        <v>2</v>
      </c>
      <c r="AD26" s="15">
        <f>ROUND(FTE!$D$7*'India Role Distribution'!$C2,0)</f>
        <v>2</v>
      </c>
      <c r="AE26" s="15">
        <f>ROUND(FTE!$D$7*'India Role Distribution'!$C2,0)</f>
        <v>2</v>
      </c>
      <c r="AF26" s="15">
        <f>ROUND(FTE!$D$7*'India Role Distribution'!$C2,0)</f>
        <v>2</v>
      </c>
      <c r="AG26" s="15">
        <f>ROUND(FTE!$D$7*'India Role Distribution'!$C2,0)</f>
        <v>2</v>
      </c>
      <c r="AH26" s="15">
        <f>ROUND(FTE!$D$7*'India Role Distribution'!$C2,0)</f>
        <v>2</v>
      </c>
      <c r="AI26" s="15">
        <f>ROUND(FTE!$D$7*'India Role Distribution'!$C2,0)</f>
        <v>2</v>
      </c>
      <c r="AJ26" s="15">
        <f>ROUND(FTE!$D$7*'India Role Distribution'!$C2,0)</f>
        <v>2</v>
      </c>
      <c r="AK26" s="15">
        <f>ROUND(FTE!$D$7*'India Role Distribution'!$C2,0)</f>
        <v>2</v>
      </c>
      <c r="AL26" s="15">
        <f>ROUND(FTE!$D$7*'India Role Distribution'!$C2,0)</f>
        <v>2</v>
      </c>
      <c r="AM26" s="15">
        <f>ROUND(FTE!$D$7*'India Role Distribution'!$C2,0)</f>
        <v>2</v>
      </c>
      <c r="AN26" s="16">
        <f>ROUND(FTE!$E$7*'India Role Distribution'!$C2,0)</f>
        <v>2</v>
      </c>
      <c r="AO26" s="16">
        <f>ROUND(FTE!$E$7*'India Role Distribution'!$C2,0)</f>
        <v>2</v>
      </c>
      <c r="AP26" s="16">
        <f>ROUND(FTE!$E$7*'India Role Distribution'!$C2,0)</f>
        <v>2</v>
      </c>
      <c r="AQ26" s="16">
        <f>ROUND(FTE!$E$7*'India Role Distribution'!$C2,0)</f>
        <v>2</v>
      </c>
      <c r="AR26" s="16">
        <f>ROUND(FTE!$E$7*'India Role Distribution'!$C2,0)</f>
        <v>2</v>
      </c>
      <c r="AS26" s="16">
        <f>ROUND(FTE!$E$7*'India Role Distribution'!$C2,0)</f>
        <v>2</v>
      </c>
      <c r="AT26" s="16">
        <f>ROUND(FTE!$E$7*'India Role Distribution'!$C2,0)</f>
        <v>2</v>
      </c>
      <c r="AU26" s="16">
        <f>ROUND(FTE!$E$7*'India Role Distribution'!$C2,0)</f>
        <v>2</v>
      </c>
      <c r="AV26" s="16">
        <f>ROUND(FTE!$E$7*'India Role Distribution'!$C2,0)</f>
        <v>2</v>
      </c>
      <c r="AW26" s="16">
        <f>ROUND(FTE!$E$7*'India Role Distribution'!$C2,0)</f>
        <v>2</v>
      </c>
      <c r="AX26" s="16">
        <f>ROUND(FTE!$E$7*'India Role Distribution'!$C2,0)</f>
        <v>2</v>
      </c>
      <c r="AY26" s="16">
        <f>ROUND(FTE!$E$7*'India Role Distribution'!$C2,0)</f>
        <v>2</v>
      </c>
      <c r="AZ26" s="17">
        <f>ROUND(FTE!$F$7*'India Role Distribution'!$C2,0)</f>
        <v>2</v>
      </c>
      <c r="BA26" s="17">
        <f>ROUND(FTE!$F$7*'India Role Distribution'!$C2,0)</f>
        <v>2</v>
      </c>
      <c r="BB26" s="17">
        <f>ROUND(FTE!$F$7*'India Role Distribution'!$C2,0)</f>
        <v>2</v>
      </c>
      <c r="BC26" s="17">
        <f>ROUND(FTE!$F$7*'India Role Distribution'!$C2,0)</f>
        <v>2</v>
      </c>
      <c r="BD26" s="17">
        <f>ROUND(FTE!$F$7*'India Role Distribution'!$C2,0)</f>
        <v>2</v>
      </c>
      <c r="BE26" s="17">
        <f>ROUND(FTE!$F$7*'India Role Distribution'!$C2,0)</f>
        <v>2</v>
      </c>
      <c r="BF26" s="17">
        <f>ROUND(FTE!$F$7*'India Role Distribution'!$C2,0)</f>
        <v>2</v>
      </c>
      <c r="BG26" s="17">
        <f>ROUND(FTE!$F$7*'India Role Distribution'!$C2,0)</f>
        <v>2</v>
      </c>
      <c r="BH26" s="17">
        <f>ROUND(FTE!$F$7*'India Role Distribution'!$C2,0)</f>
        <v>2</v>
      </c>
      <c r="BI26" s="17">
        <f>ROUND(FTE!$F$7*'India Role Distribution'!$C2,0)</f>
        <v>2</v>
      </c>
      <c r="BJ26" s="17">
        <f>ROUND(FTE!$F$7*'India Role Distribution'!$C2,0)</f>
        <v>2</v>
      </c>
      <c r="BK26" s="17">
        <f>ROUND(FTE!$F$7*'India Role Distribution'!$C2,0)</f>
        <v>2</v>
      </c>
    </row>
    <row r="27" spans="1:63" x14ac:dyDescent="0.35">
      <c r="A27" t="s">
        <v>71</v>
      </c>
      <c r="B27" t="s">
        <v>67</v>
      </c>
      <c r="C27" t="str">
        <f t="shared" si="0"/>
        <v>DevIndia</v>
      </c>
      <c r="D27" s="14">
        <f>ROUND(FTE!$B$7*'India Role Distribution'!$C3,0)</f>
        <v>4</v>
      </c>
      <c r="E27" s="14">
        <f>ROUND(FTE!$B$7*'India Role Distribution'!$C3,0)</f>
        <v>4</v>
      </c>
      <c r="F27" s="14">
        <f>ROUND(FTE!$B$7*'India Role Distribution'!$C3,0)</f>
        <v>4</v>
      </c>
      <c r="G27" s="14">
        <f>ROUND(FTE!$B$7*'India Role Distribution'!$C3,0)</f>
        <v>4</v>
      </c>
      <c r="H27" s="14">
        <f>ROUND(FTE!$B$7*'India Role Distribution'!$C3,0)</f>
        <v>4</v>
      </c>
      <c r="I27" s="14">
        <f>ROUND(FTE!$B$7*'India Role Distribution'!$C3,0)</f>
        <v>4</v>
      </c>
      <c r="J27" s="14">
        <f>ROUND(FTE!$B$7*'India Role Distribution'!$C3,0)</f>
        <v>4</v>
      </c>
      <c r="K27" s="14">
        <f>ROUND(FTE!$B$7*'India Role Distribution'!$C3,0)</f>
        <v>4</v>
      </c>
      <c r="L27" s="14">
        <f>ROUND(FTE!$B$7*'India Role Distribution'!$C3,0)</f>
        <v>4</v>
      </c>
      <c r="M27" s="14">
        <f>ROUND(FTE!$B$7*'India Role Distribution'!$C3,0)</f>
        <v>4</v>
      </c>
      <c r="N27" s="14">
        <f>ROUND(FTE!$B$7*'India Role Distribution'!$C3,0)</f>
        <v>4</v>
      </c>
      <c r="O27" s="14">
        <f>ROUND(FTE!$B$7*'India Role Distribution'!$C3,0)</f>
        <v>4</v>
      </c>
      <c r="P27" s="6">
        <f>ROUND(FTE!$C$7*'India Role Distribution'!$C3,0)</f>
        <v>4</v>
      </c>
      <c r="Q27" s="6">
        <f>ROUND(FTE!$C$7*'India Role Distribution'!$C3,0)</f>
        <v>4</v>
      </c>
      <c r="R27" s="6">
        <f>ROUND(FTE!$C$7*'India Role Distribution'!$C3,0)</f>
        <v>4</v>
      </c>
      <c r="S27" s="6">
        <f>ROUND(FTE!$C$7*'India Role Distribution'!$C3,0)</f>
        <v>4</v>
      </c>
      <c r="T27" s="6">
        <f>ROUND(FTE!$C$7*'India Role Distribution'!$C3,0)</f>
        <v>4</v>
      </c>
      <c r="U27" s="6">
        <f>ROUND(FTE!$C$7*'India Role Distribution'!$C3,0)</f>
        <v>4</v>
      </c>
      <c r="V27" s="6">
        <f>ROUND(FTE!$C$7*'India Role Distribution'!$C3,0)</f>
        <v>4</v>
      </c>
      <c r="W27" s="6">
        <f>ROUND(FTE!$C$7*'India Role Distribution'!$C3,0)</f>
        <v>4</v>
      </c>
      <c r="X27" s="6">
        <f>ROUND(FTE!$C$7*'India Role Distribution'!$C3,0)</f>
        <v>4</v>
      </c>
      <c r="Y27" s="6">
        <f>ROUND(FTE!$C$7*'India Role Distribution'!$C3,0)</f>
        <v>4</v>
      </c>
      <c r="Z27" s="6">
        <f>ROUND(FTE!$C$7*'India Role Distribution'!$C3,0)</f>
        <v>4</v>
      </c>
      <c r="AA27" s="6">
        <f>ROUND(FTE!$C$7*'India Role Distribution'!$C3,0)</f>
        <v>4</v>
      </c>
      <c r="AB27" s="15">
        <f>ROUND(FTE!$D$7*'India Role Distribution'!$C3,0)</f>
        <v>6</v>
      </c>
      <c r="AC27" s="15">
        <f>ROUND(FTE!$D$7*'India Role Distribution'!$C3,0)</f>
        <v>6</v>
      </c>
      <c r="AD27" s="15">
        <f>ROUND(FTE!$D$7*'India Role Distribution'!$C3,0)</f>
        <v>6</v>
      </c>
      <c r="AE27" s="15">
        <f>ROUND(FTE!$D$7*'India Role Distribution'!$C3,0)</f>
        <v>6</v>
      </c>
      <c r="AF27" s="15">
        <f>ROUND(FTE!$D$7*'India Role Distribution'!$C3,0)</f>
        <v>6</v>
      </c>
      <c r="AG27" s="15">
        <f>ROUND(FTE!$D$7*'India Role Distribution'!$C3,0)</f>
        <v>6</v>
      </c>
      <c r="AH27" s="15">
        <f>ROUND(FTE!$D$7*'India Role Distribution'!$C3,0)</f>
        <v>6</v>
      </c>
      <c r="AI27" s="15">
        <f>ROUND(FTE!$D$7*'India Role Distribution'!$C3,0)</f>
        <v>6</v>
      </c>
      <c r="AJ27" s="15">
        <f>ROUND(FTE!$D$7*'India Role Distribution'!$C3,0)</f>
        <v>6</v>
      </c>
      <c r="AK27" s="15">
        <f>ROUND(FTE!$D$7*'India Role Distribution'!$C3,0)</f>
        <v>6</v>
      </c>
      <c r="AL27" s="15">
        <f>ROUND(FTE!$D$7*'India Role Distribution'!$C3,0)</f>
        <v>6</v>
      </c>
      <c r="AM27" s="15">
        <f>ROUND(FTE!$D$7*'India Role Distribution'!$C3,0)</f>
        <v>6</v>
      </c>
      <c r="AN27" s="16">
        <f>ROUND(FTE!$E$7*'India Role Distribution'!$C3,0)</f>
        <v>6</v>
      </c>
      <c r="AO27" s="16">
        <f>ROUND(FTE!$E$7*'India Role Distribution'!$C3,0)</f>
        <v>6</v>
      </c>
      <c r="AP27" s="16">
        <f>ROUND(FTE!$E$7*'India Role Distribution'!$C3,0)</f>
        <v>6</v>
      </c>
      <c r="AQ27" s="16">
        <f>ROUND(FTE!$E$7*'India Role Distribution'!$C3,0)</f>
        <v>6</v>
      </c>
      <c r="AR27" s="16">
        <f>ROUND(FTE!$E$7*'India Role Distribution'!$C3,0)</f>
        <v>6</v>
      </c>
      <c r="AS27" s="16">
        <f>ROUND(FTE!$E$7*'India Role Distribution'!$C3,0)</f>
        <v>6</v>
      </c>
      <c r="AT27" s="16">
        <f>ROUND(FTE!$E$7*'India Role Distribution'!$C3,0)</f>
        <v>6</v>
      </c>
      <c r="AU27" s="16">
        <f>ROUND(FTE!$E$7*'India Role Distribution'!$C3,0)</f>
        <v>6</v>
      </c>
      <c r="AV27" s="16">
        <f>ROUND(FTE!$E$7*'India Role Distribution'!$C3,0)</f>
        <v>6</v>
      </c>
      <c r="AW27" s="16">
        <f>ROUND(FTE!$E$7*'India Role Distribution'!$C3,0)</f>
        <v>6</v>
      </c>
      <c r="AX27" s="16">
        <f>ROUND(FTE!$E$7*'India Role Distribution'!$C3,0)</f>
        <v>6</v>
      </c>
      <c r="AY27" s="16">
        <f>ROUND(FTE!$E$7*'India Role Distribution'!$C3,0)</f>
        <v>6</v>
      </c>
      <c r="AZ27" s="17">
        <f>ROUND(FTE!$F$7*'India Role Distribution'!$C3,0)</f>
        <v>7</v>
      </c>
      <c r="BA27" s="17">
        <f>ROUND(FTE!$F$7*'India Role Distribution'!$C3,0)</f>
        <v>7</v>
      </c>
      <c r="BB27" s="17">
        <f>ROUND(FTE!$F$7*'India Role Distribution'!$C3,0)</f>
        <v>7</v>
      </c>
      <c r="BC27" s="17">
        <f>ROUND(FTE!$F$7*'India Role Distribution'!$C3,0)</f>
        <v>7</v>
      </c>
      <c r="BD27" s="17">
        <f>ROUND(FTE!$F$7*'India Role Distribution'!$C3,0)</f>
        <v>7</v>
      </c>
      <c r="BE27" s="17">
        <f>ROUND(FTE!$F$7*'India Role Distribution'!$C3,0)</f>
        <v>7</v>
      </c>
      <c r="BF27" s="17">
        <f>ROUND(FTE!$F$7*'India Role Distribution'!$C3,0)</f>
        <v>7</v>
      </c>
      <c r="BG27" s="17">
        <f>ROUND(FTE!$F$7*'India Role Distribution'!$C3,0)</f>
        <v>7</v>
      </c>
      <c r="BH27" s="17">
        <f>ROUND(FTE!$F$7*'India Role Distribution'!$C3,0)</f>
        <v>7</v>
      </c>
      <c r="BI27" s="17">
        <f>ROUND(FTE!$F$7*'India Role Distribution'!$C3,0)</f>
        <v>7</v>
      </c>
      <c r="BJ27" s="17">
        <f>ROUND(FTE!$F$7*'India Role Distribution'!$C3,0)</f>
        <v>7</v>
      </c>
      <c r="BK27" s="17">
        <f>ROUND(FTE!$F$7*'India Role Distribution'!$C3,0)</f>
        <v>7</v>
      </c>
    </row>
    <row r="28" spans="1:63" x14ac:dyDescent="0.35">
      <c r="A28" t="s">
        <v>72</v>
      </c>
      <c r="B28" t="s">
        <v>67</v>
      </c>
      <c r="C28" t="str">
        <f t="shared" si="0"/>
        <v>TesterIndia</v>
      </c>
      <c r="D28" s="14">
        <f>ROUND(FTE!$B$7*'India Role Distribution'!$C4,0)</f>
        <v>2</v>
      </c>
      <c r="E28" s="14">
        <f>ROUND(FTE!$B$7*'India Role Distribution'!$C4,0)</f>
        <v>2</v>
      </c>
      <c r="F28" s="14">
        <f>ROUND(FTE!$B$7*'India Role Distribution'!$C4,0)</f>
        <v>2</v>
      </c>
      <c r="G28" s="14">
        <f>ROUND(FTE!$B$7*'India Role Distribution'!$C4,0)</f>
        <v>2</v>
      </c>
      <c r="H28" s="14">
        <f>ROUND(FTE!$B$7*'India Role Distribution'!$C4,0)</f>
        <v>2</v>
      </c>
      <c r="I28" s="14">
        <f>ROUND(FTE!$B$7*'India Role Distribution'!$C4,0)</f>
        <v>2</v>
      </c>
      <c r="J28" s="14">
        <f>ROUND(FTE!$B$7*'India Role Distribution'!$C4,0)</f>
        <v>2</v>
      </c>
      <c r="K28" s="14">
        <f>ROUND(FTE!$B$7*'India Role Distribution'!$C4,0)</f>
        <v>2</v>
      </c>
      <c r="L28" s="14">
        <f>ROUND(FTE!$B$7*'India Role Distribution'!$C4,0)</f>
        <v>2</v>
      </c>
      <c r="M28" s="14">
        <f>ROUND(FTE!$B$7*'India Role Distribution'!$C4,0)</f>
        <v>2</v>
      </c>
      <c r="N28" s="14">
        <f>ROUND(FTE!$B$7*'India Role Distribution'!$C4,0)</f>
        <v>2</v>
      </c>
      <c r="O28" s="14">
        <f>ROUND(FTE!$B$7*'India Role Distribution'!$C4,0)</f>
        <v>2</v>
      </c>
      <c r="P28" s="6">
        <f>ROUND(FTE!$C$7*'India Role Distribution'!$C4,0)</f>
        <v>2</v>
      </c>
      <c r="Q28" s="6">
        <f>ROUND(FTE!$C$7*'India Role Distribution'!$C4,0)</f>
        <v>2</v>
      </c>
      <c r="R28" s="6">
        <f>ROUND(FTE!$C$7*'India Role Distribution'!$C4,0)</f>
        <v>2</v>
      </c>
      <c r="S28" s="6">
        <f>ROUND(FTE!$C$7*'India Role Distribution'!$C4,0)</f>
        <v>2</v>
      </c>
      <c r="T28" s="6">
        <f>ROUND(FTE!$C$7*'India Role Distribution'!$C4,0)</f>
        <v>2</v>
      </c>
      <c r="U28" s="6">
        <f>ROUND(FTE!$C$7*'India Role Distribution'!$C4,0)</f>
        <v>2</v>
      </c>
      <c r="V28" s="6">
        <f>ROUND(FTE!$C$7*'India Role Distribution'!$C4,0)</f>
        <v>2</v>
      </c>
      <c r="W28" s="6">
        <f>ROUND(FTE!$C$7*'India Role Distribution'!$C4,0)</f>
        <v>2</v>
      </c>
      <c r="X28" s="6">
        <f>ROUND(FTE!$C$7*'India Role Distribution'!$C4,0)</f>
        <v>2</v>
      </c>
      <c r="Y28" s="6">
        <f>ROUND(FTE!$C$7*'India Role Distribution'!$C4,0)</f>
        <v>2</v>
      </c>
      <c r="Z28" s="6">
        <f>ROUND(FTE!$C$7*'India Role Distribution'!$C4,0)</f>
        <v>2</v>
      </c>
      <c r="AA28" s="6">
        <f>ROUND(FTE!$C$7*'India Role Distribution'!$C4,0)</f>
        <v>2</v>
      </c>
      <c r="AB28" s="15">
        <f>ROUND(FTE!$D$7*'India Role Distribution'!$C4,0)</f>
        <v>3</v>
      </c>
      <c r="AC28" s="15">
        <f>ROUND(FTE!$D$7*'India Role Distribution'!$C4,0)</f>
        <v>3</v>
      </c>
      <c r="AD28" s="15">
        <f>ROUND(FTE!$D$7*'India Role Distribution'!$C4,0)</f>
        <v>3</v>
      </c>
      <c r="AE28" s="15">
        <f>ROUND(FTE!$D$7*'India Role Distribution'!$C4,0)</f>
        <v>3</v>
      </c>
      <c r="AF28" s="15">
        <f>ROUND(FTE!$D$7*'India Role Distribution'!$C4,0)</f>
        <v>3</v>
      </c>
      <c r="AG28" s="15">
        <f>ROUND(FTE!$D$7*'India Role Distribution'!$C4,0)</f>
        <v>3</v>
      </c>
      <c r="AH28" s="15">
        <f>ROUND(FTE!$D$7*'India Role Distribution'!$C4,0)</f>
        <v>3</v>
      </c>
      <c r="AI28" s="15">
        <f>ROUND(FTE!$D$7*'India Role Distribution'!$C4,0)</f>
        <v>3</v>
      </c>
      <c r="AJ28" s="15">
        <f>ROUND(FTE!$D$7*'India Role Distribution'!$C4,0)</f>
        <v>3</v>
      </c>
      <c r="AK28" s="15">
        <f>ROUND(FTE!$D$7*'India Role Distribution'!$C4,0)</f>
        <v>3</v>
      </c>
      <c r="AL28" s="15">
        <f>ROUND(FTE!$D$7*'India Role Distribution'!$C4,0)</f>
        <v>3</v>
      </c>
      <c r="AM28" s="15">
        <f>ROUND(FTE!$D$7*'India Role Distribution'!$C4,0)</f>
        <v>3</v>
      </c>
      <c r="AN28" s="16">
        <f>ROUND(FTE!$E$7*'India Role Distribution'!$C4,0)</f>
        <v>4</v>
      </c>
      <c r="AO28" s="16">
        <f>ROUND(FTE!$E$7*'India Role Distribution'!$C4,0)</f>
        <v>4</v>
      </c>
      <c r="AP28" s="16">
        <f>ROUND(FTE!$E$7*'India Role Distribution'!$C4,0)</f>
        <v>4</v>
      </c>
      <c r="AQ28" s="16">
        <f>ROUND(FTE!$E$7*'India Role Distribution'!$C4,0)</f>
        <v>4</v>
      </c>
      <c r="AR28" s="16">
        <f>ROUND(FTE!$E$7*'India Role Distribution'!$C4,0)</f>
        <v>4</v>
      </c>
      <c r="AS28" s="16">
        <f>ROUND(FTE!$E$7*'India Role Distribution'!$C4,0)</f>
        <v>4</v>
      </c>
      <c r="AT28" s="16">
        <f>ROUND(FTE!$E$7*'India Role Distribution'!$C4,0)</f>
        <v>4</v>
      </c>
      <c r="AU28" s="16">
        <f>ROUND(FTE!$E$7*'India Role Distribution'!$C4,0)</f>
        <v>4</v>
      </c>
      <c r="AV28" s="16">
        <f>ROUND(FTE!$E$7*'India Role Distribution'!$C4,0)</f>
        <v>4</v>
      </c>
      <c r="AW28" s="16">
        <f>ROUND(FTE!$E$7*'India Role Distribution'!$C4,0)</f>
        <v>4</v>
      </c>
      <c r="AX28" s="16">
        <f>ROUND(FTE!$E$7*'India Role Distribution'!$C4,0)</f>
        <v>4</v>
      </c>
      <c r="AY28" s="16">
        <f>ROUND(FTE!$E$7*'India Role Distribution'!$C4,0)</f>
        <v>4</v>
      </c>
      <c r="AZ28" s="17">
        <f>ROUND(FTE!$F$7*'India Role Distribution'!$C4,0)</f>
        <v>4</v>
      </c>
      <c r="BA28" s="17">
        <f>ROUND(FTE!$F$7*'India Role Distribution'!$C4,0)</f>
        <v>4</v>
      </c>
      <c r="BB28" s="17">
        <f>ROUND(FTE!$F$7*'India Role Distribution'!$C4,0)</f>
        <v>4</v>
      </c>
      <c r="BC28" s="17">
        <f>ROUND(FTE!$F$7*'India Role Distribution'!$C4,0)</f>
        <v>4</v>
      </c>
      <c r="BD28" s="17">
        <f>ROUND(FTE!$F$7*'India Role Distribution'!$C4,0)</f>
        <v>4</v>
      </c>
      <c r="BE28" s="17">
        <f>ROUND(FTE!$F$7*'India Role Distribution'!$C4,0)</f>
        <v>4</v>
      </c>
      <c r="BF28" s="17">
        <f>ROUND(FTE!$F$7*'India Role Distribution'!$C4,0)</f>
        <v>4</v>
      </c>
      <c r="BG28" s="17">
        <f>ROUND(FTE!$F$7*'India Role Distribution'!$C4,0)</f>
        <v>4</v>
      </c>
      <c r="BH28" s="17">
        <f>ROUND(FTE!$F$7*'India Role Distribution'!$C4,0)</f>
        <v>4</v>
      </c>
      <c r="BI28" s="17">
        <f>ROUND(FTE!$F$7*'India Role Distribution'!$C4,0)</f>
        <v>4</v>
      </c>
      <c r="BJ28" s="17">
        <f>ROUND(FTE!$F$7*'India Role Distribution'!$C4,0)</f>
        <v>4</v>
      </c>
      <c r="BK28" s="17">
        <f>ROUND(FTE!$F$7*'India Role Distribution'!$C4,0)</f>
        <v>4</v>
      </c>
    </row>
    <row r="29" spans="1:63" x14ac:dyDescent="0.35">
      <c r="A29" t="s">
        <v>74</v>
      </c>
      <c r="B29" t="s">
        <v>67</v>
      </c>
      <c r="C29" t="str">
        <f t="shared" si="0"/>
        <v>MaintenanceIndia</v>
      </c>
      <c r="D29" s="14">
        <f>ROUND(FTE!$B$7*'India Role Distribution'!$C5,0)</f>
        <v>1</v>
      </c>
      <c r="E29" s="14">
        <f>ROUND(FTE!$B$7*'India Role Distribution'!$C5,0)</f>
        <v>1</v>
      </c>
      <c r="F29" s="14">
        <f>ROUND(FTE!$B$7*'India Role Distribution'!$C5,0)</f>
        <v>1</v>
      </c>
      <c r="G29" s="14">
        <f>ROUND(FTE!$B$7*'India Role Distribution'!$C5,0)</f>
        <v>1</v>
      </c>
      <c r="H29" s="14">
        <f>ROUND(FTE!$B$7*'India Role Distribution'!$C5,0)</f>
        <v>1</v>
      </c>
      <c r="I29" s="14">
        <f>ROUND(FTE!$B$7*'India Role Distribution'!$C5,0)</f>
        <v>1</v>
      </c>
      <c r="J29" s="14">
        <f>ROUND(FTE!$B$7*'India Role Distribution'!$C5,0)</f>
        <v>1</v>
      </c>
      <c r="K29" s="14">
        <f>ROUND(FTE!$B$7*'India Role Distribution'!$C5,0)</f>
        <v>1</v>
      </c>
      <c r="L29" s="14">
        <f>ROUND(FTE!$B$7*'India Role Distribution'!$C5,0)</f>
        <v>1</v>
      </c>
      <c r="M29" s="14">
        <f>ROUND(FTE!$B$7*'India Role Distribution'!$C5,0)</f>
        <v>1</v>
      </c>
      <c r="N29" s="14">
        <f>ROUND(FTE!$B$7*'India Role Distribution'!$C5,0)</f>
        <v>1</v>
      </c>
      <c r="O29" s="14">
        <f>ROUND(FTE!$B$7*'India Role Distribution'!$C5,0)</f>
        <v>1</v>
      </c>
      <c r="P29" s="6">
        <f>ROUND(FTE!$C$7*'India Role Distribution'!$C5,0)</f>
        <v>1</v>
      </c>
      <c r="Q29" s="6">
        <f>ROUND(FTE!$C$7*'India Role Distribution'!$C5,0)</f>
        <v>1</v>
      </c>
      <c r="R29" s="6">
        <f>ROUND(FTE!$C$7*'India Role Distribution'!$C5,0)</f>
        <v>1</v>
      </c>
      <c r="S29" s="6">
        <f>ROUND(FTE!$C$7*'India Role Distribution'!$C5,0)</f>
        <v>1</v>
      </c>
      <c r="T29" s="6">
        <f>ROUND(FTE!$C$7*'India Role Distribution'!$C5,0)</f>
        <v>1</v>
      </c>
      <c r="U29" s="6">
        <f>ROUND(FTE!$C$7*'India Role Distribution'!$C5,0)</f>
        <v>1</v>
      </c>
      <c r="V29" s="6">
        <f>ROUND(FTE!$C$7*'India Role Distribution'!$C5,0)</f>
        <v>1</v>
      </c>
      <c r="W29" s="6">
        <f>ROUND(FTE!$C$7*'India Role Distribution'!$C5,0)</f>
        <v>1</v>
      </c>
      <c r="X29" s="6">
        <f>ROUND(FTE!$C$7*'India Role Distribution'!$C5,0)</f>
        <v>1</v>
      </c>
      <c r="Y29" s="6">
        <f>ROUND(FTE!$C$7*'India Role Distribution'!$C5,0)</f>
        <v>1</v>
      </c>
      <c r="Z29" s="6">
        <f>ROUND(FTE!$C$7*'India Role Distribution'!$C5,0)</f>
        <v>1</v>
      </c>
      <c r="AA29" s="6">
        <f>ROUND(FTE!$C$7*'India Role Distribution'!$C5,0)</f>
        <v>1</v>
      </c>
      <c r="AB29" s="15">
        <f>ROUND(FTE!$D$7*'India Role Distribution'!$C5,0)</f>
        <v>1</v>
      </c>
      <c r="AC29" s="15">
        <f>ROUND(FTE!$D$7*'India Role Distribution'!$C5,0)</f>
        <v>1</v>
      </c>
      <c r="AD29" s="15">
        <f>ROUND(FTE!$D$7*'India Role Distribution'!$C5,0)</f>
        <v>1</v>
      </c>
      <c r="AE29" s="15">
        <f>ROUND(FTE!$D$7*'India Role Distribution'!$C5,0)</f>
        <v>1</v>
      </c>
      <c r="AF29" s="15">
        <f>ROUND(FTE!$D$7*'India Role Distribution'!$C5,0)</f>
        <v>1</v>
      </c>
      <c r="AG29" s="15">
        <f>ROUND(FTE!$D$7*'India Role Distribution'!$C5,0)</f>
        <v>1</v>
      </c>
      <c r="AH29" s="15">
        <f>ROUND(FTE!$D$7*'India Role Distribution'!$C5,0)</f>
        <v>1</v>
      </c>
      <c r="AI29" s="15">
        <f>ROUND(FTE!$D$7*'India Role Distribution'!$C5,0)</f>
        <v>1</v>
      </c>
      <c r="AJ29" s="15">
        <f>ROUND(FTE!$D$7*'India Role Distribution'!$C5,0)</f>
        <v>1</v>
      </c>
      <c r="AK29" s="15">
        <f>ROUND(FTE!$D$7*'India Role Distribution'!$C5,0)</f>
        <v>1</v>
      </c>
      <c r="AL29" s="15">
        <f>ROUND(FTE!$D$7*'India Role Distribution'!$C5,0)</f>
        <v>1</v>
      </c>
      <c r="AM29" s="15">
        <f>ROUND(FTE!$D$7*'India Role Distribution'!$C5,0)</f>
        <v>1</v>
      </c>
      <c r="AN29" s="16">
        <f>ROUND(FTE!$E$7*'India Role Distribution'!$C5,0)</f>
        <v>1</v>
      </c>
      <c r="AO29" s="16">
        <f>ROUND(FTE!$E$7*'India Role Distribution'!$C5,0)</f>
        <v>1</v>
      </c>
      <c r="AP29" s="16">
        <f>ROUND(FTE!$E$7*'India Role Distribution'!$C5,0)</f>
        <v>1</v>
      </c>
      <c r="AQ29" s="16">
        <f>ROUND(FTE!$E$7*'India Role Distribution'!$C5,0)</f>
        <v>1</v>
      </c>
      <c r="AR29" s="16">
        <f>ROUND(FTE!$E$7*'India Role Distribution'!$C5,0)</f>
        <v>1</v>
      </c>
      <c r="AS29" s="16">
        <f>ROUND(FTE!$E$7*'India Role Distribution'!$C5,0)</f>
        <v>1</v>
      </c>
      <c r="AT29" s="16">
        <f>ROUND(FTE!$E$7*'India Role Distribution'!$C5,0)</f>
        <v>1</v>
      </c>
      <c r="AU29" s="16">
        <f>ROUND(FTE!$E$7*'India Role Distribution'!$C5,0)</f>
        <v>1</v>
      </c>
      <c r="AV29" s="16">
        <f>ROUND(FTE!$E$7*'India Role Distribution'!$C5,0)</f>
        <v>1</v>
      </c>
      <c r="AW29" s="16">
        <f>ROUND(FTE!$E$7*'India Role Distribution'!$C5,0)</f>
        <v>1</v>
      </c>
      <c r="AX29" s="16">
        <f>ROUND(FTE!$E$7*'India Role Distribution'!$C5,0)</f>
        <v>1</v>
      </c>
      <c r="AY29" s="16">
        <f>ROUND(FTE!$E$7*'India Role Distribution'!$C5,0)</f>
        <v>1</v>
      </c>
      <c r="AZ29" s="17">
        <f>ROUND(FTE!$F$7*'India Role Distribution'!$C5,0)</f>
        <v>2</v>
      </c>
      <c r="BA29" s="17">
        <f>ROUND(FTE!$F$7*'India Role Distribution'!$C5,0)</f>
        <v>2</v>
      </c>
      <c r="BB29" s="17">
        <f>ROUND(FTE!$F$7*'India Role Distribution'!$C5,0)</f>
        <v>2</v>
      </c>
      <c r="BC29" s="17">
        <f>ROUND(FTE!$F$7*'India Role Distribution'!$C5,0)</f>
        <v>2</v>
      </c>
      <c r="BD29" s="17">
        <f>ROUND(FTE!$F$7*'India Role Distribution'!$C5,0)</f>
        <v>2</v>
      </c>
      <c r="BE29" s="17">
        <f>ROUND(FTE!$F$7*'India Role Distribution'!$C5,0)</f>
        <v>2</v>
      </c>
      <c r="BF29" s="17">
        <f>ROUND(FTE!$F$7*'India Role Distribution'!$C5,0)</f>
        <v>2</v>
      </c>
      <c r="BG29" s="17">
        <f>ROUND(FTE!$F$7*'India Role Distribution'!$C5,0)</f>
        <v>2</v>
      </c>
      <c r="BH29" s="17">
        <f>ROUND(FTE!$F$7*'India Role Distribution'!$C5,0)</f>
        <v>2</v>
      </c>
      <c r="BI29" s="17">
        <f>ROUND(FTE!$F$7*'India Role Distribution'!$C5,0)</f>
        <v>2</v>
      </c>
      <c r="BJ29" s="17">
        <f>ROUND(FTE!$F$7*'India Role Distribution'!$C5,0)</f>
        <v>2</v>
      </c>
      <c r="BK29" s="17">
        <f>ROUND(FTE!$F$7*'India Role Distribution'!$C5,0)</f>
        <v>2</v>
      </c>
    </row>
    <row r="30" spans="1:63" x14ac:dyDescent="0.35">
      <c r="A30" t="s">
        <v>77</v>
      </c>
      <c r="B30" t="s">
        <v>67</v>
      </c>
      <c r="C30" t="str">
        <f t="shared" si="0"/>
        <v>PMIndia</v>
      </c>
      <c r="D30" s="14">
        <f>ROUND(FTE!$B$7*'India Role Distribution'!$C6,0)</f>
        <v>0</v>
      </c>
      <c r="E30" s="14">
        <f>ROUND(FTE!$B$7*'India Role Distribution'!$C6,0)</f>
        <v>0</v>
      </c>
      <c r="F30" s="14">
        <f>ROUND(FTE!$B$7*'India Role Distribution'!$C6,0)</f>
        <v>0</v>
      </c>
      <c r="G30" s="14">
        <f>ROUND(FTE!$B$7*'India Role Distribution'!$C6,0)</f>
        <v>0</v>
      </c>
      <c r="H30" s="14">
        <f>ROUND(FTE!$B$7*'India Role Distribution'!$C6,0)</f>
        <v>0</v>
      </c>
      <c r="I30" s="14">
        <f>ROUND(FTE!$B$7*'India Role Distribution'!$C6,0)</f>
        <v>0</v>
      </c>
      <c r="J30" s="14">
        <f>ROUND(FTE!$B$7*'India Role Distribution'!$C6,0)</f>
        <v>0</v>
      </c>
      <c r="K30" s="14">
        <f>ROUND(FTE!$B$7*'India Role Distribution'!$C6,0)</f>
        <v>0</v>
      </c>
      <c r="L30" s="14">
        <f>ROUND(FTE!$B$7*'India Role Distribution'!$C6,0)</f>
        <v>0</v>
      </c>
      <c r="M30" s="14">
        <f>ROUND(FTE!$B$7*'India Role Distribution'!$C6,0)</f>
        <v>0</v>
      </c>
      <c r="N30" s="14">
        <f>ROUND(FTE!$B$7*'India Role Distribution'!$C6,0)</f>
        <v>0</v>
      </c>
      <c r="O30" s="14">
        <f>ROUND(FTE!$B$7*'India Role Distribution'!$C6,0)</f>
        <v>0</v>
      </c>
      <c r="P30" s="6">
        <f>ROUND(FTE!$C$7*'India Role Distribution'!$C6,0)</f>
        <v>1</v>
      </c>
      <c r="Q30" s="6">
        <f>ROUND(FTE!$C$7*'India Role Distribution'!$C6,0)</f>
        <v>1</v>
      </c>
      <c r="R30" s="6">
        <f>ROUND(FTE!$C$7*'India Role Distribution'!$C6,0)</f>
        <v>1</v>
      </c>
      <c r="S30" s="6">
        <f>ROUND(FTE!$C$7*'India Role Distribution'!$C6,0)</f>
        <v>1</v>
      </c>
      <c r="T30" s="6">
        <f>ROUND(FTE!$C$7*'India Role Distribution'!$C6,0)</f>
        <v>1</v>
      </c>
      <c r="U30" s="6">
        <f>ROUND(FTE!$C$7*'India Role Distribution'!$C6,0)</f>
        <v>1</v>
      </c>
      <c r="V30" s="6">
        <f>ROUND(FTE!$C$7*'India Role Distribution'!$C6,0)</f>
        <v>1</v>
      </c>
      <c r="W30" s="6">
        <f>ROUND(FTE!$C$7*'India Role Distribution'!$C6,0)</f>
        <v>1</v>
      </c>
      <c r="X30" s="6">
        <f>ROUND(FTE!$C$7*'India Role Distribution'!$C6,0)</f>
        <v>1</v>
      </c>
      <c r="Y30" s="6">
        <f>ROUND(FTE!$C$7*'India Role Distribution'!$C6,0)</f>
        <v>1</v>
      </c>
      <c r="Z30" s="6">
        <f>ROUND(FTE!$C$7*'India Role Distribution'!$C6,0)</f>
        <v>1</v>
      </c>
      <c r="AA30" s="6">
        <f>ROUND(FTE!$C$7*'India Role Distribution'!$C6,0)</f>
        <v>1</v>
      </c>
      <c r="AB30" s="7">
        <v>1</v>
      </c>
      <c r="AC30" s="7">
        <v>1</v>
      </c>
      <c r="AD30" s="7">
        <v>1</v>
      </c>
      <c r="AE30" s="7">
        <v>1</v>
      </c>
      <c r="AF30" s="7">
        <v>1</v>
      </c>
      <c r="AG30" s="7">
        <v>1</v>
      </c>
      <c r="AH30" s="7">
        <v>1</v>
      </c>
      <c r="AI30" s="7">
        <v>1</v>
      </c>
      <c r="AJ30" s="7">
        <v>1</v>
      </c>
      <c r="AK30" s="7">
        <v>1</v>
      </c>
      <c r="AL30" s="7">
        <v>1</v>
      </c>
      <c r="AM30" s="7">
        <v>1</v>
      </c>
      <c r="AN30" s="16">
        <f>ROUND(FTE!$E$7*'India Role Distribution'!$C6,0)</f>
        <v>1</v>
      </c>
      <c r="AO30" s="16">
        <f>ROUND(FTE!$E$7*'India Role Distribution'!$C6,0)</f>
        <v>1</v>
      </c>
      <c r="AP30" s="16">
        <f>ROUND(FTE!$E$7*'India Role Distribution'!$C6,0)</f>
        <v>1</v>
      </c>
      <c r="AQ30" s="16">
        <f>ROUND(FTE!$E$7*'India Role Distribution'!$C6,0)</f>
        <v>1</v>
      </c>
      <c r="AR30" s="16">
        <f>ROUND(FTE!$E$7*'India Role Distribution'!$C6,0)</f>
        <v>1</v>
      </c>
      <c r="AS30" s="16">
        <f>ROUND(FTE!$E$7*'India Role Distribution'!$C6,0)</f>
        <v>1</v>
      </c>
      <c r="AT30" s="16">
        <f>ROUND(FTE!$E$7*'India Role Distribution'!$C6,0)</f>
        <v>1</v>
      </c>
      <c r="AU30" s="16">
        <f>ROUND(FTE!$E$7*'India Role Distribution'!$C6,0)</f>
        <v>1</v>
      </c>
      <c r="AV30" s="16">
        <f>ROUND(FTE!$E$7*'India Role Distribution'!$C6,0)</f>
        <v>1</v>
      </c>
      <c r="AW30" s="16">
        <f>ROUND(FTE!$E$7*'India Role Distribution'!$C6,0)</f>
        <v>1</v>
      </c>
      <c r="AX30" s="16">
        <f>ROUND(FTE!$E$7*'India Role Distribution'!$C6,0)</f>
        <v>1</v>
      </c>
      <c r="AY30" s="16">
        <f>ROUND(FTE!$E$7*'India Role Distribution'!$C6,0)</f>
        <v>1</v>
      </c>
      <c r="AZ30" s="17">
        <f>ROUND(FTE!$F$7*'India Role Distribution'!$C6,0)</f>
        <v>1</v>
      </c>
      <c r="BA30" s="17">
        <f>ROUND(FTE!$F$7*'India Role Distribution'!$C6,0)</f>
        <v>1</v>
      </c>
      <c r="BB30" s="17">
        <f>ROUND(FTE!$F$7*'India Role Distribution'!$C6,0)</f>
        <v>1</v>
      </c>
      <c r="BC30" s="17">
        <f>ROUND(FTE!$F$7*'India Role Distribution'!$C6,0)</f>
        <v>1</v>
      </c>
      <c r="BD30" s="17">
        <f>ROUND(FTE!$F$7*'India Role Distribution'!$C6,0)</f>
        <v>1</v>
      </c>
      <c r="BE30" s="17">
        <f>ROUND(FTE!$F$7*'India Role Distribution'!$C6,0)</f>
        <v>1</v>
      </c>
      <c r="BF30" s="17">
        <f>ROUND(FTE!$F$7*'India Role Distribution'!$C6,0)</f>
        <v>1</v>
      </c>
      <c r="BG30" s="17">
        <f>ROUND(FTE!$F$7*'India Role Distribution'!$C6,0)</f>
        <v>1</v>
      </c>
      <c r="BH30" s="17">
        <f>ROUND(FTE!$F$7*'India Role Distribution'!$C6,0)</f>
        <v>1</v>
      </c>
      <c r="BI30" s="17">
        <f>ROUND(FTE!$F$7*'India Role Distribution'!$C6,0)</f>
        <v>1</v>
      </c>
      <c r="BJ30" s="17">
        <f>ROUND(FTE!$F$7*'India Role Distribution'!$C6,0)</f>
        <v>1</v>
      </c>
      <c r="BK30" s="17">
        <f>ROUND(FTE!$F$7*'India Role Distribution'!$C6,0)</f>
        <v>1</v>
      </c>
    </row>
    <row r="31" spans="1:63" x14ac:dyDescent="0.35">
      <c r="A31" t="s">
        <v>79</v>
      </c>
      <c r="B31" t="s">
        <v>67</v>
      </c>
      <c r="C31" t="str">
        <f t="shared" si="0"/>
        <v>LeadIndia</v>
      </c>
      <c r="D31" s="14">
        <f>ROUND(FTE!$B$7*'India Role Distribution'!$C7,0)</f>
        <v>1</v>
      </c>
      <c r="E31" s="14">
        <f>ROUND(FTE!$B$7*'India Role Distribution'!$C7,0)</f>
        <v>1</v>
      </c>
      <c r="F31" s="14">
        <f>ROUND(FTE!$B$7*'India Role Distribution'!$C7,0)</f>
        <v>1</v>
      </c>
      <c r="G31" s="14">
        <f>ROUND(FTE!$B$7*'India Role Distribution'!$C7,0)</f>
        <v>1</v>
      </c>
      <c r="H31" s="14">
        <f>ROUND(FTE!$B$7*'India Role Distribution'!$C7,0)</f>
        <v>1</v>
      </c>
      <c r="I31" s="14">
        <f>ROUND(FTE!$B$7*'India Role Distribution'!$C7,0)</f>
        <v>1</v>
      </c>
      <c r="J31" s="14">
        <f>ROUND(FTE!$B$7*'India Role Distribution'!$C7,0)</f>
        <v>1</v>
      </c>
      <c r="K31" s="14">
        <f>ROUND(FTE!$B$7*'India Role Distribution'!$C7,0)</f>
        <v>1</v>
      </c>
      <c r="L31" s="14">
        <f>ROUND(FTE!$B$7*'India Role Distribution'!$C7,0)</f>
        <v>1</v>
      </c>
      <c r="M31" s="14">
        <f>ROUND(FTE!$B$7*'India Role Distribution'!$C7,0)</f>
        <v>1</v>
      </c>
      <c r="N31" s="14">
        <f>ROUND(FTE!$B$7*'India Role Distribution'!$C7,0)</f>
        <v>1</v>
      </c>
      <c r="O31" s="14">
        <f>ROUND(FTE!$B$7*'India Role Distribution'!$C7,0)</f>
        <v>1</v>
      </c>
      <c r="P31" s="6">
        <f>ROUND(FTE!$C$7*'India Role Distribution'!$C7,0)</f>
        <v>1</v>
      </c>
      <c r="Q31" s="6">
        <f>ROUND(FTE!$C$7*'India Role Distribution'!$C7,0)</f>
        <v>1</v>
      </c>
      <c r="R31" s="6">
        <f>ROUND(FTE!$C$7*'India Role Distribution'!$C7,0)</f>
        <v>1</v>
      </c>
      <c r="S31" s="6">
        <f>ROUND(FTE!$C$7*'India Role Distribution'!$C7,0)</f>
        <v>1</v>
      </c>
      <c r="T31" s="6">
        <f>ROUND(FTE!$C$7*'India Role Distribution'!$C7,0)</f>
        <v>1</v>
      </c>
      <c r="U31" s="6">
        <f>ROUND(FTE!$C$7*'India Role Distribution'!$C7,0)</f>
        <v>1</v>
      </c>
      <c r="V31" s="6">
        <f>ROUND(FTE!$C$7*'India Role Distribution'!$C7,0)</f>
        <v>1</v>
      </c>
      <c r="W31" s="6">
        <f>ROUND(FTE!$C$7*'India Role Distribution'!$C7,0)</f>
        <v>1</v>
      </c>
      <c r="X31" s="6">
        <f>ROUND(FTE!$C$7*'India Role Distribution'!$C7,0)</f>
        <v>1</v>
      </c>
      <c r="Y31" s="6">
        <f>ROUND(FTE!$C$7*'India Role Distribution'!$C7,0)</f>
        <v>1</v>
      </c>
      <c r="Z31" s="6">
        <f>ROUND(FTE!$C$7*'India Role Distribution'!$C7,0)</f>
        <v>1</v>
      </c>
      <c r="AA31" s="6">
        <f>ROUND(FTE!$C$7*'India Role Distribution'!$C7,0)</f>
        <v>1</v>
      </c>
      <c r="AB31" s="15">
        <f>ROUND(FTE!$D$7*'India Role Distribution'!$C7,0)</f>
        <v>1</v>
      </c>
      <c r="AC31" s="15">
        <f>ROUND(FTE!$D$7*'India Role Distribution'!$C7,0)</f>
        <v>1</v>
      </c>
      <c r="AD31" s="15">
        <f>ROUND(FTE!$D$7*'India Role Distribution'!$C7,0)</f>
        <v>1</v>
      </c>
      <c r="AE31" s="15">
        <f>ROUND(FTE!$D$7*'India Role Distribution'!$C7,0)</f>
        <v>1</v>
      </c>
      <c r="AF31" s="15">
        <f>ROUND(FTE!$D$7*'India Role Distribution'!$C7,0)</f>
        <v>1</v>
      </c>
      <c r="AG31" s="15">
        <f>ROUND(FTE!$D$7*'India Role Distribution'!$C7,0)</f>
        <v>1</v>
      </c>
      <c r="AH31" s="15">
        <f>ROUND(FTE!$D$7*'India Role Distribution'!$C7,0)</f>
        <v>1</v>
      </c>
      <c r="AI31" s="15">
        <f>ROUND(FTE!$D$7*'India Role Distribution'!$C7,0)</f>
        <v>1</v>
      </c>
      <c r="AJ31" s="15">
        <f>ROUND(FTE!$D$7*'India Role Distribution'!$C7,0)</f>
        <v>1</v>
      </c>
      <c r="AK31" s="15">
        <f>ROUND(FTE!$D$7*'India Role Distribution'!$C7,0)</f>
        <v>1</v>
      </c>
      <c r="AL31" s="15">
        <f>ROUND(FTE!$D$7*'India Role Distribution'!$C7,0)</f>
        <v>1</v>
      </c>
      <c r="AM31" s="15">
        <f>ROUND(FTE!$D$7*'India Role Distribution'!$C7,0)</f>
        <v>1</v>
      </c>
      <c r="AN31" s="16">
        <f>ROUND(FTE!$E$7*'India Role Distribution'!$C7,0)</f>
        <v>1</v>
      </c>
      <c r="AO31" s="16">
        <f>ROUND(FTE!$E$7*'India Role Distribution'!$C7,0)</f>
        <v>1</v>
      </c>
      <c r="AP31" s="16">
        <f>ROUND(FTE!$E$7*'India Role Distribution'!$C7,0)</f>
        <v>1</v>
      </c>
      <c r="AQ31" s="16">
        <f>ROUND(FTE!$E$7*'India Role Distribution'!$C7,0)</f>
        <v>1</v>
      </c>
      <c r="AR31" s="16">
        <f>ROUND(FTE!$E$7*'India Role Distribution'!$C7,0)</f>
        <v>1</v>
      </c>
      <c r="AS31" s="16">
        <f>ROUND(FTE!$E$7*'India Role Distribution'!$C7,0)</f>
        <v>1</v>
      </c>
      <c r="AT31" s="16">
        <f>ROUND(FTE!$E$7*'India Role Distribution'!$C7,0)</f>
        <v>1</v>
      </c>
      <c r="AU31" s="16">
        <f>ROUND(FTE!$E$7*'India Role Distribution'!$C7,0)</f>
        <v>1</v>
      </c>
      <c r="AV31" s="16">
        <f>ROUND(FTE!$E$7*'India Role Distribution'!$C7,0)</f>
        <v>1</v>
      </c>
      <c r="AW31" s="16">
        <f>ROUND(FTE!$E$7*'India Role Distribution'!$C7,0)</f>
        <v>1</v>
      </c>
      <c r="AX31" s="16">
        <f>ROUND(FTE!$E$7*'India Role Distribution'!$C7,0)</f>
        <v>1</v>
      </c>
      <c r="AY31" s="16">
        <f>ROUND(FTE!$E$7*'India Role Distribution'!$C7,0)</f>
        <v>1</v>
      </c>
      <c r="AZ31" s="17">
        <f>ROUND(FTE!$F$7*'India Role Distribution'!$C7,0)</f>
        <v>1</v>
      </c>
      <c r="BA31" s="17">
        <f>ROUND(FTE!$F$7*'India Role Distribution'!$C7,0)</f>
        <v>1</v>
      </c>
      <c r="BB31" s="17">
        <f>ROUND(FTE!$F$7*'India Role Distribution'!$C7,0)</f>
        <v>1</v>
      </c>
      <c r="BC31" s="17">
        <f>ROUND(FTE!$F$7*'India Role Distribution'!$C7,0)</f>
        <v>1</v>
      </c>
      <c r="BD31" s="17">
        <f>ROUND(FTE!$F$7*'India Role Distribution'!$C7,0)</f>
        <v>1</v>
      </c>
      <c r="BE31" s="17">
        <f>ROUND(FTE!$F$7*'India Role Distribution'!$C7,0)</f>
        <v>1</v>
      </c>
      <c r="BF31" s="17">
        <f>ROUND(FTE!$F$7*'India Role Distribution'!$C7,0)</f>
        <v>1</v>
      </c>
      <c r="BG31" s="17">
        <f>ROUND(FTE!$F$7*'India Role Distribution'!$C7,0)</f>
        <v>1</v>
      </c>
      <c r="BH31" s="17">
        <f>ROUND(FTE!$F$7*'India Role Distribution'!$C7,0)</f>
        <v>1</v>
      </c>
      <c r="BI31" s="17">
        <f>ROUND(FTE!$F$7*'India Role Distribution'!$C7,0)</f>
        <v>1</v>
      </c>
      <c r="BJ31" s="17">
        <f>ROUND(FTE!$F$7*'India Role Distribution'!$C7,0)</f>
        <v>1</v>
      </c>
      <c r="BK31" s="17">
        <f>ROUND(FTE!$F$7*'India Role Distribution'!$C7,0)</f>
        <v>1</v>
      </c>
    </row>
    <row r="32" spans="1:63" x14ac:dyDescent="0.35">
      <c r="A32" t="s">
        <v>65</v>
      </c>
      <c r="B32" t="s">
        <v>80</v>
      </c>
      <c r="C32" t="str">
        <f t="shared" si="0"/>
        <v>BSAOnsite</v>
      </c>
      <c r="D32" s="14">
        <f>VLOOKUP($A32,'Onsite Role Distribution'!$B$3:$G$7,2,FALSE)+VLOOKUP($A32,'Onsite Role Distribution'!$B$8:$G$12,2,FALSE)</f>
        <v>12</v>
      </c>
      <c r="E32" s="14">
        <f>VLOOKUP($A32,'Onsite Role Distribution'!$B$3:$G$7,2,FALSE)+VLOOKUP($A32,'Onsite Role Distribution'!$B$8:$G$12,2,FALSE)</f>
        <v>12</v>
      </c>
      <c r="F32" s="14">
        <f>VLOOKUP($A32,'Onsite Role Distribution'!$B$3:$G$7,2,FALSE)+VLOOKUP($A32,'Onsite Role Distribution'!$B$8:$G$12,2,FALSE)</f>
        <v>12</v>
      </c>
      <c r="G32" s="14">
        <f>VLOOKUP($A32,'Onsite Role Distribution'!$B$3:$G$7,2,FALSE)+VLOOKUP($A32,'Onsite Role Distribution'!$B$8:$G$12,2,FALSE)</f>
        <v>12</v>
      </c>
      <c r="H32" s="14">
        <f>VLOOKUP($A32,'Onsite Role Distribution'!$B$3:$G$7,2,FALSE)+VLOOKUP($A32,'Onsite Role Distribution'!$B$8:$G$12,2,FALSE)</f>
        <v>12</v>
      </c>
      <c r="I32" s="14">
        <f>VLOOKUP($A32,'Onsite Role Distribution'!$B$3:$G$7,2,FALSE)+VLOOKUP($A32,'Onsite Role Distribution'!$B$8:$G$12,2,FALSE)</f>
        <v>12</v>
      </c>
      <c r="J32" s="14">
        <f>VLOOKUP($A32,'Onsite Role Distribution'!$B$3:$G$7,2,FALSE)+VLOOKUP($A32,'Onsite Role Distribution'!$B$8:$G$12,2,FALSE)</f>
        <v>12</v>
      </c>
      <c r="K32" s="14">
        <f>VLOOKUP($A32,'Onsite Role Distribution'!$B$3:$G$7,2,FALSE)+VLOOKUP($A32,'Onsite Role Distribution'!$B$8:$G$12,2,FALSE)</f>
        <v>12</v>
      </c>
      <c r="L32" s="14">
        <f>VLOOKUP($A32,'Onsite Role Distribution'!$B$3:$G$7,2,FALSE)+VLOOKUP($A32,'Onsite Role Distribution'!$B$8:$G$12,2,FALSE)</f>
        <v>12</v>
      </c>
      <c r="M32" s="14">
        <f>VLOOKUP($A32,'Onsite Role Distribution'!$B$3:$G$7,2,FALSE)+VLOOKUP($A32,'Onsite Role Distribution'!$B$8:$G$12,2,FALSE)</f>
        <v>12</v>
      </c>
      <c r="N32" s="14">
        <f>VLOOKUP($A32,'Onsite Role Distribution'!$B$3:$G$7,2,FALSE)+VLOOKUP($A32,'Onsite Role Distribution'!$B$8:$G$12,2,FALSE)</f>
        <v>12</v>
      </c>
      <c r="O32" s="14">
        <f>VLOOKUP($A32,'Onsite Role Distribution'!$B$3:$G$7,2,FALSE)+VLOOKUP($A32,'Onsite Role Distribution'!$B$8:$G$12,2,FALSE)</f>
        <v>12</v>
      </c>
      <c r="P32" s="6">
        <f>VLOOKUP($A32,'Onsite Role Distribution'!$B$3:$G$7,3,FALSE)+VLOOKUP($A32,'Onsite Role Distribution'!$B$8:$G$12,3,FALSE)</f>
        <v>10</v>
      </c>
      <c r="Q32" s="6">
        <f>VLOOKUP($A32,'Onsite Role Distribution'!$B$3:$G$7,3,FALSE)+VLOOKUP($A32,'Onsite Role Distribution'!$B$8:$G$12,3,FALSE)</f>
        <v>10</v>
      </c>
      <c r="R32" s="6">
        <f>VLOOKUP($A32,'Onsite Role Distribution'!$B$3:$G$7,3,FALSE)+VLOOKUP($A32,'Onsite Role Distribution'!$B$8:$G$12,3,FALSE)</f>
        <v>10</v>
      </c>
      <c r="S32" s="6">
        <f>VLOOKUP($A32,'Onsite Role Distribution'!$B$3:$G$7,3,FALSE)+VLOOKUP($A32,'Onsite Role Distribution'!$B$8:$G$12,3,FALSE)</f>
        <v>10</v>
      </c>
      <c r="T32" s="6">
        <f>VLOOKUP($A32,'Onsite Role Distribution'!$B$3:$G$7,3,FALSE)+VLOOKUP($A32,'Onsite Role Distribution'!$B$8:$G$12,3,FALSE)</f>
        <v>10</v>
      </c>
      <c r="U32" s="6">
        <f>VLOOKUP($A32,'Onsite Role Distribution'!$B$3:$G$7,3,FALSE)+VLOOKUP($A32,'Onsite Role Distribution'!$B$8:$G$12,3,FALSE)</f>
        <v>10</v>
      </c>
      <c r="V32" s="6">
        <f>VLOOKUP($A32,'Onsite Role Distribution'!$B$3:$G$7,3,FALSE)+VLOOKUP($A32,'Onsite Role Distribution'!$B$8:$G$12,3,FALSE)</f>
        <v>10</v>
      </c>
      <c r="W32" s="6">
        <f>VLOOKUP($A32,'Onsite Role Distribution'!$B$3:$G$7,3,FALSE)+VLOOKUP($A32,'Onsite Role Distribution'!$B$8:$G$12,3,FALSE)</f>
        <v>10</v>
      </c>
      <c r="X32" s="6">
        <f>VLOOKUP($A32,'Onsite Role Distribution'!$B$3:$G$7,3,FALSE)+VLOOKUP($A32,'Onsite Role Distribution'!$B$8:$G$12,3,FALSE)</f>
        <v>10</v>
      </c>
      <c r="Y32" s="6">
        <f>VLOOKUP($A32,'Onsite Role Distribution'!$B$3:$G$7,3,FALSE)+VLOOKUP($A32,'Onsite Role Distribution'!$B$8:$G$12,3,FALSE)</f>
        <v>10</v>
      </c>
      <c r="Z32" s="6">
        <f>VLOOKUP($A32,'Onsite Role Distribution'!$B$3:$G$7,3,FALSE)+VLOOKUP($A32,'Onsite Role Distribution'!$B$8:$G$12,3,FALSE)</f>
        <v>10</v>
      </c>
      <c r="AA32" s="6">
        <f>VLOOKUP($A32,'Onsite Role Distribution'!$B$3:$G$7,3,FALSE)+VLOOKUP($A32,'Onsite Role Distribution'!$B$8:$G$12,3,FALSE)</f>
        <v>10</v>
      </c>
      <c r="AB32" s="15">
        <f>VLOOKUP($A32,'Onsite Role Distribution'!$B$3:$G$7,4,FALSE)+VLOOKUP($A32,'Onsite Role Distribution'!$B$8:$G$12,4,FALSE)</f>
        <v>7</v>
      </c>
      <c r="AC32" s="15">
        <f>VLOOKUP($A32,'Onsite Role Distribution'!$B$3:$G$7,4,FALSE)+VLOOKUP($A32,'Onsite Role Distribution'!$B$8:$G$12,4,FALSE)</f>
        <v>7</v>
      </c>
      <c r="AD32" s="15">
        <f>VLOOKUP($A32,'Onsite Role Distribution'!$B$3:$G$7,4,FALSE)+VLOOKUP($A32,'Onsite Role Distribution'!$B$8:$G$12,4,FALSE)</f>
        <v>7</v>
      </c>
      <c r="AE32" s="15">
        <f>VLOOKUP($A32,'Onsite Role Distribution'!$B$3:$G$7,4,FALSE)+VLOOKUP($A32,'Onsite Role Distribution'!$B$8:$G$12,4,FALSE)</f>
        <v>7</v>
      </c>
      <c r="AF32" s="15">
        <f>VLOOKUP($A32,'Onsite Role Distribution'!$B$3:$G$7,4,FALSE)+VLOOKUP($A32,'Onsite Role Distribution'!$B$8:$G$12,4,FALSE)</f>
        <v>7</v>
      </c>
      <c r="AG32" s="15">
        <f>VLOOKUP($A32,'Onsite Role Distribution'!$B$3:$G$7,4,FALSE)+VLOOKUP($A32,'Onsite Role Distribution'!$B$8:$G$12,4,FALSE)</f>
        <v>7</v>
      </c>
      <c r="AH32" s="15">
        <f>VLOOKUP($A32,'Onsite Role Distribution'!$B$3:$G$7,4,FALSE)+VLOOKUP($A32,'Onsite Role Distribution'!$B$8:$G$12,4,FALSE)</f>
        <v>7</v>
      </c>
      <c r="AI32" s="15">
        <f>VLOOKUP($A32,'Onsite Role Distribution'!$B$3:$G$7,4,FALSE)+VLOOKUP($A32,'Onsite Role Distribution'!$B$8:$G$12,4,FALSE)</f>
        <v>7</v>
      </c>
      <c r="AJ32" s="15">
        <f>VLOOKUP($A32,'Onsite Role Distribution'!$B$3:$G$7,4,FALSE)+VLOOKUP($A32,'Onsite Role Distribution'!$B$8:$G$12,4,FALSE)</f>
        <v>7</v>
      </c>
      <c r="AK32" s="15">
        <f>VLOOKUP($A32,'Onsite Role Distribution'!$B$3:$G$7,4,FALSE)+VLOOKUP($A32,'Onsite Role Distribution'!$B$8:$G$12,4,FALSE)</f>
        <v>7</v>
      </c>
      <c r="AL32" s="15">
        <f>VLOOKUP($A32,'Onsite Role Distribution'!$B$3:$G$7,4,FALSE)+VLOOKUP($A32,'Onsite Role Distribution'!$B$8:$G$12,4,FALSE)</f>
        <v>7</v>
      </c>
      <c r="AM32" s="15">
        <f>VLOOKUP($A32,'Onsite Role Distribution'!$B$3:$G$7,4,FALSE)+VLOOKUP($A32,'Onsite Role Distribution'!$B$8:$G$12,4,FALSE)</f>
        <v>7</v>
      </c>
      <c r="AN32" s="16">
        <f>VLOOKUP($A32,'Onsite Role Distribution'!$B$3:$G$7,5,FALSE)+VLOOKUP($A32,'Onsite Role Distribution'!$B$8:$G$12,5,FALSE)</f>
        <v>4</v>
      </c>
      <c r="AO32" s="16">
        <f>VLOOKUP($A32,'Onsite Role Distribution'!$B$3:$G$7,5,FALSE)+VLOOKUP($A32,'Onsite Role Distribution'!$B$8:$G$12,5,FALSE)</f>
        <v>4</v>
      </c>
      <c r="AP32" s="16">
        <f>VLOOKUP($A32,'Onsite Role Distribution'!$B$3:$G$7,5,FALSE)+VLOOKUP($A32,'Onsite Role Distribution'!$B$8:$G$12,5,FALSE)</f>
        <v>4</v>
      </c>
      <c r="AQ32" s="16">
        <f>VLOOKUP($A32,'Onsite Role Distribution'!$B$3:$G$7,5,FALSE)+VLOOKUP($A32,'Onsite Role Distribution'!$B$8:$G$12,5,FALSE)</f>
        <v>4</v>
      </c>
      <c r="AR32" s="16">
        <f>VLOOKUP($A32,'Onsite Role Distribution'!$B$3:$G$7,5,FALSE)+VLOOKUP($A32,'Onsite Role Distribution'!$B$8:$G$12,5,FALSE)</f>
        <v>4</v>
      </c>
      <c r="AS32" s="16">
        <f>VLOOKUP($A32,'Onsite Role Distribution'!$B$3:$G$7,5,FALSE)+VLOOKUP($A32,'Onsite Role Distribution'!$B$8:$G$12,5,FALSE)</f>
        <v>4</v>
      </c>
      <c r="AT32" s="16">
        <f>VLOOKUP($A32,'Onsite Role Distribution'!$B$3:$G$7,5,FALSE)+VLOOKUP($A32,'Onsite Role Distribution'!$B$8:$G$12,5,FALSE)</f>
        <v>4</v>
      </c>
      <c r="AU32" s="16">
        <f>VLOOKUP($A32,'Onsite Role Distribution'!$B$3:$G$7,5,FALSE)+VLOOKUP($A32,'Onsite Role Distribution'!$B$8:$G$12,5,FALSE)</f>
        <v>4</v>
      </c>
      <c r="AV32" s="16">
        <f>VLOOKUP($A32,'Onsite Role Distribution'!$B$3:$G$7,5,FALSE)+VLOOKUP($A32,'Onsite Role Distribution'!$B$8:$G$12,5,FALSE)</f>
        <v>4</v>
      </c>
      <c r="AW32" s="16">
        <f>VLOOKUP($A32,'Onsite Role Distribution'!$B$3:$G$7,5,FALSE)+VLOOKUP($A32,'Onsite Role Distribution'!$B$8:$G$12,5,FALSE)</f>
        <v>4</v>
      </c>
      <c r="AX32" s="16">
        <f>VLOOKUP($A32,'Onsite Role Distribution'!$B$3:$G$7,5,FALSE)+VLOOKUP($A32,'Onsite Role Distribution'!$B$8:$G$12,5,FALSE)</f>
        <v>4</v>
      </c>
      <c r="AY32" s="16">
        <f>VLOOKUP($A32,'Onsite Role Distribution'!$B$3:$G$7,5,FALSE)+VLOOKUP($A32,'Onsite Role Distribution'!$B$8:$G$12,5,FALSE)</f>
        <v>4</v>
      </c>
      <c r="AZ32" s="17">
        <f>VLOOKUP($A32,'Onsite Role Distribution'!$B$3:$G$7,6,FALSE)+VLOOKUP($A32,'Onsite Role Distribution'!$B$8:$G$12,6,FALSE)</f>
        <v>2</v>
      </c>
      <c r="BA32" s="17">
        <f>VLOOKUP($A32,'Onsite Role Distribution'!$B$3:$G$7,6,FALSE)+VLOOKUP($A32,'Onsite Role Distribution'!$B$8:$G$12,6,FALSE)</f>
        <v>2</v>
      </c>
      <c r="BB32" s="17">
        <f>VLOOKUP($A32,'Onsite Role Distribution'!$B$3:$G$7,6,FALSE)+VLOOKUP($A32,'Onsite Role Distribution'!$B$8:$G$12,6,FALSE)</f>
        <v>2</v>
      </c>
      <c r="BC32" s="17">
        <f>VLOOKUP($A32,'Onsite Role Distribution'!$B$3:$G$7,6,FALSE)+VLOOKUP($A32,'Onsite Role Distribution'!$B$8:$G$12,6,FALSE)</f>
        <v>2</v>
      </c>
      <c r="BD32" s="17">
        <f>VLOOKUP($A32,'Onsite Role Distribution'!$B$3:$G$7,6,FALSE)+VLOOKUP($A32,'Onsite Role Distribution'!$B$8:$G$12,6,FALSE)</f>
        <v>2</v>
      </c>
      <c r="BE32" s="17">
        <f>VLOOKUP($A32,'Onsite Role Distribution'!$B$3:$G$7,6,FALSE)+VLOOKUP($A32,'Onsite Role Distribution'!$B$8:$G$12,6,FALSE)</f>
        <v>2</v>
      </c>
      <c r="BF32" s="17">
        <f>VLOOKUP($A32,'Onsite Role Distribution'!$B$3:$G$7,6,FALSE)+VLOOKUP($A32,'Onsite Role Distribution'!$B$8:$G$12,6,FALSE)</f>
        <v>2</v>
      </c>
      <c r="BG32" s="17">
        <f>VLOOKUP($A32,'Onsite Role Distribution'!$B$3:$G$7,6,FALSE)+VLOOKUP($A32,'Onsite Role Distribution'!$B$8:$G$12,6,FALSE)</f>
        <v>2</v>
      </c>
      <c r="BH32" s="17">
        <f>VLOOKUP($A32,'Onsite Role Distribution'!$B$3:$G$7,6,FALSE)+VLOOKUP($A32,'Onsite Role Distribution'!$B$8:$G$12,6,FALSE)</f>
        <v>2</v>
      </c>
      <c r="BI32" s="17">
        <f>VLOOKUP($A32,'Onsite Role Distribution'!$B$3:$G$7,6,FALSE)+VLOOKUP($A32,'Onsite Role Distribution'!$B$8:$G$12,6,FALSE)</f>
        <v>2</v>
      </c>
      <c r="BJ32" s="17">
        <f>VLOOKUP($A32,'Onsite Role Distribution'!$B$3:$G$7,6,FALSE)+VLOOKUP($A32,'Onsite Role Distribution'!$B$8:$G$12,6,FALSE)</f>
        <v>2</v>
      </c>
      <c r="BK32" s="17">
        <f>VLOOKUP($A32,'Onsite Role Distribution'!$B$3:$G$7,6,FALSE)+VLOOKUP($A32,'Onsite Role Distribution'!$B$8:$G$12,6,FALSE)</f>
        <v>2</v>
      </c>
    </row>
    <row r="33" spans="1:63" x14ac:dyDescent="0.35">
      <c r="A33" t="s">
        <v>71</v>
      </c>
      <c r="B33" t="s">
        <v>80</v>
      </c>
      <c r="C33" t="str">
        <f t="shared" si="0"/>
        <v>DevOnsite</v>
      </c>
      <c r="D33" s="14">
        <f>VLOOKUP($A33,'Onsite Role Distribution'!$B$3:$G$7,2,FALSE)+VLOOKUP($A33,'Onsite Role Distribution'!$B$8:$G$12,2,FALSE)</f>
        <v>0</v>
      </c>
      <c r="E33" s="14">
        <f>VLOOKUP($A33,'Onsite Role Distribution'!$B$3:$G$7,2,FALSE)+VLOOKUP($A33,'Onsite Role Distribution'!$B$8:$G$12,2,FALSE)</f>
        <v>0</v>
      </c>
      <c r="F33" s="14">
        <f>VLOOKUP($A33,'Onsite Role Distribution'!$B$3:$G$7,2,FALSE)+VLOOKUP($A33,'Onsite Role Distribution'!$B$8:$G$12,2,FALSE)</f>
        <v>0</v>
      </c>
      <c r="G33" s="14">
        <f>VLOOKUP($A33,'Onsite Role Distribution'!$B$3:$G$7,2,FALSE)+VLOOKUP($A33,'Onsite Role Distribution'!$B$8:$G$12,2,FALSE)</f>
        <v>0</v>
      </c>
      <c r="H33" s="14">
        <f>VLOOKUP($A33,'Onsite Role Distribution'!$B$3:$G$7,2,FALSE)+VLOOKUP($A33,'Onsite Role Distribution'!$B$8:$G$12,2,FALSE)</f>
        <v>0</v>
      </c>
      <c r="I33" s="14">
        <f>VLOOKUP($A33,'Onsite Role Distribution'!$B$3:$G$7,2,FALSE)+VLOOKUP($A33,'Onsite Role Distribution'!$B$8:$G$12,2,FALSE)</f>
        <v>0</v>
      </c>
      <c r="J33" s="14">
        <f>VLOOKUP($A33,'Onsite Role Distribution'!$B$3:$G$7,2,FALSE)+VLOOKUP($A33,'Onsite Role Distribution'!$B$8:$G$12,2,FALSE)</f>
        <v>0</v>
      </c>
      <c r="K33" s="14">
        <f>VLOOKUP($A33,'Onsite Role Distribution'!$B$3:$G$7,2,FALSE)+VLOOKUP($A33,'Onsite Role Distribution'!$B$8:$G$12,2,FALSE)</f>
        <v>0</v>
      </c>
      <c r="L33" s="14">
        <f>VLOOKUP($A33,'Onsite Role Distribution'!$B$3:$G$7,2,FALSE)+VLOOKUP($A33,'Onsite Role Distribution'!$B$8:$G$12,2,FALSE)</f>
        <v>0</v>
      </c>
      <c r="M33" s="14">
        <f>VLOOKUP($A33,'Onsite Role Distribution'!$B$3:$G$7,2,FALSE)+VLOOKUP($A33,'Onsite Role Distribution'!$B$8:$G$12,2,FALSE)</f>
        <v>0</v>
      </c>
      <c r="N33" s="14">
        <f>VLOOKUP($A33,'Onsite Role Distribution'!$B$3:$G$7,2,FALSE)+VLOOKUP($A33,'Onsite Role Distribution'!$B$8:$G$12,2,FALSE)</f>
        <v>0</v>
      </c>
      <c r="O33" s="14">
        <f>VLOOKUP($A33,'Onsite Role Distribution'!$B$3:$G$7,2,FALSE)+VLOOKUP($A33,'Onsite Role Distribution'!$B$8:$G$12,2,FALSE)</f>
        <v>0</v>
      </c>
      <c r="P33" s="6">
        <f>VLOOKUP($A33,'Onsite Role Distribution'!$B$3:$G$7,3,FALSE)+VLOOKUP($A33,'Onsite Role Distribution'!$B$8:$G$12,3,FALSE)</f>
        <v>0</v>
      </c>
      <c r="Q33" s="6">
        <f>VLOOKUP($A33,'Onsite Role Distribution'!$B$3:$G$7,3,FALSE)+VLOOKUP($A33,'Onsite Role Distribution'!$B$8:$G$12,3,FALSE)</f>
        <v>0</v>
      </c>
      <c r="R33" s="6">
        <f>VLOOKUP($A33,'Onsite Role Distribution'!$B$3:$G$7,3,FALSE)+VLOOKUP($A33,'Onsite Role Distribution'!$B$8:$G$12,3,FALSE)</f>
        <v>0</v>
      </c>
      <c r="S33" s="6">
        <f>VLOOKUP($A33,'Onsite Role Distribution'!$B$3:$G$7,3,FALSE)+VLOOKUP($A33,'Onsite Role Distribution'!$B$8:$G$12,3,FALSE)</f>
        <v>0</v>
      </c>
      <c r="T33" s="6">
        <f>VLOOKUP($A33,'Onsite Role Distribution'!$B$3:$G$7,3,FALSE)+VLOOKUP($A33,'Onsite Role Distribution'!$B$8:$G$12,3,FALSE)</f>
        <v>0</v>
      </c>
      <c r="U33" s="6">
        <f>VLOOKUP($A33,'Onsite Role Distribution'!$B$3:$G$7,3,FALSE)+VLOOKUP($A33,'Onsite Role Distribution'!$B$8:$G$12,3,FALSE)</f>
        <v>0</v>
      </c>
      <c r="V33" s="6">
        <f>VLOOKUP($A33,'Onsite Role Distribution'!$B$3:$G$7,3,FALSE)+VLOOKUP($A33,'Onsite Role Distribution'!$B$8:$G$12,3,FALSE)</f>
        <v>0</v>
      </c>
      <c r="W33" s="6">
        <f>VLOOKUP($A33,'Onsite Role Distribution'!$B$3:$G$7,3,FALSE)+VLOOKUP($A33,'Onsite Role Distribution'!$B$8:$G$12,3,FALSE)</f>
        <v>0</v>
      </c>
      <c r="X33" s="6">
        <f>VLOOKUP($A33,'Onsite Role Distribution'!$B$3:$G$7,3,FALSE)+VLOOKUP($A33,'Onsite Role Distribution'!$B$8:$G$12,3,FALSE)</f>
        <v>0</v>
      </c>
      <c r="Y33" s="6">
        <f>VLOOKUP($A33,'Onsite Role Distribution'!$B$3:$G$7,3,FALSE)+VLOOKUP($A33,'Onsite Role Distribution'!$B$8:$G$12,3,FALSE)</f>
        <v>0</v>
      </c>
      <c r="Z33" s="6">
        <f>VLOOKUP($A33,'Onsite Role Distribution'!$B$3:$G$7,3,FALSE)+VLOOKUP($A33,'Onsite Role Distribution'!$B$8:$G$12,3,FALSE)</f>
        <v>0</v>
      </c>
      <c r="AA33" s="6">
        <f>VLOOKUP($A33,'Onsite Role Distribution'!$B$3:$G$7,3,FALSE)+VLOOKUP($A33,'Onsite Role Distribution'!$B$8:$G$12,3,FALSE)</f>
        <v>0</v>
      </c>
      <c r="AB33" s="15">
        <f>VLOOKUP($A33,'Onsite Role Distribution'!$B$3:$G$7,4,FALSE)+VLOOKUP($A33,'Onsite Role Distribution'!$B$8:$G$12,4,FALSE)</f>
        <v>0</v>
      </c>
      <c r="AC33" s="15">
        <f>VLOOKUP($A33,'Onsite Role Distribution'!$B$3:$G$7,4,FALSE)+VLOOKUP($A33,'Onsite Role Distribution'!$B$8:$G$12,4,FALSE)</f>
        <v>0</v>
      </c>
      <c r="AD33" s="15">
        <f>VLOOKUP($A33,'Onsite Role Distribution'!$B$3:$G$7,4,FALSE)+VLOOKUP($A33,'Onsite Role Distribution'!$B$8:$G$12,4,FALSE)</f>
        <v>0</v>
      </c>
      <c r="AE33" s="15">
        <f>VLOOKUP($A33,'Onsite Role Distribution'!$B$3:$G$7,4,FALSE)+VLOOKUP($A33,'Onsite Role Distribution'!$B$8:$G$12,4,FALSE)</f>
        <v>0</v>
      </c>
      <c r="AF33" s="15">
        <f>VLOOKUP($A33,'Onsite Role Distribution'!$B$3:$G$7,4,FALSE)+VLOOKUP($A33,'Onsite Role Distribution'!$B$8:$G$12,4,FALSE)</f>
        <v>0</v>
      </c>
      <c r="AG33" s="15">
        <f>VLOOKUP($A33,'Onsite Role Distribution'!$B$3:$G$7,4,FALSE)+VLOOKUP($A33,'Onsite Role Distribution'!$B$8:$G$12,4,FALSE)</f>
        <v>0</v>
      </c>
      <c r="AH33" s="15">
        <f>VLOOKUP($A33,'Onsite Role Distribution'!$B$3:$G$7,4,FALSE)+VLOOKUP($A33,'Onsite Role Distribution'!$B$8:$G$12,4,FALSE)</f>
        <v>0</v>
      </c>
      <c r="AI33" s="15">
        <f>VLOOKUP($A33,'Onsite Role Distribution'!$B$3:$G$7,4,FALSE)+VLOOKUP($A33,'Onsite Role Distribution'!$B$8:$G$12,4,FALSE)</f>
        <v>0</v>
      </c>
      <c r="AJ33" s="15">
        <f>VLOOKUP($A33,'Onsite Role Distribution'!$B$3:$G$7,4,FALSE)+VLOOKUP($A33,'Onsite Role Distribution'!$B$8:$G$12,4,FALSE)</f>
        <v>0</v>
      </c>
      <c r="AK33" s="15">
        <f>VLOOKUP($A33,'Onsite Role Distribution'!$B$3:$G$7,4,FALSE)+VLOOKUP($A33,'Onsite Role Distribution'!$B$8:$G$12,4,FALSE)</f>
        <v>0</v>
      </c>
      <c r="AL33" s="15">
        <f>VLOOKUP($A33,'Onsite Role Distribution'!$B$3:$G$7,4,FALSE)+VLOOKUP($A33,'Onsite Role Distribution'!$B$8:$G$12,4,FALSE)</f>
        <v>0</v>
      </c>
      <c r="AM33" s="15">
        <f>VLOOKUP($A33,'Onsite Role Distribution'!$B$3:$G$7,4,FALSE)+VLOOKUP($A33,'Onsite Role Distribution'!$B$8:$G$12,4,FALSE)</f>
        <v>0</v>
      </c>
      <c r="AN33" s="16">
        <f>VLOOKUP($A33,'Onsite Role Distribution'!$B$3:$G$7,5,FALSE)+VLOOKUP($A33,'Onsite Role Distribution'!$B$8:$G$12,5,FALSE)</f>
        <v>0</v>
      </c>
      <c r="AO33" s="16">
        <f>VLOOKUP($A33,'Onsite Role Distribution'!$B$3:$G$7,5,FALSE)+VLOOKUP($A33,'Onsite Role Distribution'!$B$8:$G$12,5,FALSE)</f>
        <v>0</v>
      </c>
      <c r="AP33" s="16">
        <f>VLOOKUP($A33,'Onsite Role Distribution'!$B$3:$G$7,5,FALSE)+VLOOKUP($A33,'Onsite Role Distribution'!$B$8:$G$12,5,FALSE)</f>
        <v>0</v>
      </c>
      <c r="AQ33" s="16">
        <f>VLOOKUP($A33,'Onsite Role Distribution'!$B$3:$G$7,5,FALSE)+VLOOKUP($A33,'Onsite Role Distribution'!$B$8:$G$12,5,FALSE)</f>
        <v>0</v>
      </c>
      <c r="AR33" s="16">
        <f>VLOOKUP($A33,'Onsite Role Distribution'!$B$3:$G$7,5,FALSE)+VLOOKUP($A33,'Onsite Role Distribution'!$B$8:$G$12,5,FALSE)</f>
        <v>0</v>
      </c>
      <c r="AS33" s="16">
        <f>VLOOKUP($A33,'Onsite Role Distribution'!$B$3:$G$7,5,FALSE)+VLOOKUP($A33,'Onsite Role Distribution'!$B$8:$G$12,5,FALSE)</f>
        <v>0</v>
      </c>
      <c r="AT33" s="16">
        <f>VLOOKUP($A33,'Onsite Role Distribution'!$B$3:$G$7,5,FALSE)+VLOOKUP($A33,'Onsite Role Distribution'!$B$8:$G$12,5,FALSE)</f>
        <v>0</v>
      </c>
      <c r="AU33" s="16">
        <f>VLOOKUP($A33,'Onsite Role Distribution'!$B$3:$G$7,5,FALSE)+VLOOKUP($A33,'Onsite Role Distribution'!$B$8:$G$12,5,FALSE)</f>
        <v>0</v>
      </c>
      <c r="AV33" s="16">
        <f>VLOOKUP($A33,'Onsite Role Distribution'!$B$3:$G$7,5,FALSE)+VLOOKUP($A33,'Onsite Role Distribution'!$B$8:$G$12,5,FALSE)</f>
        <v>0</v>
      </c>
      <c r="AW33" s="16">
        <f>VLOOKUP($A33,'Onsite Role Distribution'!$B$3:$G$7,5,FALSE)+VLOOKUP($A33,'Onsite Role Distribution'!$B$8:$G$12,5,FALSE)</f>
        <v>0</v>
      </c>
      <c r="AX33" s="16">
        <f>VLOOKUP($A33,'Onsite Role Distribution'!$B$3:$G$7,5,FALSE)+VLOOKUP($A33,'Onsite Role Distribution'!$B$8:$G$12,5,FALSE)</f>
        <v>0</v>
      </c>
      <c r="AY33" s="16">
        <f>VLOOKUP($A33,'Onsite Role Distribution'!$B$3:$G$7,5,FALSE)+VLOOKUP($A33,'Onsite Role Distribution'!$B$8:$G$12,5,FALSE)</f>
        <v>0</v>
      </c>
      <c r="AZ33" s="17">
        <f>VLOOKUP($A33,'Onsite Role Distribution'!$B$3:$G$7,6,FALSE)+VLOOKUP($A33,'Onsite Role Distribution'!$B$8:$G$12,6,FALSE)</f>
        <v>0</v>
      </c>
      <c r="BA33" s="17">
        <f>VLOOKUP($A33,'Onsite Role Distribution'!$B$3:$G$7,6,FALSE)+VLOOKUP($A33,'Onsite Role Distribution'!$B$8:$G$12,6,FALSE)</f>
        <v>0</v>
      </c>
      <c r="BB33" s="17">
        <f>VLOOKUP($A33,'Onsite Role Distribution'!$B$3:$G$7,6,FALSE)+VLOOKUP($A33,'Onsite Role Distribution'!$B$8:$G$12,6,FALSE)</f>
        <v>0</v>
      </c>
      <c r="BC33" s="17">
        <f>VLOOKUP($A33,'Onsite Role Distribution'!$B$3:$G$7,6,FALSE)+VLOOKUP($A33,'Onsite Role Distribution'!$B$8:$G$12,6,FALSE)</f>
        <v>0</v>
      </c>
      <c r="BD33" s="17">
        <f>VLOOKUP($A33,'Onsite Role Distribution'!$B$3:$G$7,6,FALSE)+VLOOKUP($A33,'Onsite Role Distribution'!$B$8:$G$12,6,FALSE)</f>
        <v>0</v>
      </c>
      <c r="BE33" s="17">
        <f>VLOOKUP($A33,'Onsite Role Distribution'!$B$3:$G$7,6,FALSE)+VLOOKUP($A33,'Onsite Role Distribution'!$B$8:$G$12,6,FALSE)</f>
        <v>0</v>
      </c>
      <c r="BF33" s="17">
        <f>VLOOKUP($A33,'Onsite Role Distribution'!$B$3:$G$7,6,FALSE)+VLOOKUP($A33,'Onsite Role Distribution'!$B$8:$G$12,6,FALSE)</f>
        <v>0</v>
      </c>
      <c r="BG33" s="17">
        <f>VLOOKUP($A33,'Onsite Role Distribution'!$B$3:$G$7,6,FALSE)+VLOOKUP($A33,'Onsite Role Distribution'!$B$8:$G$12,6,FALSE)</f>
        <v>0</v>
      </c>
      <c r="BH33" s="17">
        <f>VLOOKUP($A33,'Onsite Role Distribution'!$B$3:$G$7,6,FALSE)+VLOOKUP($A33,'Onsite Role Distribution'!$B$8:$G$12,6,FALSE)</f>
        <v>0</v>
      </c>
      <c r="BI33" s="17">
        <f>VLOOKUP($A33,'Onsite Role Distribution'!$B$3:$G$7,6,FALSE)+VLOOKUP($A33,'Onsite Role Distribution'!$B$8:$G$12,6,FALSE)</f>
        <v>0</v>
      </c>
      <c r="BJ33" s="17">
        <f>VLOOKUP($A33,'Onsite Role Distribution'!$B$3:$G$7,6,FALSE)+VLOOKUP($A33,'Onsite Role Distribution'!$B$8:$G$12,6,FALSE)</f>
        <v>0</v>
      </c>
      <c r="BK33" s="17">
        <f>VLOOKUP($A33,'Onsite Role Distribution'!$B$3:$G$7,6,FALSE)+VLOOKUP($A33,'Onsite Role Distribution'!$B$8:$G$12,6,FALSE)</f>
        <v>0</v>
      </c>
    </row>
    <row r="34" spans="1:63" x14ac:dyDescent="0.35">
      <c r="A34" t="s">
        <v>72</v>
      </c>
      <c r="B34" t="s">
        <v>80</v>
      </c>
      <c r="C34" t="str">
        <f t="shared" si="0"/>
        <v>TesterOnsite</v>
      </c>
      <c r="D34" s="14">
        <f>VLOOKUP($A34,'Onsite Role Distribution'!$B$3:$G$7,2,FALSE)+VLOOKUP($A34,'Onsite Role Distribution'!$B$8:$G$12,2,FALSE)</f>
        <v>12</v>
      </c>
      <c r="E34" s="14">
        <f>VLOOKUP($A34,'Onsite Role Distribution'!$B$3:$G$7,2,FALSE)+VLOOKUP($A34,'Onsite Role Distribution'!$B$8:$G$12,2,FALSE)</f>
        <v>12</v>
      </c>
      <c r="F34" s="14">
        <f>VLOOKUP($A34,'Onsite Role Distribution'!$B$3:$G$7,2,FALSE)+VLOOKUP($A34,'Onsite Role Distribution'!$B$8:$G$12,2,FALSE)</f>
        <v>12</v>
      </c>
      <c r="G34" s="14">
        <f>VLOOKUP($A34,'Onsite Role Distribution'!$B$3:$G$7,2,FALSE)+VLOOKUP($A34,'Onsite Role Distribution'!$B$8:$G$12,2,FALSE)</f>
        <v>12</v>
      </c>
      <c r="H34" s="14">
        <f>VLOOKUP($A34,'Onsite Role Distribution'!$B$3:$G$7,2,FALSE)+VLOOKUP($A34,'Onsite Role Distribution'!$B$8:$G$12,2,FALSE)</f>
        <v>12</v>
      </c>
      <c r="I34" s="14">
        <f>VLOOKUP($A34,'Onsite Role Distribution'!$B$3:$G$7,2,FALSE)+VLOOKUP($A34,'Onsite Role Distribution'!$B$8:$G$12,2,FALSE)</f>
        <v>12</v>
      </c>
      <c r="J34" s="14">
        <f>VLOOKUP($A34,'Onsite Role Distribution'!$B$3:$G$7,2,FALSE)+VLOOKUP($A34,'Onsite Role Distribution'!$B$8:$G$12,2,FALSE)</f>
        <v>12</v>
      </c>
      <c r="K34" s="14">
        <f>VLOOKUP($A34,'Onsite Role Distribution'!$B$3:$G$7,2,FALSE)+VLOOKUP($A34,'Onsite Role Distribution'!$B$8:$G$12,2,FALSE)</f>
        <v>12</v>
      </c>
      <c r="L34" s="14">
        <f>VLOOKUP($A34,'Onsite Role Distribution'!$B$3:$G$7,2,FALSE)+VLOOKUP($A34,'Onsite Role Distribution'!$B$8:$G$12,2,FALSE)</f>
        <v>12</v>
      </c>
      <c r="M34" s="14">
        <f>VLOOKUP($A34,'Onsite Role Distribution'!$B$3:$G$7,2,FALSE)+VLOOKUP($A34,'Onsite Role Distribution'!$B$8:$G$12,2,FALSE)</f>
        <v>12</v>
      </c>
      <c r="N34" s="14">
        <f>VLOOKUP($A34,'Onsite Role Distribution'!$B$3:$G$7,2,FALSE)+VLOOKUP($A34,'Onsite Role Distribution'!$B$8:$G$12,2,FALSE)</f>
        <v>12</v>
      </c>
      <c r="O34" s="14">
        <f>VLOOKUP($A34,'Onsite Role Distribution'!$B$3:$G$7,2,FALSE)+VLOOKUP($A34,'Onsite Role Distribution'!$B$8:$G$12,2,FALSE)</f>
        <v>12</v>
      </c>
      <c r="P34" s="6">
        <f>VLOOKUP($A34,'Onsite Role Distribution'!$B$3:$G$7,3,FALSE)+VLOOKUP($A34,'Onsite Role Distribution'!$B$8:$G$12,3,FALSE)</f>
        <v>8</v>
      </c>
      <c r="Q34" s="6">
        <f>VLOOKUP($A34,'Onsite Role Distribution'!$B$3:$G$7,3,FALSE)+VLOOKUP($A34,'Onsite Role Distribution'!$B$8:$G$12,3,FALSE)</f>
        <v>8</v>
      </c>
      <c r="R34" s="6">
        <f>VLOOKUP($A34,'Onsite Role Distribution'!$B$3:$G$7,3,FALSE)+VLOOKUP($A34,'Onsite Role Distribution'!$B$8:$G$12,3,FALSE)</f>
        <v>8</v>
      </c>
      <c r="S34" s="6">
        <f>VLOOKUP($A34,'Onsite Role Distribution'!$B$3:$G$7,3,FALSE)+VLOOKUP($A34,'Onsite Role Distribution'!$B$8:$G$12,3,FALSE)</f>
        <v>8</v>
      </c>
      <c r="T34" s="6">
        <f>VLOOKUP($A34,'Onsite Role Distribution'!$B$3:$G$7,3,FALSE)+VLOOKUP($A34,'Onsite Role Distribution'!$B$8:$G$12,3,FALSE)</f>
        <v>8</v>
      </c>
      <c r="U34" s="6">
        <f>VLOOKUP($A34,'Onsite Role Distribution'!$B$3:$G$7,3,FALSE)+VLOOKUP($A34,'Onsite Role Distribution'!$B$8:$G$12,3,FALSE)</f>
        <v>8</v>
      </c>
      <c r="V34" s="6">
        <f>VLOOKUP($A34,'Onsite Role Distribution'!$B$3:$G$7,3,FALSE)+VLOOKUP($A34,'Onsite Role Distribution'!$B$8:$G$12,3,FALSE)</f>
        <v>8</v>
      </c>
      <c r="W34" s="6">
        <f>VLOOKUP($A34,'Onsite Role Distribution'!$B$3:$G$7,3,FALSE)+VLOOKUP($A34,'Onsite Role Distribution'!$B$8:$G$12,3,FALSE)</f>
        <v>8</v>
      </c>
      <c r="X34" s="6">
        <f>VLOOKUP($A34,'Onsite Role Distribution'!$B$3:$G$7,3,FALSE)+VLOOKUP($A34,'Onsite Role Distribution'!$B$8:$G$12,3,FALSE)</f>
        <v>8</v>
      </c>
      <c r="Y34" s="6">
        <f>VLOOKUP($A34,'Onsite Role Distribution'!$B$3:$G$7,3,FALSE)+VLOOKUP($A34,'Onsite Role Distribution'!$B$8:$G$12,3,FALSE)</f>
        <v>8</v>
      </c>
      <c r="Z34" s="6">
        <f>VLOOKUP($A34,'Onsite Role Distribution'!$B$3:$G$7,3,FALSE)+VLOOKUP($A34,'Onsite Role Distribution'!$B$8:$G$12,3,FALSE)</f>
        <v>8</v>
      </c>
      <c r="AA34" s="6">
        <f>VLOOKUP($A34,'Onsite Role Distribution'!$B$3:$G$7,3,FALSE)+VLOOKUP($A34,'Onsite Role Distribution'!$B$8:$G$12,3,FALSE)</f>
        <v>8</v>
      </c>
      <c r="AB34" s="15">
        <f>VLOOKUP($A34,'Onsite Role Distribution'!$B$3:$G$7,4,FALSE)+VLOOKUP($A34,'Onsite Role Distribution'!$B$8:$G$12,4,FALSE)</f>
        <v>4</v>
      </c>
      <c r="AC34" s="15">
        <f>VLOOKUP($A34,'Onsite Role Distribution'!$B$3:$G$7,4,FALSE)+VLOOKUP($A34,'Onsite Role Distribution'!$B$8:$G$12,4,FALSE)</f>
        <v>4</v>
      </c>
      <c r="AD34" s="15">
        <f>VLOOKUP($A34,'Onsite Role Distribution'!$B$3:$G$7,4,FALSE)+VLOOKUP($A34,'Onsite Role Distribution'!$B$8:$G$12,4,FALSE)</f>
        <v>4</v>
      </c>
      <c r="AE34" s="15">
        <f>VLOOKUP($A34,'Onsite Role Distribution'!$B$3:$G$7,4,FALSE)+VLOOKUP($A34,'Onsite Role Distribution'!$B$8:$G$12,4,FALSE)</f>
        <v>4</v>
      </c>
      <c r="AF34" s="15">
        <f>VLOOKUP($A34,'Onsite Role Distribution'!$B$3:$G$7,4,FALSE)+VLOOKUP($A34,'Onsite Role Distribution'!$B$8:$G$12,4,FALSE)</f>
        <v>4</v>
      </c>
      <c r="AG34" s="15">
        <f>VLOOKUP($A34,'Onsite Role Distribution'!$B$3:$G$7,4,FALSE)+VLOOKUP($A34,'Onsite Role Distribution'!$B$8:$G$12,4,FALSE)</f>
        <v>4</v>
      </c>
      <c r="AH34" s="15">
        <f>VLOOKUP($A34,'Onsite Role Distribution'!$B$3:$G$7,4,FALSE)+VLOOKUP($A34,'Onsite Role Distribution'!$B$8:$G$12,4,FALSE)</f>
        <v>4</v>
      </c>
      <c r="AI34" s="15">
        <f>VLOOKUP($A34,'Onsite Role Distribution'!$B$3:$G$7,4,FALSE)+VLOOKUP($A34,'Onsite Role Distribution'!$B$8:$G$12,4,FALSE)</f>
        <v>4</v>
      </c>
      <c r="AJ34" s="15">
        <f>VLOOKUP($A34,'Onsite Role Distribution'!$B$3:$G$7,4,FALSE)+VLOOKUP($A34,'Onsite Role Distribution'!$B$8:$G$12,4,FALSE)</f>
        <v>4</v>
      </c>
      <c r="AK34" s="15">
        <f>VLOOKUP($A34,'Onsite Role Distribution'!$B$3:$G$7,4,FALSE)+VLOOKUP($A34,'Onsite Role Distribution'!$B$8:$G$12,4,FALSE)</f>
        <v>4</v>
      </c>
      <c r="AL34" s="15">
        <f>VLOOKUP($A34,'Onsite Role Distribution'!$B$3:$G$7,4,FALSE)+VLOOKUP($A34,'Onsite Role Distribution'!$B$8:$G$12,4,FALSE)</f>
        <v>4</v>
      </c>
      <c r="AM34" s="15">
        <f>VLOOKUP($A34,'Onsite Role Distribution'!$B$3:$G$7,4,FALSE)+VLOOKUP($A34,'Onsite Role Distribution'!$B$8:$G$12,4,FALSE)</f>
        <v>4</v>
      </c>
      <c r="AN34" s="16">
        <f>VLOOKUP($A34,'Onsite Role Distribution'!$B$3:$G$7,5,FALSE)+VLOOKUP($A34,'Onsite Role Distribution'!$B$8:$G$12,5,FALSE)</f>
        <v>1</v>
      </c>
      <c r="AO34" s="16">
        <f>VLOOKUP($A34,'Onsite Role Distribution'!$B$3:$G$7,5,FALSE)+VLOOKUP($A34,'Onsite Role Distribution'!$B$8:$G$12,5,FALSE)</f>
        <v>1</v>
      </c>
      <c r="AP34" s="16">
        <f>VLOOKUP($A34,'Onsite Role Distribution'!$B$3:$G$7,5,FALSE)+VLOOKUP($A34,'Onsite Role Distribution'!$B$8:$G$12,5,FALSE)</f>
        <v>1</v>
      </c>
      <c r="AQ34" s="16">
        <f>VLOOKUP($A34,'Onsite Role Distribution'!$B$3:$G$7,5,FALSE)+VLOOKUP($A34,'Onsite Role Distribution'!$B$8:$G$12,5,FALSE)</f>
        <v>1</v>
      </c>
      <c r="AR34" s="16">
        <f>VLOOKUP($A34,'Onsite Role Distribution'!$B$3:$G$7,5,FALSE)+VLOOKUP($A34,'Onsite Role Distribution'!$B$8:$G$12,5,FALSE)</f>
        <v>1</v>
      </c>
      <c r="AS34" s="16">
        <f>VLOOKUP($A34,'Onsite Role Distribution'!$B$3:$G$7,5,FALSE)+VLOOKUP($A34,'Onsite Role Distribution'!$B$8:$G$12,5,FALSE)</f>
        <v>1</v>
      </c>
      <c r="AT34" s="16">
        <f>VLOOKUP($A34,'Onsite Role Distribution'!$B$3:$G$7,5,FALSE)+VLOOKUP($A34,'Onsite Role Distribution'!$B$8:$G$12,5,FALSE)</f>
        <v>1</v>
      </c>
      <c r="AU34" s="16">
        <f>VLOOKUP($A34,'Onsite Role Distribution'!$B$3:$G$7,5,FALSE)+VLOOKUP($A34,'Onsite Role Distribution'!$B$8:$G$12,5,FALSE)</f>
        <v>1</v>
      </c>
      <c r="AV34" s="16">
        <f>VLOOKUP($A34,'Onsite Role Distribution'!$B$3:$G$7,5,FALSE)+VLOOKUP($A34,'Onsite Role Distribution'!$B$8:$G$12,5,FALSE)</f>
        <v>1</v>
      </c>
      <c r="AW34" s="16">
        <f>VLOOKUP($A34,'Onsite Role Distribution'!$B$3:$G$7,5,FALSE)+VLOOKUP($A34,'Onsite Role Distribution'!$B$8:$G$12,5,FALSE)</f>
        <v>1</v>
      </c>
      <c r="AX34" s="16">
        <f>VLOOKUP($A34,'Onsite Role Distribution'!$B$3:$G$7,5,FALSE)+VLOOKUP($A34,'Onsite Role Distribution'!$B$8:$G$12,5,FALSE)</f>
        <v>1</v>
      </c>
      <c r="AY34" s="16">
        <f>VLOOKUP($A34,'Onsite Role Distribution'!$B$3:$G$7,5,FALSE)+VLOOKUP($A34,'Onsite Role Distribution'!$B$8:$G$12,5,FALSE)</f>
        <v>1</v>
      </c>
      <c r="AZ34" s="17">
        <f>VLOOKUP($A34,'Onsite Role Distribution'!$B$3:$G$7,6,FALSE)+VLOOKUP($A34,'Onsite Role Distribution'!$B$8:$G$12,6,FALSE)</f>
        <v>0</v>
      </c>
      <c r="BA34" s="17">
        <f>VLOOKUP($A34,'Onsite Role Distribution'!$B$3:$G$7,6,FALSE)+VLOOKUP($A34,'Onsite Role Distribution'!$B$8:$G$12,6,FALSE)</f>
        <v>0</v>
      </c>
      <c r="BB34" s="17">
        <f>VLOOKUP($A34,'Onsite Role Distribution'!$B$3:$G$7,6,FALSE)+VLOOKUP($A34,'Onsite Role Distribution'!$B$8:$G$12,6,FALSE)</f>
        <v>0</v>
      </c>
      <c r="BC34" s="17">
        <f>VLOOKUP($A34,'Onsite Role Distribution'!$B$3:$G$7,6,FALSE)+VLOOKUP($A34,'Onsite Role Distribution'!$B$8:$G$12,6,FALSE)</f>
        <v>0</v>
      </c>
      <c r="BD34" s="17">
        <f>VLOOKUP($A34,'Onsite Role Distribution'!$B$3:$G$7,6,FALSE)+VLOOKUP($A34,'Onsite Role Distribution'!$B$8:$G$12,6,FALSE)</f>
        <v>0</v>
      </c>
      <c r="BE34" s="17">
        <f>VLOOKUP($A34,'Onsite Role Distribution'!$B$3:$G$7,6,FALSE)+VLOOKUP($A34,'Onsite Role Distribution'!$B$8:$G$12,6,FALSE)</f>
        <v>0</v>
      </c>
      <c r="BF34" s="17">
        <f>VLOOKUP($A34,'Onsite Role Distribution'!$B$3:$G$7,6,FALSE)+VLOOKUP($A34,'Onsite Role Distribution'!$B$8:$G$12,6,FALSE)</f>
        <v>0</v>
      </c>
      <c r="BG34" s="17">
        <f>VLOOKUP($A34,'Onsite Role Distribution'!$B$3:$G$7,6,FALSE)+VLOOKUP($A34,'Onsite Role Distribution'!$B$8:$G$12,6,FALSE)</f>
        <v>0</v>
      </c>
      <c r="BH34" s="17">
        <f>VLOOKUP($A34,'Onsite Role Distribution'!$B$3:$G$7,6,FALSE)+VLOOKUP($A34,'Onsite Role Distribution'!$B$8:$G$12,6,FALSE)</f>
        <v>0</v>
      </c>
      <c r="BI34" s="17">
        <f>VLOOKUP($A34,'Onsite Role Distribution'!$B$3:$G$7,6,FALSE)+VLOOKUP($A34,'Onsite Role Distribution'!$B$8:$G$12,6,FALSE)</f>
        <v>0</v>
      </c>
      <c r="BJ34" s="17">
        <f>VLOOKUP($A34,'Onsite Role Distribution'!$B$3:$G$7,6,FALSE)+VLOOKUP($A34,'Onsite Role Distribution'!$B$8:$G$12,6,FALSE)</f>
        <v>0</v>
      </c>
      <c r="BK34" s="17">
        <f>VLOOKUP($A34,'Onsite Role Distribution'!$B$3:$G$7,6,FALSE)+VLOOKUP($A34,'Onsite Role Distribution'!$B$8:$G$12,6,FALSE)</f>
        <v>0</v>
      </c>
    </row>
    <row r="35" spans="1:63" x14ac:dyDescent="0.35">
      <c r="A35" t="s">
        <v>77</v>
      </c>
      <c r="B35" t="s">
        <v>80</v>
      </c>
      <c r="C35" t="str">
        <f t="shared" si="0"/>
        <v>PMOnsite</v>
      </c>
      <c r="D35" s="14">
        <f>VLOOKUP($A35,'Onsite Role Distribution'!$B$3:$G$7,2,FALSE)+VLOOKUP($A35,'Onsite Role Distribution'!$B$8:$G$12,2,FALSE)</f>
        <v>0</v>
      </c>
      <c r="E35" s="14">
        <f>VLOOKUP($A35,'Onsite Role Distribution'!$B$3:$G$7,2,FALSE)+VLOOKUP($A35,'Onsite Role Distribution'!$B$8:$G$12,2,FALSE)</f>
        <v>0</v>
      </c>
      <c r="F35" s="14">
        <f>VLOOKUP($A35,'Onsite Role Distribution'!$B$3:$G$7,2,FALSE)+VLOOKUP($A35,'Onsite Role Distribution'!$B$8:$G$12,2,FALSE)</f>
        <v>0</v>
      </c>
      <c r="G35" s="14">
        <f>VLOOKUP($A35,'Onsite Role Distribution'!$B$3:$G$7,2,FALSE)+VLOOKUP($A35,'Onsite Role Distribution'!$B$8:$G$12,2,FALSE)</f>
        <v>0</v>
      </c>
      <c r="H35" s="14">
        <f>VLOOKUP($A35,'Onsite Role Distribution'!$B$3:$G$7,2,FALSE)+VLOOKUP($A35,'Onsite Role Distribution'!$B$8:$G$12,2,FALSE)</f>
        <v>0</v>
      </c>
      <c r="I35" s="14">
        <f>VLOOKUP($A35,'Onsite Role Distribution'!$B$3:$G$7,2,FALSE)+VLOOKUP($A35,'Onsite Role Distribution'!$B$8:$G$12,2,FALSE)</f>
        <v>0</v>
      </c>
      <c r="J35" s="14">
        <f>VLOOKUP($A35,'Onsite Role Distribution'!$B$3:$G$7,2,FALSE)+VLOOKUP($A35,'Onsite Role Distribution'!$B$8:$G$12,2,FALSE)</f>
        <v>0</v>
      </c>
      <c r="K35" s="14">
        <f>VLOOKUP($A35,'Onsite Role Distribution'!$B$3:$G$7,2,FALSE)+VLOOKUP($A35,'Onsite Role Distribution'!$B$8:$G$12,2,FALSE)</f>
        <v>0</v>
      </c>
      <c r="L35" s="14">
        <f>VLOOKUP($A35,'Onsite Role Distribution'!$B$3:$G$7,2,FALSE)+VLOOKUP($A35,'Onsite Role Distribution'!$B$8:$G$12,2,FALSE)</f>
        <v>0</v>
      </c>
      <c r="M35" s="14">
        <f>VLOOKUP($A35,'Onsite Role Distribution'!$B$3:$G$7,2,FALSE)+VLOOKUP($A35,'Onsite Role Distribution'!$B$8:$G$12,2,FALSE)</f>
        <v>0</v>
      </c>
      <c r="N35" s="14">
        <f>VLOOKUP($A35,'Onsite Role Distribution'!$B$3:$G$7,2,FALSE)+VLOOKUP($A35,'Onsite Role Distribution'!$B$8:$G$12,2,FALSE)</f>
        <v>0</v>
      </c>
      <c r="O35" s="14">
        <f>VLOOKUP($A35,'Onsite Role Distribution'!$B$3:$G$7,2,FALSE)+VLOOKUP($A35,'Onsite Role Distribution'!$B$8:$G$12,2,FALSE)</f>
        <v>0</v>
      </c>
      <c r="P35" s="6">
        <f>VLOOKUP($A35,'Onsite Role Distribution'!$B$3:$G$7,3,FALSE)+VLOOKUP($A35,'Onsite Role Distribution'!$B$8:$G$12,3,FALSE)</f>
        <v>0</v>
      </c>
      <c r="Q35" s="6">
        <f>VLOOKUP($A35,'Onsite Role Distribution'!$B$3:$G$7,3,FALSE)+VLOOKUP($A35,'Onsite Role Distribution'!$B$8:$G$12,3,FALSE)</f>
        <v>0</v>
      </c>
      <c r="R35" s="6">
        <f>VLOOKUP($A35,'Onsite Role Distribution'!$B$3:$G$7,3,FALSE)+VLOOKUP($A35,'Onsite Role Distribution'!$B$8:$G$12,3,FALSE)</f>
        <v>0</v>
      </c>
      <c r="S35" s="6">
        <f>VLOOKUP($A35,'Onsite Role Distribution'!$B$3:$G$7,3,FALSE)+VLOOKUP($A35,'Onsite Role Distribution'!$B$8:$G$12,3,FALSE)</f>
        <v>0</v>
      </c>
      <c r="T35" s="6">
        <f>VLOOKUP($A35,'Onsite Role Distribution'!$B$3:$G$7,3,FALSE)+VLOOKUP($A35,'Onsite Role Distribution'!$B$8:$G$12,3,FALSE)</f>
        <v>0</v>
      </c>
      <c r="U35" s="6">
        <f>VLOOKUP($A35,'Onsite Role Distribution'!$B$3:$G$7,3,FALSE)+VLOOKUP($A35,'Onsite Role Distribution'!$B$8:$G$12,3,FALSE)</f>
        <v>0</v>
      </c>
      <c r="V35" s="6">
        <f>VLOOKUP($A35,'Onsite Role Distribution'!$B$3:$G$7,3,FALSE)+VLOOKUP($A35,'Onsite Role Distribution'!$B$8:$G$12,3,FALSE)</f>
        <v>0</v>
      </c>
      <c r="W35" s="6">
        <f>VLOOKUP($A35,'Onsite Role Distribution'!$B$3:$G$7,3,FALSE)+VLOOKUP($A35,'Onsite Role Distribution'!$B$8:$G$12,3,FALSE)</f>
        <v>0</v>
      </c>
      <c r="X35" s="6">
        <f>VLOOKUP($A35,'Onsite Role Distribution'!$B$3:$G$7,3,FALSE)+VLOOKUP($A35,'Onsite Role Distribution'!$B$8:$G$12,3,FALSE)</f>
        <v>0</v>
      </c>
      <c r="Y35" s="6">
        <f>VLOOKUP($A35,'Onsite Role Distribution'!$B$3:$G$7,3,FALSE)+VLOOKUP($A35,'Onsite Role Distribution'!$B$8:$G$12,3,FALSE)</f>
        <v>0</v>
      </c>
      <c r="Z35" s="6">
        <f>VLOOKUP($A35,'Onsite Role Distribution'!$B$3:$G$7,3,FALSE)+VLOOKUP($A35,'Onsite Role Distribution'!$B$8:$G$12,3,FALSE)</f>
        <v>0</v>
      </c>
      <c r="AA35" s="6">
        <f>VLOOKUP($A35,'Onsite Role Distribution'!$B$3:$G$7,3,FALSE)+VLOOKUP($A35,'Onsite Role Distribution'!$B$8:$G$12,3,FALSE)</f>
        <v>0</v>
      </c>
      <c r="AB35" s="15">
        <f>VLOOKUP($A35,'Onsite Role Distribution'!$B$3:$G$7,4,FALSE)+VLOOKUP($A35,'Onsite Role Distribution'!$B$8:$G$12,4,FALSE)</f>
        <v>0</v>
      </c>
      <c r="AC35" s="15">
        <f>VLOOKUP($A35,'Onsite Role Distribution'!$B$3:$G$7,4,FALSE)+VLOOKUP($A35,'Onsite Role Distribution'!$B$8:$G$12,4,FALSE)</f>
        <v>0</v>
      </c>
      <c r="AD35" s="15">
        <f>VLOOKUP($A35,'Onsite Role Distribution'!$B$3:$G$7,4,FALSE)+VLOOKUP($A35,'Onsite Role Distribution'!$B$8:$G$12,4,FALSE)</f>
        <v>0</v>
      </c>
      <c r="AE35" s="15">
        <f>VLOOKUP($A35,'Onsite Role Distribution'!$B$3:$G$7,4,FALSE)+VLOOKUP($A35,'Onsite Role Distribution'!$B$8:$G$12,4,FALSE)</f>
        <v>0</v>
      </c>
      <c r="AF35" s="15">
        <f>VLOOKUP($A35,'Onsite Role Distribution'!$B$3:$G$7,4,FALSE)+VLOOKUP($A35,'Onsite Role Distribution'!$B$8:$G$12,4,FALSE)</f>
        <v>0</v>
      </c>
      <c r="AG35" s="15">
        <f>VLOOKUP($A35,'Onsite Role Distribution'!$B$3:$G$7,4,FALSE)+VLOOKUP($A35,'Onsite Role Distribution'!$B$8:$G$12,4,FALSE)</f>
        <v>0</v>
      </c>
      <c r="AH35" s="15">
        <f>VLOOKUP($A35,'Onsite Role Distribution'!$B$3:$G$7,4,FALSE)+VLOOKUP($A35,'Onsite Role Distribution'!$B$8:$G$12,4,FALSE)</f>
        <v>0</v>
      </c>
      <c r="AI35" s="15">
        <f>VLOOKUP($A35,'Onsite Role Distribution'!$B$3:$G$7,4,FALSE)+VLOOKUP($A35,'Onsite Role Distribution'!$B$8:$G$12,4,FALSE)</f>
        <v>0</v>
      </c>
      <c r="AJ35" s="15">
        <f>VLOOKUP($A35,'Onsite Role Distribution'!$B$3:$G$7,4,FALSE)+VLOOKUP($A35,'Onsite Role Distribution'!$B$8:$G$12,4,FALSE)</f>
        <v>0</v>
      </c>
      <c r="AK35" s="15">
        <f>VLOOKUP($A35,'Onsite Role Distribution'!$B$3:$G$7,4,FALSE)+VLOOKUP($A35,'Onsite Role Distribution'!$B$8:$G$12,4,FALSE)</f>
        <v>0</v>
      </c>
      <c r="AL35" s="15">
        <f>VLOOKUP($A35,'Onsite Role Distribution'!$B$3:$G$7,4,FALSE)+VLOOKUP($A35,'Onsite Role Distribution'!$B$8:$G$12,4,FALSE)</f>
        <v>0</v>
      </c>
      <c r="AM35" s="15">
        <f>VLOOKUP($A35,'Onsite Role Distribution'!$B$3:$G$7,4,FALSE)+VLOOKUP($A35,'Onsite Role Distribution'!$B$8:$G$12,4,FALSE)</f>
        <v>0</v>
      </c>
      <c r="AN35" s="16">
        <f>VLOOKUP($A35,'Onsite Role Distribution'!$B$3:$G$7,5,FALSE)+VLOOKUP($A35,'Onsite Role Distribution'!$B$8:$G$12,5,FALSE)</f>
        <v>0</v>
      </c>
      <c r="AO35" s="16">
        <f>VLOOKUP($A35,'Onsite Role Distribution'!$B$3:$G$7,5,FALSE)+VLOOKUP($A35,'Onsite Role Distribution'!$B$8:$G$12,5,FALSE)</f>
        <v>0</v>
      </c>
      <c r="AP35" s="16">
        <f>VLOOKUP($A35,'Onsite Role Distribution'!$B$3:$G$7,5,FALSE)+VLOOKUP($A35,'Onsite Role Distribution'!$B$8:$G$12,5,FALSE)</f>
        <v>0</v>
      </c>
      <c r="AQ35" s="16">
        <f>VLOOKUP($A35,'Onsite Role Distribution'!$B$3:$G$7,5,FALSE)+VLOOKUP($A35,'Onsite Role Distribution'!$B$8:$G$12,5,FALSE)</f>
        <v>0</v>
      </c>
      <c r="AR35" s="16">
        <f>VLOOKUP($A35,'Onsite Role Distribution'!$B$3:$G$7,5,FALSE)+VLOOKUP($A35,'Onsite Role Distribution'!$B$8:$G$12,5,FALSE)</f>
        <v>0</v>
      </c>
      <c r="AS35" s="16">
        <f>VLOOKUP($A35,'Onsite Role Distribution'!$B$3:$G$7,5,FALSE)+VLOOKUP($A35,'Onsite Role Distribution'!$B$8:$G$12,5,FALSE)</f>
        <v>0</v>
      </c>
      <c r="AT35" s="16">
        <f>VLOOKUP($A35,'Onsite Role Distribution'!$B$3:$G$7,5,FALSE)+VLOOKUP($A35,'Onsite Role Distribution'!$B$8:$G$12,5,FALSE)</f>
        <v>0</v>
      </c>
      <c r="AU35" s="16">
        <f>VLOOKUP($A35,'Onsite Role Distribution'!$B$3:$G$7,5,FALSE)+VLOOKUP($A35,'Onsite Role Distribution'!$B$8:$G$12,5,FALSE)</f>
        <v>0</v>
      </c>
      <c r="AV35" s="16">
        <f>VLOOKUP($A35,'Onsite Role Distribution'!$B$3:$G$7,5,FALSE)+VLOOKUP($A35,'Onsite Role Distribution'!$B$8:$G$12,5,FALSE)</f>
        <v>0</v>
      </c>
      <c r="AW35" s="16">
        <f>VLOOKUP($A35,'Onsite Role Distribution'!$B$3:$G$7,5,FALSE)+VLOOKUP($A35,'Onsite Role Distribution'!$B$8:$G$12,5,FALSE)</f>
        <v>0</v>
      </c>
      <c r="AX35" s="16">
        <f>VLOOKUP($A35,'Onsite Role Distribution'!$B$3:$G$7,5,FALSE)+VLOOKUP($A35,'Onsite Role Distribution'!$B$8:$G$12,5,FALSE)</f>
        <v>0</v>
      </c>
      <c r="AY35" s="16">
        <f>VLOOKUP($A35,'Onsite Role Distribution'!$B$3:$G$7,5,FALSE)+VLOOKUP($A35,'Onsite Role Distribution'!$B$8:$G$12,5,FALSE)</f>
        <v>0</v>
      </c>
      <c r="AZ35" s="17">
        <f>VLOOKUP($A35,'Onsite Role Distribution'!$B$3:$G$7,6,FALSE)+VLOOKUP($A35,'Onsite Role Distribution'!$B$8:$G$12,6,FALSE)</f>
        <v>0</v>
      </c>
      <c r="BA35" s="17">
        <f>VLOOKUP($A35,'Onsite Role Distribution'!$B$3:$G$7,6,FALSE)+VLOOKUP($A35,'Onsite Role Distribution'!$B$8:$G$12,6,FALSE)</f>
        <v>0</v>
      </c>
      <c r="BB35" s="17">
        <f>VLOOKUP($A35,'Onsite Role Distribution'!$B$3:$G$7,6,FALSE)+VLOOKUP($A35,'Onsite Role Distribution'!$B$8:$G$12,6,FALSE)</f>
        <v>0</v>
      </c>
      <c r="BC35" s="17">
        <f>VLOOKUP($A35,'Onsite Role Distribution'!$B$3:$G$7,6,FALSE)+VLOOKUP($A35,'Onsite Role Distribution'!$B$8:$G$12,6,FALSE)</f>
        <v>0</v>
      </c>
      <c r="BD35" s="17">
        <f>VLOOKUP($A35,'Onsite Role Distribution'!$B$3:$G$7,6,FALSE)+VLOOKUP($A35,'Onsite Role Distribution'!$B$8:$G$12,6,FALSE)</f>
        <v>0</v>
      </c>
      <c r="BE35" s="17">
        <f>VLOOKUP($A35,'Onsite Role Distribution'!$B$3:$G$7,6,FALSE)+VLOOKUP($A35,'Onsite Role Distribution'!$B$8:$G$12,6,FALSE)</f>
        <v>0</v>
      </c>
      <c r="BF35" s="17">
        <f>VLOOKUP($A35,'Onsite Role Distribution'!$B$3:$G$7,6,FALSE)+VLOOKUP($A35,'Onsite Role Distribution'!$B$8:$G$12,6,FALSE)</f>
        <v>0</v>
      </c>
      <c r="BG35" s="17">
        <f>VLOOKUP($A35,'Onsite Role Distribution'!$B$3:$G$7,6,FALSE)+VLOOKUP($A35,'Onsite Role Distribution'!$B$8:$G$12,6,FALSE)</f>
        <v>0</v>
      </c>
      <c r="BH35" s="17">
        <f>VLOOKUP($A35,'Onsite Role Distribution'!$B$3:$G$7,6,FALSE)+VLOOKUP($A35,'Onsite Role Distribution'!$B$8:$G$12,6,FALSE)</f>
        <v>0</v>
      </c>
      <c r="BI35" s="17">
        <f>VLOOKUP($A35,'Onsite Role Distribution'!$B$3:$G$7,6,FALSE)+VLOOKUP($A35,'Onsite Role Distribution'!$B$8:$G$12,6,FALSE)</f>
        <v>0</v>
      </c>
      <c r="BJ35" s="17">
        <f>VLOOKUP($A35,'Onsite Role Distribution'!$B$3:$G$7,6,FALSE)+VLOOKUP($A35,'Onsite Role Distribution'!$B$8:$G$12,6,FALSE)</f>
        <v>0</v>
      </c>
      <c r="BK35" s="17">
        <f>VLOOKUP($A35,'Onsite Role Distribution'!$B$3:$G$7,6,FALSE)+VLOOKUP($A35,'Onsite Role Distribution'!$B$8:$G$12,6,FALSE)</f>
        <v>0</v>
      </c>
    </row>
    <row r="36" spans="1:63" x14ac:dyDescent="0.35">
      <c r="A36" t="s">
        <v>79</v>
      </c>
      <c r="B36" t="s">
        <v>80</v>
      </c>
      <c r="C36" t="str">
        <f t="shared" si="0"/>
        <v>LeadOnsite</v>
      </c>
      <c r="D36" s="14">
        <f>VLOOKUP($A36,'Onsite Role Distribution'!$B$3:$G$7,2,FALSE)+VLOOKUP($A36,'Onsite Role Distribution'!$B$8:$G$12,2,FALSE)</f>
        <v>1</v>
      </c>
      <c r="E36" s="14">
        <f>VLOOKUP($A36,'Onsite Role Distribution'!$B$3:$G$7,2,FALSE)+VLOOKUP($A36,'Onsite Role Distribution'!$B$8:$G$12,2,FALSE)</f>
        <v>1</v>
      </c>
      <c r="F36" s="14">
        <f>VLOOKUP($A36,'Onsite Role Distribution'!$B$3:$G$7,2,FALSE)+VLOOKUP($A36,'Onsite Role Distribution'!$B$8:$G$12,2,FALSE)</f>
        <v>1</v>
      </c>
      <c r="G36" s="14">
        <f>VLOOKUP($A36,'Onsite Role Distribution'!$B$3:$G$7,2,FALSE)+VLOOKUP($A36,'Onsite Role Distribution'!$B$8:$G$12,2,FALSE)</f>
        <v>1</v>
      </c>
      <c r="H36" s="14">
        <f>VLOOKUP($A36,'Onsite Role Distribution'!$B$3:$G$7,2,FALSE)+VLOOKUP($A36,'Onsite Role Distribution'!$B$8:$G$12,2,FALSE)</f>
        <v>1</v>
      </c>
      <c r="I36" s="14">
        <f>VLOOKUP($A36,'Onsite Role Distribution'!$B$3:$G$7,2,FALSE)+VLOOKUP($A36,'Onsite Role Distribution'!$B$8:$G$12,2,FALSE)</f>
        <v>1</v>
      </c>
      <c r="J36" s="14">
        <f>VLOOKUP($A36,'Onsite Role Distribution'!$B$3:$G$7,2,FALSE)+VLOOKUP($A36,'Onsite Role Distribution'!$B$8:$G$12,2,FALSE)</f>
        <v>1</v>
      </c>
      <c r="K36" s="14">
        <f>VLOOKUP($A36,'Onsite Role Distribution'!$B$3:$G$7,2,FALSE)+VLOOKUP($A36,'Onsite Role Distribution'!$B$8:$G$12,2,FALSE)</f>
        <v>1</v>
      </c>
      <c r="L36" s="14">
        <f>VLOOKUP($A36,'Onsite Role Distribution'!$B$3:$G$7,2,FALSE)+VLOOKUP($A36,'Onsite Role Distribution'!$B$8:$G$12,2,FALSE)</f>
        <v>1</v>
      </c>
      <c r="M36" s="14">
        <f>VLOOKUP($A36,'Onsite Role Distribution'!$B$3:$G$7,2,FALSE)+VLOOKUP($A36,'Onsite Role Distribution'!$B$8:$G$12,2,FALSE)</f>
        <v>1</v>
      </c>
      <c r="N36" s="14">
        <f>VLOOKUP($A36,'Onsite Role Distribution'!$B$3:$G$7,2,FALSE)+VLOOKUP($A36,'Onsite Role Distribution'!$B$8:$G$12,2,FALSE)</f>
        <v>1</v>
      </c>
      <c r="O36" s="14">
        <f>VLOOKUP($A36,'Onsite Role Distribution'!$B$3:$G$7,2,FALSE)+VLOOKUP($A36,'Onsite Role Distribution'!$B$8:$G$12,2,FALSE)</f>
        <v>1</v>
      </c>
      <c r="P36" s="6">
        <f>VLOOKUP($A36,'Onsite Role Distribution'!$B$3:$G$7,3,FALSE)+VLOOKUP($A36,'Onsite Role Distribution'!$B$8:$G$12,3,FALSE)</f>
        <v>1</v>
      </c>
      <c r="Q36" s="6">
        <f>VLOOKUP($A36,'Onsite Role Distribution'!$B$3:$G$7,3,FALSE)+VLOOKUP($A36,'Onsite Role Distribution'!$B$8:$G$12,3,FALSE)</f>
        <v>1</v>
      </c>
      <c r="R36" s="6">
        <f>VLOOKUP($A36,'Onsite Role Distribution'!$B$3:$G$7,3,FALSE)+VLOOKUP($A36,'Onsite Role Distribution'!$B$8:$G$12,3,FALSE)</f>
        <v>1</v>
      </c>
      <c r="S36" s="6">
        <f>VLOOKUP($A36,'Onsite Role Distribution'!$B$3:$G$7,3,FALSE)+VLOOKUP($A36,'Onsite Role Distribution'!$B$8:$G$12,3,FALSE)</f>
        <v>1</v>
      </c>
      <c r="T36" s="6">
        <f>VLOOKUP($A36,'Onsite Role Distribution'!$B$3:$G$7,3,FALSE)+VLOOKUP($A36,'Onsite Role Distribution'!$B$8:$G$12,3,FALSE)</f>
        <v>1</v>
      </c>
      <c r="U36" s="6">
        <f>VLOOKUP($A36,'Onsite Role Distribution'!$B$3:$G$7,3,FALSE)+VLOOKUP($A36,'Onsite Role Distribution'!$B$8:$G$12,3,FALSE)</f>
        <v>1</v>
      </c>
      <c r="V36" s="6">
        <f>VLOOKUP($A36,'Onsite Role Distribution'!$B$3:$G$7,3,FALSE)+VLOOKUP($A36,'Onsite Role Distribution'!$B$8:$G$12,3,FALSE)</f>
        <v>1</v>
      </c>
      <c r="W36" s="6">
        <f>VLOOKUP($A36,'Onsite Role Distribution'!$B$3:$G$7,3,FALSE)+VLOOKUP($A36,'Onsite Role Distribution'!$B$8:$G$12,3,FALSE)</f>
        <v>1</v>
      </c>
      <c r="X36" s="6">
        <f>VLOOKUP($A36,'Onsite Role Distribution'!$B$3:$G$7,3,FALSE)+VLOOKUP($A36,'Onsite Role Distribution'!$B$8:$G$12,3,FALSE)</f>
        <v>1</v>
      </c>
      <c r="Y36" s="6">
        <f>VLOOKUP($A36,'Onsite Role Distribution'!$B$3:$G$7,3,FALSE)+VLOOKUP($A36,'Onsite Role Distribution'!$B$8:$G$12,3,FALSE)</f>
        <v>1</v>
      </c>
      <c r="Z36" s="6">
        <f>VLOOKUP($A36,'Onsite Role Distribution'!$B$3:$G$7,3,FALSE)+VLOOKUP($A36,'Onsite Role Distribution'!$B$8:$G$12,3,FALSE)</f>
        <v>1</v>
      </c>
      <c r="AA36" s="6">
        <f>VLOOKUP($A36,'Onsite Role Distribution'!$B$3:$G$7,3,FALSE)+VLOOKUP($A36,'Onsite Role Distribution'!$B$8:$G$12,3,FALSE)</f>
        <v>1</v>
      </c>
      <c r="AB36" s="15">
        <f>VLOOKUP($A36,'Onsite Role Distribution'!$B$3:$G$7,4,FALSE)+VLOOKUP($A36,'Onsite Role Distribution'!$B$8:$G$12,4,FALSE)</f>
        <v>1</v>
      </c>
      <c r="AC36" s="15">
        <f>VLOOKUP($A36,'Onsite Role Distribution'!$B$3:$G$7,4,FALSE)+VLOOKUP($A36,'Onsite Role Distribution'!$B$8:$G$12,4,FALSE)</f>
        <v>1</v>
      </c>
      <c r="AD36" s="15">
        <f>VLOOKUP($A36,'Onsite Role Distribution'!$B$3:$G$7,4,FALSE)+VLOOKUP($A36,'Onsite Role Distribution'!$B$8:$G$12,4,FALSE)</f>
        <v>1</v>
      </c>
      <c r="AE36" s="15">
        <f>VLOOKUP($A36,'Onsite Role Distribution'!$B$3:$G$7,4,FALSE)+VLOOKUP($A36,'Onsite Role Distribution'!$B$8:$G$12,4,FALSE)</f>
        <v>1</v>
      </c>
      <c r="AF36" s="15">
        <f>VLOOKUP($A36,'Onsite Role Distribution'!$B$3:$G$7,4,FALSE)+VLOOKUP($A36,'Onsite Role Distribution'!$B$8:$G$12,4,FALSE)</f>
        <v>1</v>
      </c>
      <c r="AG36" s="15">
        <f>VLOOKUP($A36,'Onsite Role Distribution'!$B$3:$G$7,4,FALSE)+VLOOKUP($A36,'Onsite Role Distribution'!$B$8:$G$12,4,FALSE)</f>
        <v>1</v>
      </c>
      <c r="AH36" s="15">
        <f>VLOOKUP($A36,'Onsite Role Distribution'!$B$3:$G$7,4,FALSE)+VLOOKUP($A36,'Onsite Role Distribution'!$B$8:$G$12,4,FALSE)</f>
        <v>1</v>
      </c>
      <c r="AI36" s="15">
        <f>VLOOKUP($A36,'Onsite Role Distribution'!$B$3:$G$7,4,FALSE)+VLOOKUP($A36,'Onsite Role Distribution'!$B$8:$G$12,4,FALSE)</f>
        <v>1</v>
      </c>
      <c r="AJ36" s="15">
        <f>VLOOKUP($A36,'Onsite Role Distribution'!$B$3:$G$7,4,FALSE)+VLOOKUP($A36,'Onsite Role Distribution'!$B$8:$G$12,4,FALSE)</f>
        <v>1</v>
      </c>
      <c r="AK36" s="15">
        <f>VLOOKUP($A36,'Onsite Role Distribution'!$B$3:$G$7,4,FALSE)+VLOOKUP($A36,'Onsite Role Distribution'!$B$8:$G$12,4,FALSE)</f>
        <v>1</v>
      </c>
      <c r="AL36" s="15">
        <f>VLOOKUP($A36,'Onsite Role Distribution'!$B$3:$G$7,4,FALSE)+VLOOKUP($A36,'Onsite Role Distribution'!$B$8:$G$12,4,FALSE)</f>
        <v>1</v>
      </c>
      <c r="AM36" s="15">
        <f>VLOOKUP($A36,'Onsite Role Distribution'!$B$3:$G$7,4,FALSE)+VLOOKUP($A36,'Onsite Role Distribution'!$B$8:$G$12,4,FALSE)</f>
        <v>1</v>
      </c>
      <c r="AN36" s="16">
        <f>VLOOKUP($A36,'Onsite Role Distribution'!$B$3:$G$7,5,FALSE)+VLOOKUP($A36,'Onsite Role Distribution'!$B$8:$G$12,5,FALSE)</f>
        <v>1</v>
      </c>
      <c r="AO36" s="16">
        <f>VLOOKUP($A36,'Onsite Role Distribution'!$B$3:$G$7,5,FALSE)+VLOOKUP($A36,'Onsite Role Distribution'!$B$8:$G$12,5,FALSE)</f>
        <v>1</v>
      </c>
      <c r="AP36" s="16">
        <f>VLOOKUP($A36,'Onsite Role Distribution'!$B$3:$G$7,5,FALSE)+VLOOKUP($A36,'Onsite Role Distribution'!$B$8:$G$12,5,FALSE)</f>
        <v>1</v>
      </c>
      <c r="AQ36" s="16">
        <f>VLOOKUP($A36,'Onsite Role Distribution'!$B$3:$G$7,5,FALSE)+VLOOKUP($A36,'Onsite Role Distribution'!$B$8:$G$12,5,FALSE)</f>
        <v>1</v>
      </c>
      <c r="AR36" s="16">
        <f>VLOOKUP($A36,'Onsite Role Distribution'!$B$3:$G$7,5,FALSE)+VLOOKUP($A36,'Onsite Role Distribution'!$B$8:$G$12,5,FALSE)</f>
        <v>1</v>
      </c>
      <c r="AS36" s="16">
        <f>VLOOKUP($A36,'Onsite Role Distribution'!$B$3:$G$7,5,FALSE)+VLOOKUP($A36,'Onsite Role Distribution'!$B$8:$G$12,5,FALSE)</f>
        <v>1</v>
      </c>
      <c r="AT36" s="16">
        <f>VLOOKUP($A36,'Onsite Role Distribution'!$B$3:$G$7,5,FALSE)+VLOOKUP($A36,'Onsite Role Distribution'!$B$8:$G$12,5,FALSE)</f>
        <v>1</v>
      </c>
      <c r="AU36" s="16">
        <f>VLOOKUP($A36,'Onsite Role Distribution'!$B$3:$G$7,5,FALSE)+VLOOKUP($A36,'Onsite Role Distribution'!$B$8:$G$12,5,FALSE)</f>
        <v>1</v>
      </c>
      <c r="AV36" s="16">
        <f>VLOOKUP($A36,'Onsite Role Distribution'!$B$3:$G$7,5,FALSE)+VLOOKUP($A36,'Onsite Role Distribution'!$B$8:$G$12,5,FALSE)</f>
        <v>1</v>
      </c>
      <c r="AW36" s="16">
        <f>VLOOKUP($A36,'Onsite Role Distribution'!$B$3:$G$7,5,FALSE)+VLOOKUP($A36,'Onsite Role Distribution'!$B$8:$G$12,5,FALSE)</f>
        <v>1</v>
      </c>
      <c r="AX36" s="16">
        <f>VLOOKUP($A36,'Onsite Role Distribution'!$B$3:$G$7,5,FALSE)+VLOOKUP($A36,'Onsite Role Distribution'!$B$8:$G$12,5,FALSE)</f>
        <v>1</v>
      </c>
      <c r="AY36" s="16">
        <f>VLOOKUP($A36,'Onsite Role Distribution'!$B$3:$G$7,5,FALSE)+VLOOKUP($A36,'Onsite Role Distribution'!$B$8:$G$12,5,FALSE)</f>
        <v>1</v>
      </c>
      <c r="AZ36" s="17">
        <f>VLOOKUP($A36,'Onsite Role Distribution'!$B$3:$G$7,6,FALSE)+VLOOKUP($A36,'Onsite Role Distribution'!$B$8:$G$12,6,FALSE)</f>
        <v>1</v>
      </c>
      <c r="BA36" s="17">
        <f>VLOOKUP($A36,'Onsite Role Distribution'!$B$3:$G$7,6,FALSE)+VLOOKUP($A36,'Onsite Role Distribution'!$B$8:$G$12,6,FALSE)</f>
        <v>1</v>
      </c>
      <c r="BB36" s="17">
        <f>VLOOKUP($A36,'Onsite Role Distribution'!$B$3:$G$7,6,FALSE)+VLOOKUP($A36,'Onsite Role Distribution'!$B$8:$G$12,6,FALSE)</f>
        <v>1</v>
      </c>
      <c r="BC36" s="17">
        <f>VLOOKUP($A36,'Onsite Role Distribution'!$B$3:$G$7,6,FALSE)+VLOOKUP($A36,'Onsite Role Distribution'!$B$8:$G$12,6,FALSE)</f>
        <v>1</v>
      </c>
      <c r="BD36" s="17">
        <f>VLOOKUP($A36,'Onsite Role Distribution'!$B$3:$G$7,6,FALSE)+VLOOKUP($A36,'Onsite Role Distribution'!$B$8:$G$12,6,FALSE)</f>
        <v>1</v>
      </c>
      <c r="BE36" s="17">
        <f>VLOOKUP($A36,'Onsite Role Distribution'!$B$3:$G$7,6,FALSE)+VLOOKUP($A36,'Onsite Role Distribution'!$B$8:$G$12,6,FALSE)</f>
        <v>1</v>
      </c>
      <c r="BF36" s="17">
        <f>VLOOKUP($A36,'Onsite Role Distribution'!$B$3:$G$7,6,FALSE)+VLOOKUP($A36,'Onsite Role Distribution'!$B$8:$G$12,6,FALSE)</f>
        <v>1</v>
      </c>
      <c r="BG36" s="17">
        <f>VLOOKUP($A36,'Onsite Role Distribution'!$B$3:$G$7,6,FALSE)+VLOOKUP($A36,'Onsite Role Distribution'!$B$8:$G$12,6,FALSE)</f>
        <v>1</v>
      </c>
      <c r="BH36" s="17">
        <f>VLOOKUP($A36,'Onsite Role Distribution'!$B$3:$G$7,6,FALSE)+VLOOKUP($A36,'Onsite Role Distribution'!$B$8:$G$12,6,FALSE)</f>
        <v>1</v>
      </c>
      <c r="BI36" s="17">
        <f>VLOOKUP($A36,'Onsite Role Distribution'!$B$3:$G$7,6,FALSE)+VLOOKUP($A36,'Onsite Role Distribution'!$B$8:$G$12,6,FALSE)</f>
        <v>1</v>
      </c>
      <c r="BJ36" s="17">
        <f>VLOOKUP($A36,'Onsite Role Distribution'!$B$3:$G$7,6,FALSE)+VLOOKUP($A36,'Onsite Role Distribution'!$B$8:$G$12,6,FALSE)</f>
        <v>1</v>
      </c>
      <c r="BK36" s="17">
        <f>VLOOKUP($A36,'Onsite Role Distribution'!$B$3:$G$7,6,FALSE)+VLOOKUP($A36,'Onsite Role Distribution'!$B$8:$G$12,6,FALSE)</f>
        <v>1</v>
      </c>
    </row>
    <row r="37" spans="1:63" x14ac:dyDescent="0.35">
      <c r="A37" t="s">
        <v>65</v>
      </c>
      <c r="B37" t="s">
        <v>84</v>
      </c>
      <c r="C37" t="str">
        <f t="shared" si="0"/>
        <v>BSAOnsite-Landed</v>
      </c>
      <c r="D37" s="14">
        <f>VLOOKUP($A37,'Onsite Role Distribution'!$B$13:$G$17,2,FALSE)</f>
        <v>0</v>
      </c>
      <c r="E37" s="14">
        <f>VLOOKUP($A37,'Onsite Role Distribution'!$B$13:$G$17,2,FALSE)</f>
        <v>0</v>
      </c>
      <c r="F37" s="14">
        <f>VLOOKUP($A37,'Onsite Role Distribution'!$B$13:$G$17,2,FALSE)</f>
        <v>0</v>
      </c>
      <c r="G37" s="14">
        <f>VLOOKUP($A37,'Onsite Role Distribution'!$B$13:$G$17,2,FALSE)</f>
        <v>0</v>
      </c>
      <c r="H37" s="14">
        <f>VLOOKUP($A37,'Onsite Role Distribution'!$B$13:$G$17,2,FALSE)</f>
        <v>0</v>
      </c>
      <c r="I37" s="14">
        <f>VLOOKUP($A37,'Onsite Role Distribution'!$B$13:$G$17,2,FALSE)</f>
        <v>0</v>
      </c>
      <c r="J37" s="14">
        <f>VLOOKUP($A37,'Onsite Role Distribution'!$B$13:$G$17,2,FALSE)</f>
        <v>0</v>
      </c>
      <c r="K37" s="14">
        <f>VLOOKUP($A37,'Onsite Role Distribution'!$B$13:$G$17,2,FALSE)</f>
        <v>0</v>
      </c>
      <c r="L37" s="14">
        <f>VLOOKUP($A37,'Onsite Role Distribution'!$B$13:$G$17,2,FALSE)</f>
        <v>0</v>
      </c>
      <c r="M37" s="14">
        <f>VLOOKUP($A37,'Onsite Role Distribution'!$B$13:$G$17,2,FALSE)</f>
        <v>0</v>
      </c>
      <c r="N37" s="14">
        <f>VLOOKUP($A37,'Onsite Role Distribution'!$B$13:$G$17,2,FALSE)</f>
        <v>0</v>
      </c>
      <c r="O37" s="14">
        <f>VLOOKUP($A37,'Onsite Role Distribution'!$B$13:$G$17,2,FALSE)</f>
        <v>0</v>
      </c>
      <c r="P37" s="6">
        <f>VLOOKUP($A37,'Onsite Role Distribution'!$B$13:$G$17,3,FALSE)</f>
        <v>0</v>
      </c>
      <c r="Q37" s="6">
        <f>VLOOKUP($A37,'Onsite Role Distribution'!$B$13:$G$17,3,FALSE)</f>
        <v>0</v>
      </c>
      <c r="R37" s="6">
        <f>VLOOKUP($A37,'Onsite Role Distribution'!$B$13:$G$17,3,FALSE)</f>
        <v>0</v>
      </c>
      <c r="S37" s="6">
        <f>VLOOKUP($A37,'Onsite Role Distribution'!$B$13:$G$17,3,FALSE)</f>
        <v>0</v>
      </c>
      <c r="T37" s="6">
        <f>VLOOKUP($A37,'Onsite Role Distribution'!$B$13:$G$17,3,FALSE)</f>
        <v>0</v>
      </c>
      <c r="U37" s="6">
        <f>VLOOKUP($A37,'Onsite Role Distribution'!$B$13:$G$17,3,FALSE)</f>
        <v>0</v>
      </c>
      <c r="V37" s="6">
        <f>VLOOKUP($A37,'Onsite Role Distribution'!$B$13:$G$17,3,FALSE)</f>
        <v>0</v>
      </c>
      <c r="W37" s="6">
        <f>VLOOKUP($A37,'Onsite Role Distribution'!$B$13:$G$17,3,FALSE)</f>
        <v>0</v>
      </c>
      <c r="X37" s="6">
        <f>VLOOKUP($A37,'Onsite Role Distribution'!$B$13:$G$17,3,FALSE)</f>
        <v>0</v>
      </c>
      <c r="Y37" s="6">
        <f>VLOOKUP($A37,'Onsite Role Distribution'!$B$13:$G$17,3,FALSE)</f>
        <v>0</v>
      </c>
      <c r="Z37" s="6">
        <f>VLOOKUP($A37,'Onsite Role Distribution'!$B$13:$G$17,3,FALSE)</f>
        <v>0</v>
      </c>
      <c r="AA37" s="6">
        <f>VLOOKUP($A37,'Onsite Role Distribution'!$B$13:$G$17,3,FALSE)</f>
        <v>0</v>
      </c>
      <c r="AB37" s="15">
        <f>VLOOKUP($A37,'Onsite Role Distribution'!$B$13:$G$17,4,FALSE)</f>
        <v>0</v>
      </c>
      <c r="AC37" s="15">
        <f>VLOOKUP($A37,'Onsite Role Distribution'!$B$13:$G$17,4,FALSE)</f>
        <v>0</v>
      </c>
      <c r="AD37" s="15">
        <f>VLOOKUP($A37,'Onsite Role Distribution'!$B$13:$G$17,4,FALSE)</f>
        <v>0</v>
      </c>
      <c r="AE37" s="15">
        <f>VLOOKUP($A37,'Onsite Role Distribution'!$B$13:$G$17,4,FALSE)</f>
        <v>0</v>
      </c>
      <c r="AF37" s="15">
        <f>VLOOKUP($A37,'Onsite Role Distribution'!$B$13:$G$17,4,FALSE)</f>
        <v>0</v>
      </c>
      <c r="AG37" s="15">
        <f>VLOOKUP($A37,'Onsite Role Distribution'!$B$13:$G$17,4,FALSE)</f>
        <v>0</v>
      </c>
      <c r="AH37" s="15">
        <f>VLOOKUP($A37,'Onsite Role Distribution'!$B$13:$G$17,4,FALSE)</f>
        <v>0</v>
      </c>
      <c r="AI37" s="15">
        <f>VLOOKUP($A37,'Onsite Role Distribution'!$B$13:$G$17,4,FALSE)</f>
        <v>0</v>
      </c>
      <c r="AJ37" s="15">
        <f>VLOOKUP($A37,'Onsite Role Distribution'!$B$13:$G$17,4,FALSE)</f>
        <v>0</v>
      </c>
      <c r="AK37" s="15">
        <f>VLOOKUP($A37,'Onsite Role Distribution'!$B$13:$G$17,4,FALSE)</f>
        <v>0</v>
      </c>
      <c r="AL37" s="15">
        <f>VLOOKUP($A37,'Onsite Role Distribution'!$B$13:$G$17,4,FALSE)</f>
        <v>0</v>
      </c>
      <c r="AM37" s="15">
        <f>VLOOKUP($A37,'Onsite Role Distribution'!$B$13:$G$17,4,FALSE)</f>
        <v>0</v>
      </c>
      <c r="AN37" s="16">
        <f>VLOOKUP($A37,'Onsite Role Distribution'!$B$13:$G$17,5,FALSE)</f>
        <v>0</v>
      </c>
      <c r="AO37" s="16">
        <f>VLOOKUP($A37,'Onsite Role Distribution'!$B$13:$G$17,5,FALSE)</f>
        <v>0</v>
      </c>
      <c r="AP37" s="16">
        <f>VLOOKUP($A37,'Onsite Role Distribution'!$B$13:$G$17,5,FALSE)</f>
        <v>0</v>
      </c>
      <c r="AQ37" s="16">
        <f>VLOOKUP($A37,'Onsite Role Distribution'!$B$13:$G$17,5,FALSE)</f>
        <v>0</v>
      </c>
      <c r="AR37" s="16">
        <f>VLOOKUP($A37,'Onsite Role Distribution'!$B$13:$G$17,5,FALSE)</f>
        <v>0</v>
      </c>
      <c r="AS37" s="16">
        <f>VLOOKUP($A37,'Onsite Role Distribution'!$B$13:$G$17,5,FALSE)</f>
        <v>0</v>
      </c>
      <c r="AT37" s="16">
        <f>VLOOKUP($A37,'Onsite Role Distribution'!$B$13:$G$17,5,FALSE)</f>
        <v>0</v>
      </c>
      <c r="AU37" s="16">
        <f>VLOOKUP($A37,'Onsite Role Distribution'!$B$13:$G$17,5,FALSE)</f>
        <v>0</v>
      </c>
      <c r="AV37" s="16">
        <f>VLOOKUP($A37,'Onsite Role Distribution'!$B$13:$G$17,5,FALSE)</f>
        <v>0</v>
      </c>
      <c r="AW37" s="16">
        <f>VLOOKUP($A37,'Onsite Role Distribution'!$B$13:$G$17,5,FALSE)</f>
        <v>0</v>
      </c>
      <c r="AX37" s="16">
        <f>VLOOKUP($A37,'Onsite Role Distribution'!$B$13:$G$17,5,FALSE)</f>
        <v>0</v>
      </c>
      <c r="AY37" s="16">
        <f>VLOOKUP($A37,'Onsite Role Distribution'!$B$13:$G$17,5,FALSE)</f>
        <v>0</v>
      </c>
      <c r="AZ37" s="17">
        <f>VLOOKUP($A37,'Onsite Role Distribution'!$B$13:$G$17,6,FALSE)</f>
        <v>0</v>
      </c>
      <c r="BA37" s="17">
        <f>VLOOKUP($A37,'Onsite Role Distribution'!$B$13:$G$17,6,FALSE)</f>
        <v>0</v>
      </c>
      <c r="BB37" s="17">
        <f>VLOOKUP($A37,'Onsite Role Distribution'!$B$13:$G$17,6,FALSE)</f>
        <v>0</v>
      </c>
      <c r="BC37" s="17">
        <f>VLOOKUP($A37,'Onsite Role Distribution'!$B$13:$G$17,6,FALSE)</f>
        <v>0</v>
      </c>
      <c r="BD37" s="17">
        <f>VLOOKUP($A37,'Onsite Role Distribution'!$B$13:$G$17,6,FALSE)</f>
        <v>0</v>
      </c>
      <c r="BE37" s="17">
        <f>VLOOKUP($A37,'Onsite Role Distribution'!$B$13:$G$17,6,FALSE)</f>
        <v>0</v>
      </c>
      <c r="BF37" s="17">
        <f>VLOOKUP($A37,'Onsite Role Distribution'!$B$13:$G$17,6,FALSE)</f>
        <v>0</v>
      </c>
      <c r="BG37" s="17">
        <f>VLOOKUP($A37,'Onsite Role Distribution'!$B$13:$G$17,6,FALSE)</f>
        <v>0</v>
      </c>
      <c r="BH37" s="17">
        <f>VLOOKUP($A37,'Onsite Role Distribution'!$B$13:$G$17,6,FALSE)</f>
        <v>0</v>
      </c>
      <c r="BI37" s="17">
        <f>VLOOKUP($A37,'Onsite Role Distribution'!$B$13:$G$17,6,FALSE)</f>
        <v>0</v>
      </c>
      <c r="BJ37" s="17">
        <f>VLOOKUP($A37,'Onsite Role Distribution'!$B$13:$G$17,6,FALSE)</f>
        <v>0</v>
      </c>
      <c r="BK37" s="17">
        <f>VLOOKUP($A37,'Onsite Role Distribution'!$B$13:$G$17,6,FALSE)</f>
        <v>0</v>
      </c>
    </row>
    <row r="38" spans="1:63" x14ac:dyDescent="0.35">
      <c r="A38" t="s">
        <v>71</v>
      </c>
      <c r="B38" t="s">
        <v>84</v>
      </c>
      <c r="C38" t="str">
        <f t="shared" si="0"/>
        <v>DevOnsite-Landed</v>
      </c>
      <c r="D38" s="14">
        <f>VLOOKUP($A38,'Onsite Role Distribution'!$B$13:$G$17,2,FALSE)</f>
        <v>3</v>
      </c>
      <c r="E38" s="14">
        <f>VLOOKUP($A38,'Onsite Role Distribution'!$B$13:$G$17,2,FALSE)</f>
        <v>3</v>
      </c>
      <c r="F38" s="14">
        <f>VLOOKUP($A38,'Onsite Role Distribution'!$B$13:$G$17,2,FALSE)</f>
        <v>3</v>
      </c>
      <c r="G38" s="14">
        <f>VLOOKUP($A38,'Onsite Role Distribution'!$B$13:$G$17,2,FALSE)</f>
        <v>3</v>
      </c>
      <c r="H38" s="14">
        <f>VLOOKUP($A38,'Onsite Role Distribution'!$B$13:$G$17,2,FALSE)</f>
        <v>3</v>
      </c>
      <c r="I38" s="14">
        <f>VLOOKUP($A38,'Onsite Role Distribution'!$B$13:$G$17,2,FALSE)</f>
        <v>3</v>
      </c>
      <c r="J38" s="14">
        <f>VLOOKUP($A38,'Onsite Role Distribution'!$B$13:$G$17,2,FALSE)</f>
        <v>3</v>
      </c>
      <c r="K38" s="14">
        <f>VLOOKUP($A38,'Onsite Role Distribution'!$B$13:$G$17,2,FALSE)</f>
        <v>3</v>
      </c>
      <c r="L38" s="14">
        <f>VLOOKUP($A38,'Onsite Role Distribution'!$B$13:$G$17,2,FALSE)</f>
        <v>3</v>
      </c>
      <c r="M38" s="14">
        <f>VLOOKUP($A38,'Onsite Role Distribution'!$B$13:$G$17,2,FALSE)</f>
        <v>3</v>
      </c>
      <c r="N38" s="14">
        <f>VLOOKUP($A38,'Onsite Role Distribution'!$B$13:$G$17,2,FALSE)</f>
        <v>3</v>
      </c>
      <c r="O38" s="14">
        <f>VLOOKUP($A38,'Onsite Role Distribution'!$B$13:$G$17,2,FALSE)</f>
        <v>3</v>
      </c>
      <c r="P38" s="6">
        <f>VLOOKUP($A38,'Onsite Role Distribution'!$B$13:$G$17,3,FALSE)</f>
        <v>3</v>
      </c>
      <c r="Q38" s="6">
        <f>VLOOKUP($A38,'Onsite Role Distribution'!$B$13:$G$17,3,FALSE)</f>
        <v>3</v>
      </c>
      <c r="R38" s="6">
        <f>VLOOKUP($A38,'Onsite Role Distribution'!$B$13:$G$17,3,FALSE)</f>
        <v>3</v>
      </c>
      <c r="S38" s="6">
        <f>VLOOKUP($A38,'Onsite Role Distribution'!$B$13:$G$17,3,FALSE)</f>
        <v>3</v>
      </c>
      <c r="T38" s="6">
        <f>VLOOKUP($A38,'Onsite Role Distribution'!$B$13:$G$17,3,FALSE)</f>
        <v>3</v>
      </c>
      <c r="U38" s="6">
        <f>VLOOKUP($A38,'Onsite Role Distribution'!$B$13:$G$17,3,FALSE)</f>
        <v>3</v>
      </c>
      <c r="V38" s="6">
        <f>VLOOKUP($A38,'Onsite Role Distribution'!$B$13:$G$17,3,FALSE)</f>
        <v>3</v>
      </c>
      <c r="W38" s="6">
        <f>VLOOKUP($A38,'Onsite Role Distribution'!$B$13:$G$17,3,FALSE)</f>
        <v>3</v>
      </c>
      <c r="X38" s="6">
        <f>VLOOKUP($A38,'Onsite Role Distribution'!$B$13:$G$17,3,FALSE)</f>
        <v>3</v>
      </c>
      <c r="Y38" s="6">
        <f>VLOOKUP($A38,'Onsite Role Distribution'!$B$13:$G$17,3,FALSE)</f>
        <v>3</v>
      </c>
      <c r="Z38" s="6">
        <f>VLOOKUP($A38,'Onsite Role Distribution'!$B$13:$G$17,3,FALSE)</f>
        <v>3</v>
      </c>
      <c r="AA38" s="6">
        <f>VLOOKUP($A38,'Onsite Role Distribution'!$B$13:$G$17,3,FALSE)</f>
        <v>3</v>
      </c>
      <c r="AB38" s="15">
        <f>VLOOKUP($A38,'Onsite Role Distribution'!$B$13:$G$17,4,FALSE)</f>
        <v>1</v>
      </c>
      <c r="AC38" s="15">
        <f>VLOOKUP($A38,'Onsite Role Distribution'!$B$13:$G$17,4,FALSE)</f>
        <v>1</v>
      </c>
      <c r="AD38" s="15">
        <f>VLOOKUP($A38,'Onsite Role Distribution'!$B$13:$G$17,4,FALSE)</f>
        <v>1</v>
      </c>
      <c r="AE38" s="15">
        <f>VLOOKUP($A38,'Onsite Role Distribution'!$B$13:$G$17,4,FALSE)</f>
        <v>1</v>
      </c>
      <c r="AF38" s="15">
        <f>VLOOKUP($A38,'Onsite Role Distribution'!$B$13:$G$17,4,FALSE)</f>
        <v>1</v>
      </c>
      <c r="AG38" s="15">
        <f>VLOOKUP($A38,'Onsite Role Distribution'!$B$13:$G$17,4,FALSE)</f>
        <v>1</v>
      </c>
      <c r="AH38" s="15">
        <f>VLOOKUP($A38,'Onsite Role Distribution'!$B$13:$G$17,4,FALSE)</f>
        <v>1</v>
      </c>
      <c r="AI38" s="15">
        <f>VLOOKUP($A38,'Onsite Role Distribution'!$B$13:$G$17,4,FALSE)</f>
        <v>1</v>
      </c>
      <c r="AJ38" s="15">
        <f>VLOOKUP($A38,'Onsite Role Distribution'!$B$13:$G$17,4,FALSE)</f>
        <v>1</v>
      </c>
      <c r="AK38" s="15">
        <f>VLOOKUP($A38,'Onsite Role Distribution'!$B$13:$G$17,4,FALSE)</f>
        <v>1</v>
      </c>
      <c r="AL38" s="15">
        <f>VLOOKUP($A38,'Onsite Role Distribution'!$B$13:$G$17,4,FALSE)</f>
        <v>1</v>
      </c>
      <c r="AM38" s="15">
        <f>VLOOKUP($A38,'Onsite Role Distribution'!$B$13:$G$17,4,FALSE)</f>
        <v>1</v>
      </c>
      <c r="AN38" s="16">
        <f>VLOOKUP($A38,'Onsite Role Distribution'!$B$13:$G$17,5,FALSE)</f>
        <v>1</v>
      </c>
      <c r="AO38" s="16">
        <f>VLOOKUP($A38,'Onsite Role Distribution'!$B$13:$G$17,5,FALSE)</f>
        <v>1</v>
      </c>
      <c r="AP38" s="16">
        <f>VLOOKUP($A38,'Onsite Role Distribution'!$B$13:$G$17,5,FALSE)</f>
        <v>1</v>
      </c>
      <c r="AQ38" s="16">
        <f>VLOOKUP($A38,'Onsite Role Distribution'!$B$13:$G$17,5,FALSE)</f>
        <v>1</v>
      </c>
      <c r="AR38" s="16">
        <f>VLOOKUP($A38,'Onsite Role Distribution'!$B$13:$G$17,5,FALSE)</f>
        <v>1</v>
      </c>
      <c r="AS38" s="16">
        <f>VLOOKUP($A38,'Onsite Role Distribution'!$B$13:$G$17,5,FALSE)</f>
        <v>1</v>
      </c>
      <c r="AT38" s="16">
        <f>VLOOKUP($A38,'Onsite Role Distribution'!$B$13:$G$17,5,FALSE)</f>
        <v>1</v>
      </c>
      <c r="AU38" s="16">
        <f>VLOOKUP($A38,'Onsite Role Distribution'!$B$13:$G$17,5,FALSE)</f>
        <v>1</v>
      </c>
      <c r="AV38" s="16">
        <f>VLOOKUP($A38,'Onsite Role Distribution'!$B$13:$G$17,5,FALSE)</f>
        <v>1</v>
      </c>
      <c r="AW38" s="16">
        <f>VLOOKUP($A38,'Onsite Role Distribution'!$B$13:$G$17,5,FALSE)</f>
        <v>1</v>
      </c>
      <c r="AX38" s="16">
        <f>VLOOKUP($A38,'Onsite Role Distribution'!$B$13:$G$17,5,FALSE)</f>
        <v>1</v>
      </c>
      <c r="AY38" s="16">
        <f>VLOOKUP($A38,'Onsite Role Distribution'!$B$13:$G$17,5,FALSE)</f>
        <v>1</v>
      </c>
      <c r="AZ38" s="17">
        <f>VLOOKUP($A38,'Onsite Role Distribution'!$B$13:$G$17,6,FALSE)</f>
        <v>1</v>
      </c>
      <c r="BA38" s="17">
        <f>VLOOKUP($A38,'Onsite Role Distribution'!$B$13:$G$17,6,FALSE)</f>
        <v>1</v>
      </c>
      <c r="BB38" s="17">
        <f>VLOOKUP($A38,'Onsite Role Distribution'!$B$13:$G$17,6,FALSE)</f>
        <v>1</v>
      </c>
      <c r="BC38" s="17">
        <f>VLOOKUP($A38,'Onsite Role Distribution'!$B$13:$G$17,6,FALSE)</f>
        <v>1</v>
      </c>
      <c r="BD38" s="17">
        <f>VLOOKUP($A38,'Onsite Role Distribution'!$B$13:$G$17,6,FALSE)</f>
        <v>1</v>
      </c>
      <c r="BE38" s="17">
        <f>VLOOKUP($A38,'Onsite Role Distribution'!$B$13:$G$17,6,FALSE)</f>
        <v>1</v>
      </c>
      <c r="BF38" s="17">
        <f>VLOOKUP($A38,'Onsite Role Distribution'!$B$13:$G$17,6,FALSE)</f>
        <v>1</v>
      </c>
      <c r="BG38" s="17">
        <f>VLOOKUP($A38,'Onsite Role Distribution'!$B$13:$G$17,6,FALSE)</f>
        <v>1</v>
      </c>
      <c r="BH38" s="17">
        <f>VLOOKUP($A38,'Onsite Role Distribution'!$B$13:$G$17,6,FALSE)</f>
        <v>1</v>
      </c>
      <c r="BI38" s="17">
        <f>VLOOKUP($A38,'Onsite Role Distribution'!$B$13:$G$17,6,FALSE)</f>
        <v>1</v>
      </c>
      <c r="BJ38" s="17">
        <f>VLOOKUP($A38,'Onsite Role Distribution'!$B$13:$G$17,6,FALSE)</f>
        <v>1</v>
      </c>
      <c r="BK38" s="17">
        <f>VLOOKUP($A38,'Onsite Role Distribution'!$B$13:$G$17,6,FALSE)</f>
        <v>1</v>
      </c>
    </row>
    <row r="39" spans="1:63" x14ac:dyDescent="0.35">
      <c r="A39" t="s">
        <v>72</v>
      </c>
      <c r="B39" t="s">
        <v>84</v>
      </c>
      <c r="C39" t="str">
        <f t="shared" si="0"/>
        <v>TesterOnsite-Landed</v>
      </c>
      <c r="D39" s="14">
        <f>VLOOKUP($A39,'Onsite Role Distribution'!$B$13:$G$17,2,FALSE)</f>
        <v>0</v>
      </c>
      <c r="E39" s="14">
        <f>VLOOKUP($A39,'Onsite Role Distribution'!$B$13:$G$17,2,FALSE)</f>
        <v>0</v>
      </c>
      <c r="F39" s="14">
        <f>VLOOKUP($A39,'Onsite Role Distribution'!$B$13:$G$17,2,FALSE)</f>
        <v>0</v>
      </c>
      <c r="G39" s="14">
        <f>VLOOKUP($A39,'Onsite Role Distribution'!$B$13:$G$17,2,FALSE)</f>
        <v>0</v>
      </c>
      <c r="H39" s="14">
        <f>VLOOKUP($A39,'Onsite Role Distribution'!$B$13:$G$17,2,FALSE)</f>
        <v>0</v>
      </c>
      <c r="I39" s="14">
        <f>VLOOKUP($A39,'Onsite Role Distribution'!$B$13:$G$17,2,FALSE)</f>
        <v>0</v>
      </c>
      <c r="J39" s="14">
        <f>VLOOKUP($A39,'Onsite Role Distribution'!$B$13:$G$17,2,FALSE)</f>
        <v>0</v>
      </c>
      <c r="K39" s="14">
        <f>VLOOKUP($A39,'Onsite Role Distribution'!$B$13:$G$17,2,FALSE)</f>
        <v>0</v>
      </c>
      <c r="L39" s="14">
        <f>VLOOKUP($A39,'Onsite Role Distribution'!$B$13:$G$17,2,FALSE)</f>
        <v>0</v>
      </c>
      <c r="M39" s="14">
        <f>VLOOKUP($A39,'Onsite Role Distribution'!$B$13:$G$17,2,FALSE)</f>
        <v>0</v>
      </c>
      <c r="N39" s="14">
        <f>VLOOKUP($A39,'Onsite Role Distribution'!$B$13:$G$17,2,FALSE)</f>
        <v>0</v>
      </c>
      <c r="O39" s="14">
        <f>VLOOKUP($A39,'Onsite Role Distribution'!$B$13:$G$17,2,FALSE)</f>
        <v>0</v>
      </c>
      <c r="P39" s="6">
        <f>VLOOKUP($A39,'Onsite Role Distribution'!$B$13:$G$17,3,FALSE)</f>
        <v>0</v>
      </c>
      <c r="Q39" s="6">
        <f>VLOOKUP($A39,'Onsite Role Distribution'!$B$13:$G$17,3,FALSE)</f>
        <v>0</v>
      </c>
      <c r="R39" s="6">
        <f>VLOOKUP($A39,'Onsite Role Distribution'!$B$13:$G$17,3,FALSE)</f>
        <v>0</v>
      </c>
      <c r="S39" s="6">
        <f>VLOOKUP($A39,'Onsite Role Distribution'!$B$13:$G$17,3,FALSE)</f>
        <v>0</v>
      </c>
      <c r="T39" s="6">
        <f>VLOOKUP($A39,'Onsite Role Distribution'!$B$13:$G$17,3,FALSE)</f>
        <v>0</v>
      </c>
      <c r="U39" s="6">
        <f>VLOOKUP($A39,'Onsite Role Distribution'!$B$13:$G$17,3,FALSE)</f>
        <v>0</v>
      </c>
      <c r="V39" s="6">
        <f>VLOOKUP($A39,'Onsite Role Distribution'!$B$13:$G$17,3,FALSE)</f>
        <v>0</v>
      </c>
      <c r="W39" s="6">
        <f>VLOOKUP($A39,'Onsite Role Distribution'!$B$13:$G$17,3,FALSE)</f>
        <v>0</v>
      </c>
      <c r="X39" s="6">
        <f>VLOOKUP($A39,'Onsite Role Distribution'!$B$13:$G$17,3,FALSE)</f>
        <v>0</v>
      </c>
      <c r="Y39" s="6">
        <f>VLOOKUP($A39,'Onsite Role Distribution'!$B$13:$G$17,3,FALSE)</f>
        <v>0</v>
      </c>
      <c r="Z39" s="6">
        <f>VLOOKUP($A39,'Onsite Role Distribution'!$B$13:$G$17,3,FALSE)</f>
        <v>0</v>
      </c>
      <c r="AA39" s="6">
        <f>VLOOKUP($A39,'Onsite Role Distribution'!$B$13:$G$17,3,FALSE)</f>
        <v>0</v>
      </c>
      <c r="AB39" s="15">
        <f>VLOOKUP($A39,'Onsite Role Distribution'!$B$13:$G$17,4,FALSE)</f>
        <v>0</v>
      </c>
      <c r="AC39" s="15">
        <f>VLOOKUP($A39,'Onsite Role Distribution'!$B$13:$G$17,4,FALSE)</f>
        <v>0</v>
      </c>
      <c r="AD39" s="15">
        <f>VLOOKUP($A39,'Onsite Role Distribution'!$B$13:$G$17,4,FALSE)</f>
        <v>0</v>
      </c>
      <c r="AE39" s="15">
        <f>VLOOKUP($A39,'Onsite Role Distribution'!$B$13:$G$17,4,FALSE)</f>
        <v>0</v>
      </c>
      <c r="AF39" s="15">
        <f>VLOOKUP($A39,'Onsite Role Distribution'!$B$13:$G$17,4,FALSE)</f>
        <v>0</v>
      </c>
      <c r="AG39" s="15">
        <f>VLOOKUP($A39,'Onsite Role Distribution'!$B$13:$G$17,4,FALSE)</f>
        <v>0</v>
      </c>
      <c r="AH39" s="15">
        <f>VLOOKUP($A39,'Onsite Role Distribution'!$B$13:$G$17,4,FALSE)</f>
        <v>0</v>
      </c>
      <c r="AI39" s="15">
        <f>VLOOKUP($A39,'Onsite Role Distribution'!$B$13:$G$17,4,FALSE)</f>
        <v>0</v>
      </c>
      <c r="AJ39" s="15">
        <f>VLOOKUP($A39,'Onsite Role Distribution'!$B$13:$G$17,4,FALSE)</f>
        <v>0</v>
      </c>
      <c r="AK39" s="15">
        <f>VLOOKUP($A39,'Onsite Role Distribution'!$B$13:$G$17,4,FALSE)</f>
        <v>0</v>
      </c>
      <c r="AL39" s="15">
        <f>VLOOKUP($A39,'Onsite Role Distribution'!$B$13:$G$17,4,FALSE)</f>
        <v>0</v>
      </c>
      <c r="AM39" s="15">
        <f>VLOOKUP($A39,'Onsite Role Distribution'!$B$13:$G$17,4,FALSE)</f>
        <v>0</v>
      </c>
      <c r="AN39" s="16">
        <f>VLOOKUP($A39,'Onsite Role Distribution'!$B$13:$G$17,5,FALSE)</f>
        <v>0</v>
      </c>
      <c r="AO39" s="16">
        <f>VLOOKUP($A39,'Onsite Role Distribution'!$B$13:$G$17,5,FALSE)</f>
        <v>0</v>
      </c>
      <c r="AP39" s="16">
        <f>VLOOKUP($A39,'Onsite Role Distribution'!$B$13:$G$17,5,FALSE)</f>
        <v>0</v>
      </c>
      <c r="AQ39" s="16">
        <f>VLOOKUP($A39,'Onsite Role Distribution'!$B$13:$G$17,5,FALSE)</f>
        <v>0</v>
      </c>
      <c r="AR39" s="16">
        <f>VLOOKUP($A39,'Onsite Role Distribution'!$B$13:$G$17,5,FALSE)</f>
        <v>0</v>
      </c>
      <c r="AS39" s="16">
        <f>VLOOKUP($A39,'Onsite Role Distribution'!$B$13:$G$17,5,FALSE)</f>
        <v>0</v>
      </c>
      <c r="AT39" s="16">
        <f>VLOOKUP($A39,'Onsite Role Distribution'!$B$13:$G$17,5,FALSE)</f>
        <v>0</v>
      </c>
      <c r="AU39" s="16">
        <f>VLOOKUP($A39,'Onsite Role Distribution'!$B$13:$G$17,5,FALSE)</f>
        <v>0</v>
      </c>
      <c r="AV39" s="16">
        <f>VLOOKUP($A39,'Onsite Role Distribution'!$B$13:$G$17,5,FALSE)</f>
        <v>0</v>
      </c>
      <c r="AW39" s="16">
        <f>VLOOKUP($A39,'Onsite Role Distribution'!$B$13:$G$17,5,FALSE)</f>
        <v>0</v>
      </c>
      <c r="AX39" s="16">
        <f>VLOOKUP($A39,'Onsite Role Distribution'!$B$13:$G$17,5,FALSE)</f>
        <v>0</v>
      </c>
      <c r="AY39" s="16">
        <f>VLOOKUP($A39,'Onsite Role Distribution'!$B$13:$G$17,5,FALSE)</f>
        <v>0</v>
      </c>
      <c r="AZ39" s="17">
        <f>VLOOKUP($A39,'Onsite Role Distribution'!$B$13:$G$17,6,FALSE)</f>
        <v>0</v>
      </c>
      <c r="BA39" s="17">
        <f>VLOOKUP($A39,'Onsite Role Distribution'!$B$13:$G$17,6,FALSE)</f>
        <v>0</v>
      </c>
      <c r="BB39" s="17">
        <f>VLOOKUP($A39,'Onsite Role Distribution'!$B$13:$G$17,6,FALSE)</f>
        <v>0</v>
      </c>
      <c r="BC39" s="17">
        <f>VLOOKUP($A39,'Onsite Role Distribution'!$B$13:$G$17,6,FALSE)</f>
        <v>0</v>
      </c>
      <c r="BD39" s="17">
        <f>VLOOKUP($A39,'Onsite Role Distribution'!$B$13:$G$17,6,FALSE)</f>
        <v>0</v>
      </c>
      <c r="BE39" s="17">
        <f>VLOOKUP($A39,'Onsite Role Distribution'!$B$13:$G$17,6,FALSE)</f>
        <v>0</v>
      </c>
      <c r="BF39" s="17">
        <f>VLOOKUP($A39,'Onsite Role Distribution'!$B$13:$G$17,6,FALSE)</f>
        <v>0</v>
      </c>
      <c r="BG39" s="17">
        <f>VLOOKUP($A39,'Onsite Role Distribution'!$B$13:$G$17,6,FALSE)</f>
        <v>0</v>
      </c>
      <c r="BH39" s="17">
        <f>VLOOKUP($A39,'Onsite Role Distribution'!$B$13:$G$17,6,FALSE)</f>
        <v>0</v>
      </c>
      <c r="BI39" s="17">
        <f>VLOOKUP($A39,'Onsite Role Distribution'!$B$13:$G$17,6,FALSE)</f>
        <v>0</v>
      </c>
      <c r="BJ39" s="17">
        <f>VLOOKUP($A39,'Onsite Role Distribution'!$B$13:$G$17,6,FALSE)</f>
        <v>0</v>
      </c>
      <c r="BK39" s="17">
        <f>VLOOKUP($A39,'Onsite Role Distribution'!$B$13:$G$17,6,FALSE)</f>
        <v>0</v>
      </c>
    </row>
    <row r="40" spans="1:63" x14ac:dyDescent="0.35">
      <c r="A40" t="s">
        <v>77</v>
      </c>
      <c r="B40" t="s">
        <v>84</v>
      </c>
      <c r="C40" t="str">
        <f t="shared" si="0"/>
        <v>PMOnsite-Landed</v>
      </c>
      <c r="D40" s="14">
        <f>VLOOKUP($A40,'Onsite Role Distribution'!$B$13:$G$17,2,FALSE)</f>
        <v>0</v>
      </c>
      <c r="E40" s="14">
        <f>VLOOKUP($A40,'Onsite Role Distribution'!$B$13:$G$17,2,FALSE)</f>
        <v>0</v>
      </c>
      <c r="F40" s="14">
        <f>VLOOKUP($A40,'Onsite Role Distribution'!$B$13:$G$17,2,FALSE)</f>
        <v>0</v>
      </c>
      <c r="G40" s="14">
        <f>VLOOKUP($A40,'Onsite Role Distribution'!$B$13:$G$17,2,FALSE)</f>
        <v>0</v>
      </c>
      <c r="H40" s="14">
        <f>VLOOKUP($A40,'Onsite Role Distribution'!$B$13:$G$17,2,FALSE)</f>
        <v>0</v>
      </c>
      <c r="I40" s="14">
        <f>VLOOKUP($A40,'Onsite Role Distribution'!$B$13:$G$17,2,FALSE)</f>
        <v>0</v>
      </c>
      <c r="J40" s="14">
        <f>VLOOKUP($A40,'Onsite Role Distribution'!$B$13:$G$17,2,FALSE)</f>
        <v>0</v>
      </c>
      <c r="K40" s="14">
        <f>VLOOKUP($A40,'Onsite Role Distribution'!$B$13:$G$17,2,FALSE)</f>
        <v>0</v>
      </c>
      <c r="L40" s="14">
        <f>VLOOKUP($A40,'Onsite Role Distribution'!$B$13:$G$17,2,FALSE)</f>
        <v>0</v>
      </c>
      <c r="M40" s="14">
        <f>VLOOKUP($A40,'Onsite Role Distribution'!$B$13:$G$17,2,FALSE)</f>
        <v>0</v>
      </c>
      <c r="N40" s="14">
        <f>VLOOKUP($A40,'Onsite Role Distribution'!$B$13:$G$17,2,FALSE)</f>
        <v>0</v>
      </c>
      <c r="O40" s="14">
        <f>VLOOKUP($A40,'Onsite Role Distribution'!$B$13:$G$17,2,FALSE)</f>
        <v>0</v>
      </c>
      <c r="P40" s="6">
        <f>VLOOKUP($A40,'Onsite Role Distribution'!$B$13:$G$17,3,FALSE)</f>
        <v>0</v>
      </c>
      <c r="Q40" s="6">
        <f>VLOOKUP($A40,'Onsite Role Distribution'!$B$13:$G$17,3,FALSE)</f>
        <v>0</v>
      </c>
      <c r="R40" s="6">
        <f>VLOOKUP($A40,'Onsite Role Distribution'!$B$13:$G$17,3,FALSE)</f>
        <v>0</v>
      </c>
      <c r="S40" s="6">
        <f>VLOOKUP($A40,'Onsite Role Distribution'!$B$13:$G$17,3,FALSE)</f>
        <v>0</v>
      </c>
      <c r="T40" s="6">
        <f>VLOOKUP($A40,'Onsite Role Distribution'!$B$13:$G$17,3,FALSE)</f>
        <v>0</v>
      </c>
      <c r="U40" s="6">
        <f>VLOOKUP($A40,'Onsite Role Distribution'!$B$13:$G$17,3,FALSE)</f>
        <v>0</v>
      </c>
      <c r="V40" s="6">
        <f>VLOOKUP($A40,'Onsite Role Distribution'!$B$13:$G$17,3,FALSE)</f>
        <v>0</v>
      </c>
      <c r="W40" s="6">
        <f>VLOOKUP($A40,'Onsite Role Distribution'!$B$13:$G$17,3,FALSE)</f>
        <v>0</v>
      </c>
      <c r="X40" s="6">
        <f>VLOOKUP($A40,'Onsite Role Distribution'!$B$13:$G$17,3,FALSE)</f>
        <v>0</v>
      </c>
      <c r="Y40" s="6">
        <f>VLOOKUP($A40,'Onsite Role Distribution'!$B$13:$G$17,3,FALSE)</f>
        <v>0</v>
      </c>
      <c r="Z40" s="6">
        <f>VLOOKUP($A40,'Onsite Role Distribution'!$B$13:$G$17,3,FALSE)</f>
        <v>0</v>
      </c>
      <c r="AA40" s="6">
        <f>VLOOKUP($A40,'Onsite Role Distribution'!$B$13:$G$17,3,FALSE)</f>
        <v>0</v>
      </c>
      <c r="AB40" s="15">
        <f>VLOOKUP($A40,'Onsite Role Distribution'!$B$13:$G$17,4,FALSE)</f>
        <v>0</v>
      </c>
      <c r="AC40" s="15">
        <f>VLOOKUP($A40,'Onsite Role Distribution'!$B$13:$G$17,4,FALSE)</f>
        <v>0</v>
      </c>
      <c r="AD40" s="15">
        <f>VLOOKUP($A40,'Onsite Role Distribution'!$B$13:$G$17,4,FALSE)</f>
        <v>0</v>
      </c>
      <c r="AE40" s="15">
        <f>VLOOKUP($A40,'Onsite Role Distribution'!$B$13:$G$17,4,FALSE)</f>
        <v>0</v>
      </c>
      <c r="AF40" s="15">
        <f>VLOOKUP($A40,'Onsite Role Distribution'!$B$13:$G$17,4,FALSE)</f>
        <v>0</v>
      </c>
      <c r="AG40" s="15">
        <f>VLOOKUP($A40,'Onsite Role Distribution'!$B$13:$G$17,4,FALSE)</f>
        <v>0</v>
      </c>
      <c r="AH40" s="15">
        <f>VLOOKUP($A40,'Onsite Role Distribution'!$B$13:$G$17,4,FALSE)</f>
        <v>0</v>
      </c>
      <c r="AI40" s="15">
        <f>VLOOKUP($A40,'Onsite Role Distribution'!$B$13:$G$17,4,FALSE)</f>
        <v>0</v>
      </c>
      <c r="AJ40" s="15">
        <f>VLOOKUP($A40,'Onsite Role Distribution'!$B$13:$G$17,4,FALSE)</f>
        <v>0</v>
      </c>
      <c r="AK40" s="15">
        <f>VLOOKUP($A40,'Onsite Role Distribution'!$B$13:$G$17,4,FALSE)</f>
        <v>0</v>
      </c>
      <c r="AL40" s="15">
        <f>VLOOKUP($A40,'Onsite Role Distribution'!$B$13:$G$17,4,FALSE)</f>
        <v>0</v>
      </c>
      <c r="AM40" s="15">
        <f>VLOOKUP($A40,'Onsite Role Distribution'!$B$13:$G$17,4,FALSE)</f>
        <v>0</v>
      </c>
      <c r="AN40" s="16">
        <f>VLOOKUP($A40,'Onsite Role Distribution'!$B$13:$G$17,5,FALSE)</f>
        <v>0</v>
      </c>
      <c r="AO40" s="16">
        <f>VLOOKUP($A40,'Onsite Role Distribution'!$B$13:$G$17,5,FALSE)</f>
        <v>0</v>
      </c>
      <c r="AP40" s="16">
        <f>VLOOKUP($A40,'Onsite Role Distribution'!$B$13:$G$17,5,FALSE)</f>
        <v>0</v>
      </c>
      <c r="AQ40" s="16">
        <f>VLOOKUP($A40,'Onsite Role Distribution'!$B$13:$G$17,5,FALSE)</f>
        <v>0</v>
      </c>
      <c r="AR40" s="16">
        <f>VLOOKUP($A40,'Onsite Role Distribution'!$B$13:$G$17,5,FALSE)</f>
        <v>0</v>
      </c>
      <c r="AS40" s="16">
        <f>VLOOKUP($A40,'Onsite Role Distribution'!$B$13:$G$17,5,FALSE)</f>
        <v>0</v>
      </c>
      <c r="AT40" s="16">
        <f>VLOOKUP($A40,'Onsite Role Distribution'!$B$13:$G$17,5,FALSE)</f>
        <v>0</v>
      </c>
      <c r="AU40" s="16">
        <f>VLOOKUP($A40,'Onsite Role Distribution'!$B$13:$G$17,5,FALSE)</f>
        <v>0</v>
      </c>
      <c r="AV40" s="16">
        <f>VLOOKUP($A40,'Onsite Role Distribution'!$B$13:$G$17,5,FALSE)</f>
        <v>0</v>
      </c>
      <c r="AW40" s="16">
        <f>VLOOKUP($A40,'Onsite Role Distribution'!$B$13:$G$17,5,FALSE)</f>
        <v>0</v>
      </c>
      <c r="AX40" s="16">
        <f>VLOOKUP($A40,'Onsite Role Distribution'!$B$13:$G$17,5,FALSE)</f>
        <v>0</v>
      </c>
      <c r="AY40" s="16">
        <f>VLOOKUP($A40,'Onsite Role Distribution'!$B$13:$G$17,5,FALSE)</f>
        <v>0</v>
      </c>
      <c r="AZ40" s="17">
        <f>VLOOKUP($A40,'Onsite Role Distribution'!$B$13:$G$17,6,FALSE)</f>
        <v>0</v>
      </c>
      <c r="BA40" s="17">
        <f>VLOOKUP($A40,'Onsite Role Distribution'!$B$13:$G$17,6,FALSE)</f>
        <v>0</v>
      </c>
      <c r="BB40" s="17">
        <f>VLOOKUP($A40,'Onsite Role Distribution'!$B$13:$G$17,6,FALSE)</f>
        <v>0</v>
      </c>
      <c r="BC40" s="17">
        <f>VLOOKUP($A40,'Onsite Role Distribution'!$B$13:$G$17,6,FALSE)</f>
        <v>0</v>
      </c>
      <c r="BD40" s="17">
        <f>VLOOKUP($A40,'Onsite Role Distribution'!$B$13:$G$17,6,FALSE)</f>
        <v>0</v>
      </c>
      <c r="BE40" s="17">
        <f>VLOOKUP($A40,'Onsite Role Distribution'!$B$13:$G$17,6,FALSE)</f>
        <v>0</v>
      </c>
      <c r="BF40" s="17">
        <f>VLOOKUP($A40,'Onsite Role Distribution'!$B$13:$G$17,6,FALSE)</f>
        <v>0</v>
      </c>
      <c r="BG40" s="17">
        <f>VLOOKUP($A40,'Onsite Role Distribution'!$B$13:$G$17,6,FALSE)</f>
        <v>0</v>
      </c>
      <c r="BH40" s="17">
        <f>VLOOKUP($A40,'Onsite Role Distribution'!$B$13:$G$17,6,FALSE)</f>
        <v>0</v>
      </c>
      <c r="BI40" s="17">
        <f>VLOOKUP($A40,'Onsite Role Distribution'!$B$13:$G$17,6,FALSE)</f>
        <v>0</v>
      </c>
      <c r="BJ40" s="17">
        <f>VLOOKUP($A40,'Onsite Role Distribution'!$B$13:$G$17,6,FALSE)</f>
        <v>0</v>
      </c>
      <c r="BK40" s="17">
        <f>VLOOKUP($A40,'Onsite Role Distribution'!$B$13:$G$17,6,FALSE)</f>
        <v>0</v>
      </c>
    </row>
    <row r="41" spans="1:63" x14ac:dyDescent="0.35">
      <c r="A41" t="s">
        <v>79</v>
      </c>
      <c r="B41" t="s">
        <v>84</v>
      </c>
      <c r="C41" t="str">
        <f t="shared" si="0"/>
        <v>LeadOnsite-Landed</v>
      </c>
      <c r="D41" s="14">
        <f>VLOOKUP($A41,'Onsite Role Distribution'!$B$13:$G$17,2,FALSE)</f>
        <v>0</v>
      </c>
      <c r="E41" s="14">
        <f>VLOOKUP($A41,'Onsite Role Distribution'!$B$13:$G$17,2,FALSE)</f>
        <v>0</v>
      </c>
      <c r="F41" s="14">
        <f>VLOOKUP($A41,'Onsite Role Distribution'!$B$13:$G$17,2,FALSE)</f>
        <v>0</v>
      </c>
      <c r="G41" s="14">
        <f>VLOOKUP($A41,'Onsite Role Distribution'!$B$13:$G$17,2,FALSE)</f>
        <v>0</v>
      </c>
      <c r="H41" s="14">
        <f>VLOOKUP($A41,'Onsite Role Distribution'!$B$13:$G$17,2,FALSE)</f>
        <v>0</v>
      </c>
      <c r="I41" s="14">
        <f>VLOOKUP($A41,'Onsite Role Distribution'!$B$13:$G$17,2,FALSE)</f>
        <v>0</v>
      </c>
      <c r="J41" s="14">
        <f>VLOOKUP($A41,'Onsite Role Distribution'!$B$13:$G$17,2,FALSE)</f>
        <v>0</v>
      </c>
      <c r="K41" s="14">
        <f>VLOOKUP($A41,'Onsite Role Distribution'!$B$13:$G$17,2,FALSE)</f>
        <v>0</v>
      </c>
      <c r="L41" s="14">
        <f>VLOOKUP($A41,'Onsite Role Distribution'!$B$13:$G$17,2,FALSE)</f>
        <v>0</v>
      </c>
      <c r="M41" s="14">
        <f>VLOOKUP($A41,'Onsite Role Distribution'!$B$13:$G$17,2,FALSE)</f>
        <v>0</v>
      </c>
      <c r="N41" s="14">
        <f>VLOOKUP($A41,'Onsite Role Distribution'!$B$13:$G$17,2,FALSE)</f>
        <v>0</v>
      </c>
      <c r="O41" s="14">
        <f>VLOOKUP($A41,'Onsite Role Distribution'!$B$13:$G$17,2,FALSE)</f>
        <v>0</v>
      </c>
      <c r="P41" s="6">
        <f>VLOOKUP($A41,'Onsite Role Distribution'!$B$13:$G$17,3,FALSE)</f>
        <v>0</v>
      </c>
      <c r="Q41" s="6">
        <f>VLOOKUP($A41,'Onsite Role Distribution'!$B$13:$G$17,3,FALSE)</f>
        <v>0</v>
      </c>
      <c r="R41" s="6">
        <f>VLOOKUP($A41,'Onsite Role Distribution'!$B$13:$G$17,3,FALSE)</f>
        <v>0</v>
      </c>
      <c r="S41" s="6">
        <f>VLOOKUP($A41,'Onsite Role Distribution'!$B$13:$G$17,3,FALSE)</f>
        <v>0</v>
      </c>
      <c r="T41" s="6">
        <f>VLOOKUP($A41,'Onsite Role Distribution'!$B$13:$G$17,3,FALSE)</f>
        <v>0</v>
      </c>
      <c r="U41" s="6">
        <f>VLOOKUP($A41,'Onsite Role Distribution'!$B$13:$G$17,3,FALSE)</f>
        <v>0</v>
      </c>
      <c r="V41" s="6">
        <f>VLOOKUP($A41,'Onsite Role Distribution'!$B$13:$G$17,3,FALSE)</f>
        <v>0</v>
      </c>
      <c r="W41" s="6">
        <f>VLOOKUP($A41,'Onsite Role Distribution'!$B$13:$G$17,3,FALSE)</f>
        <v>0</v>
      </c>
      <c r="X41" s="6">
        <f>VLOOKUP($A41,'Onsite Role Distribution'!$B$13:$G$17,3,FALSE)</f>
        <v>0</v>
      </c>
      <c r="Y41" s="6">
        <f>VLOOKUP($A41,'Onsite Role Distribution'!$B$13:$G$17,3,FALSE)</f>
        <v>0</v>
      </c>
      <c r="Z41" s="6">
        <f>VLOOKUP($A41,'Onsite Role Distribution'!$B$13:$G$17,3,FALSE)</f>
        <v>0</v>
      </c>
      <c r="AA41" s="6">
        <f>VLOOKUP($A41,'Onsite Role Distribution'!$B$13:$G$17,3,FALSE)</f>
        <v>0</v>
      </c>
      <c r="AB41" s="15">
        <f>VLOOKUP($A41,'Onsite Role Distribution'!$B$13:$G$17,4,FALSE)</f>
        <v>0</v>
      </c>
      <c r="AC41" s="15">
        <f>VLOOKUP($A41,'Onsite Role Distribution'!$B$13:$G$17,4,FALSE)</f>
        <v>0</v>
      </c>
      <c r="AD41" s="15">
        <f>VLOOKUP($A41,'Onsite Role Distribution'!$B$13:$G$17,4,FALSE)</f>
        <v>0</v>
      </c>
      <c r="AE41" s="15">
        <f>VLOOKUP($A41,'Onsite Role Distribution'!$B$13:$G$17,4,FALSE)</f>
        <v>0</v>
      </c>
      <c r="AF41" s="15">
        <f>VLOOKUP($A41,'Onsite Role Distribution'!$B$13:$G$17,4,FALSE)</f>
        <v>0</v>
      </c>
      <c r="AG41" s="15">
        <f>VLOOKUP($A41,'Onsite Role Distribution'!$B$13:$G$17,4,FALSE)</f>
        <v>0</v>
      </c>
      <c r="AH41" s="15">
        <f>VLOOKUP($A41,'Onsite Role Distribution'!$B$13:$G$17,4,FALSE)</f>
        <v>0</v>
      </c>
      <c r="AI41" s="15">
        <f>VLOOKUP($A41,'Onsite Role Distribution'!$B$13:$G$17,4,FALSE)</f>
        <v>0</v>
      </c>
      <c r="AJ41" s="15">
        <f>VLOOKUP($A41,'Onsite Role Distribution'!$B$13:$G$17,4,FALSE)</f>
        <v>0</v>
      </c>
      <c r="AK41" s="15">
        <f>VLOOKUP($A41,'Onsite Role Distribution'!$B$13:$G$17,4,FALSE)</f>
        <v>0</v>
      </c>
      <c r="AL41" s="15">
        <f>VLOOKUP($A41,'Onsite Role Distribution'!$B$13:$G$17,4,FALSE)</f>
        <v>0</v>
      </c>
      <c r="AM41" s="15">
        <f>VLOOKUP($A41,'Onsite Role Distribution'!$B$13:$G$17,4,FALSE)</f>
        <v>0</v>
      </c>
      <c r="AN41" s="16">
        <f>VLOOKUP($A41,'Onsite Role Distribution'!$B$13:$G$17,5,FALSE)</f>
        <v>0</v>
      </c>
      <c r="AO41" s="16">
        <f>VLOOKUP($A41,'Onsite Role Distribution'!$B$13:$G$17,5,FALSE)</f>
        <v>0</v>
      </c>
      <c r="AP41" s="16">
        <f>VLOOKUP($A41,'Onsite Role Distribution'!$B$13:$G$17,5,FALSE)</f>
        <v>0</v>
      </c>
      <c r="AQ41" s="16">
        <f>VLOOKUP($A41,'Onsite Role Distribution'!$B$13:$G$17,5,FALSE)</f>
        <v>0</v>
      </c>
      <c r="AR41" s="16">
        <f>VLOOKUP($A41,'Onsite Role Distribution'!$B$13:$G$17,5,FALSE)</f>
        <v>0</v>
      </c>
      <c r="AS41" s="16">
        <f>VLOOKUP($A41,'Onsite Role Distribution'!$B$13:$G$17,5,FALSE)</f>
        <v>0</v>
      </c>
      <c r="AT41" s="16">
        <f>VLOOKUP($A41,'Onsite Role Distribution'!$B$13:$G$17,5,FALSE)</f>
        <v>0</v>
      </c>
      <c r="AU41" s="16">
        <f>VLOOKUP($A41,'Onsite Role Distribution'!$B$13:$G$17,5,FALSE)</f>
        <v>0</v>
      </c>
      <c r="AV41" s="16">
        <f>VLOOKUP($A41,'Onsite Role Distribution'!$B$13:$G$17,5,FALSE)</f>
        <v>0</v>
      </c>
      <c r="AW41" s="16">
        <f>VLOOKUP($A41,'Onsite Role Distribution'!$B$13:$G$17,5,FALSE)</f>
        <v>0</v>
      </c>
      <c r="AX41" s="16">
        <f>VLOOKUP($A41,'Onsite Role Distribution'!$B$13:$G$17,5,FALSE)</f>
        <v>0</v>
      </c>
      <c r="AY41" s="16">
        <f>VLOOKUP($A41,'Onsite Role Distribution'!$B$13:$G$17,5,FALSE)</f>
        <v>0</v>
      </c>
      <c r="AZ41" s="17">
        <f>VLOOKUP($A41,'Onsite Role Distribution'!$B$13:$G$17,6,FALSE)</f>
        <v>0</v>
      </c>
      <c r="BA41" s="17">
        <f>VLOOKUP($A41,'Onsite Role Distribution'!$B$13:$G$17,6,FALSE)</f>
        <v>0</v>
      </c>
      <c r="BB41" s="17">
        <f>VLOOKUP($A41,'Onsite Role Distribution'!$B$13:$G$17,6,FALSE)</f>
        <v>0</v>
      </c>
      <c r="BC41" s="17">
        <f>VLOOKUP($A41,'Onsite Role Distribution'!$B$13:$G$17,6,FALSE)</f>
        <v>0</v>
      </c>
      <c r="BD41" s="17">
        <f>VLOOKUP($A41,'Onsite Role Distribution'!$B$13:$G$17,6,FALSE)</f>
        <v>0</v>
      </c>
      <c r="BE41" s="17">
        <f>VLOOKUP($A41,'Onsite Role Distribution'!$B$13:$G$17,6,FALSE)</f>
        <v>0</v>
      </c>
      <c r="BF41" s="17">
        <f>VLOOKUP($A41,'Onsite Role Distribution'!$B$13:$G$17,6,FALSE)</f>
        <v>0</v>
      </c>
      <c r="BG41" s="17">
        <f>VLOOKUP($A41,'Onsite Role Distribution'!$B$13:$G$17,6,FALSE)</f>
        <v>0</v>
      </c>
      <c r="BH41" s="17">
        <f>VLOOKUP($A41,'Onsite Role Distribution'!$B$13:$G$17,6,FALSE)</f>
        <v>0</v>
      </c>
      <c r="BI41" s="17">
        <f>VLOOKUP($A41,'Onsite Role Distribution'!$B$13:$G$17,6,FALSE)</f>
        <v>0</v>
      </c>
      <c r="BJ41" s="17">
        <f>VLOOKUP($A41,'Onsite Role Distribution'!$B$13:$G$17,6,FALSE)</f>
        <v>0</v>
      </c>
      <c r="BK41" s="17">
        <f>VLOOKUP($A41,'Onsite Role Distribution'!$B$13:$G$17,6,FALSE)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BN59"/>
  <sheetViews>
    <sheetView tabSelected="1" zoomScale="112" zoomScaleNormal="112" workbookViewId="0">
      <selection activeCell="I20" sqref="I20"/>
    </sheetView>
  </sheetViews>
  <sheetFormatPr defaultRowHeight="14.5" x14ac:dyDescent="0.35"/>
  <cols>
    <col min="1" max="3" width="19.1796875" customWidth="1"/>
    <col min="4" max="4" width="13" bestFit="1" customWidth="1"/>
    <col min="5" max="5" width="17.26953125" customWidth="1"/>
    <col min="6" max="6" width="19.1796875" customWidth="1"/>
  </cols>
  <sheetData>
    <row r="2" spans="1:66" x14ac:dyDescent="0.35">
      <c r="A2" t="s">
        <v>0</v>
      </c>
      <c r="B2" t="s">
        <v>1</v>
      </c>
      <c r="C2" t="s">
        <v>108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J2" t="s">
        <v>8</v>
      </c>
      <c r="K2" t="s">
        <v>9</v>
      </c>
      <c r="L2" t="s">
        <v>10</v>
      </c>
      <c r="M2" t="s">
        <v>11</v>
      </c>
      <c r="N2" t="s">
        <v>12</v>
      </c>
      <c r="O2" t="s">
        <v>13</v>
      </c>
      <c r="P2" t="s">
        <v>14</v>
      </c>
      <c r="Q2" t="s">
        <v>15</v>
      </c>
      <c r="R2" t="s">
        <v>16</v>
      </c>
      <c r="S2" t="s">
        <v>17</v>
      </c>
      <c r="T2" t="s">
        <v>18</v>
      </c>
      <c r="U2" t="s">
        <v>19</v>
      </c>
      <c r="V2" t="s">
        <v>20</v>
      </c>
      <c r="W2" t="s">
        <v>21</v>
      </c>
      <c r="X2" t="s">
        <v>22</v>
      </c>
      <c r="Y2" t="s">
        <v>23</v>
      </c>
      <c r="Z2" t="s">
        <v>24</v>
      </c>
      <c r="AA2" t="s">
        <v>25</v>
      </c>
      <c r="AB2" t="s">
        <v>26</v>
      </c>
      <c r="AC2" t="s">
        <v>27</v>
      </c>
      <c r="AD2" t="s">
        <v>28</v>
      </c>
      <c r="AE2" t="s">
        <v>29</v>
      </c>
      <c r="AF2" t="s">
        <v>30</v>
      </c>
      <c r="AG2" t="s">
        <v>31</v>
      </c>
      <c r="AH2" t="s">
        <v>32</v>
      </c>
      <c r="AI2" t="s">
        <v>33</v>
      </c>
      <c r="AJ2" t="s">
        <v>34</v>
      </c>
      <c r="AK2" t="s">
        <v>35</v>
      </c>
      <c r="AL2" t="s">
        <v>36</v>
      </c>
      <c r="AM2" t="s">
        <v>37</v>
      </c>
      <c r="AN2" t="s">
        <v>38</v>
      </c>
      <c r="AO2" t="s">
        <v>39</v>
      </c>
      <c r="AP2" t="s">
        <v>40</v>
      </c>
      <c r="AQ2" t="s">
        <v>41</v>
      </c>
      <c r="AR2" t="s">
        <v>42</v>
      </c>
      <c r="AS2" t="s">
        <v>43</v>
      </c>
      <c r="AT2" t="s">
        <v>44</v>
      </c>
      <c r="AU2" t="s">
        <v>45</v>
      </c>
      <c r="AV2" t="s">
        <v>46</v>
      </c>
      <c r="AW2" t="s">
        <v>47</v>
      </c>
      <c r="AX2" t="s">
        <v>48</v>
      </c>
      <c r="AY2" t="s">
        <v>49</v>
      </c>
      <c r="AZ2" t="s">
        <v>50</v>
      </c>
      <c r="BA2" t="s">
        <v>51</v>
      </c>
      <c r="BB2" t="s">
        <v>52</v>
      </c>
      <c r="BC2" t="s">
        <v>53</v>
      </c>
      <c r="BD2" t="s">
        <v>54</v>
      </c>
      <c r="BE2" t="s">
        <v>55</v>
      </c>
      <c r="BF2" t="s">
        <v>56</v>
      </c>
      <c r="BG2" t="s">
        <v>57</v>
      </c>
      <c r="BH2" t="s">
        <v>58</v>
      </c>
      <c r="BI2" t="s">
        <v>59</v>
      </c>
      <c r="BJ2" t="s">
        <v>60</v>
      </c>
      <c r="BK2" t="s">
        <v>61</v>
      </c>
      <c r="BL2" t="s">
        <v>62</v>
      </c>
      <c r="BM2" t="s">
        <v>63</v>
      </c>
      <c r="BN2" t="s">
        <v>64</v>
      </c>
    </row>
    <row r="3" spans="1:66" x14ac:dyDescent="0.35">
      <c r="A3" t="s">
        <v>65</v>
      </c>
      <c r="B3" t="s">
        <v>66</v>
      </c>
      <c r="C3" t="s">
        <v>109</v>
      </c>
      <c r="D3" t="s">
        <v>67</v>
      </c>
      <c r="E3" t="str">
        <f t="shared" ref="E3:E34" si="0">A3&amp;D3</f>
        <v>BSAIndia</v>
      </c>
      <c r="F3" t="s">
        <v>68</v>
      </c>
      <c r="G3" s="14">
        <f>ROUND((VLOOKUP($E3,RLS!$C$26:$BK$31,MATCH(G$2,RLS!$C$25:$BK$25,0),FALSE))*'Unit Distribution'!$B$3,0)</f>
        <v>0</v>
      </c>
      <c r="H3" s="14">
        <f>ROUND((VLOOKUP($E3,RLS!$C$26:$BK$31,MATCH(H$2,RLS!$C$25:$BK$25,0),FALSE))*'Unit Distribution'!$B$3,0)</f>
        <v>0</v>
      </c>
      <c r="I3" s="14">
        <f>ROUND((VLOOKUP($E3,RLS!$C$26:$BK$31,MATCH(I$2,RLS!$C$25:$BK$25,0),FALSE))*'Unit Distribution'!$B$3,0)</f>
        <v>0</v>
      </c>
      <c r="J3" s="14">
        <f>ROUND((VLOOKUP($E3,RLS!$C$26:$BK$31,MATCH(J$2,RLS!$C$25:$BK$25,0),FALSE))*'Unit Distribution'!$B$3,0)</f>
        <v>0</v>
      </c>
      <c r="K3" s="14">
        <f>ROUND((VLOOKUP($E3,RLS!$C$26:$BK$31,MATCH(K$2,RLS!$C$25:$BK$25,0),FALSE))*'Unit Distribution'!$B$3,0)</f>
        <v>0</v>
      </c>
      <c r="L3" s="14">
        <f>ROUND((VLOOKUP($E3,RLS!$C$26:$BK$31,MATCH(L$2,RLS!$C$25:$BK$25,0),FALSE))*'Unit Distribution'!$B$3,0)</f>
        <v>0</v>
      </c>
      <c r="M3" s="14">
        <f>ROUND((VLOOKUP($E3,RLS!$C$26:$BK$31,MATCH(M$2,RLS!$C$25:$BK$25,0),FALSE))*'Unit Distribution'!$B$3,0)</f>
        <v>0</v>
      </c>
      <c r="N3" s="14">
        <f>ROUND((VLOOKUP($E3,RLS!$C$26:$BK$31,MATCH(N$2,RLS!$C$25:$BK$25,0),FALSE))*'Unit Distribution'!$B$3,0)</f>
        <v>0</v>
      </c>
      <c r="O3" s="14">
        <f>ROUND((VLOOKUP($E3,RLS!$C$26:$BK$31,MATCH(O$2,RLS!$C$25:$BK$25,0),FALSE))*'Unit Distribution'!$B$3,0)</f>
        <v>0</v>
      </c>
      <c r="P3" s="14">
        <f>ROUND((VLOOKUP($E3,RLS!$C$26:$BK$31,MATCH(P$2,RLS!$C$25:$BK$25,0),FALSE))*'Unit Distribution'!$B$3,0)</f>
        <v>0</v>
      </c>
      <c r="Q3" s="14">
        <f>ROUND((VLOOKUP($E3,RLS!$C$26:$BK$31,MATCH(Q$2,RLS!$C$25:$BK$25,0),FALSE))*'Unit Distribution'!$B$3,0)</f>
        <v>0</v>
      </c>
      <c r="R3" s="14">
        <f>ROUND((VLOOKUP($E3,RLS!$C$26:$BK$31,MATCH(R$2,RLS!$C$25:$BK$25,0),FALSE))*'Unit Distribution'!$B$3,0)</f>
        <v>0</v>
      </c>
      <c r="S3" s="14">
        <f>ROUND((VLOOKUP($E3,RLS!$C$26:$BK$31,MATCH(S$2,RLS!$C$25:$BK$25,0),FALSE))*'Unit Distribution'!$C$3,0)</f>
        <v>0</v>
      </c>
      <c r="T3" s="14">
        <f>ROUND((VLOOKUP($E3,RLS!$C$26:$BK$31,MATCH(T$2,RLS!$C$25:$BK$25,0),FALSE))*'Unit Distribution'!$C$3,0)</f>
        <v>0</v>
      </c>
      <c r="U3" s="14">
        <f>ROUND((VLOOKUP($E3,RLS!$C$26:$BK$31,MATCH(U$2,RLS!$C$25:$BK$25,0),FALSE))*'Unit Distribution'!$C$3,0)</f>
        <v>0</v>
      </c>
      <c r="V3" s="14">
        <f>ROUND((VLOOKUP($E3,RLS!$C$26:$BK$31,MATCH(V$2,RLS!$C$25:$BK$25,0),FALSE))*'Unit Distribution'!$C$3,0)</f>
        <v>0</v>
      </c>
      <c r="W3" s="14">
        <f>ROUND((VLOOKUP($E3,RLS!$C$26:$BK$31,MATCH(W$2,RLS!$C$25:$BK$25,0),FALSE))*'Unit Distribution'!$C$3,0)</f>
        <v>0</v>
      </c>
      <c r="X3" s="14">
        <f>ROUND((VLOOKUP($E3,RLS!$C$26:$BK$31,MATCH(X$2,RLS!$C$25:$BK$25,0),FALSE))*'Unit Distribution'!$C$3,0)</f>
        <v>0</v>
      </c>
      <c r="Y3" s="14">
        <f>ROUND((VLOOKUP($E3,RLS!$C$26:$BK$31,MATCH(Y$2,RLS!$C$25:$BK$25,0),FALSE))*'Unit Distribution'!$C$3,0)</f>
        <v>0</v>
      </c>
      <c r="Z3" s="14">
        <f>ROUND((VLOOKUP($E3,RLS!$C$26:$BK$31,MATCH(Z$2,RLS!$C$25:$BK$25,0),FALSE))*'Unit Distribution'!$C$3,0)</f>
        <v>0</v>
      </c>
      <c r="AA3" s="14">
        <f>ROUND((VLOOKUP($E3,RLS!$C$26:$BK$31,MATCH(AA$2,RLS!$C$25:$BK$25,0),FALSE))*'Unit Distribution'!$C$3,0)</f>
        <v>0</v>
      </c>
      <c r="AB3" s="14">
        <f>ROUND((VLOOKUP($E3,RLS!$C$26:$BK$31,MATCH(AB$2,RLS!$C$25:$BK$25,0),FALSE))*'Unit Distribution'!$C$3,0)</f>
        <v>0</v>
      </c>
      <c r="AC3" s="14">
        <f>ROUND((VLOOKUP($E3,RLS!$C$26:$BK$31,MATCH(AC$2,RLS!$C$25:$BK$25,0),FALSE))*'Unit Distribution'!$C$3,0)</f>
        <v>0</v>
      </c>
      <c r="AD3" s="14">
        <f>ROUND((VLOOKUP($E3,RLS!$C$26:$BK$31,MATCH(AD$2,RLS!$C$25:$BK$25,0),FALSE))*'Unit Distribution'!$C$3,0)</f>
        <v>0</v>
      </c>
      <c r="AE3" s="14">
        <f>ROUND((VLOOKUP($E3,RLS!$C$26:$BK$31,MATCH(AE$2,RLS!$C$25:$BK$25,0),FALSE))*'Unit Distribution'!$D$3,0)</f>
        <v>1</v>
      </c>
      <c r="AF3" s="14">
        <f>ROUND((VLOOKUP($E3,RLS!$C$26:$BK$31,MATCH(AF$2,RLS!$C$25:$BK$25,0),FALSE))*'Unit Distribution'!$D$3,0)</f>
        <v>1</v>
      </c>
      <c r="AG3" s="14">
        <f>ROUND((VLOOKUP($E3,RLS!$C$26:$BK$31,MATCH(AG$2,RLS!$C$25:$BK$25,0),FALSE))*'Unit Distribution'!$D$3,0)</f>
        <v>1</v>
      </c>
      <c r="AH3" s="14">
        <f>ROUND((VLOOKUP($E3,RLS!$C$26:$BK$31,MATCH(AH$2,RLS!$C$25:$BK$25,0),FALSE))*'Unit Distribution'!$D$3,0)</f>
        <v>1</v>
      </c>
      <c r="AI3" s="14">
        <f>ROUND((VLOOKUP($E3,RLS!$C$26:$BK$31,MATCH(AI$2,RLS!$C$25:$BK$25,0),FALSE))*'Unit Distribution'!$D$3,0)</f>
        <v>1</v>
      </c>
      <c r="AJ3" s="14">
        <f>ROUND((VLOOKUP($E3,RLS!$C$26:$BK$31,MATCH(AJ$2,RLS!$C$25:$BK$25,0),FALSE))*'Unit Distribution'!$D$3,0)</f>
        <v>1</v>
      </c>
      <c r="AK3" s="14">
        <f>ROUND((VLOOKUP($E3,RLS!$C$26:$BK$31,MATCH(AK$2,RLS!$C$25:$BK$25,0),FALSE))*'Unit Distribution'!$D$3,0)</f>
        <v>1</v>
      </c>
      <c r="AL3" s="14">
        <f>ROUND((VLOOKUP($E3,RLS!$C$26:$BK$31,MATCH(AL$2,RLS!$C$25:$BK$25,0),FALSE))*'Unit Distribution'!$D$3,0)</f>
        <v>1</v>
      </c>
      <c r="AM3" s="14">
        <f>ROUND((VLOOKUP($E3,RLS!$C$26:$BK$31,MATCH(AM$2,RLS!$C$25:$BK$25,0),FALSE))*'Unit Distribution'!$D$3,0)</f>
        <v>1</v>
      </c>
      <c r="AN3" s="14">
        <f>ROUND((VLOOKUP($E3,RLS!$C$26:$BK$31,MATCH(AN$2,RLS!$C$25:$BK$25,0),FALSE))*'Unit Distribution'!$D$3,0)</f>
        <v>1</v>
      </c>
      <c r="AO3" s="14">
        <f>ROUND((VLOOKUP($E3,RLS!$C$26:$BK$31,MATCH(AO$2,RLS!$C$25:$BK$25,0),FALSE))*'Unit Distribution'!$D$3,0)</f>
        <v>1</v>
      </c>
      <c r="AP3" s="14">
        <f>ROUND((VLOOKUP($E3,RLS!$C$26:$BK$31,MATCH(AP$2,RLS!$C$25:$BK$25,0),FALSE))*'Unit Distribution'!$D$3,0)</f>
        <v>1</v>
      </c>
      <c r="AQ3">
        <f>ROUND((VLOOKUP($E3,RLS!$C$26:$BK$31,MATCH(AQ$2,RLS!$C$25:$BK$25,0),FALSE))*'Unit Distribution'!$E$3,0)</f>
        <v>1</v>
      </c>
      <c r="AR3">
        <f>ROUND((VLOOKUP($E3,RLS!$C$26:$BK$31,MATCH(AR$2,RLS!$C$25:$BK$25,0),FALSE))*'Unit Distribution'!$E$3,0)</f>
        <v>1</v>
      </c>
      <c r="AS3">
        <f>ROUND((VLOOKUP($E3,RLS!$C$26:$BK$31,MATCH(AS$2,RLS!$C$25:$BK$25,0),FALSE))*'Unit Distribution'!$E$3,0)</f>
        <v>1</v>
      </c>
      <c r="AT3">
        <f>ROUND((VLOOKUP($E3,RLS!$C$26:$BK$31,MATCH(AT$2,RLS!$C$25:$BK$25,0),FALSE))*'Unit Distribution'!$E$3,0)</f>
        <v>1</v>
      </c>
      <c r="AU3">
        <f>ROUND((VLOOKUP($E3,RLS!$C$26:$BK$31,MATCH(AU$2,RLS!$C$25:$BK$25,0),FALSE))*'Unit Distribution'!$E$3,0)</f>
        <v>1</v>
      </c>
      <c r="AV3">
        <f>ROUND((VLOOKUP($E3,RLS!$C$26:$BK$31,MATCH(AV$2,RLS!$C$25:$BK$25,0),FALSE))*'Unit Distribution'!$E$3,0)</f>
        <v>1</v>
      </c>
      <c r="AW3">
        <f>ROUND((VLOOKUP($E3,RLS!$C$26:$BK$31,MATCH(AW$2,RLS!$C$25:$BK$25,0),FALSE))*'Unit Distribution'!$E$3,0)</f>
        <v>1</v>
      </c>
      <c r="AX3">
        <f>ROUND((VLOOKUP($E3,RLS!$C$26:$BK$31,MATCH(AX$2,RLS!$C$25:$BK$25,0),FALSE))*'Unit Distribution'!$E$3,0)</f>
        <v>1</v>
      </c>
      <c r="AY3">
        <f>ROUND((VLOOKUP($E3,RLS!$C$26:$BK$31,MATCH(AY$2,RLS!$C$25:$BK$25,0),FALSE))*'Unit Distribution'!$E$3,0)</f>
        <v>1</v>
      </c>
      <c r="AZ3">
        <f>ROUND((VLOOKUP($E3,RLS!$C$26:$BK$31,MATCH(AZ$2,RLS!$C$25:$BK$25,0),FALSE))*'Unit Distribution'!$E$3,0)</f>
        <v>1</v>
      </c>
      <c r="BA3">
        <f>ROUND((VLOOKUP($E3,RLS!$C$26:$BK$31,MATCH(BA$2,RLS!$C$25:$BK$25,0),FALSE))*'Unit Distribution'!$E$3,0)</f>
        <v>1</v>
      </c>
      <c r="BB3">
        <f>ROUND((VLOOKUP($E3,RLS!$C$26:$BK$31,MATCH(BB$2,RLS!$C$25:$BK$25,0),FALSE))*'Unit Distribution'!$E$3,0)</f>
        <v>1</v>
      </c>
      <c r="BC3">
        <f>ROUND((VLOOKUP($E3,RLS!$C$26:$BK$31,MATCH(BC$2,RLS!$C$25:$BK$25,0),FALSE))*'Unit Distribution'!$F$3,0)</f>
        <v>1</v>
      </c>
      <c r="BD3">
        <f>ROUND((VLOOKUP($E3,RLS!$C$26:$BK$31,MATCH(BD$2,RLS!$C$25:$BK$25,0),FALSE))*'Unit Distribution'!$F$3,0)</f>
        <v>1</v>
      </c>
      <c r="BE3">
        <f>ROUND((VLOOKUP($E3,RLS!$C$26:$BK$31,MATCH(BE$2,RLS!$C$25:$BK$25,0),FALSE))*'Unit Distribution'!$F$3,0)</f>
        <v>1</v>
      </c>
      <c r="BF3">
        <f>ROUND((VLOOKUP($E3,RLS!$C$26:$BK$31,MATCH(BF$2,RLS!$C$25:$BK$25,0),FALSE))*'Unit Distribution'!$F$3,0)</f>
        <v>1</v>
      </c>
      <c r="BG3">
        <f>ROUND((VLOOKUP($E3,RLS!$C$26:$BK$31,MATCH(BG$2,RLS!$C$25:$BK$25,0),FALSE))*'Unit Distribution'!$F$3,0)</f>
        <v>1</v>
      </c>
      <c r="BH3">
        <f>ROUND((VLOOKUP($E3,RLS!$C$26:$BK$31,MATCH(BH$2,RLS!$C$25:$BK$25,0),FALSE))*'Unit Distribution'!$F$3,0)</f>
        <v>1</v>
      </c>
      <c r="BI3">
        <f>ROUND((VLOOKUP($E3,RLS!$C$26:$BK$31,MATCH(BI$2,RLS!$C$25:$BK$25,0),FALSE))*'Unit Distribution'!$F$3,0)</f>
        <v>1</v>
      </c>
      <c r="BJ3">
        <f>ROUND((VLOOKUP($E3,RLS!$C$26:$BK$31,MATCH(BJ$2,RLS!$C$25:$BK$25,0),FALSE))*'Unit Distribution'!$F$3,0)</f>
        <v>1</v>
      </c>
      <c r="BK3">
        <f>ROUND((VLOOKUP($E3,RLS!$C$26:$BK$31,MATCH(BK$2,RLS!$C$25:$BK$25,0),FALSE))*'Unit Distribution'!$F$3,0)</f>
        <v>1</v>
      </c>
      <c r="BL3">
        <f>ROUND((VLOOKUP($E3,RLS!$C$26:$BK$31,MATCH(BL$2,RLS!$C$25:$BK$25,0),FALSE))*'Unit Distribution'!$F$3,0)</f>
        <v>1</v>
      </c>
      <c r="BM3">
        <f>ROUND((VLOOKUP($E3,RLS!$C$26:$BK$31,MATCH(BM$2,RLS!$C$25:$BK$25,0),FALSE))*'Unit Distribution'!$F$3,0)</f>
        <v>1</v>
      </c>
      <c r="BN3">
        <f>ROUND((VLOOKUP($E3,RLS!$C$26:$BK$31,MATCH(BN$2,RLS!$C$25:$BK$25,0),FALSE))*'Unit Distribution'!$F$3,0)</f>
        <v>1</v>
      </c>
    </row>
    <row r="4" spans="1:66" x14ac:dyDescent="0.35">
      <c r="A4" t="s">
        <v>65</v>
      </c>
      <c r="B4" t="s">
        <v>66</v>
      </c>
      <c r="C4" t="s">
        <v>109</v>
      </c>
      <c r="D4" t="s">
        <v>67</v>
      </c>
      <c r="E4" t="str">
        <f t="shared" si="0"/>
        <v>BSAIndia</v>
      </c>
      <c r="F4" t="s">
        <v>68</v>
      </c>
      <c r="G4" s="14">
        <f>ROUND((VLOOKUP($E4,RLS!$C$26:$BK$31,MATCH(G$2,RLS!$C$25:$BK$25,0),FALSE))*'Unit Distribution'!$B$6,0)</f>
        <v>0</v>
      </c>
      <c r="H4" s="14">
        <f>ROUND((VLOOKUP($E4,RLS!$C$26:$BK$31,MATCH(H$2,RLS!$C$25:$BK$25,0),FALSE))*'Unit Distribution'!$B$6,0)</f>
        <v>0</v>
      </c>
      <c r="I4" s="14">
        <f>ROUND((VLOOKUP($E4,RLS!$C$26:$BK$31,MATCH(I$2,RLS!$C$25:$BK$25,0),FALSE))*'Unit Distribution'!$B$6,0)</f>
        <v>0</v>
      </c>
      <c r="J4" s="14">
        <f>ROUND((VLOOKUP($E4,RLS!$C$26:$BK$31,MATCH(J$2,RLS!$C$25:$BK$25,0),FALSE))*'Unit Distribution'!$B$6,0)</f>
        <v>0</v>
      </c>
      <c r="K4" s="14">
        <f>ROUND((VLOOKUP($E4,RLS!$C$26:$BK$31,MATCH(K$2,RLS!$C$25:$BK$25,0),FALSE))*'Unit Distribution'!$B$6,0)</f>
        <v>0</v>
      </c>
      <c r="L4" s="14">
        <f>ROUND((VLOOKUP($E4,RLS!$C$26:$BK$31,MATCH(L$2,RLS!$C$25:$BK$25,0),FALSE))*'Unit Distribution'!$B$6,0)</f>
        <v>0</v>
      </c>
      <c r="M4" s="14">
        <f>ROUND((VLOOKUP($E4,RLS!$C$26:$BK$31,MATCH(M$2,RLS!$C$25:$BK$25,0),FALSE))*'Unit Distribution'!$B$6,0)</f>
        <v>0</v>
      </c>
      <c r="N4" s="14">
        <f>ROUND((VLOOKUP($E4,RLS!$C$26:$BK$31,MATCH(N$2,RLS!$C$25:$BK$25,0),FALSE))*'Unit Distribution'!$B$6,0)</f>
        <v>0</v>
      </c>
      <c r="O4" s="14">
        <f>ROUND((VLOOKUP($E4,RLS!$C$26:$BK$31,MATCH(O$2,RLS!$C$25:$BK$25,0),FALSE))*'Unit Distribution'!$B$6,0)</f>
        <v>0</v>
      </c>
      <c r="P4" s="14">
        <f>ROUND((VLOOKUP($E4,RLS!$C$26:$BK$31,MATCH(P$2,RLS!$C$25:$BK$25,0),FALSE))*'Unit Distribution'!$B$6,0)</f>
        <v>0</v>
      </c>
      <c r="Q4" s="14">
        <f>ROUND((VLOOKUP($E4,RLS!$C$26:$BK$31,MATCH(Q$2,RLS!$C$25:$BK$25,0),FALSE))*'Unit Distribution'!$B$6,0)</f>
        <v>0</v>
      </c>
      <c r="R4" s="14">
        <f>ROUND((VLOOKUP($E4,RLS!$C$26:$BK$31,MATCH(R$2,RLS!$C$25:$BK$25,0),FALSE))*'Unit Distribution'!$B$6,0)</f>
        <v>0</v>
      </c>
      <c r="S4" s="14">
        <f>ROUND((VLOOKUP($E4,RLS!$C$26:$BK$31,MATCH(S$2,RLS!$C$25:$BK$25,0),FALSE))*'Unit Distribution'!$C$6,0)</f>
        <v>0</v>
      </c>
      <c r="T4" s="14">
        <f>ROUND((VLOOKUP($E4,RLS!$C$26:$BK$31,MATCH(T$2,RLS!$C$25:$BK$25,0),FALSE))*'Unit Distribution'!$C$6,0)</f>
        <v>0</v>
      </c>
      <c r="U4" s="14">
        <f>ROUND((VLOOKUP($E4,RLS!$C$26:$BK$31,MATCH(U$2,RLS!$C$25:$BK$25,0),FALSE))*'Unit Distribution'!$C$6,0)</f>
        <v>0</v>
      </c>
      <c r="V4" s="14">
        <f>ROUND((VLOOKUP($E4,RLS!$C$26:$BK$31,MATCH(V$2,RLS!$C$25:$BK$25,0),FALSE))*'Unit Distribution'!$C$6,0)</f>
        <v>0</v>
      </c>
      <c r="W4" s="14">
        <f>ROUND((VLOOKUP($E4,RLS!$C$26:$BK$31,MATCH(W$2,RLS!$C$25:$BK$25,0),FALSE))*'Unit Distribution'!$C$6,0)</f>
        <v>0</v>
      </c>
      <c r="X4" s="14">
        <f>ROUND((VLOOKUP($E4,RLS!$C$26:$BK$31,MATCH(X$2,RLS!$C$25:$BK$25,0),FALSE))*'Unit Distribution'!$C$6,0)</f>
        <v>0</v>
      </c>
      <c r="Y4" s="14">
        <f>ROUND((VLOOKUP($E4,RLS!$C$26:$BK$31,MATCH(Y$2,RLS!$C$25:$BK$25,0),FALSE))*'Unit Distribution'!$C$6,0)</f>
        <v>0</v>
      </c>
      <c r="Z4" s="14">
        <f>ROUND((VLOOKUP($E4,RLS!$C$26:$BK$31,MATCH(Z$2,RLS!$C$25:$BK$25,0),FALSE))*'Unit Distribution'!$C$6,0)</f>
        <v>0</v>
      </c>
      <c r="AA4" s="14">
        <f>ROUND((VLOOKUP($E4,RLS!$C$26:$BK$31,MATCH(AA$2,RLS!$C$25:$BK$25,0),FALSE))*'Unit Distribution'!$C$6,0)</f>
        <v>0</v>
      </c>
      <c r="AB4" s="14">
        <f>ROUND((VLOOKUP($E4,RLS!$C$26:$BK$31,MATCH(AB$2,RLS!$C$25:$BK$25,0),FALSE))*'Unit Distribution'!$C$6,0)</f>
        <v>0</v>
      </c>
      <c r="AC4" s="14">
        <f>ROUND((VLOOKUP($E4,RLS!$C$26:$BK$31,MATCH(AC$2,RLS!$C$25:$BK$25,0),FALSE))*'Unit Distribution'!$C$6,0)</f>
        <v>0</v>
      </c>
      <c r="AD4" s="14">
        <f>ROUND((VLOOKUP($E4,RLS!$C$26:$BK$31,MATCH(AD$2,RLS!$C$25:$BK$25,0),FALSE))*'Unit Distribution'!$C$6,0)</f>
        <v>0</v>
      </c>
      <c r="AE4" s="14">
        <f>ROUND((VLOOKUP($E4,RLS!$C$26:$BK$31,MATCH(AE$2,RLS!$C$25:$BK$25,0),FALSE))*'Unit Distribution'!$D$6,0)</f>
        <v>0</v>
      </c>
      <c r="AF4" s="14">
        <f>ROUND((VLOOKUP($E4,RLS!$C$26:$BK$31,MATCH(AF$2,RLS!$C$25:$BK$25,0),FALSE))*'Unit Distribution'!$D$6,0)</f>
        <v>0</v>
      </c>
      <c r="AG4" s="14">
        <f>ROUND((VLOOKUP($E4,RLS!$C$26:$BK$31,MATCH(AG$2,RLS!$C$25:$BK$25,0),FALSE))*'Unit Distribution'!$D$6,0)</f>
        <v>0</v>
      </c>
      <c r="AH4" s="14">
        <f>ROUND((VLOOKUP($E4,RLS!$C$26:$BK$31,MATCH(AH$2,RLS!$C$25:$BK$25,0),FALSE))*'Unit Distribution'!$D$6,0)</f>
        <v>0</v>
      </c>
      <c r="AI4" s="14">
        <f>ROUND((VLOOKUP($E4,RLS!$C$26:$BK$31,MATCH(AI$2,RLS!$C$25:$BK$25,0),FALSE))*'Unit Distribution'!$D$6,0)</f>
        <v>0</v>
      </c>
      <c r="AJ4" s="14">
        <f>ROUND((VLOOKUP($E4,RLS!$C$26:$BK$31,MATCH(AJ$2,RLS!$C$25:$BK$25,0),FALSE))*'Unit Distribution'!$D$6,0)</f>
        <v>0</v>
      </c>
      <c r="AK4" s="14">
        <f>ROUND((VLOOKUP($E4,RLS!$C$26:$BK$31,MATCH(AK$2,RLS!$C$25:$BK$25,0),FALSE))*'Unit Distribution'!$D$6,0)</f>
        <v>0</v>
      </c>
      <c r="AL4" s="14">
        <f>ROUND((VLOOKUP($E4,RLS!$C$26:$BK$31,MATCH(AL$2,RLS!$C$25:$BK$25,0),FALSE))*'Unit Distribution'!$D$6,0)</f>
        <v>0</v>
      </c>
      <c r="AM4" s="14">
        <f>ROUND((VLOOKUP($E4,RLS!$C$26:$BK$31,MATCH(AM$2,RLS!$C$25:$BK$25,0),FALSE))*'Unit Distribution'!$D$6,0)</f>
        <v>0</v>
      </c>
      <c r="AN4" s="14">
        <f>ROUND((VLOOKUP($E4,RLS!$C$26:$BK$31,MATCH(AN$2,RLS!$C$25:$BK$25,0),FALSE))*'Unit Distribution'!$D$6,0)</f>
        <v>0</v>
      </c>
      <c r="AO4" s="14">
        <f>ROUND((VLOOKUP($E4,RLS!$C$26:$BK$31,MATCH(AO$2,RLS!$C$25:$BK$25,0),FALSE))*'Unit Distribution'!$D$6,0)</f>
        <v>0</v>
      </c>
      <c r="AP4" s="14">
        <f>ROUND((VLOOKUP($E4,RLS!$C$26:$BK$31,MATCH(AP$2,RLS!$C$25:$BK$25,0),FALSE))*'Unit Distribution'!$D$6,0)</f>
        <v>0</v>
      </c>
      <c r="AQ4">
        <f>(VLOOKUP($E4,RLS!$C$26:$BK$31,MATCH(AQ$2,RLS!$C$25:$BK$25,0),FALSE))-AQ3-AQ5-AQ6</f>
        <v>1</v>
      </c>
      <c r="AR4">
        <f>(VLOOKUP($E4,RLS!$C$26:$BK$31,MATCH(AR$2,RLS!$C$25:$BK$25,0),FALSE))-AR3-AR5-AR6</f>
        <v>1</v>
      </c>
      <c r="AS4">
        <f>(VLOOKUP($E4,RLS!$C$26:$BK$31,MATCH(AS$2,RLS!$C$25:$BK$25,0),FALSE))-AS3-AS5-AS6</f>
        <v>1</v>
      </c>
      <c r="AT4">
        <f>(VLOOKUP($E4,RLS!$C$26:$BK$31,MATCH(AT$2,RLS!$C$25:$BK$25,0),FALSE))-AT3-AT5-AT6</f>
        <v>1</v>
      </c>
      <c r="AU4">
        <f>(VLOOKUP($E4,RLS!$C$26:$BK$31,MATCH(AU$2,RLS!$C$25:$BK$25,0),FALSE))-AU3-AU5-AU6</f>
        <v>1</v>
      </c>
      <c r="AV4">
        <f>(VLOOKUP($E4,RLS!$C$26:$BK$31,MATCH(AV$2,RLS!$C$25:$BK$25,0),FALSE))-AV3-AV5-AV6</f>
        <v>1</v>
      </c>
      <c r="AW4">
        <f>(VLOOKUP($E4,RLS!$C$26:$BK$31,MATCH(AW$2,RLS!$C$25:$BK$25,0),FALSE))-AW3-AW5-AW6</f>
        <v>1</v>
      </c>
      <c r="AX4">
        <f>(VLOOKUP($E4,RLS!$C$26:$BK$31,MATCH(AX$2,RLS!$C$25:$BK$25,0),FALSE))-AX3-AX5-AX6</f>
        <v>1</v>
      </c>
      <c r="AY4">
        <f>(VLOOKUP($E4,RLS!$C$26:$BK$31,MATCH(AY$2,RLS!$C$25:$BK$25,0),FALSE))-AY3-AY5-AY6</f>
        <v>1</v>
      </c>
      <c r="AZ4">
        <f>(VLOOKUP($E4,RLS!$C$26:$BK$31,MATCH(AZ$2,RLS!$C$25:$BK$25,0),FALSE))-AZ3-AZ5-AZ6</f>
        <v>1</v>
      </c>
      <c r="BA4">
        <f>(VLOOKUP($E4,RLS!$C$26:$BK$31,MATCH(BA$2,RLS!$C$25:$BK$25,0),FALSE))-BA3-BA5-BA6</f>
        <v>1</v>
      </c>
      <c r="BB4">
        <f>(VLOOKUP($E4,RLS!$C$26:$BK$31,MATCH(BB$2,RLS!$C$25:$BK$25,0),FALSE))-BB3-BB5-BB6</f>
        <v>1</v>
      </c>
      <c r="BC4">
        <f>(VLOOKUP($E4,RLS!$C$26:$BK$31,MATCH(BC$2,RLS!$C$25:$BK$25,0),FALSE))-BC3-BC5-BC6</f>
        <v>1</v>
      </c>
      <c r="BD4">
        <f>(VLOOKUP($E4,RLS!$C$26:$BK$31,MATCH(BD$2,RLS!$C$25:$BK$25,0),FALSE))-BD3-BD5-BD6</f>
        <v>1</v>
      </c>
      <c r="BE4">
        <f>(VLOOKUP($E4,RLS!$C$26:$BK$31,MATCH(BE$2,RLS!$C$25:$BK$25,0),FALSE))-BE3-BE5-BE6</f>
        <v>1</v>
      </c>
      <c r="BF4">
        <f>(VLOOKUP($E4,RLS!$C$26:$BK$31,MATCH(BF$2,RLS!$C$25:$BK$25,0),FALSE))-BF3-BF5-BF6</f>
        <v>1</v>
      </c>
      <c r="BG4">
        <f>(VLOOKUP($E4,RLS!$C$26:$BK$31,MATCH(BG$2,RLS!$C$25:$BK$25,0),FALSE))-BG3-BG5-BG6</f>
        <v>1</v>
      </c>
      <c r="BH4">
        <f>(VLOOKUP($E4,RLS!$C$26:$BK$31,MATCH(BH$2,RLS!$C$25:$BK$25,0),FALSE))-BH3-BH5-BH6</f>
        <v>1</v>
      </c>
      <c r="BI4">
        <f>(VLOOKUP($E4,RLS!$C$26:$BK$31,MATCH(BI$2,RLS!$C$25:$BK$25,0),FALSE))-BI3-BI5-BI6</f>
        <v>1</v>
      </c>
      <c r="BJ4">
        <f>(VLOOKUP($E4,RLS!$C$26:$BK$31,MATCH(BJ$2,RLS!$C$25:$BK$25,0),FALSE))-BJ3-BJ5-BJ6</f>
        <v>1</v>
      </c>
      <c r="BK4">
        <f>(VLOOKUP($E4,RLS!$C$26:$BK$31,MATCH(BK$2,RLS!$C$25:$BK$25,0),FALSE))-BK3-BK5-BK6</f>
        <v>1</v>
      </c>
      <c r="BL4">
        <f>(VLOOKUP($E4,RLS!$C$26:$BK$31,MATCH(BL$2,RLS!$C$25:$BK$25,0),FALSE))-BL3-BL5-BL6</f>
        <v>1</v>
      </c>
      <c r="BM4">
        <f>(VLOOKUP($E4,RLS!$C$26:$BK$31,MATCH(BM$2,RLS!$C$25:$BK$25,0),FALSE))-BM3-BM5-BM6</f>
        <v>1</v>
      </c>
      <c r="BN4">
        <f>(VLOOKUP($E4,RLS!$C$26:$BK$31,MATCH(BN$2,RLS!$C$25:$BK$25,0),FALSE))-BN3-BN5-BN6</f>
        <v>1</v>
      </c>
    </row>
    <row r="5" spans="1:66" x14ac:dyDescent="0.35">
      <c r="A5" t="s">
        <v>65</v>
      </c>
      <c r="B5" t="s">
        <v>69</v>
      </c>
      <c r="C5" t="s">
        <v>111</v>
      </c>
      <c r="D5" t="s">
        <v>67</v>
      </c>
      <c r="E5" t="str">
        <f t="shared" si="0"/>
        <v>BSAIndia</v>
      </c>
      <c r="F5" t="s">
        <v>70</v>
      </c>
      <c r="G5" s="14">
        <f>ROUND((VLOOKUP($E5,RLS!$C$26:$BK$31,MATCH(G$2,RLS!$C$25:$BK$25,0),FALSE))*'Unit Distribution'!$B$4,0)</f>
        <v>0</v>
      </c>
      <c r="H5" s="14">
        <f>ROUND((VLOOKUP($E5,RLS!$C$26:$BK$31,MATCH(H$2,RLS!$C$25:$BK$25,0),FALSE))*'Unit Distribution'!$B$4,0)</f>
        <v>0</v>
      </c>
      <c r="I5" s="14">
        <f>ROUND((VLOOKUP($E5,RLS!$C$26:$BK$31,MATCH(I$2,RLS!$C$25:$BK$25,0),FALSE))*'Unit Distribution'!$B$4,0)</f>
        <v>0</v>
      </c>
      <c r="J5" s="14">
        <f>ROUND((VLOOKUP($E5,RLS!$C$26:$BK$31,MATCH(J$2,RLS!$C$25:$BK$25,0),FALSE))*'Unit Distribution'!$B$4,0)</f>
        <v>0</v>
      </c>
      <c r="K5" s="14">
        <f>ROUND((VLOOKUP($E5,RLS!$C$26:$BK$31,MATCH(K$2,RLS!$C$25:$BK$25,0),FALSE))*'Unit Distribution'!$B$4,0)</f>
        <v>0</v>
      </c>
      <c r="L5" s="14">
        <f>ROUND((VLOOKUP($E5,RLS!$C$26:$BK$31,MATCH(L$2,RLS!$C$25:$BK$25,0),FALSE))*'Unit Distribution'!$B$4,0)</f>
        <v>0</v>
      </c>
      <c r="M5" s="14">
        <f>ROUND((VLOOKUP($E5,RLS!$C$26:$BK$31,MATCH(M$2,RLS!$C$25:$BK$25,0),FALSE))*'Unit Distribution'!$B$4,0)</f>
        <v>0</v>
      </c>
      <c r="N5" s="14">
        <f>ROUND((VLOOKUP($E5,RLS!$C$26:$BK$31,MATCH(N$2,RLS!$C$25:$BK$25,0),FALSE))*'Unit Distribution'!$B$4,0)</f>
        <v>0</v>
      </c>
      <c r="O5" s="14">
        <f>ROUND((VLOOKUP($E5,RLS!$C$26:$BK$31,MATCH(O$2,RLS!$C$25:$BK$25,0),FALSE))*'Unit Distribution'!$B$4,0)</f>
        <v>0</v>
      </c>
      <c r="P5" s="14">
        <f>ROUND((VLOOKUP($E5,RLS!$C$26:$BK$31,MATCH(P$2,RLS!$C$25:$BK$25,0),FALSE))*'Unit Distribution'!$B$4,0)</f>
        <v>0</v>
      </c>
      <c r="Q5" s="14">
        <f>ROUND((VLOOKUP($E5,RLS!$C$26:$BK$31,MATCH(Q$2,RLS!$C$25:$BK$25,0),FALSE))*'Unit Distribution'!$B$4,0)</f>
        <v>0</v>
      </c>
      <c r="R5" s="14">
        <f>ROUND((VLOOKUP($E5,RLS!$C$26:$BK$31,MATCH(R$2,RLS!$C$25:$BK$25,0),FALSE))*'Unit Distribution'!$B$4,0)</f>
        <v>0</v>
      </c>
      <c r="S5" s="14">
        <f>ROUND((VLOOKUP($E5,RLS!$C$26:$BK$31,MATCH(S$2,RLS!$C$25:$BK$25,0),FALSE))*'Unit Distribution'!$C$4,0)</f>
        <v>0</v>
      </c>
      <c r="T5" s="14">
        <f>ROUND((VLOOKUP($E5,RLS!$C$26:$BK$31,MATCH(T$2,RLS!$C$25:$BK$25,0),FALSE))*'Unit Distribution'!$C$4,0)</f>
        <v>0</v>
      </c>
      <c r="U5" s="14">
        <f>ROUND((VLOOKUP($E5,RLS!$C$26:$BK$31,MATCH(U$2,RLS!$C$25:$BK$25,0),FALSE))*'Unit Distribution'!$C$4,0)</f>
        <v>0</v>
      </c>
      <c r="V5" s="14">
        <f>ROUND((VLOOKUP($E5,RLS!$C$26:$BK$31,MATCH(V$2,RLS!$C$25:$BK$25,0),FALSE))*'Unit Distribution'!$C$4,0)</f>
        <v>0</v>
      </c>
      <c r="W5" s="14">
        <f>ROUND((VLOOKUP($E5,RLS!$C$26:$BK$31,MATCH(W$2,RLS!$C$25:$BK$25,0),FALSE))*'Unit Distribution'!$C$4,0)</f>
        <v>0</v>
      </c>
      <c r="X5" s="14">
        <f>ROUND((VLOOKUP($E5,RLS!$C$26:$BK$31,MATCH(X$2,RLS!$C$25:$BK$25,0),FALSE))*'Unit Distribution'!$C$4,0)</f>
        <v>0</v>
      </c>
      <c r="Y5" s="14">
        <f>ROUND((VLOOKUP($E5,RLS!$C$26:$BK$31,MATCH(Y$2,RLS!$C$25:$BK$25,0),FALSE))*'Unit Distribution'!$C$4,0)</f>
        <v>0</v>
      </c>
      <c r="Z5" s="14">
        <f>ROUND((VLOOKUP($E5,RLS!$C$26:$BK$31,MATCH(Z$2,RLS!$C$25:$BK$25,0),FALSE))*'Unit Distribution'!$C$4,0)</f>
        <v>0</v>
      </c>
      <c r="AA5" s="14">
        <f>ROUND((VLOOKUP($E5,RLS!$C$26:$BK$31,MATCH(AA$2,RLS!$C$25:$BK$25,0),FALSE))*'Unit Distribution'!$C$4,0)</f>
        <v>0</v>
      </c>
      <c r="AB5" s="14">
        <f>ROUND((VLOOKUP($E5,RLS!$C$26:$BK$31,MATCH(AB$2,RLS!$C$25:$BK$25,0),FALSE))*'Unit Distribution'!$C$4,0)</f>
        <v>0</v>
      </c>
      <c r="AC5" s="14">
        <f>ROUND((VLOOKUP($E5,RLS!$C$26:$BK$31,MATCH(AC$2,RLS!$C$25:$BK$25,0),FALSE))*'Unit Distribution'!$C$4,0)</f>
        <v>0</v>
      </c>
      <c r="AD5" s="14">
        <f>ROUND((VLOOKUP($E5,RLS!$C$26:$BK$31,MATCH(AD$2,RLS!$C$25:$BK$25,0),FALSE))*'Unit Distribution'!$C$4,0)</f>
        <v>0</v>
      </c>
      <c r="AE5" s="14">
        <f>ROUND((VLOOKUP($E5,RLS!$C$26:$BK$31,MATCH(AE$2,RLS!$C$25:$BK$25,0),FALSE))*'Unit Distribution'!$D$4,0)</f>
        <v>1</v>
      </c>
      <c r="AF5" s="14">
        <f>ROUND((VLOOKUP($E5,RLS!$C$26:$BK$31,MATCH(AF$2,RLS!$C$25:$BK$25,0),FALSE))*'Unit Distribution'!$D$4,0)</f>
        <v>1</v>
      </c>
      <c r="AG5" s="14">
        <f>ROUND((VLOOKUP($E5,RLS!$C$26:$BK$31,MATCH(AG$2,RLS!$C$25:$BK$25,0),FALSE))*'Unit Distribution'!$D$4,0)</f>
        <v>1</v>
      </c>
      <c r="AH5" s="14">
        <f>ROUND((VLOOKUP($E5,RLS!$C$26:$BK$31,MATCH(AH$2,RLS!$C$25:$BK$25,0),FALSE))*'Unit Distribution'!$D$4,0)</f>
        <v>1</v>
      </c>
      <c r="AI5" s="14">
        <f>ROUND((VLOOKUP($E5,RLS!$C$26:$BK$31,MATCH(AI$2,RLS!$C$25:$BK$25,0),FALSE))*'Unit Distribution'!$D$4,0)</f>
        <v>1</v>
      </c>
      <c r="AJ5" s="14">
        <f>ROUND((VLOOKUP($E5,RLS!$C$26:$BK$31,MATCH(AJ$2,RLS!$C$25:$BK$25,0),FALSE))*'Unit Distribution'!$D$4,0)</f>
        <v>1</v>
      </c>
      <c r="AK5" s="14">
        <f>ROUND((VLOOKUP($E5,RLS!$C$26:$BK$31,MATCH(AK$2,RLS!$C$25:$BK$25,0),FALSE))*'Unit Distribution'!$D$4,0)</f>
        <v>1</v>
      </c>
      <c r="AL5" s="14">
        <f>ROUND((VLOOKUP($E5,RLS!$C$26:$BK$31,MATCH(AL$2,RLS!$C$25:$BK$25,0),FALSE))*'Unit Distribution'!$D$4,0)</f>
        <v>1</v>
      </c>
      <c r="AM5" s="14">
        <f>ROUND((VLOOKUP($E5,RLS!$C$26:$BK$31,MATCH(AM$2,RLS!$C$25:$BK$25,0),FALSE))*'Unit Distribution'!$D$4,0)</f>
        <v>1</v>
      </c>
      <c r="AN5" s="14">
        <f>ROUND((VLOOKUP($E5,RLS!$C$26:$BK$31,MATCH(AN$2,RLS!$C$25:$BK$25,0),FALSE))*'Unit Distribution'!$D$4,0)</f>
        <v>1</v>
      </c>
      <c r="AO5" s="14">
        <f>ROUND((VLOOKUP($E5,RLS!$C$26:$BK$31,MATCH(AO$2,RLS!$C$25:$BK$25,0),FALSE))*'Unit Distribution'!$D$4,0)</f>
        <v>1</v>
      </c>
      <c r="AP5" s="14">
        <f>ROUND((VLOOKUP($E5,RLS!$C$26:$BK$31,MATCH(AP$2,RLS!$C$25:$BK$25,0),FALSE))*'Unit Distribution'!$D$4,0)</f>
        <v>1</v>
      </c>
      <c r="AQ5">
        <f>ROUND((VLOOKUP($E5,RLS!$C$26:$BK$31,MATCH(AQ$2,RLS!$C$25:$BK$25,0),FALSE))*'Unit Distribution'!$E$4,0)</f>
        <v>0</v>
      </c>
      <c r="AR5">
        <f>ROUND((VLOOKUP($E5,RLS!$C$26:$BK$31,MATCH(AR$2,RLS!$C$25:$BK$25,0),FALSE))*'Unit Distribution'!$E$4,0)</f>
        <v>0</v>
      </c>
      <c r="AS5">
        <f>ROUND((VLOOKUP($E5,RLS!$C$26:$BK$31,MATCH(AS$2,RLS!$C$25:$BK$25,0),FALSE))*'Unit Distribution'!$E$4,0)</f>
        <v>0</v>
      </c>
      <c r="AT5">
        <f>ROUND((VLOOKUP($E5,RLS!$C$26:$BK$31,MATCH(AT$2,RLS!$C$25:$BK$25,0),FALSE))*'Unit Distribution'!$E$4,0)</f>
        <v>0</v>
      </c>
      <c r="AU5">
        <f>ROUND((VLOOKUP($E5,RLS!$C$26:$BK$31,MATCH(AU$2,RLS!$C$25:$BK$25,0),FALSE))*'Unit Distribution'!$E$4,0)</f>
        <v>0</v>
      </c>
      <c r="AV5">
        <f>ROUND((VLOOKUP($E5,RLS!$C$26:$BK$31,MATCH(AV$2,RLS!$C$25:$BK$25,0),FALSE))*'Unit Distribution'!$E$4,0)</f>
        <v>0</v>
      </c>
      <c r="AW5">
        <f>ROUND((VLOOKUP($E5,RLS!$C$26:$BK$31,MATCH(AW$2,RLS!$C$25:$BK$25,0),FALSE))*'Unit Distribution'!$E$4,0)</f>
        <v>0</v>
      </c>
      <c r="AX5">
        <f>ROUND((VLOOKUP($E5,RLS!$C$26:$BK$31,MATCH(AX$2,RLS!$C$25:$BK$25,0),FALSE))*'Unit Distribution'!$E$4,0)</f>
        <v>0</v>
      </c>
      <c r="AY5">
        <f>ROUND((VLOOKUP($E5,RLS!$C$26:$BK$31,MATCH(AY$2,RLS!$C$25:$BK$25,0),FALSE))*'Unit Distribution'!$E$4,0)</f>
        <v>0</v>
      </c>
      <c r="AZ5">
        <f>ROUND((VLOOKUP($E5,RLS!$C$26:$BK$31,MATCH(AZ$2,RLS!$C$25:$BK$25,0),FALSE))*'Unit Distribution'!$E$4,0)</f>
        <v>0</v>
      </c>
      <c r="BA5">
        <f>ROUND((VLOOKUP($E5,RLS!$C$26:$BK$31,MATCH(BA$2,RLS!$C$25:$BK$25,0),FALSE))*'Unit Distribution'!$E$4,0)</f>
        <v>0</v>
      </c>
      <c r="BB5">
        <f>ROUND((VLOOKUP($E5,RLS!$C$26:$BK$31,MATCH(BB$2,RLS!$C$25:$BK$25,0),FALSE))*'Unit Distribution'!$E$4,0)</f>
        <v>0</v>
      </c>
      <c r="BC5">
        <f>ROUND((VLOOKUP($E5,RLS!$C$26:$BK$31,MATCH(BC$2,RLS!$C$25:$BK$25,0),FALSE))*'Unit Distribution'!$F$4,0)</f>
        <v>0</v>
      </c>
      <c r="BD5">
        <f>ROUND((VLOOKUP($E5,RLS!$C$26:$BK$31,MATCH(BD$2,RLS!$C$25:$BK$25,0),FALSE))*'Unit Distribution'!$F$4,0)</f>
        <v>0</v>
      </c>
      <c r="BE5">
        <f>ROUND((VLOOKUP($E5,RLS!$C$26:$BK$31,MATCH(BE$2,RLS!$C$25:$BK$25,0),FALSE))*'Unit Distribution'!$F$4,0)</f>
        <v>0</v>
      </c>
      <c r="BF5">
        <f>ROUND((VLOOKUP($E5,RLS!$C$26:$BK$31,MATCH(BF$2,RLS!$C$25:$BK$25,0),FALSE))*'Unit Distribution'!$F$4,0)</f>
        <v>0</v>
      </c>
      <c r="BG5">
        <f>ROUND((VLOOKUP($E5,RLS!$C$26:$BK$31,MATCH(BG$2,RLS!$C$25:$BK$25,0),FALSE))*'Unit Distribution'!$F$4,0)</f>
        <v>0</v>
      </c>
      <c r="BH5">
        <f>ROUND((VLOOKUP($E5,RLS!$C$26:$BK$31,MATCH(BH$2,RLS!$C$25:$BK$25,0),FALSE))*'Unit Distribution'!$F$4,0)</f>
        <v>0</v>
      </c>
      <c r="BI5">
        <f>ROUND((VLOOKUP($E5,RLS!$C$26:$BK$31,MATCH(BI$2,RLS!$C$25:$BK$25,0),FALSE))*'Unit Distribution'!$F$4,0)</f>
        <v>0</v>
      </c>
      <c r="BJ5">
        <f>ROUND((VLOOKUP($E5,RLS!$C$26:$BK$31,MATCH(BJ$2,RLS!$C$25:$BK$25,0),FALSE))*'Unit Distribution'!$F$4,0)</f>
        <v>0</v>
      </c>
      <c r="BK5">
        <f>ROUND((VLOOKUP($E5,RLS!$C$26:$BK$31,MATCH(BK$2,RLS!$C$25:$BK$25,0),FALSE))*'Unit Distribution'!$F$4,0)</f>
        <v>0</v>
      </c>
      <c r="BL5">
        <f>ROUND((VLOOKUP($E5,RLS!$C$26:$BK$31,MATCH(BL$2,RLS!$C$25:$BK$25,0),FALSE))*'Unit Distribution'!$F$4,0)</f>
        <v>0</v>
      </c>
      <c r="BM5">
        <f>ROUND((VLOOKUP($E5,RLS!$C$26:$BK$31,MATCH(BM$2,RLS!$C$25:$BK$25,0),FALSE))*'Unit Distribution'!$F$4,0)</f>
        <v>0</v>
      </c>
      <c r="BN5">
        <f>ROUND((VLOOKUP($E5,RLS!$C$26:$BK$31,MATCH(BN$2,RLS!$C$25:$BK$25,0),FALSE))*'Unit Distribution'!$F$4,0)</f>
        <v>0</v>
      </c>
    </row>
    <row r="6" spans="1:66" x14ac:dyDescent="0.35">
      <c r="A6" t="s">
        <v>65</v>
      </c>
      <c r="B6" t="s">
        <v>69</v>
      </c>
      <c r="C6" t="s">
        <v>111</v>
      </c>
      <c r="D6" t="s">
        <v>67</v>
      </c>
      <c r="E6" t="str">
        <f t="shared" si="0"/>
        <v>BSAIndia</v>
      </c>
      <c r="F6" t="s">
        <v>70</v>
      </c>
      <c r="G6" s="14">
        <f>(VLOOKUP($E6,RLS!$C$26:$BK$31,MATCH(G$2,RLS!$C$25:$BK$25,0),FALSE))-G3-G4-G5</f>
        <v>1</v>
      </c>
      <c r="H6" s="14">
        <f>(VLOOKUP($E6,RLS!$C$26:$BK$31,MATCH(H$2,RLS!$C$25:$BK$25,0),FALSE))-H3-H4-H5</f>
        <v>1</v>
      </c>
      <c r="I6" s="14">
        <f>(VLOOKUP($E6,RLS!$C$26:$BK$31,MATCH(I$2,RLS!$C$25:$BK$25,0),FALSE))-I3-I4-I5</f>
        <v>1</v>
      </c>
      <c r="J6" s="14">
        <f>(VLOOKUP($E6,RLS!$C$26:$BK$31,MATCH(J$2,RLS!$C$25:$BK$25,0),FALSE))-J3-J4-J5</f>
        <v>1</v>
      </c>
      <c r="K6" s="14">
        <f>(VLOOKUP($E6,RLS!$C$26:$BK$31,MATCH(K$2,RLS!$C$25:$BK$25,0),FALSE))-K3-K4-K5</f>
        <v>1</v>
      </c>
      <c r="L6" s="14">
        <f>(VLOOKUP($E6,RLS!$C$26:$BK$31,MATCH(L$2,RLS!$C$25:$BK$25,0),FALSE))-L3-L4-L5</f>
        <v>1</v>
      </c>
      <c r="M6" s="14">
        <f>(VLOOKUP($E6,RLS!$C$26:$BK$31,MATCH(M$2,RLS!$C$25:$BK$25,0),FALSE))-M3-M4-M5</f>
        <v>1</v>
      </c>
      <c r="N6" s="14">
        <f>(VLOOKUP($E6,RLS!$C$26:$BK$31,MATCH(N$2,RLS!$C$25:$BK$25,0),FALSE))-N3-N4-N5</f>
        <v>1</v>
      </c>
      <c r="O6" s="14">
        <f>(VLOOKUP($E6,RLS!$C$26:$BK$31,MATCH(O$2,RLS!$C$25:$BK$25,0),FALSE))-O3-O4-O5</f>
        <v>1</v>
      </c>
      <c r="P6" s="14">
        <f>(VLOOKUP($E6,RLS!$C$26:$BK$31,MATCH(P$2,RLS!$C$25:$BK$25,0),FALSE))-P3-P4-P5</f>
        <v>1</v>
      </c>
      <c r="Q6" s="14">
        <f>(VLOOKUP($E6,RLS!$C$26:$BK$31,MATCH(Q$2,RLS!$C$25:$BK$25,0),FALSE))-Q3-Q4-Q5</f>
        <v>1</v>
      </c>
      <c r="R6" s="14">
        <f>(VLOOKUP($E6,RLS!$C$26:$BK$31,MATCH(R$2,RLS!$C$25:$BK$25,0),FALSE))-R3-R4-R5</f>
        <v>1</v>
      </c>
      <c r="S6" s="14">
        <f>(VLOOKUP($E6,RLS!$C$26:$BK$31,MATCH(S$2,RLS!$C$25:$BK$25,0),FALSE))-S3-S4-S5</f>
        <v>1</v>
      </c>
      <c r="T6" s="14">
        <f>(VLOOKUP($E6,RLS!$C$26:$BK$31,MATCH(T$2,RLS!$C$25:$BK$25,0),FALSE))-T3-T4-T5</f>
        <v>1</v>
      </c>
      <c r="U6" s="14">
        <f>(VLOOKUP($E6,RLS!$C$26:$BK$31,MATCH(U$2,RLS!$C$25:$BK$25,0),FALSE))-U3-U4-U5</f>
        <v>1</v>
      </c>
      <c r="V6" s="14">
        <f>(VLOOKUP($E6,RLS!$C$26:$BK$31,MATCH(V$2,RLS!$C$25:$BK$25,0),FALSE))-V3-V4-V5</f>
        <v>1</v>
      </c>
      <c r="W6" s="14">
        <f>(VLOOKUP($E6,RLS!$C$26:$BK$31,MATCH(W$2,RLS!$C$25:$BK$25,0),FALSE))-W3-W4-W5</f>
        <v>1</v>
      </c>
      <c r="X6" s="14">
        <f>(VLOOKUP($E6,RLS!$C$26:$BK$31,MATCH(X$2,RLS!$C$25:$BK$25,0),FALSE))-X3-X4-X5</f>
        <v>1</v>
      </c>
      <c r="Y6" s="14">
        <f>(VLOOKUP($E6,RLS!$C$26:$BK$31,MATCH(Y$2,RLS!$C$25:$BK$25,0),FALSE))-Y3-Y4-Y5</f>
        <v>1</v>
      </c>
      <c r="Z6" s="14">
        <f>(VLOOKUP($E6,RLS!$C$26:$BK$31,MATCH(Z$2,RLS!$C$25:$BK$25,0),FALSE))-Z3-Z4-Z5</f>
        <v>1</v>
      </c>
      <c r="AA6" s="14">
        <f>(VLOOKUP($E6,RLS!$C$26:$BK$31,MATCH(AA$2,RLS!$C$25:$BK$25,0),FALSE))-AA3-AA4-AA5</f>
        <v>1</v>
      </c>
      <c r="AB6" s="14">
        <f>(VLOOKUP($E6,RLS!$C$26:$BK$31,MATCH(AB$2,RLS!$C$25:$BK$25,0),FALSE))-AB3-AB4-AB5</f>
        <v>1</v>
      </c>
      <c r="AC6" s="14">
        <f>(VLOOKUP($E6,RLS!$C$26:$BK$31,MATCH(AC$2,RLS!$C$25:$BK$25,0),FALSE))-AC3-AC4-AC5</f>
        <v>1</v>
      </c>
      <c r="AD6" s="14">
        <f>(VLOOKUP($E6,RLS!$C$26:$BK$31,MATCH(AD$2,RLS!$C$25:$BK$25,0),FALSE))-AD3-AD4-AD5</f>
        <v>1</v>
      </c>
      <c r="AE6" s="14">
        <f>(VLOOKUP($E6,RLS!$C$26:$BK$31,MATCH(AE$2,RLS!$C$25:$BK$25,0),FALSE))-AE3-AE4-AE5</f>
        <v>0</v>
      </c>
      <c r="AF6" s="14">
        <f>(VLOOKUP($E6,RLS!$C$26:$BK$31,MATCH(AF$2,RLS!$C$25:$BK$25,0),FALSE))-AF3-AF4-AF5</f>
        <v>0</v>
      </c>
      <c r="AG6" s="14">
        <f>(VLOOKUP($E6,RLS!$C$26:$BK$31,MATCH(AG$2,RLS!$C$25:$BK$25,0),FALSE))-AG3-AG4-AG5</f>
        <v>0</v>
      </c>
      <c r="AH6" s="14">
        <f>(VLOOKUP($E6,RLS!$C$26:$BK$31,MATCH(AH$2,RLS!$C$25:$BK$25,0),FALSE))-AH3-AH4-AH5</f>
        <v>0</v>
      </c>
      <c r="AI6" s="14">
        <f>(VLOOKUP($E6,RLS!$C$26:$BK$31,MATCH(AI$2,RLS!$C$25:$BK$25,0),FALSE))-AI3-AI4-AI5</f>
        <v>0</v>
      </c>
      <c r="AJ6" s="14">
        <f>(VLOOKUP($E6,RLS!$C$26:$BK$31,MATCH(AJ$2,RLS!$C$25:$BK$25,0),FALSE))-AJ3-AJ4-AJ5</f>
        <v>0</v>
      </c>
      <c r="AK6" s="14">
        <f>(VLOOKUP($E6,RLS!$C$26:$BK$31,MATCH(AK$2,RLS!$C$25:$BK$25,0),FALSE))-AK3-AK4-AK5</f>
        <v>0</v>
      </c>
      <c r="AL6" s="14">
        <f>(VLOOKUP($E6,RLS!$C$26:$BK$31,MATCH(AL$2,RLS!$C$25:$BK$25,0),FALSE))-AL3-AL4-AL5</f>
        <v>0</v>
      </c>
      <c r="AM6" s="14">
        <f>(VLOOKUP($E6,RLS!$C$26:$BK$31,MATCH(AM$2,RLS!$C$25:$BK$25,0),FALSE))-AM3-AM4-AM5</f>
        <v>0</v>
      </c>
      <c r="AN6" s="14">
        <f>(VLOOKUP($E6,RLS!$C$26:$BK$31,MATCH(AN$2,RLS!$C$25:$BK$25,0),FALSE))-AN3-AN4-AN5</f>
        <v>0</v>
      </c>
      <c r="AO6" s="14">
        <f>(VLOOKUP($E6,RLS!$C$26:$BK$31,MATCH(AO$2,RLS!$C$25:$BK$25,0),FALSE))-AO3-AO4-AO5</f>
        <v>0</v>
      </c>
      <c r="AP6" s="14">
        <f>(VLOOKUP($E6,RLS!$C$26:$BK$31,MATCH(AP$2,RLS!$C$25:$BK$25,0),FALSE))-AP3-AP4-AP5</f>
        <v>0</v>
      </c>
      <c r="AQ6">
        <f>ROUND((VLOOKUP($E6,RLS!$C$26:$BK$31,MATCH(AQ$2,RLS!$C$25:$BK$25,0),FALSE))*'Unit Distribution'!$E$5,0)</f>
        <v>0</v>
      </c>
      <c r="AR6">
        <f>ROUND((VLOOKUP($E6,RLS!$C$26:$BK$31,MATCH(AR$2,RLS!$C$25:$BK$25,0),FALSE))*'Unit Distribution'!$E$5,0)</f>
        <v>0</v>
      </c>
      <c r="AS6">
        <f>ROUND((VLOOKUP($E6,RLS!$C$26:$BK$31,MATCH(AS$2,RLS!$C$25:$BK$25,0),FALSE))*'Unit Distribution'!$E$5,0)</f>
        <v>0</v>
      </c>
      <c r="AT6">
        <f>ROUND((VLOOKUP($E6,RLS!$C$26:$BK$31,MATCH(AT$2,RLS!$C$25:$BK$25,0),FALSE))*'Unit Distribution'!$E$5,0)</f>
        <v>0</v>
      </c>
      <c r="AU6">
        <f>ROUND((VLOOKUP($E6,RLS!$C$26:$BK$31,MATCH(AU$2,RLS!$C$25:$BK$25,0),FALSE))*'Unit Distribution'!$E$5,0)</f>
        <v>0</v>
      </c>
      <c r="AV6">
        <f>ROUND((VLOOKUP($E6,RLS!$C$26:$BK$31,MATCH(AV$2,RLS!$C$25:$BK$25,0),FALSE))*'Unit Distribution'!$E$5,0)</f>
        <v>0</v>
      </c>
      <c r="AW6">
        <f>ROUND((VLOOKUP($E6,RLS!$C$26:$BK$31,MATCH(AW$2,RLS!$C$25:$BK$25,0),FALSE))*'Unit Distribution'!$E$5,0)</f>
        <v>0</v>
      </c>
      <c r="AX6">
        <f>ROUND((VLOOKUP($E6,RLS!$C$26:$BK$31,MATCH(AX$2,RLS!$C$25:$BK$25,0),FALSE))*'Unit Distribution'!$E$5,0)</f>
        <v>0</v>
      </c>
      <c r="AY6">
        <f>ROUND((VLOOKUP($E6,RLS!$C$26:$BK$31,MATCH(AY$2,RLS!$C$25:$BK$25,0),FALSE))*'Unit Distribution'!$E$5,0)</f>
        <v>0</v>
      </c>
      <c r="AZ6">
        <f>ROUND((VLOOKUP($E6,RLS!$C$26:$BK$31,MATCH(AZ$2,RLS!$C$25:$BK$25,0),FALSE))*'Unit Distribution'!$E$5,0)</f>
        <v>0</v>
      </c>
      <c r="BA6">
        <f>ROUND((VLOOKUP($E6,RLS!$C$26:$BK$31,MATCH(BA$2,RLS!$C$25:$BK$25,0),FALSE))*'Unit Distribution'!$E$5,0)</f>
        <v>0</v>
      </c>
      <c r="BB6">
        <f>ROUND((VLOOKUP($E6,RLS!$C$26:$BK$31,MATCH(BB$2,RLS!$C$25:$BK$25,0),FALSE))*'Unit Distribution'!$E$5,0)</f>
        <v>0</v>
      </c>
      <c r="BC6">
        <f>ROUND((VLOOKUP($E6,RLS!$C$26:$BK$31,MATCH(BC$2,RLS!$C$25:$BK$25,0),FALSE))*'Unit Distribution'!$F$5,0)</f>
        <v>0</v>
      </c>
      <c r="BD6">
        <f>ROUND((VLOOKUP($E6,RLS!$C$26:$BK$31,MATCH(BD$2,RLS!$C$25:$BK$25,0),FALSE))*'Unit Distribution'!$F$5,0)</f>
        <v>0</v>
      </c>
      <c r="BE6">
        <f>ROUND((VLOOKUP($E6,RLS!$C$26:$BK$31,MATCH(BE$2,RLS!$C$25:$BK$25,0),FALSE))*'Unit Distribution'!$F$5,0)</f>
        <v>0</v>
      </c>
      <c r="BF6">
        <f>ROUND((VLOOKUP($E6,RLS!$C$26:$BK$31,MATCH(BF$2,RLS!$C$25:$BK$25,0),FALSE))*'Unit Distribution'!$F$5,0)</f>
        <v>0</v>
      </c>
      <c r="BG6">
        <f>ROUND((VLOOKUP($E6,RLS!$C$26:$BK$31,MATCH(BG$2,RLS!$C$25:$BK$25,0),FALSE))*'Unit Distribution'!$F$5,0)</f>
        <v>0</v>
      </c>
      <c r="BH6">
        <f>ROUND((VLOOKUP($E6,RLS!$C$26:$BK$31,MATCH(BH$2,RLS!$C$25:$BK$25,0),FALSE))*'Unit Distribution'!$F$5,0)</f>
        <v>0</v>
      </c>
      <c r="BI6">
        <f>ROUND((VLOOKUP($E6,RLS!$C$26:$BK$31,MATCH(BI$2,RLS!$C$25:$BK$25,0),FALSE))*'Unit Distribution'!$F$5,0)</f>
        <v>0</v>
      </c>
      <c r="BJ6">
        <f>ROUND((VLOOKUP($E6,RLS!$C$26:$BK$31,MATCH(BJ$2,RLS!$C$25:$BK$25,0),FALSE))*'Unit Distribution'!$F$5,0)</f>
        <v>0</v>
      </c>
      <c r="BK6">
        <f>ROUND((VLOOKUP($E6,RLS!$C$26:$BK$31,MATCH(BK$2,RLS!$C$25:$BK$25,0),FALSE))*'Unit Distribution'!$F$5,0)</f>
        <v>0</v>
      </c>
      <c r="BL6">
        <f>ROUND((VLOOKUP($E6,RLS!$C$26:$BK$31,MATCH(BL$2,RLS!$C$25:$BK$25,0),FALSE))*'Unit Distribution'!$F$5,0)</f>
        <v>0</v>
      </c>
      <c r="BM6">
        <f>ROUND((VLOOKUP($E6,RLS!$C$26:$BK$31,MATCH(BM$2,RLS!$C$25:$BK$25,0),FALSE))*'Unit Distribution'!$F$5,0)</f>
        <v>0</v>
      </c>
      <c r="BN6">
        <f>ROUND((VLOOKUP($E6,RLS!$C$26:$BK$31,MATCH(BN$2,RLS!$C$25:$BK$25,0),FALSE))*'Unit Distribution'!$F$5,0)</f>
        <v>0</v>
      </c>
    </row>
    <row r="7" spans="1:66" x14ac:dyDescent="0.35">
      <c r="A7" t="s">
        <v>71</v>
      </c>
      <c r="B7" t="s">
        <v>66</v>
      </c>
      <c r="C7" t="s">
        <v>109</v>
      </c>
      <c r="D7" t="s">
        <v>67</v>
      </c>
      <c r="E7" t="str">
        <f t="shared" si="0"/>
        <v>DevIndia</v>
      </c>
      <c r="F7" t="s">
        <v>68</v>
      </c>
      <c r="G7" s="14">
        <f>ROUND((VLOOKUP($E7,RLS!$C$26:$BK$31,MATCH(G$2,RLS!$C$25:$BK$25,0),FALSE)-G$16)*'Unit Distribution'!$B$3,0)</f>
        <v>1</v>
      </c>
      <c r="H7" s="14">
        <f>ROUND((VLOOKUP($E7,RLS!$C$26:$BK$31,MATCH(H$2,RLS!$C$25:$BK$25,0),FALSE)-H$16)*'Unit Distribution'!$B$3,0)</f>
        <v>1</v>
      </c>
      <c r="I7" s="14">
        <f>ROUND((VLOOKUP($E7,RLS!$C$26:$BK$31,MATCH(I$2,RLS!$C$25:$BK$25,0),FALSE)-I$16)*'Unit Distribution'!$B$3,0)</f>
        <v>1</v>
      </c>
      <c r="J7" s="14">
        <f>ROUND((VLOOKUP($E7,RLS!$C$26:$BK$31,MATCH(J$2,RLS!$C$25:$BK$25,0),FALSE)-J$16)*'Unit Distribution'!$B$3,0)</f>
        <v>1</v>
      </c>
      <c r="K7" s="14">
        <f>ROUND((VLOOKUP($E7,RLS!$C$26:$BK$31,MATCH(K$2,RLS!$C$25:$BK$25,0),FALSE)-K$16)*'Unit Distribution'!$B$3,0)</f>
        <v>1</v>
      </c>
      <c r="L7" s="14">
        <f>ROUND((VLOOKUP($E7,RLS!$C$26:$BK$31,MATCH(L$2,RLS!$C$25:$BK$25,0),FALSE)-L$16)*'Unit Distribution'!$B$3,0)</f>
        <v>1</v>
      </c>
      <c r="M7" s="14">
        <f>ROUND((VLOOKUP($E7,RLS!$C$26:$BK$31,MATCH(M$2,RLS!$C$25:$BK$25,0),FALSE)-M$16)*'Unit Distribution'!$B$3,0)</f>
        <v>1</v>
      </c>
      <c r="N7" s="14">
        <f>ROUND((VLOOKUP($E7,RLS!$C$26:$BK$31,MATCH(N$2,RLS!$C$25:$BK$25,0),FALSE)-N$16)*'Unit Distribution'!$B$3,0)</f>
        <v>1</v>
      </c>
      <c r="O7" s="14">
        <f>ROUND((VLOOKUP($E7,RLS!$C$26:$BK$31,MATCH(O$2,RLS!$C$25:$BK$25,0),FALSE)-O$16)*'Unit Distribution'!$B$3,0)</f>
        <v>1</v>
      </c>
      <c r="P7" s="14">
        <f>ROUND((VLOOKUP($E7,RLS!$C$26:$BK$31,MATCH(P$2,RLS!$C$25:$BK$25,0),FALSE)-P$16)*'Unit Distribution'!$B$3,0)</f>
        <v>1</v>
      </c>
      <c r="Q7" s="14">
        <f>ROUND((VLOOKUP($E7,RLS!$C$26:$BK$31,MATCH(Q$2,RLS!$C$25:$BK$25,0),FALSE)-Q$16)*'Unit Distribution'!$B$3,0)</f>
        <v>1</v>
      </c>
      <c r="R7" s="14">
        <f>ROUND((VLOOKUP($E7,RLS!$C$26:$BK$31,MATCH(R$2,RLS!$C$25:$BK$25,0),FALSE)-R$16)*'Unit Distribution'!$B$3,0)</f>
        <v>1</v>
      </c>
      <c r="S7" s="14">
        <f>ROUND((VLOOKUP($E7,RLS!$C$26:$BK$31,MATCH(S$2,RLS!$C$25:$BK$25,0),FALSE)-S$16)*'Unit Distribution'!$C$3,0)</f>
        <v>1</v>
      </c>
      <c r="T7" s="14">
        <f>ROUND((VLOOKUP($E7,RLS!$C$26:$BK$31,MATCH(T$2,RLS!$C$25:$BK$25,0),FALSE)-T$16)*'Unit Distribution'!$C$3,0)</f>
        <v>1</v>
      </c>
      <c r="U7" s="14">
        <f>ROUND((VLOOKUP($E7,RLS!$C$26:$BK$31,MATCH(U$2,RLS!$C$25:$BK$25,0),FALSE)-U$16)*'Unit Distribution'!$C$3,0)</f>
        <v>1</v>
      </c>
      <c r="V7" s="14">
        <f>ROUND((VLOOKUP($E7,RLS!$C$26:$BK$31,MATCH(V$2,RLS!$C$25:$BK$25,0),FALSE)-V$16)*'Unit Distribution'!$C$3,0)</f>
        <v>1</v>
      </c>
      <c r="W7" s="14">
        <f>ROUND((VLOOKUP($E7,RLS!$C$26:$BK$31,MATCH(W$2,RLS!$C$25:$BK$25,0),FALSE)-W$16)*'Unit Distribution'!$C$3,0)</f>
        <v>1</v>
      </c>
      <c r="X7" s="14">
        <f>ROUND((VLOOKUP($E7,RLS!$C$26:$BK$31,MATCH(X$2,RLS!$C$25:$BK$25,0),FALSE)-X$16)*'Unit Distribution'!$C$3,0)</f>
        <v>1</v>
      </c>
      <c r="Y7" s="14">
        <f>ROUND((VLOOKUP($E7,RLS!$C$26:$BK$31,MATCH(Y$2,RLS!$C$25:$BK$25,0),FALSE)-Y$16)*'Unit Distribution'!$C$3,0)</f>
        <v>1</v>
      </c>
      <c r="Z7" s="14">
        <f>ROUND((VLOOKUP($E7,RLS!$C$26:$BK$31,MATCH(Z$2,RLS!$C$25:$BK$25,0),FALSE)-Z$16)*'Unit Distribution'!$C$3,0)</f>
        <v>1</v>
      </c>
      <c r="AA7" s="14">
        <f>ROUND((VLOOKUP($E7,RLS!$C$26:$BK$31,MATCH(AA$2,RLS!$C$25:$BK$25,0),FALSE)-AA$16)*'Unit Distribution'!$C$3,0)</f>
        <v>1</v>
      </c>
      <c r="AB7" s="14">
        <f>ROUND((VLOOKUP($E7,RLS!$C$26:$BK$31,MATCH(AB$2,RLS!$C$25:$BK$25,0),FALSE)-AB$16)*'Unit Distribution'!$C$3,0)</f>
        <v>1</v>
      </c>
      <c r="AC7" s="14">
        <f>ROUND((VLOOKUP($E7,RLS!$C$26:$BK$31,MATCH(AC$2,RLS!$C$25:$BK$25,0),FALSE)-AC$16)*'Unit Distribution'!$C$3,0)</f>
        <v>1</v>
      </c>
      <c r="AD7" s="14">
        <f>ROUND((VLOOKUP($E7,RLS!$C$26:$BK$31,MATCH(AD$2,RLS!$C$25:$BK$25,0),FALSE)-AD$16)*'Unit Distribution'!$C$3,0)</f>
        <v>1</v>
      </c>
      <c r="AE7" s="14">
        <f>ROUNDDOWN((VLOOKUP($E7,RLS!$C$26:$BK$31,MATCH(AE$2,RLS!$C$25:$BK$25,0),FALSE)-AE$16)*'Unit Distribution'!$D$3,0)</f>
        <v>1</v>
      </c>
      <c r="AF7" s="14">
        <f>ROUNDDOWN((VLOOKUP($E7,RLS!$C$26:$BK$31,MATCH(AF$2,RLS!$C$25:$BK$25,0),FALSE)-AF$16)*'Unit Distribution'!$D$3,0)</f>
        <v>1</v>
      </c>
      <c r="AG7" s="14">
        <f>ROUNDDOWN((VLOOKUP($E7,RLS!$C$26:$BK$31,MATCH(AG$2,RLS!$C$25:$BK$25,0),FALSE)-AG$16)*'Unit Distribution'!$D$3,0)</f>
        <v>1</v>
      </c>
      <c r="AH7" s="14">
        <f>ROUNDDOWN((VLOOKUP($E7,RLS!$C$26:$BK$31,MATCH(AH$2,RLS!$C$25:$BK$25,0),FALSE)-AH$16)*'Unit Distribution'!$D$3,0)</f>
        <v>1</v>
      </c>
      <c r="AI7" s="14">
        <f>ROUNDDOWN((VLOOKUP($E7,RLS!$C$26:$BK$31,MATCH(AI$2,RLS!$C$25:$BK$25,0),FALSE)-AI$16)*'Unit Distribution'!$D$3,0)</f>
        <v>1</v>
      </c>
      <c r="AJ7" s="14">
        <f>ROUNDDOWN((VLOOKUP($E7,RLS!$C$26:$BK$31,MATCH(AJ$2,RLS!$C$25:$BK$25,0),FALSE)-AJ$16)*'Unit Distribution'!$D$3,0)</f>
        <v>1</v>
      </c>
      <c r="AK7" s="14">
        <f>ROUNDDOWN((VLOOKUP($E7,RLS!$C$26:$BK$31,MATCH(AK$2,RLS!$C$25:$BK$25,0),FALSE)-AK$16)*'Unit Distribution'!$D$3,0)</f>
        <v>1</v>
      </c>
      <c r="AL7" s="14">
        <f>ROUNDDOWN((VLOOKUP($E7,RLS!$C$26:$BK$31,MATCH(AL$2,RLS!$C$25:$BK$25,0),FALSE)-AL$16)*'Unit Distribution'!$D$3,0)</f>
        <v>1</v>
      </c>
      <c r="AM7" s="14">
        <f>ROUNDDOWN((VLOOKUP($E7,RLS!$C$26:$BK$31,MATCH(AM$2,RLS!$C$25:$BK$25,0),FALSE)-AM$16)*'Unit Distribution'!$D$3,0)</f>
        <v>1</v>
      </c>
      <c r="AN7" s="14">
        <f>ROUNDDOWN((VLOOKUP($E7,RLS!$C$26:$BK$31,MATCH(AN$2,RLS!$C$25:$BK$25,0),FALSE)-AN$16)*'Unit Distribution'!$D$3,0)</f>
        <v>1</v>
      </c>
      <c r="AO7" s="14">
        <f>ROUNDDOWN((VLOOKUP($E7,RLS!$C$26:$BK$31,MATCH(AO$2,RLS!$C$25:$BK$25,0),FALSE)-AO$16)*'Unit Distribution'!$D$3,0)</f>
        <v>1</v>
      </c>
      <c r="AP7" s="14">
        <f>ROUNDDOWN((VLOOKUP($E7,RLS!$C$26:$BK$31,MATCH(AP$2,RLS!$C$25:$BK$25,0),FALSE)-AP$16)*'Unit Distribution'!$D$3,0)</f>
        <v>1</v>
      </c>
      <c r="AQ7">
        <f>ROUND((VLOOKUP($E7,RLS!$C$26:$BK$31,MATCH(AQ$2,RLS!$C$25:$BK$25,0),FALSE)-AQ$16)*'Unit Distribution'!$E$3,0)</f>
        <v>3</v>
      </c>
      <c r="AR7">
        <f>ROUND((VLOOKUP($E7,RLS!$C$26:$BK$31,MATCH(AR$2,RLS!$C$25:$BK$25,0),FALSE)-AR$16)*'Unit Distribution'!$E$3,0)</f>
        <v>3</v>
      </c>
      <c r="AS7">
        <f>ROUND((VLOOKUP($E7,RLS!$C$26:$BK$31,MATCH(AS$2,RLS!$C$25:$BK$25,0),FALSE)-AS$16)*'Unit Distribution'!$E$3,0)</f>
        <v>3</v>
      </c>
      <c r="AT7">
        <f>ROUND((VLOOKUP($E7,RLS!$C$26:$BK$31,MATCH(AT$2,RLS!$C$25:$BK$25,0),FALSE)-AT$16)*'Unit Distribution'!$E$3,0)</f>
        <v>3</v>
      </c>
      <c r="AU7">
        <f>ROUND((VLOOKUP($E7,RLS!$C$26:$BK$31,MATCH(AU$2,RLS!$C$25:$BK$25,0),FALSE)-AU$16)*'Unit Distribution'!$E$3,0)</f>
        <v>3</v>
      </c>
      <c r="AV7">
        <f>ROUND((VLOOKUP($E7,RLS!$C$26:$BK$31,MATCH(AV$2,RLS!$C$25:$BK$25,0),FALSE)-AV$16)*'Unit Distribution'!$E$3,0)</f>
        <v>3</v>
      </c>
      <c r="AW7">
        <f>ROUND((VLOOKUP($E7,RLS!$C$26:$BK$31,MATCH(AW$2,RLS!$C$25:$BK$25,0),FALSE)-AW$16)*'Unit Distribution'!$E$3,0)</f>
        <v>3</v>
      </c>
      <c r="AX7">
        <f>ROUND((VLOOKUP($E7,RLS!$C$26:$BK$31,MATCH(AX$2,RLS!$C$25:$BK$25,0),FALSE)-AX$16)*'Unit Distribution'!$E$3,0)</f>
        <v>3</v>
      </c>
      <c r="AY7">
        <f>ROUND((VLOOKUP($E7,RLS!$C$26:$BK$31,MATCH(AY$2,RLS!$C$25:$BK$25,0),FALSE)-AY$16)*'Unit Distribution'!$E$3,0)</f>
        <v>3</v>
      </c>
      <c r="AZ7">
        <f>ROUND((VLOOKUP($E7,RLS!$C$26:$BK$31,MATCH(AZ$2,RLS!$C$25:$BK$25,0),FALSE)-AZ$16)*'Unit Distribution'!$E$3,0)</f>
        <v>3</v>
      </c>
      <c r="BA7">
        <f>ROUND((VLOOKUP($E7,RLS!$C$26:$BK$31,MATCH(BA$2,RLS!$C$25:$BK$25,0),FALSE)-BA$16)*'Unit Distribution'!$E$3,0)</f>
        <v>3</v>
      </c>
      <c r="BB7">
        <f>ROUND((VLOOKUP($E7,RLS!$C$26:$BK$31,MATCH(BB$2,RLS!$C$25:$BK$25,0),FALSE)-BB$16)*'Unit Distribution'!$E$3,0)</f>
        <v>3</v>
      </c>
      <c r="BC7">
        <f>ROUND((VLOOKUP($E7,RLS!$C$26:$BK$31,MATCH(BC$2,RLS!$C$25:$BK$25,0),FALSE)-BC$16)*'Unit Distribution'!$F$3,0)</f>
        <v>3</v>
      </c>
      <c r="BD7">
        <f>ROUND((VLOOKUP($E7,RLS!$C$26:$BK$31,MATCH(BD$2,RLS!$C$25:$BK$25,0),FALSE)-BD$16)*'Unit Distribution'!$F$3,0)</f>
        <v>3</v>
      </c>
      <c r="BE7">
        <f>ROUND((VLOOKUP($E7,RLS!$C$26:$BK$31,MATCH(BE$2,RLS!$C$25:$BK$25,0),FALSE)-BE$16)*'Unit Distribution'!$F$3,0)</f>
        <v>3</v>
      </c>
      <c r="BF7">
        <f>ROUND((VLOOKUP($E7,RLS!$C$26:$BK$31,MATCH(BF$2,RLS!$C$25:$BK$25,0),FALSE)-BF$16)*'Unit Distribution'!$F$3,0)</f>
        <v>3</v>
      </c>
      <c r="BG7">
        <f>ROUND((VLOOKUP($E7,RLS!$C$26:$BK$31,MATCH(BG$2,RLS!$C$25:$BK$25,0),FALSE)-BG$16)*'Unit Distribution'!$F$3,0)</f>
        <v>3</v>
      </c>
      <c r="BH7">
        <f>ROUND((VLOOKUP($E7,RLS!$C$26:$BK$31,MATCH(BH$2,RLS!$C$25:$BK$25,0),FALSE)-BH$16)*'Unit Distribution'!$F$3,0)</f>
        <v>3</v>
      </c>
      <c r="BI7">
        <f>ROUND((VLOOKUP($E7,RLS!$C$26:$BK$31,MATCH(BI$2,RLS!$C$25:$BK$25,0),FALSE)-BI$16)*'Unit Distribution'!$F$3,0)</f>
        <v>3</v>
      </c>
      <c r="BJ7">
        <f>ROUND((VLOOKUP($E7,RLS!$C$26:$BK$31,MATCH(BJ$2,RLS!$C$25:$BK$25,0),FALSE)-BJ$16)*'Unit Distribution'!$F$3,0)</f>
        <v>3</v>
      </c>
      <c r="BK7">
        <f>ROUND((VLOOKUP($E7,RLS!$C$26:$BK$31,MATCH(BK$2,RLS!$C$25:$BK$25,0),FALSE)-BK$16)*'Unit Distribution'!$F$3,0)</f>
        <v>3</v>
      </c>
      <c r="BL7">
        <f>ROUND((VLOOKUP($E7,RLS!$C$26:$BK$31,MATCH(BL$2,RLS!$C$25:$BK$25,0),FALSE)-BL$16)*'Unit Distribution'!$F$3,0)</f>
        <v>3</v>
      </c>
      <c r="BM7">
        <f>ROUND((VLOOKUP($E7,RLS!$C$26:$BK$31,MATCH(BM$2,RLS!$C$25:$BK$25,0),FALSE)-BM$16)*'Unit Distribution'!$F$3,0)</f>
        <v>3</v>
      </c>
      <c r="BN7">
        <f>ROUND((VLOOKUP($E7,RLS!$C$26:$BK$31,MATCH(BN$2,RLS!$C$25:$BK$25,0),FALSE)-BN$16)*'Unit Distribution'!$F$3,0)</f>
        <v>3</v>
      </c>
    </row>
    <row r="8" spans="1:66" x14ac:dyDescent="0.35">
      <c r="A8" t="s">
        <v>71</v>
      </c>
      <c r="B8" t="s">
        <v>66</v>
      </c>
      <c r="C8" t="s">
        <v>109</v>
      </c>
      <c r="D8" t="s">
        <v>67</v>
      </c>
      <c r="E8" t="str">
        <f t="shared" si="0"/>
        <v>DevIndia</v>
      </c>
      <c r="F8" t="s">
        <v>68</v>
      </c>
      <c r="G8" s="14">
        <f>ROUND((VLOOKUP($E8,RLS!$C$26:$BK$31,MATCH(G$2,RLS!$C$25:$BK$25,0),FALSE)-G$16)*'Unit Distribution'!$B$6,0)</f>
        <v>0</v>
      </c>
      <c r="H8" s="14">
        <f>ROUND((VLOOKUP($E8,RLS!$C$26:$BK$31,MATCH(H$2,RLS!$C$25:$BK$25,0),FALSE)-H$16)*'Unit Distribution'!$B$6,0)</f>
        <v>0</v>
      </c>
      <c r="I8" s="14">
        <f>ROUND((VLOOKUP($E8,RLS!$C$26:$BK$31,MATCH(I$2,RLS!$C$25:$BK$25,0),FALSE)-I$16)*'Unit Distribution'!$B$6,0)</f>
        <v>0</v>
      </c>
      <c r="J8" s="14">
        <f>ROUND((VLOOKUP($E8,RLS!$C$26:$BK$31,MATCH(J$2,RLS!$C$25:$BK$25,0),FALSE)-J$16)*'Unit Distribution'!$B$6,0)</f>
        <v>0</v>
      </c>
      <c r="K8" s="14">
        <f>ROUND((VLOOKUP($E8,RLS!$C$26:$BK$31,MATCH(K$2,RLS!$C$25:$BK$25,0),FALSE)-K$16)*'Unit Distribution'!$B$6,0)</f>
        <v>0</v>
      </c>
      <c r="L8" s="14">
        <f>ROUND((VLOOKUP($E8,RLS!$C$26:$BK$31,MATCH(L$2,RLS!$C$25:$BK$25,0),FALSE)-L$16)*'Unit Distribution'!$B$6,0)</f>
        <v>0</v>
      </c>
      <c r="M8" s="14">
        <f>ROUND((VLOOKUP($E8,RLS!$C$26:$BK$31,MATCH(M$2,RLS!$C$25:$BK$25,0),FALSE)-M$16)*'Unit Distribution'!$B$6,0)</f>
        <v>0</v>
      </c>
      <c r="N8" s="14">
        <f>ROUND((VLOOKUP($E8,RLS!$C$26:$BK$31,MATCH(N$2,RLS!$C$25:$BK$25,0),FALSE)-N$16)*'Unit Distribution'!$B$6,0)</f>
        <v>0</v>
      </c>
      <c r="O8" s="14">
        <f>ROUND((VLOOKUP($E8,RLS!$C$26:$BK$31,MATCH(O$2,RLS!$C$25:$BK$25,0),FALSE)-O$16)*'Unit Distribution'!$B$6,0)</f>
        <v>0</v>
      </c>
      <c r="P8" s="14">
        <f>ROUND((VLOOKUP($E8,RLS!$C$26:$BK$31,MATCH(P$2,RLS!$C$25:$BK$25,0),FALSE)-P$16)*'Unit Distribution'!$B$6,0)</f>
        <v>0</v>
      </c>
      <c r="Q8" s="14">
        <f>ROUND((VLOOKUP($E8,RLS!$C$26:$BK$31,MATCH(Q$2,RLS!$C$25:$BK$25,0),FALSE)-Q$16)*'Unit Distribution'!$B$6,0)</f>
        <v>0</v>
      </c>
      <c r="R8" s="14">
        <f>ROUND((VLOOKUP($E8,RLS!$C$26:$BK$31,MATCH(R$2,RLS!$C$25:$BK$25,0),FALSE)-R$16)*'Unit Distribution'!$B$6,0)</f>
        <v>0</v>
      </c>
      <c r="S8" s="14">
        <f>ROUND((VLOOKUP($E8,RLS!$C$26:$BK$31,MATCH(S$2,RLS!$C$25:$BK$25,0),FALSE)-S$16)*'Unit Distribution'!$C$6,0)</f>
        <v>0</v>
      </c>
      <c r="T8" s="14">
        <f>ROUND((VLOOKUP($E8,RLS!$C$26:$BK$31,MATCH(T$2,RLS!$C$25:$BK$25,0),FALSE)-T$16)*'Unit Distribution'!$C$6,0)</f>
        <v>0</v>
      </c>
      <c r="U8" s="14">
        <f>ROUND((VLOOKUP($E8,RLS!$C$26:$BK$31,MATCH(U$2,RLS!$C$25:$BK$25,0),FALSE)-U$16)*'Unit Distribution'!$C$6,0)</f>
        <v>0</v>
      </c>
      <c r="V8" s="14">
        <f>ROUND((VLOOKUP($E8,RLS!$C$26:$BK$31,MATCH(V$2,RLS!$C$25:$BK$25,0),FALSE)-V$16)*'Unit Distribution'!$C$6,0)</f>
        <v>0</v>
      </c>
      <c r="W8" s="14">
        <f>ROUND((VLOOKUP($E8,RLS!$C$26:$BK$31,MATCH(W$2,RLS!$C$25:$BK$25,0),FALSE)-W$16)*'Unit Distribution'!$C$6,0)</f>
        <v>0</v>
      </c>
      <c r="X8" s="14">
        <f>ROUND((VLOOKUP($E8,RLS!$C$26:$BK$31,MATCH(X$2,RLS!$C$25:$BK$25,0),FALSE)-X$16)*'Unit Distribution'!$C$6,0)</f>
        <v>0</v>
      </c>
      <c r="Y8" s="14">
        <f>ROUND((VLOOKUP($E8,RLS!$C$26:$BK$31,MATCH(Y$2,RLS!$C$25:$BK$25,0),FALSE)-Y$16)*'Unit Distribution'!$C$6,0)</f>
        <v>0</v>
      </c>
      <c r="Z8" s="14">
        <f>ROUND((VLOOKUP($E8,RLS!$C$26:$BK$31,MATCH(Z$2,RLS!$C$25:$BK$25,0),FALSE)-Z$16)*'Unit Distribution'!$C$6,0)</f>
        <v>0</v>
      </c>
      <c r="AA8" s="14">
        <f>ROUND((VLOOKUP($E8,RLS!$C$26:$BK$31,MATCH(AA$2,RLS!$C$25:$BK$25,0),FALSE)-AA$16)*'Unit Distribution'!$C$6,0)</f>
        <v>0</v>
      </c>
      <c r="AB8" s="14">
        <f>ROUND((VLOOKUP($E8,RLS!$C$26:$BK$31,MATCH(AB$2,RLS!$C$25:$BK$25,0),FALSE)-AB$16)*'Unit Distribution'!$C$6,0)</f>
        <v>0</v>
      </c>
      <c r="AC8" s="14">
        <f>ROUND((VLOOKUP($E8,RLS!$C$26:$BK$31,MATCH(AC$2,RLS!$C$25:$BK$25,0),FALSE)-AC$16)*'Unit Distribution'!$C$6,0)</f>
        <v>0</v>
      </c>
      <c r="AD8" s="14">
        <f>ROUND((VLOOKUP($E8,RLS!$C$26:$BK$31,MATCH(AD$2,RLS!$C$25:$BK$25,0),FALSE)-AD$16)*'Unit Distribution'!$C$6,0)</f>
        <v>0</v>
      </c>
      <c r="AE8" s="14">
        <f>ROUND((VLOOKUP($E8,RLS!$C$26:$BK$31,MATCH(AE$2,RLS!$C$25:$BK$25,0),FALSE)-AE$16)*'Unit Distribution'!$D$6,0)</f>
        <v>0</v>
      </c>
      <c r="AF8" s="14">
        <f>ROUND((VLOOKUP($E8,RLS!$C$26:$BK$31,MATCH(AF$2,RLS!$C$25:$BK$25,0),FALSE)-AF$16)*'Unit Distribution'!$D$6,0)</f>
        <v>0</v>
      </c>
      <c r="AG8" s="14">
        <f>ROUND((VLOOKUP($E8,RLS!$C$26:$BK$31,MATCH(AG$2,RLS!$C$25:$BK$25,0),FALSE)-AG$16)*'Unit Distribution'!$D$6,0)</f>
        <v>0</v>
      </c>
      <c r="AH8" s="14">
        <f>ROUND((VLOOKUP($E8,RLS!$C$26:$BK$31,MATCH(AH$2,RLS!$C$25:$BK$25,0),FALSE)-AH$16)*'Unit Distribution'!$D$6,0)</f>
        <v>0</v>
      </c>
      <c r="AI8" s="14">
        <f>ROUND((VLOOKUP($E8,RLS!$C$26:$BK$31,MATCH(AI$2,RLS!$C$25:$BK$25,0),FALSE)-AI$16)*'Unit Distribution'!$D$6,0)</f>
        <v>0</v>
      </c>
      <c r="AJ8" s="14">
        <f>ROUND((VLOOKUP($E8,RLS!$C$26:$BK$31,MATCH(AJ$2,RLS!$C$25:$BK$25,0),FALSE)-AJ$16)*'Unit Distribution'!$D$6,0)</f>
        <v>0</v>
      </c>
      <c r="AK8" s="14">
        <f>ROUND((VLOOKUP($E8,RLS!$C$26:$BK$31,MATCH(AK$2,RLS!$C$25:$BK$25,0),FALSE)-AK$16)*'Unit Distribution'!$D$6,0)</f>
        <v>0</v>
      </c>
      <c r="AL8" s="14">
        <f>ROUND((VLOOKUP($E8,RLS!$C$26:$BK$31,MATCH(AL$2,RLS!$C$25:$BK$25,0),FALSE)-AL$16)*'Unit Distribution'!$D$6,0)</f>
        <v>0</v>
      </c>
      <c r="AM8" s="14">
        <f>ROUND((VLOOKUP($E8,RLS!$C$26:$BK$31,MATCH(AM$2,RLS!$C$25:$BK$25,0),FALSE)-AM$16)*'Unit Distribution'!$D$6,0)</f>
        <v>0</v>
      </c>
      <c r="AN8" s="14">
        <f>ROUND((VLOOKUP($E8,RLS!$C$26:$BK$31,MATCH(AN$2,RLS!$C$25:$BK$25,0),FALSE)-AN$16)*'Unit Distribution'!$D$6,0)</f>
        <v>0</v>
      </c>
      <c r="AO8" s="14">
        <f>ROUND((VLOOKUP($E8,RLS!$C$26:$BK$31,MATCH(AO$2,RLS!$C$25:$BK$25,0),FALSE)-AO$16)*'Unit Distribution'!$D$6,0)</f>
        <v>0</v>
      </c>
      <c r="AP8" s="14">
        <f>ROUND((VLOOKUP($E8,RLS!$C$26:$BK$31,MATCH(AP$2,RLS!$C$25:$BK$25,0),FALSE)-AP$16)*'Unit Distribution'!$D$6,0)</f>
        <v>0</v>
      </c>
      <c r="AQ8">
        <f>(VLOOKUP($E8,RLS!$C$26:$BK$31,MATCH(AQ$2,RLS!$C$25:$BK$25,0),FALSE)-AQ$16)-AQ7-AQ9-AQ10</f>
        <v>2</v>
      </c>
      <c r="AR8">
        <f>(VLOOKUP($E8,RLS!$C$26:$BK$31,MATCH(AR$2,RLS!$C$25:$BK$25,0),FALSE)-AR$16)-AR7-AR9-AR10</f>
        <v>2</v>
      </c>
      <c r="AS8">
        <f>(VLOOKUP($E8,RLS!$C$26:$BK$31,MATCH(AS$2,RLS!$C$25:$BK$25,0),FALSE)-AS$16)-AS7-AS9-AS10</f>
        <v>2</v>
      </c>
      <c r="AT8">
        <f>(VLOOKUP($E8,RLS!$C$26:$BK$31,MATCH(AT$2,RLS!$C$25:$BK$25,0),FALSE)-AT$16)-AT7-AT9-AT10</f>
        <v>2</v>
      </c>
      <c r="AU8">
        <f>(VLOOKUP($E8,RLS!$C$26:$BK$31,MATCH(AU$2,RLS!$C$25:$BK$25,0),FALSE)-AU$16)-AU7-AU9-AU10</f>
        <v>2</v>
      </c>
      <c r="AV8">
        <f>(VLOOKUP($E8,RLS!$C$26:$BK$31,MATCH(AV$2,RLS!$C$25:$BK$25,0),FALSE)-AV$16)-AV7-AV9-AV10</f>
        <v>2</v>
      </c>
      <c r="AW8">
        <f>(VLOOKUP($E8,RLS!$C$26:$BK$31,MATCH(AW$2,RLS!$C$25:$BK$25,0),FALSE)-AW$16)-AW7-AW9-AW10</f>
        <v>2</v>
      </c>
      <c r="AX8">
        <f>(VLOOKUP($E8,RLS!$C$26:$BK$31,MATCH(AX$2,RLS!$C$25:$BK$25,0),FALSE)-AX$16)-AX7-AX9-AX10</f>
        <v>2</v>
      </c>
      <c r="AY8">
        <f>(VLOOKUP($E8,RLS!$C$26:$BK$31,MATCH(AY$2,RLS!$C$25:$BK$25,0),FALSE)-AY$16)-AY7-AY9-AY10</f>
        <v>2</v>
      </c>
      <c r="AZ8">
        <f>(VLOOKUP($E8,RLS!$C$26:$BK$31,MATCH(AZ$2,RLS!$C$25:$BK$25,0),FALSE)-AZ$16)-AZ7-AZ9-AZ10</f>
        <v>2</v>
      </c>
      <c r="BA8">
        <f>(VLOOKUP($E8,RLS!$C$26:$BK$31,MATCH(BA$2,RLS!$C$25:$BK$25,0),FALSE)-BA$16)-BA7-BA9-BA10</f>
        <v>2</v>
      </c>
      <c r="BB8">
        <f>(VLOOKUP($E8,RLS!$C$26:$BK$31,MATCH(BB$2,RLS!$C$25:$BK$25,0),FALSE)-BB$16)-BB7-BB9-BB10</f>
        <v>2</v>
      </c>
      <c r="BC8">
        <f>(VLOOKUP($E8,RLS!$C$26:$BK$31,MATCH(BC$2,RLS!$C$25:$BK$25,0),FALSE)-BC$16)-BC7-BC9-BC10</f>
        <v>3</v>
      </c>
      <c r="BD8">
        <f>(VLOOKUP($E8,RLS!$C$26:$BK$31,MATCH(BD$2,RLS!$C$25:$BK$25,0),FALSE)-BD$16)-BD7-BD9-BD10</f>
        <v>3</v>
      </c>
      <c r="BE8">
        <f>(VLOOKUP($E8,RLS!$C$26:$BK$31,MATCH(BE$2,RLS!$C$25:$BK$25,0),FALSE)-BE$16)-BE7-BE9-BE10</f>
        <v>3</v>
      </c>
      <c r="BF8">
        <f>(VLOOKUP($E8,RLS!$C$26:$BK$31,MATCH(BF$2,RLS!$C$25:$BK$25,0),FALSE)-BF$16)-BF7-BF9-BF10</f>
        <v>3</v>
      </c>
      <c r="BG8">
        <f>(VLOOKUP($E8,RLS!$C$26:$BK$31,MATCH(BG$2,RLS!$C$25:$BK$25,0),FALSE)-BG$16)-BG7-BG9-BG10</f>
        <v>3</v>
      </c>
      <c r="BH8">
        <f>(VLOOKUP($E8,RLS!$C$26:$BK$31,MATCH(BH$2,RLS!$C$25:$BK$25,0),FALSE)-BH$16)-BH7-BH9-BH10</f>
        <v>3</v>
      </c>
      <c r="BI8">
        <f>(VLOOKUP($E8,RLS!$C$26:$BK$31,MATCH(BI$2,RLS!$C$25:$BK$25,0),FALSE)-BI$16)-BI7-BI9-BI10</f>
        <v>3</v>
      </c>
      <c r="BJ8">
        <f>(VLOOKUP($E8,RLS!$C$26:$BK$31,MATCH(BJ$2,RLS!$C$25:$BK$25,0),FALSE)-BJ$16)-BJ7-BJ9-BJ10</f>
        <v>3</v>
      </c>
      <c r="BK8">
        <f>(VLOOKUP($E8,RLS!$C$26:$BK$31,MATCH(BK$2,RLS!$C$25:$BK$25,0),FALSE)-BK$16)-BK7-BK9-BK10</f>
        <v>3</v>
      </c>
      <c r="BL8">
        <f>(VLOOKUP($E8,RLS!$C$26:$BK$31,MATCH(BL$2,RLS!$C$25:$BK$25,0),FALSE)-BL$16)-BL7-BL9-BL10</f>
        <v>3</v>
      </c>
      <c r="BM8">
        <f>(VLOOKUP($E8,RLS!$C$26:$BK$31,MATCH(BM$2,RLS!$C$25:$BK$25,0),FALSE)-BM$16)-BM7-BM9-BM10</f>
        <v>3</v>
      </c>
      <c r="BN8">
        <f>(VLOOKUP($E8,RLS!$C$26:$BK$31,MATCH(BN$2,RLS!$C$25:$BK$25,0),FALSE)-BN$16)-BN7-BN9-BN10</f>
        <v>3</v>
      </c>
    </row>
    <row r="9" spans="1:66" x14ac:dyDescent="0.35">
      <c r="A9" t="s">
        <v>71</v>
      </c>
      <c r="B9" t="s">
        <v>69</v>
      </c>
      <c r="C9" t="s">
        <v>111</v>
      </c>
      <c r="D9" t="s">
        <v>67</v>
      </c>
      <c r="E9" t="str">
        <f t="shared" si="0"/>
        <v>DevIndia</v>
      </c>
      <c r="F9" t="s">
        <v>70</v>
      </c>
      <c r="G9" s="14">
        <f>ROUND((VLOOKUP($E9,RLS!$C$26:$BK$31,MATCH(G$2,RLS!$C$25:$BK$25,0),FALSE)-G$16)*'Unit Distribution'!$B$4,0)</f>
        <v>1</v>
      </c>
      <c r="H9" s="14">
        <f>ROUND((VLOOKUP($E9,RLS!$C$26:$BK$31,MATCH(H$2,RLS!$C$25:$BK$25,0),FALSE)-H$16)*'Unit Distribution'!$B$4,0)</f>
        <v>1</v>
      </c>
      <c r="I9" s="14">
        <f>ROUND((VLOOKUP($E9,RLS!$C$26:$BK$31,MATCH(I$2,RLS!$C$25:$BK$25,0),FALSE)-I$16)*'Unit Distribution'!$B$4,0)</f>
        <v>1</v>
      </c>
      <c r="J9" s="14">
        <f>ROUND((VLOOKUP($E9,RLS!$C$26:$BK$31,MATCH(J$2,RLS!$C$25:$BK$25,0),FALSE)-J$16)*'Unit Distribution'!$B$4,0)</f>
        <v>1</v>
      </c>
      <c r="K9" s="14">
        <f>ROUND((VLOOKUP($E9,RLS!$C$26:$BK$31,MATCH(K$2,RLS!$C$25:$BK$25,0),FALSE)-K$16)*'Unit Distribution'!$B$4,0)</f>
        <v>1</v>
      </c>
      <c r="L9" s="14">
        <f>ROUND((VLOOKUP($E9,RLS!$C$26:$BK$31,MATCH(L$2,RLS!$C$25:$BK$25,0),FALSE)-L$16)*'Unit Distribution'!$B$4,0)</f>
        <v>1</v>
      </c>
      <c r="M9" s="14">
        <f>ROUND((VLOOKUP($E9,RLS!$C$26:$BK$31,MATCH(M$2,RLS!$C$25:$BK$25,0),FALSE)-M$16)*'Unit Distribution'!$B$4,0)</f>
        <v>1</v>
      </c>
      <c r="N9" s="14">
        <f>ROUND((VLOOKUP($E9,RLS!$C$26:$BK$31,MATCH(N$2,RLS!$C$25:$BK$25,0),FALSE)-N$16)*'Unit Distribution'!$B$4,0)</f>
        <v>1</v>
      </c>
      <c r="O9" s="14">
        <f>ROUND((VLOOKUP($E9,RLS!$C$26:$BK$31,MATCH(O$2,RLS!$C$25:$BK$25,0),FALSE)-O$16)*'Unit Distribution'!$B$4,0)</f>
        <v>1</v>
      </c>
      <c r="P9" s="14">
        <f>ROUND((VLOOKUP($E9,RLS!$C$26:$BK$31,MATCH(P$2,RLS!$C$25:$BK$25,0),FALSE)-P$16)*'Unit Distribution'!$B$4,0)</f>
        <v>1</v>
      </c>
      <c r="Q9" s="14">
        <f>ROUND((VLOOKUP($E9,RLS!$C$26:$BK$31,MATCH(Q$2,RLS!$C$25:$BK$25,0),FALSE)-Q$16)*'Unit Distribution'!$B$4,0)</f>
        <v>1</v>
      </c>
      <c r="R9" s="14">
        <f>ROUND((VLOOKUP($E9,RLS!$C$26:$BK$31,MATCH(R$2,RLS!$C$25:$BK$25,0),FALSE)-R$16)*'Unit Distribution'!$B$4,0)</f>
        <v>1</v>
      </c>
      <c r="S9" s="14">
        <f>ROUND((VLOOKUP($E9,RLS!$C$26:$BK$31,MATCH(S$2,RLS!$C$25:$BK$25,0),FALSE)-S$16)*'Unit Distribution'!$C$4,0)</f>
        <v>1</v>
      </c>
      <c r="T9" s="14">
        <f>ROUND((VLOOKUP($E9,RLS!$C$26:$BK$31,MATCH(T$2,RLS!$C$25:$BK$25,0),FALSE)-T$16)*'Unit Distribution'!$C$4,0)</f>
        <v>1</v>
      </c>
      <c r="U9" s="14">
        <f>ROUND((VLOOKUP($E9,RLS!$C$26:$BK$31,MATCH(U$2,RLS!$C$25:$BK$25,0),FALSE)-U$16)*'Unit Distribution'!$C$4,0)</f>
        <v>1</v>
      </c>
      <c r="V9" s="14">
        <f>ROUND((VLOOKUP($E9,RLS!$C$26:$BK$31,MATCH(V$2,RLS!$C$25:$BK$25,0),FALSE)-V$16)*'Unit Distribution'!$C$4,0)</f>
        <v>1</v>
      </c>
      <c r="W9" s="14">
        <f>ROUND((VLOOKUP($E9,RLS!$C$26:$BK$31,MATCH(W$2,RLS!$C$25:$BK$25,0),FALSE)-W$16)*'Unit Distribution'!$C$4,0)</f>
        <v>1</v>
      </c>
      <c r="X9" s="14">
        <f>ROUND((VLOOKUP($E9,RLS!$C$26:$BK$31,MATCH(X$2,RLS!$C$25:$BK$25,0),FALSE)-X$16)*'Unit Distribution'!$C$4,0)</f>
        <v>1</v>
      </c>
      <c r="Y9" s="14">
        <f>ROUND((VLOOKUP($E9,RLS!$C$26:$BK$31,MATCH(Y$2,RLS!$C$25:$BK$25,0),FALSE)-Y$16)*'Unit Distribution'!$C$4,0)</f>
        <v>1</v>
      </c>
      <c r="Z9" s="14">
        <f>ROUND((VLOOKUP($E9,RLS!$C$26:$BK$31,MATCH(Z$2,RLS!$C$25:$BK$25,0),FALSE)-Z$16)*'Unit Distribution'!$C$4,0)</f>
        <v>1</v>
      </c>
      <c r="AA9" s="14">
        <f>ROUND((VLOOKUP($E9,RLS!$C$26:$BK$31,MATCH(AA$2,RLS!$C$25:$BK$25,0),FALSE)-AA$16)*'Unit Distribution'!$C$4,0)</f>
        <v>1</v>
      </c>
      <c r="AB9" s="14">
        <f>ROUND((VLOOKUP($E9,RLS!$C$26:$BK$31,MATCH(AB$2,RLS!$C$25:$BK$25,0),FALSE)-AB$16)*'Unit Distribution'!$C$4,0)</f>
        <v>1</v>
      </c>
      <c r="AC9" s="14">
        <f>ROUND((VLOOKUP($E9,RLS!$C$26:$BK$31,MATCH(AC$2,RLS!$C$25:$BK$25,0),FALSE)-AC$16)*'Unit Distribution'!$C$4,0)</f>
        <v>1</v>
      </c>
      <c r="AD9" s="14">
        <f>ROUND((VLOOKUP($E9,RLS!$C$26:$BK$31,MATCH(AD$2,RLS!$C$25:$BK$25,0),FALSE)-AD$16)*'Unit Distribution'!$C$4,0)</f>
        <v>1</v>
      </c>
      <c r="AE9" s="14">
        <f>ROUND((VLOOKUP($E9,RLS!$C$26:$BK$31,MATCH(AE$2,RLS!$C$25:$BK$25,0),FALSE)-AE$16)*'Unit Distribution'!$D$4,0)</f>
        <v>2</v>
      </c>
      <c r="AF9" s="14">
        <f>ROUND((VLOOKUP($E9,RLS!$C$26:$BK$31,MATCH(AF$2,RLS!$C$25:$BK$25,0),FALSE)-AF$16)*'Unit Distribution'!$D$4,0)</f>
        <v>2</v>
      </c>
      <c r="AG9" s="14">
        <f>ROUND((VLOOKUP($E9,RLS!$C$26:$BK$31,MATCH(AG$2,RLS!$C$25:$BK$25,0),FALSE)-AG$16)*'Unit Distribution'!$D$4,0)</f>
        <v>2</v>
      </c>
      <c r="AH9" s="14">
        <f>ROUND((VLOOKUP($E9,RLS!$C$26:$BK$31,MATCH(AH$2,RLS!$C$25:$BK$25,0),FALSE)-AH$16)*'Unit Distribution'!$D$4,0)</f>
        <v>2</v>
      </c>
      <c r="AI9" s="14">
        <f>ROUND((VLOOKUP($E9,RLS!$C$26:$BK$31,MATCH(AI$2,RLS!$C$25:$BK$25,0),FALSE)-AI$16)*'Unit Distribution'!$D$4,0)</f>
        <v>2</v>
      </c>
      <c r="AJ9" s="14">
        <f>ROUND((VLOOKUP($E9,RLS!$C$26:$BK$31,MATCH(AJ$2,RLS!$C$25:$BK$25,0),FALSE)-AJ$16)*'Unit Distribution'!$D$4,0)</f>
        <v>2</v>
      </c>
      <c r="AK9" s="14">
        <f>ROUND((VLOOKUP($E9,RLS!$C$26:$BK$31,MATCH(AK$2,RLS!$C$25:$BK$25,0),FALSE)-AK$16)*'Unit Distribution'!$D$4,0)</f>
        <v>2</v>
      </c>
      <c r="AL9" s="14">
        <f>ROUND((VLOOKUP($E9,RLS!$C$26:$BK$31,MATCH(AL$2,RLS!$C$25:$BK$25,0),FALSE)-AL$16)*'Unit Distribution'!$D$4,0)</f>
        <v>2</v>
      </c>
      <c r="AM9" s="14">
        <f>ROUND((VLOOKUP($E9,RLS!$C$26:$BK$31,MATCH(AM$2,RLS!$C$25:$BK$25,0),FALSE)-AM$16)*'Unit Distribution'!$D$4,0)</f>
        <v>2</v>
      </c>
      <c r="AN9" s="14">
        <f>ROUND((VLOOKUP($E9,RLS!$C$26:$BK$31,MATCH(AN$2,RLS!$C$25:$BK$25,0),FALSE)-AN$16)*'Unit Distribution'!$D$4,0)</f>
        <v>2</v>
      </c>
      <c r="AO9" s="14">
        <f>ROUND((VLOOKUP($E9,RLS!$C$26:$BK$31,MATCH(AO$2,RLS!$C$25:$BK$25,0),FALSE)-AO$16)*'Unit Distribution'!$D$4,0)</f>
        <v>2</v>
      </c>
      <c r="AP9" s="14">
        <f>ROUND((VLOOKUP($E9,RLS!$C$26:$BK$31,MATCH(AP$2,RLS!$C$25:$BK$25,0),FALSE)-AP$16)*'Unit Distribution'!$D$4,0)</f>
        <v>2</v>
      </c>
      <c r="AQ9">
        <f>ROUND((VLOOKUP($E9,RLS!$C$26:$BK$31,MATCH(AQ$2,RLS!$C$25:$BK$25,0),FALSE)-AQ$16)*'Unit Distribution'!$E$4,0)</f>
        <v>0</v>
      </c>
      <c r="AR9">
        <f>ROUND((VLOOKUP($E9,RLS!$C$26:$BK$31,MATCH(AR$2,RLS!$C$25:$BK$25,0),FALSE)-AR$16)*'Unit Distribution'!$E$4,0)</f>
        <v>0</v>
      </c>
      <c r="AS9">
        <f>ROUND((VLOOKUP($E9,RLS!$C$26:$BK$31,MATCH(AS$2,RLS!$C$25:$BK$25,0),FALSE)-AS$16)*'Unit Distribution'!$E$4,0)</f>
        <v>0</v>
      </c>
      <c r="AT9">
        <f>ROUND((VLOOKUP($E9,RLS!$C$26:$BK$31,MATCH(AT$2,RLS!$C$25:$BK$25,0),FALSE)-AT$16)*'Unit Distribution'!$E$4,0)</f>
        <v>0</v>
      </c>
      <c r="AU9">
        <f>ROUND((VLOOKUP($E9,RLS!$C$26:$BK$31,MATCH(AU$2,RLS!$C$25:$BK$25,0),FALSE)-AU$16)*'Unit Distribution'!$E$4,0)</f>
        <v>0</v>
      </c>
      <c r="AV9">
        <f>ROUND((VLOOKUP($E9,RLS!$C$26:$BK$31,MATCH(AV$2,RLS!$C$25:$BK$25,0),FALSE)-AV$16)*'Unit Distribution'!$E$4,0)</f>
        <v>0</v>
      </c>
      <c r="AW9">
        <f>ROUND((VLOOKUP($E9,RLS!$C$26:$BK$31,MATCH(AW$2,RLS!$C$25:$BK$25,0),FALSE)-AW$16)*'Unit Distribution'!$E$4,0)</f>
        <v>0</v>
      </c>
      <c r="AX9">
        <f>ROUND((VLOOKUP($E9,RLS!$C$26:$BK$31,MATCH(AX$2,RLS!$C$25:$BK$25,0),FALSE)-AX$16)*'Unit Distribution'!$E$4,0)</f>
        <v>0</v>
      </c>
      <c r="AY9">
        <f>ROUND((VLOOKUP($E9,RLS!$C$26:$BK$31,MATCH(AY$2,RLS!$C$25:$BK$25,0),FALSE)-AY$16)*'Unit Distribution'!$E$4,0)</f>
        <v>0</v>
      </c>
      <c r="AZ9">
        <f>ROUND((VLOOKUP($E9,RLS!$C$26:$BK$31,MATCH(AZ$2,RLS!$C$25:$BK$25,0),FALSE)-AZ$16)*'Unit Distribution'!$E$4,0)</f>
        <v>0</v>
      </c>
      <c r="BA9">
        <f>ROUND((VLOOKUP($E9,RLS!$C$26:$BK$31,MATCH(BA$2,RLS!$C$25:$BK$25,0),FALSE)-BA$16)*'Unit Distribution'!$E$4,0)</f>
        <v>0</v>
      </c>
      <c r="BB9">
        <f>ROUND((VLOOKUP($E9,RLS!$C$26:$BK$31,MATCH(BB$2,RLS!$C$25:$BK$25,0),FALSE)-BB$16)*'Unit Distribution'!$E$4,0)</f>
        <v>0</v>
      </c>
      <c r="BC9">
        <f>ROUND((VLOOKUP($E9,RLS!$C$26:$BK$31,MATCH(BC$2,RLS!$C$25:$BK$25,0),FALSE)-BC$16)*'Unit Distribution'!$F$4,0)</f>
        <v>0</v>
      </c>
      <c r="BD9">
        <f>ROUND((VLOOKUP($E9,RLS!$C$26:$BK$31,MATCH(BD$2,RLS!$C$25:$BK$25,0),FALSE)-BD$16)*'Unit Distribution'!$F$4,0)</f>
        <v>0</v>
      </c>
      <c r="BE9">
        <f>ROUND((VLOOKUP($E9,RLS!$C$26:$BK$31,MATCH(BE$2,RLS!$C$25:$BK$25,0),FALSE)-BE$16)*'Unit Distribution'!$F$4,0)</f>
        <v>0</v>
      </c>
      <c r="BF9">
        <f>ROUND((VLOOKUP($E9,RLS!$C$26:$BK$31,MATCH(BF$2,RLS!$C$25:$BK$25,0),FALSE)-BF$16)*'Unit Distribution'!$F$4,0)</f>
        <v>0</v>
      </c>
      <c r="BG9">
        <f>ROUND((VLOOKUP($E9,RLS!$C$26:$BK$31,MATCH(BG$2,RLS!$C$25:$BK$25,0),FALSE)-BG$16)*'Unit Distribution'!$F$4,0)</f>
        <v>0</v>
      </c>
      <c r="BH9">
        <f>ROUND((VLOOKUP($E9,RLS!$C$26:$BK$31,MATCH(BH$2,RLS!$C$25:$BK$25,0),FALSE)-BH$16)*'Unit Distribution'!$F$4,0)</f>
        <v>0</v>
      </c>
      <c r="BI9">
        <f>ROUND((VLOOKUP($E9,RLS!$C$26:$BK$31,MATCH(BI$2,RLS!$C$25:$BK$25,0),FALSE)-BI$16)*'Unit Distribution'!$F$4,0)</f>
        <v>0</v>
      </c>
      <c r="BJ9">
        <f>ROUND((VLOOKUP($E9,RLS!$C$26:$BK$31,MATCH(BJ$2,RLS!$C$25:$BK$25,0),FALSE)-BJ$16)*'Unit Distribution'!$F$4,0)</f>
        <v>0</v>
      </c>
      <c r="BK9">
        <f>ROUND((VLOOKUP($E9,RLS!$C$26:$BK$31,MATCH(BK$2,RLS!$C$25:$BK$25,0),FALSE)-BK$16)*'Unit Distribution'!$F$4,0)</f>
        <v>0</v>
      </c>
      <c r="BL9">
        <f>ROUND((VLOOKUP($E9,RLS!$C$26:$BK$31,MATCH(BL$2,RLS!$C$25:$BK$25,0),FALSE)-BL$16)*'Unit Distribution'!$F$4,0)</f>
        <v>0</v>
      </c>
      <c r="BM9">
        <f>ROUND((VLOOKUP($E9,RLS!$C$26:$BK$31,MATCH(BM$2,RLS!$C$25:$BK$25,0),FALSE)-BM$16)*'Unit Distribution'!$F$4,0)</f>
        <v>0</v>
      </c>
      <c r="BN9">
        <f>ROUND((VLOOKUP($E9,RLS!$C$26:$BK$31,MATCH(BN$2,RLS!$C$25:$BK$25,0),FALSE)-BN$16)*'Unit Distribution'!$F$4,0)</f>
        <v>0</v>
      </c>
    </row>
    <row r="10" spans="1:66" x14ac:dyDescent="0.35">
      <c r="A10" t="s">
        <v>71</v>
      </c>
      <c r="B10" t="s">
        <v>69</v>
      </c>
      <c r="C10" t="s">
        <v>111</v>
      </c>
      <c r="D10" t="s">
        <v>67</v>
      </c>
      <c r="E10" t="str">
        <f t="shared" si="0"/>
        <v>DevIndia</v>
      </c>
      <c r="F10" t="s">
        <v>70</v>
      </c>
      <c r="G10" s="14">
        <f>(VLOOKUP($E10,RLS!$C$26:$BK$31,MATCH(G$2,RLS!$C$25:$BK$25,0),FALSE)-G$16)-G7-G8-G9</f>
        <v>1</v>
      </c>
      <c r="H10" s="14">
        <f>(VLOOKUP($E10,RLS!$C$26:$BK$31,MATCH(H$2,RLS!$C$25:$BK$25,0),FALSE)-H$16)-H7-H8-H9</f>
        <v>1</v>
      </c>
      <c r="I10" s="14">
        <f>(VLOOKUP($E10,RLS!$C$26:$BK$31,MATCH(I$2,RLS!$C$25:$BK$25,0),FALSE)-I$16)-I7-I8-I9</f>
        <v>1</v>
      </c>
      <c r="J10" s="14">
        <f>(VLOOKUP($E10,RLS!$C$26:$BK$31,MATCH(J$2,RLS!$C$25:$BK$25,0),FALSE)-J$16)-J7-J8-J9</f>
        <v>1</v>
      </c>
      <c r="K10" s="14">
        <f>(VLOOKUP($E10,RLS!$C$26:$BK$31,MATCH(K$2,RLS!$C$25:$BK$25,0),FALSE)-K$16)-K7-K8-K9</f>
        <v>1</v>
      </c>
      <c r="L10" s="14">
        <f>(VLOOKUP($E10,RLS!$C$26:$BK$31,MATCH(L$2,RLS!$C$25:$BK$25,0),FALSE)-L$16)-L7-L8-L9</f>
        <v>1</v>
      </c>
      <c r="M10" s="14">
        <f>(VLOOKUP($E10,RLS!$C$26:$BK$31,MATCH(M$2,RLS!$C$25:$BK$25,0),FALSE)-M$16)-M7-M8-M9</f>
        <v>1</v>
      </c>
      <c r="N10" s="14">
        <f>(VLOOKUP($E10,RLS!$C$26:$BK$31,MATCH(N$2,RLS!$C$25:$BK$25,0),FALSE)-N$16)-N7-N8-N9</f>
        <v>1</v>
      </c>
      <c r="O10" s="14">
        <f>(VLOOKUP($E10,RLS!$C$26:$BK$31,MATCH(O$2,RLS!$C$25:$BK$25,0),FALSE)-O$16)-O7-O8-O9</f>
        <v>1</v>
      </c>
      <c r="P10" s="14">
        <f>(VLOOKUP($E10,RLS!$C$26:$BK$31,MATCH(P$2,RLS!$C$25:$BK$25,0),FALSE)-P$16)-P7-P8-P9</f>
        <v>1</v>
      </c>
      <c r="Q10" s="14">
        <f>(VLOOKUP($E10,RLS!$C$26:$BK$31,MATCH(Q$2,RLS!$C$25:$BK$25,0),FALSE)-Q$16)-Q7-Q8-Q9</f>
        <v>1</v>
      </c>
      <c r="R10" s="14">
        <f>(VLOOKUP($E10,RLS!$C$26:$BK$31,MATCH(R$2,RLS!$C$25:$BK$25,0),FALSE)-R$16)-R7-R8-R9</f>
        <v>1</v>
      </c>
      <c r="S10" s="14">
        <f>(VLOOKUP($E10,RLS!$C$26:$BK$31,MATCH(S$2,RLS!$C$25:$BK$25,0),FALSE)-S$16)-S7-S8-S9</f>
        <v>1</v>
      </c>
      <c r="T10" s="14">
        <f>(VLOOKUP($E10,RLS!$C$26:$BK$31,MATCH(T$2,RLS!$C$25:$BK$25,0),FALSE)-T$16)-T7-T8-T9</f>
        <v>1</v>
      </c>
      <c r="U10" s="14">
        <f>(VLOOKUP($E10,RLS!$C$26:$BK$31,MATCH(U$2,RLS!$C$25:$BK$25,0),FALSE)-U$16)-U7-U8-U9</f>
        <v>1</v>
      </c>
      <c r="V10" s="14">
        <f>(VLOOKUP($E10,RLS!$C$26:$BK$31,MATCH(V$2,RLS!$C$25:$BK$25,0),FALSE)-V$16)-V7-V8-V9</f>
        <v>1</v>
      </c>
      <c r="W10" s="14">
        <f>(VLOOKUP($E10,RLS!$C$26:$BK$31,MATCH(W$2,RLS!$C$25:$BK$25,0),FALSE)-W$16)-W7-W8-W9</f>
        <v>1</v>
      </c>
      <c r="X10" s="14">
        <f>(VLOOKUP($E10,RLS!$C$26:$BK$31,MATCH(X$2,RLS!$C$25:$BK$25,0),FALSE)-X$16)-X7-X8-X9</f>
        <v>1</v>
      </c>
      <c r="Y10" s="14">
        <f>(VLOOKUP($E10,RLS!$C$26:$BK$31,MATCH(Y$2,RLS!$C$25:$BK$25,0),FALSE)-Y$16)-Y7-Y8-Y9</f>
        <v>1</v>
      </c>
      <c r="Z10" s="14">
        <f>(VLOOKUP($E10,RLS!$C$26:$BK$31,MATCH(Z$2,RLS!$C$25:$BK$25,0),FALSE)-Z$16)-Z7-Z8-Z9</f>
        <v>1</v>
      </c>
      <c r="AA10" s="14">
        <f>(VLOOKUP($E10,RLS!$C$26:$BK$31,MATCH(AA$2,RLS!$C$25:$BK$25,0),FALSE)-AA$16)-AA7-AA8-AA9</f>
        <v>1</v>
      </c>
      <c r="AB10" s="14">
        <f>(VLOOKUP($E10,RLS!$C$26:$BK$31,MATCH(AB$2,RLS!$C$25:$BK$25,0),FALSE)-AB$16)-AB7-AB8-AB9</f>
        <v>1</v>
      </c>
      <c r="AC10" s="14">
        <f>(VLOOKUP($E10,RLS!$C$26:$BK$31,MATCH(AC$2,RLS!$C$25:$BK$25,0),FALSE)-AC$16)-AC7-AC8-AC9</f>
        <v>1</v>
      </c>
      <c r="AD10" s="14">
        <f>(VLOOKUP($E10,RLS!$C$26:$BK$31,MATCH(AD$2,RLS!$C$25:$BK$25,0),FALSE)-AD$16)-AD7-AD8-AD9</f>
        <v>1</v>
      </c>
      <c r="AE10" s="14">
        <f>(VLOOKUP($E10,RLS!$C$26:$BK$31,MATCH(AE$2,RLS!$C$25:$BK$25,0),FALSE)-AE$16)-AE7-AE8-AE9</f>
        <v>2</v>
      </c>
      <c r="AF10" s="14">
        <f>(VLOOKUP($E10,RLS!$C$26:$BK$31,MATCH(AF$2,RLS!$C$25:$BK$25,0),FALSE)-AF$16)-AF7-AF8-AF9</f>
        <v>2</v>
      </c>
      <c r="AG10" s="14">
        <f>(VLOOKUP($E10,RLS!$C$26:$BK$31,MATCH(AG$2,RLS!$C$25:$BK$25,0),FALSE)-AG$16)-AG7-AG8-AG9</f>
        <v>2</v>
      </c>
      <c r="AH10" s="14">
        <f>(VLOOKUP($E10,RLS!$C$26:$BK$31,MATCH(AH$2,RLS!$C$25:$BK$25,0),FALSE)-AH$16)-AH7-AH8-AH9</f>
        <v>2</v>
      </c>
      <c r="AI10" s="14">
        <f>(VLOOKUP($E10,RLS!$C$26:$BK$31,MATCH(AI$2,RLS!$C$25:$BK$25,0),FALSE)-AI$16)-AI7-AI8-AI9</f>
        <v>2</v>
      </c>
      <c r="AJ10" s="14">
        <f>(VLOOKUP($E10,RLS!$C$26:$BK$31,MATCH(AJ$2,RLS!$C$25:$BK$25,0),FALSE)-AJ$16)-AJ7-AJ8-AJ9</f>
        <v>2</v>
      </c>
      <c r="AK10" s="14">
        <f>(VLOOKUP($E10,RLS!$C$26:$BK$31,MATCH(AK$2,RLS!$C$25:$BK$25,0),FALSE)-AK$16)-AK7-AK8-AK9</f>
        <v>2</v>
      </c>
      <c r="AL10" s="14">
        <f>(VLOOKUP($E10,RLS!$C$26:$BK$31,MATCH(AL$2,RLS!$C$25:$BK$25,0),FALSE)-AL$16)-AL7-AL8-AL9</f>
        <v>2</v>
      </c>
      <c r="AM10" s="14">
        <f>(VLOOKUP($E10,RLS!$C$26:$BK$31,MATCH(AM$2,RLS!$C$25:$BK$25,0),FALSE)-AM$16)-AM7-AM8-AM9</f>
        <v>2</v>
      </c>
      <c r="AN10" s="14">
        <f>(VLOOKUP($E10,RLS!$C$26:$BK$31,MATCH(AN$2,RLS!$C$25:$BK$25,0),FALSE)-AN$16)-AN7-AN8-AN9</f>
        <v>2</v>
      </c>
      <c r="AO10" s="14">
        <f>(VLOOKUP($E10,RLS!$C$26:$BK$31,MATCH(AO$2,RLS!$C$25:$BK$25,0),FALSE)-AO$16)-AO7-AO8-AO9</f>
        <v>2</v>
      </c>
      <c r="AP10" s="14">
        <f>(VLOOKUP($E10,RLS!$C$26:$BK$31,MATCH(AP$2,RLS!$C$25:$BK$25,0),FALSE)-AP$16)-AP7-AP8-AP9</f>
        <v>2</v>
      </c>
      <c r="AQ10">
        <f>ROUND((VLOOKUP($E10,RLS!$C$26:$BK$31,MATCH(AQ$2,RLS!$C$25:$BK$25,0),FALSE)-AQ$16)*'Unit Distribution'!$E$5,0)</f>
        <v>0</v>
      </c>
      <c r="AR10">
        <f>ROUND((VLOOKUP($E10,RLS!$C$26:$BK$31,MATCH(AR$2,RLS!$C$25:$BK$25,0),FALSE)-AR$16)*'Unit Distribution'!$E$5,0)</f>
        <v>0</v>
      </c>
      <c r="AS10">
        <f>ROUND((VLOOKUP($E10,RLS!$C$26:$BK$31,MATCH(AS$2,RLS!$C$25:$BK$25,0),FALSE)-AS$16)*'Unit Distribution'!$E$5,0)</f>
        <v>0</v>
      </c>
      <c r="AT10">
        <f>ROUND((VLOOKUP($E10,RLS!$C$26:$BK$31,MATCH(AT$2,RLS!$C$25:$BK$25,0),FALSE)-AT$16)*'Unit Distribution'!$E$5,0)</f>
        <v>0</v>
      </c>
      <c r="AU10">
        <f>ROUND((VLOOKUP($E10,RLS!$C$26:$BK$31,MATCH(AU$2,RLS!$C$25:$BK$25,0),FALSE)-AU$16)*'Unit Distribution'!$E$5,0)</f>
        <v>0</v>
      </c>
      <c r="AV10">
        <f>ROUND((VLOOKUP($E10,RLS!$C$26:$BK$31,MATCH(AV$2,RLS!$C$25:$BK$25,0),FALSE)-AV$16)*'Unit Distribution'!$E$5,0)</f>
        <v>0</v>
      </c>
      <c r="AW10">
        <f>ROUND((VLOOKUP($E10,RLS!$C$26:$BK$31,MATCH(AW$2,RLS!$C$25:$BK$25,0),FALSE)-AW$16)*'Unit Distribution'!$E$5,0)</f>
        <v>0</v>
      </c>
      <c r="AX10">
        <f>ROUND((VLOOKUP($E10,RLS!$C$26:$BK$31,MATCH(AX$2,RLS!$C$25:$BK$25,0),FALSE)-AX$16)*'Unit Distribution'!$E$5,0)</f>
        <v>0</v>
      </c>
      <c r="AY10">
        <f>ROUND((VLOOKUP($E10,RLS!$C$26:$BK$31,MATCH(AY$2,RLS!$C$25:$BK$25,0),FALSE)-AY$16)*'Unit Distribution'!$E$5,0)</f>
        <v>0</v>
      </c>
      <c r="AZ10">
        <f>ROUND((VLOOKUP($E10,RLS!$C$26:$BK$31,MATCH(AZ$2,RLS!$C$25:$BK$25,0),FALSE)-AZ$16)*'Unit Distribution'!$E$5,0)</f>
        <v>0</v>
      </c>
      <c r="BA10">
        <f>ROUND((VLOOKUP($E10,RLS!$C$26:$BK$31,MATCH(BA$2,RLS!$C$25:$BK$25,0),FALSE)-BA$16)*'Unit Distribution'!$E$5,0)</f>
        <v>0</v>
      </c>
      <c r="BB10">
        <f>ROUND((VLOOKUP($E10,RLS!$C$26:$BK$31,MATCH(BB$2,RLS!$C$25:$BK$25,0),FALSE)-BB$16)*'Unit Distribution'!$E$5,0)</f>
        <v>0</v>
      </c>
      <c r="BC10">
        <f>ROUND((VLOOKUP($E10,RLS!$C$26:$BK$31,MATCH(BC$2,RLS!$C$25:$BK$25,0),FALSE)-BC$16)*'Unit Distribution'!$F$5,0)</f>
        <v>0</v>
      </c>
      <c r="BD10">
        <f>ROUND((VLOOKUP($E10,RLS!$C$26:$BK$31,MATCH(BD$2,RLS!$C$25:$BK$25,0),FALSE)-BD$16)*'Unit Distribution'!$F$5,0)</f>
        <v>0</v>
      </c>
      <c r="BE10">
        <f>ROUND((VLOOKUP($E10,RLS!$C$26:$BK$31,MATCH(BE$2,RLS!$C$25:$BK$25,0),FALSE)-BE$16)*'Unit Distribution'!$F$5,0)</f>
        <v>0</v>
      </c>
      <c r="BF10">
        <f>ROUND((VLOOKUP($E10,RLS!$C$26:$BK$31,MATCH(BF$2,RLS!$C$25:$BK$25,0),FALSE)-BF$16)*'Unit Distribution'!$F$5,0)</f>
        <v>0</v>
      </c>
      <c r="BG10">
        <f>ROUND((VLOOKUP($E10,RLS!$C$26:$BK$31,MATCH(BG$2,RLS!$C$25:$BK$25,0),FALSE)-BG$16)*'Unit Distribution'!$F$5,0)</f>
        <v>0</v>
      </c>
      <c r="BH10">
        <f>ROUND((VLOOKUP($E10,RLS!$C$26:$BK$31,MATCH(BH$2,RLS!$C$25:$BK$25,0),FALSE)-BH$16)*'Unit Distribution'!$F$5,0)</f>
        <v>0</v>
      </c>
      <c r="BI10">
        <f>ROUND((VLOOKUP($E10,RLS!$C$26:$BK$31,MATCH(BI$2,RLS!$C$25:$BK$25,0),FALSE)-BI$16)*'Unit Distribution'!$F$5,0)</f>
        <v>0</v>
      </c>
      <c r="BJ10">
        <f>ROUND((VLOOKUP($E10,RLS!$C$26:$BK$31,MATCH(BJ$2,RLS!$C$25:$BK$25,0),FALSE)-BJ$16)*'Unit Distribution'!$F$5,0)</f>
        <v>0</v>
      </c>
      <c r="BK10">
        <f>ROUND((VLOOKUP($E10,RLS!$C$26:$BK$31,MATCH(BK$2,RLS!$C$25:$BK$25,0),FALSE)-BK$16)*'Unit Distribution'!$F$5,0)</f>
        <v>0</v>
      </c>
      <c r="BL10">
        <f>ROUND((VLOOKUP($E10,RLS!$C$26:$BK$31,MATCH(BL$2,RLS!$C$25:$BK$25,0),FALSE)-BL$16)*'Unit Distribution'!$F$5,0)</f>
        <v>0</v>
      </c>
      <c r="BM10">
        <f>ROUND((VLOOKUP($E10,RLS!$C$26:$BK$31,MATCH(BM$2,RLS!$C$25:$BK$25,0),FALSE)-BM$16)*'Unit Distribution'!$F$5,0)</f>
        <v>0</v>
      </c>
      <c r="BN10">
        <f>ROUND((VLOOKUP($E10,RLS!$C$26:$BK$31,MATCH(BN$2,RLS!$C$25:$BK$25,0),FALSE)-BN$16)*'Unit Distribution'!$F$5,0)</f>
        <v>0</v>
      </c>
    </row>
    <row r="11" spans="1:66" x14ac:dyDescent="0.35">
      <c r="A11" t="s">
        <v>72</v>
      </c>
      <c r="B11" t="s">
        <v>66</v>
      </c>
      <c r="C11" t="s">
        <v>109</v>
      </c>
      <c r="D11" t="s">
        <v>67</v>
      </c>
      <c r="E11" t="str">
        <f t="shared" si="0"/>
        <v>TesterIndia</v>
      </c>
      <c r="F11" t="s">
        <v>68</v>
      </c>
      <c r="G11" s="14">
        <f>ROUND((VLOOKUP($E11,RLS!$C$26:$BK$31,MATCH(G$2,RLS!$C$25:$BK$25,0),FALSE)-G$59)*'Unit Distribution'!$B$3,0)</f>
        <v>1</v>
      </c>
      <c r="H11" s="14">
        <f>ROUND((VLOOKUP($E11,RLS!$C$26:$BK$31,MATCH(H$2,RLS!$C$25:$BK$25,0),FALSE)-H$59)*'Unit Distribution'!$B$3,0)</f>
        <v>1</v>
      </c>
      <c r="I11" s="14">
        <f>ROUND((VLOOKUP($E11,RLS!$C$26:$BK$31,MATCH(I$2,RLS!$C$25:$BK$25,0),FALSE)-I$59)*'Unit Distribution'!$B$3,0)</f>
        <v>1</v>
      </c>
      <c r="J11" s="14">
        <f>ROUND((VLOOKUP($E11,RLS!$C$26:$BK$31,MATCH(J$2,RLS!$C$25:$BK$25,0),FALSE)-J$59)*'Unit Distribution'!$B$3,0)</f>
        <v>1</v>
      </c>
      <c r="K11" s="14">
        <f>ROUND((VLOOKUP($E11,RLS!$C$26:$BK$31,MATCH(K$2,RLS!$C$25:$BK$25,0),FALSE)-K$59)*'Unit Distribution'!$B$3,0)</f>
        <v>1</v>
      </c>
      <c r="L11" s="14">
        <f>ROUND((VLOOKUP($E11,RLS!$C$26:$BK$31,MATCH(L$2,RLS!$C$25:$BK$25,0),FALSE)-L$59)*'Unit Distribution'!$B$3,0)</f>
        <v>1</v>
      </c>
      <c r="M11" s="14">
        <f>ROUND((VLOOKUP($E11,RLS!$C$26:$BK$31,MATCH(M$2,RLS!$C$25:$BK$25,0),FALSE)-M$59)*'Unit Distribution'!$B$3,0)</f>
        <v>1</v>
      </c>
      <c r="N11" s="14">
        <f>ROUND((VLOOKUP($E11,RLS!$C$26:$BK$31,MATCH(N$2,RLS!$C$25:$BK$25,0),FALSE)-N$59)*'Unit Distribution'!$B$3,0)</f>
        <v>1</v>
      </c>
      <c r="O11" s="14">
        <f>ROUND((VLOOKUP($E11,RLS!$C$26:$BK$31,MATCH(O$2,RLS!$C$25:$BK$25,0),FALSE)-O$59)*'Unit Distribution'!$B$3,0)</f>
        <v>1</v>
      </c>
      <c r="P11" s="14">
        <f>ROUND((VLOOKUP($E11,RLS!$C$26:$BK$31,MATCH(P$2,RLS!$C$25:$BK$25,0),FALSE)-P$59)*'Unit Distribution'!$B$3,0)</f>
        <v>1</v>
      </c>
      <c r="Q11" s="14">
        <f>ROUND((VLOOKUP($E11,RLS!$C$26:$BK$31,MATCH(Q$2,RLS!$C$25:$BK$25,0),FALSE)-Q$59)*'Unit Distribution'!$B$3,0)</f>
        <v>1</v>
      </c>
      <c r="R11" s="14">
        <f>ROUND((VLOOKUP($E11,RLS!$C$26:$BK$31,MATCH(R$2,RLS!$C$25:$BK$25,0),FALSE)-R$59)*'Unit Distribution'!$B$3,0)</f>
        <v>1</v>
      </c>
      <c r="S11" s="14">
        <f>ROUND((VLOOKUP($E11,RLS!$C$26:$BK$31,MATCH(S$2,RLS!$C$25:$BK$25,0),FALSE)-S$59)*'Unit Distribution'!$C$3,0)</f>
        <v>1</v>
      </c>
      <c r="T11" s="14">
        <f>ROUND((VLOOKUP($E11,RLS!$C$26:$BK$31,MATCH(T$2,RLS!$C$25:$BK$25,0),FALSE)-T$59)*'Unit Distribution'!$C$3,0)</f>
        <v>1</v>
      </c>
      <c r="U11" s="14">
        <f>ROUND((VLOOKUP($E11,RLS!$C$26:$BK$31,MATCH(U$2,RLS!$C$25:$BK$25,0),FALSE)-U$59)*'Unit Distribution'!$C$3,0)</f>
        <v>1</v>
      </c>
      <c r="V11" s="14">
        <f>ROUND((VLOOKUP($E11,RLS!$C$26:$BK$31,MATCH(V$2,RLS!$C$25:$BK$25,0),FALSE)-V$59)*'Unit Distribution'!$C$3,0)</f>
        <v>1</v>
      </c>
      <c r="W11" s="14">
        <f>ROUND((VLOOKUP($E11,RLS!$C$26:$BK$31,MATCH(W$2,RLS!$C$25:$BK$25,0),FALSE)-W$59)*'Unit Distribution'!$C$3,0)</f>
        <v>1</v>
      </c>
      <c r="X11" s="14">
        <f>ROUND((VLOOKUP($E11,RLS!$C$26:$BK$31,MATCH(X$2,RLS!$C$25:$BK$25,0),FALSE)-X$59)*'Unit Distribution'!$C$3,0)</f>
        <v>1</v>
      </c>
      <c r="Y11" s="14">
        <f>ROUND((VLOOKUP($E11,RLS!$C$26:$BK$31,MATCH(Y$2,RLS!$C$25:$BK$25,0),FALSE)-Y$59)*'Unit Distribution'!$C$3,0)</f>
        <v>1</v>
      </c>
      <c r="Z11" s="14">
        <f>ROUND((VLOOKUP($E11,RLS!$C$26:$BK$31,MATCH(Z$2,RLS!$C$25:$BK$25,0),FALSE)-Z$59)*'Unit Distribution'!$C$3,0)</f>
        <v>1</v>
      </c>
      <c r="AA11" s="14">
        <f>ROUND((VLOOKUP($E11,RLS!$C$26:$BK$31,MATCH(AA$2,RLS!$C$25:$BK$25,0),FALSE)-AA$59)*'Unit Distribution'!$C$3,0)</f>
        <v>1</v>
      </c>
      <c r="AB11" s="14">
        <f>ROUND((VLOOKUP($E11,RLS!$C$26:$BK$31,MATCH(AB$2,RLS!$C$25:$BK$25,0),FALSE)-AB$59)*'Unit Distribution'!$C$3,0)</f>
        <v>1</v>
      </c>
      <c r="AC11" s="14">
        <f>ROUND((VLOOKUP($E11,RLS!$C$26:$BK$31,MATCH(AC$2,RLS!$C$25:$BK$25,0),FALSE)-AC$59)*'Unit Distribution'!$C$3,0)</f>
        <v>1</v>
      </c>
      <c r="AD11" s="14">
        <f>ROUND((VLOOKUP($E11,RLS!$C$26:$BK$31,MATCH(AD$2,RLS!$C$25:$BK$25,0),FALSE)-AD$59)*'Unit Distribution'!$C$3,0)</f>
        <v>1</v>
      </c>
      <c r="AE11" s="14">
        <f>ROUND((VLOOKUP($E11,RLS!$C$26:$BK$31,MATCH(AE$2,RLS!$C$25:$BK$25,0),FALSE)-AE$59)*'Unit Distribution'!$D$3,0)</f>
        <v>1</v>
      </c>
      <c r="AF11" s="14">
        <f>ROUND((VLOOKUP($E11,RLS!$C$26:$BK$31,MATCH(AF$2,RLS!$C$25:$BK$25,0),FALSE)-AF$59)*'Unit Distribution'!$D$3,0)</f>
        <v>1</v>
      </c>
      <c r="AG11" s="14">
        <f>ROUND((VLOOKUP($E11,RLS!$C$26:$BK$31,MATCH(AG$2,RLS!$C$25:$BK$25,0),FALSE)-AG$59)*'Unit Distribution'!$D$3,0)</f>
        <v>1</v>
      </c>
      <c r="AH11" s="14">
        <f>ROUND((VLOOKUP($E11,RLS!$C$26:$BK$31,MATCH(AH$2,RLS!$C$25:$BK$25,0),FALSE)-AH$59)*'Unit Distribution'!$D$3,0)</f>
        <v>1</v>
      </c>
      <c r="AI11" s="14">
        <f>ROUND((VLOOKUP($E11,RLS!$C$26:$BK$31,MATCH(AI$2,RLS!$C$25:$BK$25,0),FALSE)-AI$59)*'Unit Distribution'!$D$3,0)</f>
        <v>1</v>
      </c>
      <c r="AJ11" s="14">
        <f>ROUND((VLOOKUP($E11,RLS!$C$26:$BK$31,MATCH(AJ$2,RLS!$C$25:$BK$25,0),FALSE)-AJ$59)*'Unit Distribution'!$D$3,0)</f>
        <v>1</v>
      </c>
      <c r="AK11" s="14">
        <f>ROUND((VLOOKUP($E11,RLS!$C$26:$BK$31,MATCH(AK$2,RLS!$C$25:$BK$25,0),FALSE)-AK$59)*'Unit Distribution'!$D$3,0)</f>
        <v>1</v>
      </c>
      <c r="AL11" s="14">
        <f>ROUND((VLOOKUP($E11,RLS!$C$26:$BK$31,MATCH(AL$2,RLS!$C$25:$BK$25,0),FALSE)-AL$59)*'Unit Distribution'!$D$3,0)</f>
        <v>1</v>
      </c>
      <c r="AM11" s="14">
        <f>ROUND((VLOOKUP($E11,RLS!$C$26:$BK$31,MATCH(AM$2,RLS!$C$25:$BK$25,0),FALSE)-AM$59)*'Unit Distribution'!$D$3,0)</f>
        <v>1</v>
      </c>
      <c r="AN11" s="14">
        <f>ROUND((VLOOKUP($E11,RLS!$C$26:$BK$31,MATCH(AN$2,RLS!$C$25:$BK$25,0),FALSE)-AN$59)*'Unit Distribution'!$D$3,0)</f>
        <v>1</v>
      </c>
      <c r="AO11" s="14">
        <f>ROUND((VLOOKUP($E11,RLS!$C$26:$BK$31,MATCH(AO$2,RLS!$C$25:$BK$25,0),FALSE)-AO$59)*'Unit Distribution'!$D$3,0)</f>
        <v>1</v>
      </c>
      <c r="AP11" s="14">
        <f>ROUND((VLOOKUP($E11,RLS!$C$26:$BK$31,MATCH(AP$2,RLS!$C$25:$BK$25,0),FALSE)-AP$59)*'Unit Distribution'!$D$3,0)</f>
        <v>1</v>
      </c>
      <c r="AQ11">
        <f>ROUND((VLOOKUP($E11,RLS!$C$26:$BK$31,MATCH(AQ$2,RLS!$C$25:$BK$25,0),FALSE)-AQ$59)*'Unit Distribution'!$E$3,0)</f>
        <v>2</v>
      </c>
      <c r="AR11">
        <f>ROUND((VLOOKUP($E11,RLS!$C$26:$BK$31,MATCH(AR$2,RLS!$C$25:$BK$25,0),FALSE)-AR$59)*'Unit Distribution'!$E$3,0)</f>
        <v>2</v>
      </c>
      <c r="AS11">
        <f>ROUND((VLOOKUP($E11,RLS!$C$26:$BK$31,MATCH(AS$2,RLS!$C$25:$BK$25,0),FALSE)-AS$59)*'Unit Distribution'!$E$3,0)</f>
        <v>2</v>
      </c>
      <c r="AT11">
        <f>ROUND((VLOOKUP($E11,RLS!$C$26:$BK$31,MATCH(AT$2,RLS!$C$25:$BK$25,0),FALSE)-AT$59)*'Unit Distribution'!$E$3,0)</f>
        <v>2</v>
      </c>
      <c r="AU11">
        <f>ROUND((VLOOKUP($E11,RLS!$C$26:$BK$31,MATCH(AU$2,RLS!$C$25:$BK$25,0),FALSE)-AU$59)*'Unit Distribution'!$E$3,0)</f>
        <v>2</v>
      </c>
      <c r="AV11">
        <f>ROUND((VLOOKUP($E11,RLS!$C$26:$BK$31,MATCH(AV$2,RLS!$C$25:$BK$25,0),FALSE)-AV$59)*'Unit Distribution'!$E$3,0)</f>
        <v>2</v>
      </c>
      <c r="AW11">
        <f>ROUND((VLOOKUP($E11,RLS!$C$26:$BK$31,MATCH(AW$2,RLS!$C$25:$BK$25,0),FALSE)-AW$59)*'Unit Distribution'!$E$3,0)</f>
        <v>2</v>
      </c>
      <c r="AX11">
        <f>ROUND((VLOOKUP($E11,RLS!$C$26:$BK$31,MATCH(AX$2,RLS!$C$25:$BK$25,0),FALSE)-AX$59)*'Unit Distribution'!$E$3,0)</f>
        <v>2</v>
      </c>
      <c r="AY11">
        <f>ROUND((VLOOKUP($E11,RLS!$C$26:$BK$31,MATCH(AY$2,RLS!$C$25:$BK$25,0),FALSE)-AY$59)*'Unit Distribution'!$E$3,0)</f>
        <v>2</v>
      </c>
      <c r="AZ11">
        <f>ROUND((VLOOKUP($E11,RLS!$C$26:$BK$31,MATCH(AZ$2,RLS!$C$25:$BK$25,0),FALSE)-AZ$59)*'Unit Distribution'!$E$3,0)</f>
        <v>2</v>
      </c>
      <c r="BA11">
        <f>ROUND((VLOOKUP($E11,RLS!$C$26:$BK$31,MATCH(BA$2,RLS!$C$25:$BK$25,0),FALSE)-BA$59)*'Unit Distribution'!$E$3,0)</f>
        <v>2</v>
      </c>
      <c r="BB11">
        <f>ROUND((VLOOKUP($E11,RLS!$C$26:$BK$31,MATCH(BB$2,RLS!$C$25:$BK$25,0),FALSE)-BB$59)*'Unit Distribution'!$E$3,0)</f>
        <v>2</v>
      </c>
      <c r="BC11">
        <f>ROUND((VLOOKUP($E11,RLS!$C$26:$BK$31,MATCH(BC$2,RLS!$C$25:$BK$25,0),FALSE)-BC$59)*'Unit Distribution'!$F$3,0)</f>
        <v>2</v>
      </c>
      <c r="BD11">
        <f>ROUND((VLOOKUP($E11,RLS!$C$26:$BK$31,MATCH(BD$2,RLS!$C$25:$BK$25,0),FALSE)-BD$59)*'Unit Distribution'!$F$3,0)</f>
        <v>2</v>
      </c>
      <c r="BE11">
        <f>ROUND((VLOOKUP($E11,RLS!$C$26:$BK$31,MATCH(BE$2,RLS!$C$25:$BK$25,0),FALSE)-BE$59)*'Unit Distribution'!$F$3,0)</f>
        <v>2</v>
      </c>
      <c r="BF11">
        <f>ROUND((VLOOKUP($E11,RLS!$C$26:$BK$31,MATCH(BF$2,RLS!$C$25:$BK$25,0),FALSE)-BF$59)*'Unit Distribution'!$F$3,0)</f>
        <v>2</v>
      </c>
      <c r="BG11">
        <f>ROUND((VLOOKUP($E11,RLS!$C$26:$BK$31,MATCH(BG$2,RLS!$C$25:$BK$25,0),FALSE)-BG$59)*'Unit Distribution'!$F$3,0)</f>
        <v>2</v>
      </c>
      <c r="BH11">
        <f>ROUND((VLOOKUP($E11,RLS!$C$26:$BK$31,MATCH(BH$2,RLS!$C$25:$BK$25,0),FALSE)-BH$59)*'Unit Distribution'!$F$3,0)</f>
        <v>2</v>
      </c>
      <c r="BI11">
        <f>ROUND((VLOOKUP($E11,RLS!$C$26:$BK$31,MATCH(BI$2,RLS!$C$25:$BK$25,0),FALSE)-BI$59)*'Unit Distribution'!$F$3,0)</f>
        <v>2</v>
      </c>
      <c r="BJ11">
        <f>ROUND((VLOOKUP($E11,RLS!$C$26:$BK$31,MATCH(BJ$2,RLS!$C$25:$BK$25,0),FALSE)-BJ$59)*'Unit Distribution'!$F$3,0)</f>
        <v>2</v>
      </c>
      <c r="BK11">
        <f>ROUND((VLOOKUP($E11,RLS!$C$26:$BK$31,MATCH(BK$2,RLS!$C$25:$BK$25,0),FALSE)-BK$59)*'Unit Distribution'!$F$3,0)</f>
        <v>2</v>
      </c>
      <c r="BL11">
        <f>ROUND((VLOOKUP($E11,RLS!$C$26:$BK$31,MATCH(BL$2,RLS!$C$25:$BK$25,0),FALSE)-BL$59)*'Unit Distribution'!$F$3,0)</f>
        <v>2</v>
      </c>
      <c r="BM11">
        <f>ROUND((VLOOKUP($E11,RLS!$C$26:$BK$31,MATCH(BM$2,RLS!$C$25:$BK$25,0),FALSE)-BM$59)*'Unit Distribution'!$F$3,0)</f>
        <v>2</v>
      </c>
      <c r="BN11">
        <f>ROUND((VLOOKUP($E11,RLS!$C$26:$BK$31,MATCH(BN$2,RLS!$C$25:$BK$25,0),FALSE)-BN$59)*'Unit Distribution'!$F$3,0)</f>
        <v>2</v>
      </c>
    </row>
    <row r="12" spans="1:66" x14ac:dyDescent="0.35">
      <c r="A12" t="s">
        <v>72</v>
      </c>
      <c r="B12" t="s">
        <v>66</v>
      </c>
      <c r="C12" t="s">
        <v>109</v>
      </c>
      <c r="D12" t="s">
        <v>67</v>
      </c>
      <c r="E12" t="str">
        <f t="shared" si="0"/>
        <v>TesterIndia</v>
      </c>
      <c r="F12" t="s">
        <v>68</v>
      </c>
      <c r="G12" s="14">
        <f>ROUND((VLOOKUP($E12,RLS!$C$26:$BK$31,MATCH(G$2,RLS!$C$25:$BK$25,0),FALSE)-G$59)*'Unit Distribution'!$B$6,0)</f>
        <v>0</v>
      </c>
      <c r="H12" s="14">
        <f>ROUND((VLOOKUP($E12,RLS!$C$26:$BK$31,MATCH(H$2,RLS!$C$25:$BK$25,0),FALSE)-H$59)*'Unit Distribution'!$B$6,0)</f>
        <v>0</v>
      </c>
      <c r="I12" s="14">
        <f>ROUND((VLOOKUP($E12,RLS!$C$26:$BK$31,MATCH(I$2,RLS!$C$25:$BK$25,0),FALSE)-I$59)*'Unit Distribution'!$B$6,0)</f>
        <v>0</v>
      </c>
      <c r="J12" s="14">
        <f>ROUND((VLOOKUP($E12,RLS!$C$26:$BK$31,MATCH(J$2,RLS!$C$25:$BK$25,0),FALSE)-J$59)*'Unit Distribution'!$B$6,0)</f>
        <v>0</v>
      </c>
      <c r="K12" s="14">
        <f>ROUND((VLOOKUP($E12,RLS!$C$26:$BK$31,MATCH(K$2,RLS!$C$25:$BK$25,0),FALSE)-K$59)*'Unit Distribution'!$B$6,0)</f>
        <v>0</v>
      </c>
      <c r="L12" s="14">
        <f>ROUND((VLOOKUP($E12,RLS!$C$26:$BK$31,MATCH(L$2,RLS!$C$25:$BK$25,0),FALSE)-L$59)*'Unit Distribution'!$B$6,0)</f>
        <v>0</v>
      </c>
      <c r="M12" s="14">
        <f>ROUND((VLOOKUP($E12,RLS!$C$26:$BK$31,MATCH(M$2,RLS!$C$25:$BK$25,0),FALSE)-M$59)*'Unit Distribution'!$B$6,0)</f>
        <v>0</v>
      </c>
      <c r="N12" s="14">
        <f>ROUND((VLOOKUP($E12,RLS!$C$26:$BK$31,MATCH(N$2,RLS!$C$25:$BK$25,0),FALSE)-N$59)*'Unit Distribution'!$B$6,0)</f>
        <v>0</v>
      </c>
      <c r="O12" s="14">
        <f>ROUND((VLOOKUP($E12,RLS!$C$26:$BK$31,MATCH(O$2,RLS!$C$25:$BK$25,0),FALSE)-O$59)*'Unit Distribution'!$B$6,0)</f>
        <v>0</v>
      </c>
      <c r="P12" s="14">
        <f>ROUND((VLOOKUP($E12,RLS!$C$26:$BK$31,MATCH(P$2,RLS!$C$25:$BK$25,0),FALSE)-P$59)*'Unit Distribution'!$B$6,0)</f>
        <v>0</v>
      </c>
      <c r="Q12" s="14">
        <f>ROUND((VLOOKUP($E12,RLS!$C$26:$BK$31,MATCH(Q$2,RLS!$C$25:$BK$25,0),FALSE)-Q$59)*'Unit Distribution'!$B$6,0)</f>
        <v>0</v>
      </c>
      <c r="R12" s="14">
        <f>ROUND((VLOOKUP($E12,RLS!$C$26:$BK$31,MATCH(R$2,RLS!$C$25:$BK$25,0),FALSE)-R$59)*'Unit Distribution'!$B$6,0)</f>
        <v>0</v>
      </c>
      <c r="S12" s="14">
        <f>ROUND((VLOOKUP($E12,RLS!$C$26:$BK$31,MATCH(S$2,RLS!$C$25:$BK$25,0),FALSE)-S$59)*'Unit Distribution'!$C$6,0)</f>
        <v>0</v>
      </c>
      <c r="T12" s="14">
        <f>ROUND((VLOOKUP($E12,RLS!$C$26:$BK$31,MATCH(T$2,RLS!$C$25:$BK$25,0),FALSE)-T$59)*'Unit Distribution'!$C$6,0)</f>
        <v>0</v>
      </c>
      <c r="U12" s="14">
        <f>ROUND((VLOOKUP($E12,RLS!$C$26:$BK$31,MATCH(U$2,RLS!$C$25:$BK$25,0),FALSE)-U$59)*'Unit Distribution'!$C$6,0)</f>
        <v>0</v>
      </c>
      <c r="V12" s="14">
        <f>ROUND((VLOOKUP($E12,RLS!$C$26:$BK$31,MATCH(V$2,RLS!$C$25:$BK$25,0),FALSE)-V$59)*'Unit Distribution'!$C$6,0)</f>
        <v>0</v>
      </c>
      <c r="W12" s="14">
        <f>ROUND((VLOOKUP($E12,RLS!$C$26:$BK$31,MATCH(W$2,RLS!$C$25:$BK$25,0),FALSE)-W$59)*'Unit Distribution'!$C$6,0)</f>
        <v>0</v>
      </c>
      <c r="X12" s="14">
        <f>ROUND((VLOOKUP($E12,RLS!$C$26:$BK$31,MATCH(X$2,RLS!$C$25:$BK$25,0),FALSE)-X$59)*'Unit Distribution'!$C$6,0)</f>
        <v>0</v>
      </c>
      <c r="Y12" s="14">
        <f>ROUND((VLOOKUP($E12,RLS!$C$26:$BK$31,MATCH(Y$2,RLS!$C$25:$BK$25,0),FALSE)-Y$59)*'Unit Distribution'!$C$6,0)</f>
        <v>0</v>
      </c>
      <c r="Z12" s="14">
        <f>ROUND((VLOOKUP($E12,RLS!$C$26:$BK$31,MATCH(Z$2,RLS!$C$25:$BK$25,0),FALSE)-Z$59)*'Unit Distribution'!$C$6,0)</f>
        <v>0</v>
      </c>
      <c r="AA12" s="14">
        <f>ROUND((VLOOKUP($E12,RLS!$C$26:$BK$31,MATCH(AA$2,RLS!$C$25:$BK$25,0),FALSE)-AA$59)*'Unit Distribution'!$C$6,0)</f>
        <v>0</v>
      </c>
      <c r="AB12" s="14">
        <f>ROUND((VLOOKUP($E12,RLS!$C$26:$BK$31,MATCH(AB$2,RLS!$C$25:$BK$25,0),FALSE)-AB$59)*'Unit Distribution'!$C$6,0)</f>
        <v>0</v>
      </c>
      <c r="AC12" s="14">
        <f>ROUND((VLOOKUP($E12,RLS!$C$26:$BK$31,MATCH(AC$2,RLS!$C$25:$BK$25,0),FALSE)-AC$59)*'Unit Distribution'!$C$6,0)</f>
        <v>0</v>
      </c>
      <c r="AD12" s="14">
        <f>ROUND((VLOOKUP($E12,RLS!$C$26:$BK$31,MATCH(AD$2,RLS!$C$25:$BK$25,0),FALSE)-AD$59)*'Unit Distribution'!$C$6,0)</f>
        <v>0</v>
      </c>
      <c r="AE12" s="14">
        <f>ROUND((VLOOKUP($E12,RLS!$C$26:$BK$31,MATCH(AE$2,RLS!$C$25:$BK$25,0),FALSE)-AE$59)*'Unit Distribution'!$D$6,0)</f>
        <v>0</v>
      </c>
      <c r="AF12" s="14">
        <f>ROUND((VLOOKUP($E12,RLS!$C$26:$BK$31,MATCH(AF$2,RLS!$C$25:$BK$25,0),FALSE)-AF$59)*'Unit Distribution'!$D$6,0)</f>
        <v>0</v>
      </c>
      <c r="AG12" s="14">
        <f>ROUND((VLOOKUP($E12,RLS!$C$26:$BK$31,MATCH(AG$2,RLS!$C$25:$BK$25,0),FALSE)-AG$59)*'Unit Distribution'!$D$6,0)</f>
        <v>0</v>
      </c>
      <c r="AH12" s="14">
        <f>ROUND((VLOOKUP($E12,RLS!$C$26:$BK$31,MATCH(AH$2,RLS!$C$25:$BK$25,0),FALSE)-AH$59)*'Unit Distribution'!$D$6,0)</f>
        <v>0</v>
      </c>
      <c r="AI12" s="14">
        <f>ROUND((VLOOKUP($E12,RLS!$C$26:$BK$31,MATCH(AI$2,RLS!$C$25:$BK$25,0),FALSE)-AI$59)*'Unit Distribution'!$D$6,0)</f>
        <v>0</v>
      </c>
      <c r="AJ12" s="14">
        <f>ROUND((VLOOKUP($E12,RLS!$C$26:$BK$31,MATCH(AJ$2,RLS!$C$25:$BK$25,0),FALSE)-AJ$59)*'Unit Distribution'!$D$6,0)</f>
        <v>0</v>
      </c>
      <c r="AK12" s="14">
        <f>ROUND((VLOOKUP($E12,RLS!$C$26:$BK$31,MATCH(AK$2,RLS!$C$25:$BK$25,0),FALSE)-AK$59)*'Unit Distribution'!$D$6,0)</f>
        <v>0</v>
      </c>
      <c r="AL12" s="14">
        <f>ROUND((VLOOKUP($E12,RLS!$C$26:$BK$31,MATCH(AL$2,RLS!$C$25:$BK$25,0),FALSE)-AL$59)*'Unit Distribution'!$D$6,0)</f>
        <v>0</v>
      </c>
      <c r="AM12" s="14">
        <f>ROUND((VLOOKUP($E12,RLS!$C$26:$BK$31,MATCH(AM$2,RLS!$C$25:$BK$25,0),FALSE)-AM$59)*'Unit Distribution'!$D$6,0)</f>
        <v>0</v>
      </c>
      <c r="AN12" s="14">
        <f>ROUND((VLOOKUP($E12,RLS!$C$26:$BK$31,MATCH(AN$2,RLS!$C$25:$BK$25,0),FALSE)-AN$59)*'Unit Distribution'!$D$6,0)</f>
        <v>0</v>
      </c>
      <c r="AO12" s="14">
        <f>ROUND((VLOOKUP($E12,RLS!$C$26:$BK$31,MATCH(AO$2,RLS!$C$25:$BK$25,0),FALSE)-AO$59)*'Unit Distribution'!$D$6,0)</f>
        <v>0</v>
      </c>
      <c r="AP12" s="14">
        <f>ROUND((VLOOKUP($E12,RLS!$C$26:$BK$31,MATCH(AP$2,RLS!$C$25:$BK$25,0),FALSE)-AP$59)*'Unit Distribution'!$D$6,0)</f>
        <v>0</v>
      </c>
      <c r="AQ12">
        <f>(VLOOKUP($E12,RLS!$C$26:$BK$31,MATCH(AQ$2,RLS!$C$25:$BK$25,0),FALSE)-AQ$59)-AQ11-AQ13-AQ14</f>
        <v>2</v>
      </c>
      <c r="AR12">
        <f>(VLOOKUP($E12,RLS!$C$26:$BK$31,MATCH(AR$2,RLS!$C$25:$BK$25,0),FALSE)-AR$59)-AR11-AR13-AR14</f>
        <v>2</v>
      </c>
      <c r="AS12">
        <f>(VLOOKUP($E12,RLS!$C$26:$BK$31,MATCH(AS$2,RLS!$C$25:$BK$25,0),FALSE)-AS$59)-AS11-AS13-AS14</f>
        <v>2</v>
      </c>
      <c r="AT12">
        <f>(VLOOKUP($E12,RLS!$C$26:$BK$31,MATCH(AT$2,RLS!$C$25:$BK$25,0),FALSE)-AT$59)-AT11-AT13-AT14</f>
        <v>2</v>
      </c>
      <c r="AU12">
        <f>(VLOOKUP($E12,RLS!$C$26:$BK$31,MATCH(AU$2,RLS!$C$25:$BK$25,0),FALSE)-AU$59)-AU11-AU13-AU14</f>
        <v>2</v>
      </c>
      <c r="AV12">
        <f>(VLOOKUP($E12,RLS!$C$26:$BK$31,MATCH(AV$2,RLS!$C$25:$BK$25,0),FALSE)-AV$59)-AV11-AV13-AV14</f>
        <v>2</v>
      </c>
      <c r="AW12">
        <f>(VLOOKUP($E12,RLS!$C$26:$BK$31,MATCH(AW$2,RLS!$C$25:$BK$25,0),FALSE)-AW$59)-AW11-AW13-AW14</f>
        <v>2</v>
      </c>
      <c r="AX12">
        <f>(VLOOKUP($E12,RLS!$C$26:$BK$31,MATCH(AX$2,RLS!$C$25:$BK$25,0),FALSE)-AX$59)-AX11-AX13-AX14</f>
        <v>2</v>
      </c>
      <c r="AY12">
        <f>(VLOOKUP($E12,RLS!$C$26:$BK$31,MATCH(AY$2,RLS!$C$25:$BK$25,0),FALSE)-AY$59)-AY11-AY13-AY14</f>
        <v>2</v>
      </c>
      <c r="AZ12">
        <f>(VLOOKUP($E12,RLS!$C$26:$BK$31,MATCH(AZ$2,RLS!$C$25:$BK$25,0),FALSE)-AZ$59)-AZ11-AZ13-AZ14</f>
        <v>2</v>
      </c>
      <c r="BA12">
        <f>(VLOOKUP($E12,RLS!$C$26:$BK$31,MATCH(BA$2,RLS!$C$25:$BK$25,0),FALSE)-BA$59)-BA11-BA13-BA14</f>
        <v>2</v>
      </c>
      <c r="BB12">
        <f>(VLOOKUP($E12,RLS!$C$26:$BK$31,MATCH(BB$2,RLS!$C$25:$BK$25,0),FALSE)-BB$59)-BB11-BB13-BB14</f>
        <v>2</v>
      </c>
      <c r="BC12">
        <f>(VLOOKUP($E12,RLS!$C$26:$BK$31,MATCH(BC$2,RLS!$C$25:$BK$25,0),FALSE)-BC$59)-BC11-BC13-BC14</f>
        <v>1</v>
      </c>
      <c r="BD12">
        <f>(VLOOKUP($E12,RLS!$C$26:$BK$31,MATCH(BD$2,RLS!$C$25:$BK$25,0),FALSE)-BD$59)-BD11-BD13-BD14</f>
        <v>1</v>
      </c>
      <c r="BE12">
        <f>(VLOOKUP($E12,RLS!$C$26:$BK$31,MATCH(BE$2,RLS!$C$25:$BK$25,0),FALSE)-BE$59)-BE11-BE13-BE14</f>
        <v>1</v>
      </c>
      <c r="BF12">
        <f>(VLOOKUP($E12,RLS!$C$26:$BK$31,MATCH(BF$2,RLS!$C$25:$BK$25,0),FALSE)-BF$59)-BF11-BF13-BF14</f>
        <v>1</v>
      </c>
      <c r="BG12">
        <f>(VLOOKUP($E12,RLS!$C$26:$BK$31,MATCH(BG$2,RLS!$C$25:$BK$25,0),FALSE)-BG$59)-BG11-BG13-BG14</f>
        <v>1</v>
      </c>
      <c r="BH12">
        <f>(VLOOKUP($E12,RLS!$C$26:$BK$31,MATCH(BH$2,RLS!$C$25:$BK$25,0),FALSE)-BH$59)-BH11-BH13-BH14</f>
        <v>1</v>
      </c>
      <c r="BI12">
        <f>(VLOOKUP($E12,RLS!$C$26:$BK$31,MATCH(BI$2,RLS!$C$25:$BK$25,0),FALSE)-BI$59)-BI11-BI13-BI14</f>
        <v>1</v>
      </c>
      <c r="BJ12">
        <f>(VLOOKUP($E12,RLS!$C$26:$BK$31,MATCH(BJ$2,RLS!$C$25:$BK$25,0),FALSE)-BJ$59)-BJ11-BJ13-BJ14</f>
        <v>1</v>
      </c>
      <c r="BK12">
        <f>(VLOOKUP($E12,RLS!$C$26:$BK$31,MATCH(BK$2,RLS!$C$25:$BK$25,0),FALSE)-BK$59)-BK11-BK13-BK14</f>
        <v>1</v>
      </c>
      <c r="BL12">
        <f>(VLOOKUP($E12,RLS!$C$26:$BK$31,MATCH(BL$2,RLS!$C$25:$BK$25,0),FALSE)-BL$59)-BL11-BL13-BL14</f>
        <v>1</v>
      </c>
      <c r="BM12">
        <f>(VLOOKUP($E12,RLS!$C$26:$BK$31,MATCH(BM$2,RLS!$C$25:$BK$25,0),FALSE)-BM$59)-BM11-BM13-BM14</f>
        <v>1</v>
      </c>
      <c r="BN12">
        <f>(VLOOKUP($E12,RLS!$C$26:$BK$31,MATCH(BN$2,RLS!$C$25:$BK$25,0),FALSE)-BN$59)-BN11-BN13-BN14</f>
        <v>1</v>
      </c>
    </row>
    <row r="13" spans="1:66" x14ac:dyDescent="0.35">
      <c r="A13" t="s">
        <v>72</v>
      </c>
      <c r="B13" t="s">
        <v>73</v>
      </c>
      <c r="C13" t="s">
        <v>110</v>
      </c>
      <c r="D13" t="s">
        <v>67</v>
      </c>
      <c r="E13" t="str">
        <f t="shared" si="0"/>
        <v>TesterIndia</v>
      </c>
      <c r="F13" t="s">
        <v>70</v>
      </c>
      <c r="G13" s="14">
        <f>ROUND((VLOOKUP($E13,RLS!$C$26:$BK$31,MATCH(G$2,RLS!$C$25:$BK$25,0),FALSE)-G$59)*'Unit Distribution'!$B$4,0)</f>
        <v>1</v>
      </c>
      <c r="H13" s="14">
        <f>ROUND((VLOOKUP($E13,RLS!$C$26:$BK$31,MATCH(H$2,RLS!$C$25:$BK$25,0),FALSE)-H$59)*'Unit Distribution'!$B$4,0)</f>
        <v>1</v>
      </c>
      <c r="I13" s="14">
        <f>ROUND((VLOOKUP($E13,RLS!$C$26:$BK$31,MATCH(I$2,RLS!$C$25:$BK$25,0),FALSE)-I$59)*'Unit Distribution'!$B$4,0)</f>
        <v>1</v>
      </c>
      <c r="J13" s="14">
        <f>ROUND((VLOOKUP($E13,RLS!$C$26:$BK$31,MATCH(J$2,RLS!$C$25:$BK$25,0),FALSE)-J$59)*'Unit Distribution'!$B$4,0)</f>
        <v>1</v>
      </c>
      <c r="K13" s="14">
        <f>ROUND((VLOOKUP($E13,RLS!$C$26:$BK$31,MATCH(K$2,RLS!$C$25:$BK$25,0),FALSE)-K$59)*'Unit Distribution'!$B$4,0)</f>
        <v>1</v>
      </c>
      <c r="L13" s="14">
        <f>ROUND((VLOOKUP($E13,RLS!$C$26:$BK$31,MATCH(L$2,RLS!$C$25:$BK$25,0),FALSE)-L$59)*'Unit Distribution'!$B$4,0)</f>
        <v>1</v>
      </c>
      <c r="M13" s="14">
        <f>ROUND((VLOOKUP($E13,RLS!$C$26:$BK$31,MATCH(M$2,RLS!$C$25:$BK$25,0),FALSE)-M$59)*'Unit Distribution'!$B$4,0)</f>
        <v>1</v>
      </c>
      <c r="N13" s="14">
        <f>ROUND((VLOOKUP($E13,RLS!$C$26:$BK$31,MATCH(N$2,RLS!$C$25:$BK$25,0),FALSE)-N$59)*'Unit Distribution'!$B$4,0)</f>
        <v>1</v>
      </c>
      <c r="O13" s="14">
        <f>ROUND((VLOOKUP($E13,RLS!$C$26:$BK$31,MATCH(O$2,RLS!$C$25:$BK$25,0),FALSE)-O$59)*'Unit Distribution'!$B$4,0)</f>
        <v>1</v>
      </c>
      <c r="P13" s="14">
        <f>ROUND((VLOOKUP($E13,RLS!$C$26:$BK$31,MATCH(P$2,RLS!$C$25:$BK$25,0),FALSE)-P$59)*'Unit Distribution'!$B$4,0)</f>
        <v>1</v>
      </c>
      <c r="Q13" s="14">
        <f>ROUND((VLOOKUP($E13,RLS!$C$26:$BK$31,MATCH(Q$2,RLS!$C$25:$BK$25,0),FALSE)-Q$59)*'Unit Distribution'!$B$4,0)</f>
        <v>1</v>
      </c>
      <c r="R13" s="14">
        <f>ROUND((VLOOKUP($E13,RLS!$C$26:$BK$31,MATCH(R$2,RLS!$C$25:$BK$25,0),FALSE)-R$59)*'Unit Distribution'!$B$4,0)</f>
        <v>1</v>
      </c>
      <c r="S13" s="14">
        <f>ROUND((VLOOKUP($E13,RLS!$C$26:$BK$31,MATCH(S$2,RLS!$C$25:$BK$25,0),FALSE)-S$59)*'Unit Distribution'!$C$4,0)</f>
        <v>1</v>
      </c>
      <c r="T13" s="14">
        <f>ROUND((VLOOKUP($E13,RLS!$C$26:$BK$31,MATCH(T$2,RLS!$C$25:$BK$25,0),FALSE)-T$59)*'Unit Distribution'!$C$4,0)</f>
        <v>1</v>
      </c>
      <c r="U13" s="14">
        <f>ROUND((VLOOKUP($E13,RLS!$C$26:$BK$31,MATCH(U$2,RLS!$C$25:$BK$25,0),FALSE)-U$59)*'Unit Distribution'!$C$4,0)</f>
        <v>1</v>
      </c>
      <c r="V13" s="14">
        <f>ROUND((VLOOKUP($E13,RLS!$C$26:$BK$31,MATCH(V$2,RLS!$C$25:$BK$25,0),FALSE)-V$59)*'Unit Distribution'!$C$4,0)</f>
        <v>1</v>
      </c>
      <c r="W13" s="14">
        <f>ROUND((VLOOKUP($E13,RLS!$C$26:$BK$31,MATCH(W$2,RLS!$C$25:$BK$25,0),FALSE)-W$59)*'Unit Distribution'!$C$4,0)</f>
        <v>1</v>
      </c>
      <c r="X13" s="14">
        <f>ROUND((VLOOKUP($E13,RLS!$C$26:$BK$31,MATCH(X$2,RLS!$C$25:$BK$25,0),FALSE)-X$59)*'Unit Distribution'!$C$4,0)</f>
        <v>1</v>
      </c>
      <c r="Y13" s="14">
        <f>ROUND((VLOOKUP($E13,RLS!$C$26:$BK$31,MATCH(Y$2,RLS!$C$25:$BK$25,0),FALSE)-Y$59)*'Unit Distribution'!$C$4,0)</f>
        <v>1</v>
      </c>
      <c r="Z13" s="14">
        <f>ROUND((VLOOKUP($E13,RLS!$C$26:$BK$31,MATCH(Z$2,RLS!$C$25:$BK$25,0),FALSE)-Z$59)*'Unit Distribution'!$C$4,0)</f>
        <v>1</v>
      </c>
      <c r="AA13" s="14">
        <f>ROUND((VLOOKUP($E13,RLS!$C$26:$BK$31,MATCH(AA$2,RLS!$C$25:$BK$25,0),FALSE)-AA$59)*'Unit Distribution'!$C$4,0)</f>
        <v>1</v>
      </c>
      <c r="AB13" s="14">
        <f>ROUND((VLOOKUP($E13,RLS!$C$26:$BK$31,MATCH(AB$2,RLS!$C$25:$BK$25,0),FALSE)-AB$59)*'Unit Distribution'!$C$4,0)</f>
        <v>1</v>
      </c>
      <c r="AC13" s="14">
        <f>ROUND((VLOOKUP($E13,RLS!$C$26:$BK$31,MATCH(AC$2,RLS!$C$25:$BK$25,0),FALSE)-AC$59)*'Unit Distribution'!$C$4,0)</f>
        <v>1</v>
      </c>
      <c r="AD13" s="14">
        <f>ROUND((VLOOKUP($E13,RLS!$C$26:$BK$31,MATCH(AD$2,RLS!$C$25:$BK$25,0),FALSE)-AD$59)*'Unit Distribution'!$C$4,0)</f>
        <v>1</v>
      </c>
      <c r="AE13" s="14">
        <f>ROUND((VLOOKUP($E13,RLS!$C$26:$BK$31,MATCH(AE$2,RLS!$C$25:$BK$25,0),FALSE)-AE$59)*'Unit Distribution'!$D$4,0)</f>
        <v>1</v>
      </c>
      <c r="AF13" s="14">
        <f>ROUND((VLOOKUP($E13,RLS!$C$26:$BK$31,MATCH(AF$2,RLS!$C$25:$BK$25,0),FALSE)-AF$59)*'Unit Distribution'!$D$4,0)</f>
        <v>1</v>
      </c>
      <c r="AG13" s="14">
        <f>ROUND((VLOOKUP($E13,RLS!$C$26:$BK$31,MATCH(AG$2,RLS!$C$25:$BK$25,0),FALSE)-AG$59)*'Unit Distribution'!$D$4,0)</f>
        <v>1</v>
      </c>
      <c r="AH13" s="14">
        <f>ROUND((VLOOKUP($E13,RLS!$C$26:$BK$31,MATCH(AH$2,RLS!$C$25:$BK$25,0),FALSE)-AH$59)*'Unit Distribution'!$D$4,0)</f>
        <v>1</v>
      </c>
      <c r="AI13" s="14">
        <f>ROUND((VLOOKUP($E13,RLS!$C$26:$BK$31,MATCH(AI$2,RLS!$C$25:$BK$25,0),FALSE)-AI$59)*'Unit Distribution'!$D$4,0)</f>
        <v>1</v>
      </c>
      <c r="AJ13" s="14">
        <f>ROUND((VLOOKUP($E13,RLS!$C$26:$BK$31,MATCH(AJ$2,RLS!$C$25:$BK$25,0),FALSE)-AJ$59)*'Unit Distribution'!$D$4,0)</f>
        <v>1</v>
      </c>
      <c r="AK13" s="14">
        <f>ROUND((VLOOKUP($E13,RLS!$C$26:$BK$31,MATCH(AK$2,RLS!$C$25:$BK$25,0),FALSE)-AK$59)*'Unit Distribution'!$D$4,0)</f>
        <v>1</v>
      </c>
      <c r="AL13" s="14">
        <f>ROUND((VLOOKUP($E13,RLS!$C$26:$BK$31,MATCH(AL$2,RLS!$C$25:$BK$25,0),FALSE)-AL$59)*'Unit Distribution'!$D$4,0)</f>
        <v>1</v>
      </c>
      <c r="AM13" s="14">
        <f>ROUND((VLOOKUP($E13,RLS!$C$26:$BK$31,MATCH(AM$2,RLS!$C$25:$BK$25,0),FALSE)-AM$59)*'Unit Distribution'!$D$4,0)</f>
        <v>1</v>
      </c>
      <c r="AN13" s="14">
        <f>ROUND((VLOOKUP($E13,RLS!$C$26:$BK$31,MATCH(AN$2,RLS!$C$25:$BK$25,0),FALSE)-AN$59)*'Unit Distribution'!$D$4,0)</f>
        <v>1</v>
      </c>
      <c r="AO13" s="14">
        <f>ROUND((VLOOKUP($E13,RLS!$C$26:$BK$31,MATCH(AO$2,RLS!$C$25:$BK$25,0),FALSE)-AO$59)*'Unit Distribution'!$D$4,0)</f>
        <v>1</v>
      </c>
      <c r="AP13" s="14">
        <f>ROUND((VLOOKUP($E13,RLS!$C$26:$BK$31,MATCH(AP$2,RLS!$C$25:$BK$25,0),FALSE)-AP$59)*'Unit Distribution'!$D$4,0)</f>
        <v>1</v>
      </c>
      <c r="AQ13">
        <f>ROUND((VLOOKUP($E13,RLS!$C$26:$BK$31,MATCH(AQ$2,RLS!$C$25:$BK$25,0),FALSE)-AQ$59)*'Unit Distribution'!$E$4,0)</f>
        <v>0</v>
      </c>
      <c r="AR13">
        <f>ROUND((VLOOKUP($E13,RLS!$C$26:$BK$31,MATCH(AR$2,RLS!$C$25:$BK$25,0),FALSE)-AR$59)*'Unit Distribution'!$E$4,0)</f>
        <v>0</v>
      </c>
      <c r="AS13">
        <f>ROUND((VLOOKUP($E13,RLS!$C$26:$BK$31,MATCH(AS$2,RLS!$C$25:$BK$25,0),FALSE)-AS$59)*'Unit Distribution'!$E$4,0)</f>
        <v>0</v>
      </c>
      <c r="AT13">
        <f>ROUND((VLOOKUP($E13,RLS!$C$26:$BK$31,MATCH(AT$2,RLS!$C$25:$BK$25,0),FALSE)-AT$59)*'Unit Distribution'!$E$4,0)</f>
        <v>0</v>
      </c>
      <c r="AU13">
        <f>ROUND((VLOOKUP($E13,RLS!$C$26:$BK$31,MATCH(AU$2,RLS!$C$25:$BK$25,0),FALSE)-AU$59)*'Unit Distribution'!$E$4,0)</f>
        <v>0</v>
      </c>
      <c r="AV13">
        <f>ROUND((VLOOKUP($E13,RLS!$C$26:$BK$31,MATCH(AV$2,RLS!$C$25:$BK$25,0),FALSE)-AV$59)*'Unit Distribution'!$E$4,0)</f>
        <v>0</v>
      </c>
      <c r="AW13">
        <f>ROUND((VLOOKUP($E13,RLS!$C$26:$BK$31,MATCH(AW$2,RLS!$C$25:$BK$25,0),FALSE)-AW$59)*'Unit Distribution'!$E$4,0)</f>
        <v>0</v>
      </c>
      <c r="AX13">
        <f>ROUND((VLOOKUP($E13,RLS!$C$26:$BK$31,MATCH(AX$2,RLS!$C$25:$BK$25,0),FALSE)-AX$59)*'Unit Distribution'!$E$4,0)</f>
        <v>0</v>
      </c>
      <c r="AY13">
        <f>ROUND((VLOOKUP($E13,RLS!$C$26:$BK$31,MATCH(AY$2,RLS!$C$25:$BK$25,0),FALSE)-AY$59)*'Unit Distribution'!$E$4,0)</f>
        <v>0</v>
      </c>
      <c r="AZ13">
        <f>ROUND((VLOOKUP($E13,RLS!$C$26:$BK$31,MATCH(AZ$2,RLS!$C$25:$BK$25,0),FALSE)-AZ$59)*'Unit Distribution'!$E$4,0)</f>
        <v>0</v>
      </c>
      <c r="BA13">
        <f>ROUND((VLOOKUP($E13,RLS!$C$26:$BK$31,MATCH(BA$2,RLS!$C$25:$BK$25,0),FALSE)-BA$59)*'Unit Distribution'!$E$4,0)</f>
        <v>0</v>
      </c>
      <c r="BB13">
        <f>ROUND((VLOOKUP($E13,RLS!$C$26:$BK$31,MATCH(BB$2,RLS!$C$25:$BK$25,0),FALSE)-BB$59)*'Unit Distribution'!$E$4,0)</f>
        <v>0</v>
      </c>
      <c r="BC13">
        <f>ROUND((VLOOKUP($E13,RLS!$C$26:$BK$31,MATCH(BC$2,RLS!$C$25:$BK$25,0),FALSE)-BC$59)*'Unit Distribution'!$F$4,0)</f>
        <v>0</v>
      </c>
      <c r="BD13">
        <f>ROUND((VLOOKUP($E13,RLS!$C$26:$BK$31,MATCH(BD$2,RLS!$C$25:$BK$25,0),FALSE)-BD$59)*'Unit Distribution'!$F$4,0)</f>
        <v>0</v>
      </c>
      <c r="BE13">
        <f>ROUND((VLOOKUP($E13,RLS!$C$26:$BK$31,MATCH(BE$2,RLS!$C$25:$BK$25,0),FALSE)-BE$59)*'Unit Distribution'!$F$4,0)</f>
        <v>0</v>
      </c>
      <c r="BF13">
        <f>ROUND((VLOOKUP($E13,RLS!$C$26:$BK$31,MATCH(BF$2,RLS!$C$25:$BK$25,0),FALSE)-BF$59)*'Unit Distribution'!$F$4,0)</f>
        <v>0</v>
      </c>
      <c r="BG13">
        <f>ROUND((VLOOKUP($E13,RLS!$C$26:$BK$31,MATCH(BG$2,RLS!$C$25:$BK$25,0),FALSE)-BG$59)*'Unit Distribution'!$F$4,0)</f>
        <v>0</v>
      </c>
      <c r="BH13">
        <f>ROUND((VLOOKUP($E13,RLS!$C$26:$BK$31,MATCH(BH$2,RLS!$C$25:$BK$25,0),FALSE)-BH$59)*'Unit Distribution'!$F$4,0)</f>
        <v>0</v>
      </c>
      <c r="BI13">
        <f>ROUND((VLOOKUP($E13,RLS!$C$26:$BK$31,MATCH(BI$2,RLS!$C$25:$BK$25,0),FALSE)-BI$59)*'Unit Distribution'!$F$4,0)</f>
        <v>0</v>
      </c>
      <c r="BJ13">
        <f>ROUND((VLOOKUP($E13,RLS!$C$26:$BK$31,MATCH(BJ$2,RLS!$C$25:$BK$25,0),FALSE)-BJ$59)*'Unit Distribution'!$F$4,0)</f>
        <v>0</v>
      </c>
      <c r="BK13">
        <f>ROUND((VLOOKUP($E13,RLS!$C$26:$BK$31,MATCH(BK$2,RLS!$C$25:$BK$25,0),FALSE)-BK$59)*'Unit Distribution'!$F$4,0)</f>
        <v>0</v>
      </c>
      <c r="BL13">
        <f>ROUND((VLOOKUP($E13,RLS!$C$26:$BK$31,MATCH(BL$2,RLS!$C$25:$BK$25,0),FALSE)-BL$59)*'Unit Distribution'!$F$4,0)</f>
        <v>0</v>
      </c>
      <c r="BM13">
        <f>ROUND((VLOOKUP($E13,RLS!$C$26:$BK$31,MATCH(BM$2,RLS!$C$25:$BK$25,0),FALSE)-BM$59)*'Unit Distribution'!$F$4,0)</f>
        <v>0</v>
      </c>
      <c r="BN13">
        <f>ROUND((VLOOKUP($E13,RLS!$C$26:$BK$31,MATCH(BN$2,RLS!$C$25:$BK$25,0),FALSE)-BN$59)*'Unit Distribution'!$F$4,0)</f>
        <v>0</v>
      </c>
    </row>
    <row r="14" spans="1:66" x14ac:dyDescent="0.35">
      <c r="A14" t="s">
        <v>72</v>
      </c>
      <c r="B14" t="s">
        <v>73</v>
      </c>
      <c r="C14" t="s">
        <v>110</v>
      </c>
      <c r="D14" t="s">
        <v>67</v>
      </c>
      <c r="E14" t="str">
        <f t="shared" si="0"/>
        <v>TesterIndia</v>
      </c>
      <c r="F14" t="s">
        <v>70</v>
      </c>
      <c r="G14" s="14">
        <f>(VLOOKUP($E14,RLS!$C$26:$BK$31,MATCH(G$2,RLS!$C$25:$BK$25,0),FALSE)-G$59)-G11-G12-G13</f>
        <v>0</v>
      </c>
      <c r="H14" s="14">
        <f>(VLOOKUP($E14,RLS!$C$26:$BK$31,MATCH(H$2,RLS!$C$25:$BK$25,0),FALSE)-H$59)-H11-H12-H13</f>
        <v>0</v>
      </c>
      <c r="I14" s="14">
        <f>(VLOOKUP($E14,RLS!$C$26:$BK$31,MATCH(I$2,RLS!$C$25:$BK$25,0),FALSE)-I$59)-I11-I12-I13</f>
        <v>0</v>
      </c>
      <c r="J14" s="14">
        <f>(VLOOKUP($E14,RLS!$C$26:$BK$31,MATCH(J$2,RLS!$C$25:$BK$25,0),FALSE)-J$59)-J11-J12-J13</f>
        <v>0</v>
      </c>
      <c r="K14" s="14">
        <f>(VLOOKUP($E14,RLS!$C$26:$BK$31,MATCH(K$2,RLS!$C$25:$BK$25,0),FALSE)-K$59)-K11-K12-K13</f>
        <v>0</v>
      </c>
      <c r="L14" s="14">
        <f>(VLOOKUP($E14,RLS!$C$26:$BK$31,MATCH(L$2,RLS!$C$25:$BK$25,0),FALSE)-L$59)-L11-L12-L13</f>
        <v>0</v>
      </c>
      <c r="M14" s="14">
        <f>(VLOOKUP($E14,RLS!$C$26:$BK$31,MATCH(M$2,RLS!$C$25:$BK$25,0),FALSE)-M$59)-M11-M12-M13</f>
        <v>0</v>
      </c>
      <c r="N14" s="14">
        <f>(VLOOKUP($E14,RLS!$C$26:$BK$31,MATCH(N$2,RLS!$C$25:$BK$25,0),FALSE)-N$59)-N11-N12-N13</f>
        <v>0</v>
      </c>
      <c r="O14" s="14">
        <f>(VLOOKUP($E14,RLS!$C$26:$BK$31,MATCH(O$2,RLS!$C$25:$BK$25,0),FALSE)-O$59)-O11-O12-O13</f>
        <v>0</v>
      </c>
      <c r="P14" s="14">
        <f>(VLOOKUP($E14,RLS!$C$26:$BK$31,MATCH(P$2,RLS!$C$25:$BK$25,0),FALSE)-P$59)-P11-P12-P13</f>
        <v>0</v>
      </c>
      <c r="Q14" s="14">
        <f>(VLOOKUP($E14,RLS!$C$26:$BK$31,MATCH(Q$2,RLS!$C$25:$BK$25,0),FALSE)-Q$59)-Q11-Q12-Q13</f>
        <v>0</v>
      </c>
      <c r="R14" s="14">
        <f>(VLOOKUP($E14,RLS!$C$26:$BK$31,MATCH(R$2,RLS!$C$25:$BK$25,0),FALSE)-R$59)-R11-R12-R13</f>
        <v>0</v>
      </c>
      <c r="S14" s="14">
        <f>(VLOOKUP($E14,RLS!$C$26:$BK$31,MATCH(S$2,RLS!$C$25:$BK$25,0),FALSE)-S$59)-S11-S12-S13</f>
        <v>0</v>
      </c>
      <c r="T14" s="14">
        <f>(VLOOKUP($E14,RLS!$C$26:$BK$31,MATCH(T$2,RLS!$C$25:$BK$25,0),FALSE)-T$59)-T11-T12-T13</f>
        <v>0</v>
      </c>
      <c r="U14" s="14">
        <f>(VLOOKUP($E14,RLS!$C$26:$BK$31,MATCH(U$2,RLS!$C$25:$BK$25,0),FALSE)-U$59)-U11-U12-U13</f>
        <v>0</v>
      </c>
      <c r="V14" s="14">
        <f>(VLOOKUP($E14,RLS!$C$26:$BK$31,MATCH(V$2,RLS!$C$25:$BK$25,0),FALSE)-V$59)-V11-V12-V13</f>
        <v>0</v>
      </c>
      <c r="W14" s="14">
        <f>(VLOOKUP($E14,RLS!$C$26:$BK$31,MATCH(W$2,RLS!$C$25:$BK$25,0),FALSE)-W$59)-W11-W12-W13</f>
        <v>0</v>
      </c>
      <c r="X14" s="14">
        <f>(VLOOKUP($E14,RLS!$C$26:$BK$31,MATCH(X$2,RLS!$C$25:$BK$25,0),FALSE)-X$59)-X11-X12-X13</f>
        <v>0</v>
      </c>
      <c r="Y14" s="14">
        <f>(VLOOKUP($E14,RLS!$C$26:$BK$31,MATCH(Y$2,RLS!$C$25:$BK$25,0),FALSE)-Y$59)-Y11-Y12-Y13</f>
        <v>0</v>
      </c>
      <c r="Z14" s="14">
        <f>(VLOOKUP($E14,RLS!$C$26:$BK$31,MATCH(Z$2,RLS!$C$25:$BK$25,0),FALSE)-Z$59)-Z11-Z12-Z13</f>
        <v>0</v>
      </c>
      <c r="AA14" s="14">
        <f>(VLOOKUP($E14,RLS!$C$26:$BK$31,MATCH(AA$2,RLS!$C$25:$BK$25,0),FALSE)-AA$59)-AA11-AA12-AA13</f>
        <v>0</v>
      </c>
      <c r="AB14" s="14">
        <f>(VLOOKUP($E14,RLS!$C$26:$BK$31,MATCH(AB$2,RLS!$C$25:$BK$25,0),FALSE)-AB$59)-AB11-AB12-AB13</f>
        <v>0</v>
      </c>
      <c r="AC14" s="14">
        <f>(VLOOKUP($E14,RLS!$C$26:$BK$31,MATCH(AC$2,RLS!$C$25:$BK$25,0),FALSE)-AC$59)-AC11-AC12-AC13</f>
        <v>0</v>
      </c>
      <c r="AD14" s="14">
        <f>(VLOOKUP($E14,RLS!$C$26:$BK$31,MATCH(AD$2,RLS!$C$25:$BK$25,0),FALSE)-AD$59)-AD11-AD12-AD13</f>
        <v>0</v>
      </c>
      <c r="AE14" s="14">
        <f>(VLOOKUP($E14,RLS!$C$26:$BK$31,MATCH(AE$2,RLS!$C$25:$BK$25,0),FALSE)-AE$59)-AE11-AE12-AE13</f>
        <v>1</v>
      </c>
      <c r="AF14" s="14">
        <f>(VLOOKUP($E14,RLS!$C$26:$BK$31,MATCH(AF$2,RLS!$C$25:$BK$25,0),FALSE)-AF$59)-AF11-AF12-AF13</f>
        <v>1</v>
      </c>
      <c r="AG14" s="14">
        <f>(VLOOKUP($E14,RLS!$C$26:$BK$31,MATCH(AG$2,RLS!$C$25:$BK$25,0),FALSE)-AG$59)-AG11-AG12-AG13</f>
        <v>1</v>
      </c>
      <c r="AH14" s="14">
        <f>(VLOOKUP($E14,RLS!$C$26:$BK$31,MATCH(AH$2,RLS!$C$25:$BK$25,0),FALSE)-AH$59)-AH11-AH12-AH13</f>
        <v>1</v>
      </c>
      <c r="AI14" s="14">
        <f>(VLOOKUP($E14,RLS!$C$26:$BK$31,MATCH(AI$2,RLS!$C$25:$BK$25,0),FALSE)-AI$59)-AI11-AI12-AI13</f>
        <v>1</v>
      </c>
      <c r="AJ14" s="14">
        <f>(VLOOKUP($E14,RLS!$C$26:$BK$31,MATCH(AJ$2,RLS!$C$25:$BK$25,0),FALSE)-AJ$59)-AJ11-AJ12-AJ13</f>
        <v>1</v>
      </c>
      <c r="AK14" s="14">
        <f>(VLOOKUP($E14,RLS!$C$26:$BK$31,MATCH(AK$2,RLS!$C$25:$BK$25,0),FALSE)-AK$59)-AK11-AK12-AK13</f>
        <v>1</v>
      </c>
      <c r="AL14" s="14">
        <f>(VLOOKUP($E14,RLS!$C$26:$BK$31,MATCH(AL$2,RLS!$C$25:$BK$25,0),FALSE)-AL$59)-AL11-AL12-AL13</f>
        <v>1</v>
      </c>
      <c r="AM14" s="14">
        <f>(VLOOKUP($E14,RLS!$C$26:$BK$31,MATCH(AM$2,RLS!$C$25:$BK$25,0),FALSE)-AM$59)-AM11-AM12-AM13</f>
        <v>1</v>
      </c>
      <c r="AN14" s="14">
        <f>(VLOOKUP($E14,RLS!$C$26:$BK$31,MATCH(AN$2,RLS!$C$25:$BK$25,0),FALSE)-AN$59)-AN11-AN12-AN13</f>
        <v>1</v>
      </c>
      <c r="AO14" s="14">
        <f>(VLOOKUP($E14,RLS!$C$26:$BK$31,MATCH(AO$2,RLS!$C$25:$BK$25,0),FALSE)-AO$59)-AO11-AO12-AO13</f>
        <v>1</v>
      </c>
      <c r="AP14" s="14">
        <f>(VLOOKUP($E14,RLS!$C$26:$BK$31,MATCH(AP$2,RLS!$C$25:$BK$25,0),FALSE)-AP$59)-AP11-AP12-AP13</f>
        <v>1</v>
      </c>
      <c r="AQ14">
        <f>ROUND((VLOOKUP($E14,RLS!$C$26:$BK$31,MATCH(AQ$2,RLS!$C$25:$BK$25,0),FALSE)-AQ$59)*'Unit Distribution'!$E$5,0)</f>
        <v>0</v>
      </c>
      <c r="AR14">
        <f>ROUND((VLOOKUP($E14,RLS!$C$26:$BK$31,MATCH(AR$2,RLS!$C$25:$BK$25,0),FALSE)-AR$59)*'Unit Distribution'!$E$5,0)</f>
        <v>0</v>
      </c>
      <c r="AS14">
        <f>ROUND((VLOOKUP($E14,RLS!$C$26:$BK$31,MATCH(AS$2,RLS!$C$25:$BK$25,0),FALSE)-AS$59)*'Unit Distribution'!$E$5,0)</f>
        <v>0</v>
      </c>
      <c r="AT14">
        <f>ROUND((VLOOKUP($E14,RLS!$C$26:$BK$31,MATCH(AT$2,RLS!$C$25:$BK$25,0),FALSE)-AT$59)*'Unit Distribution'!$E$5,0)</f>
        <v>0</v>
      </c>
      <c r="AU14">
        <f>ROUND((VLOOKUP($E14,RLS!$C$26:$BK$31,MATCH(AU$2,RLS!$C$25:$BK$25,0),FALSE)-AU$59)*'Unit Distribution'!$E$5,0)</f>
        <v>0</v>
      </c>
      <c r="AV14">
        <f>ROUND((VLOOKUP($E14,RLS!$C$26:$BK$31,MATCH(AV$2,RLS!$C$25:$BK$25,0),FALSE)-AV$59)*'Unit Distribution'!$E$5,0)</f>
        <v>0</v>
      </c>
      <c r="AW14">
        <f>ROUND((VLOOKUP($E14,RLS!$C$26:$BK$31,MATCH(AW$2,RLS!$C$25:$BK$25,0),FALSE)-AW$59)*'Unit Distribution'!$E$5,0)</f>
        <v>0</v>
      </c>
      <c r="AX14">
        <f>ROUND((VLOOKUP($E14,RLS!$C$26:$BK$31,MATCH(AX$2,RLS!$C$25:$BK$25,0),FALSE)-AX$59)*'Unit Distribution'!$E$5,0)</f>
        <v>0</v>
      </c>
      <c r="AY14">
        <f>ROUND((VLOOKUP($E14,RLS!$C$26:$BK$31,MATCH(AY$2,RLS!$C$25:$BK$25,0),FALSE)-AY$59)*'Unit Distribution'!$E$5,0)</f>
        <v>0</v>
      </c>
      <c r="AZ14">
        <f>ROUND((VLOOKUP($E14,RLS!$C$26:$BK$31,MATCH(AZ$2,RLS!$C$25:$BK$25,0),FALSE)-AZ$59)*'Unit Distribution'!$E$5,0)</f>
        <v>0</v>
      </c>
      <c r="BA14">
        <f>ROUND((VLOOKUP($E14,RLS!$C$26:$BK$31,MATCH(BA$2,RLS!$C$25:$BK$25,0),FALSE)-BA$59)*'Unit Distribution'!$E$5,0)</f>
        <v>0</v>
      </c>
      <c r="BB14">
        <f>ROUND((VLOOKUP($E14,RLS!$C$26:$BK$31,MATCH(BB$2,RLS!$C$25:$BK$25,0),FALSE)-BB$59)*'Unit Distribution'!$E$5,0)</f>
        <v>0</v>
      </c>
      <c r="BC14">
        <f>ROUND((VLOOKUP($E14,RLS!$C$26:$BK$31,MATCH(BC$2,RLS!$C$25:$BK$25,0),FALSE)-BC$59)*'Unit Distribution'!$F$5,0)</f>
        <v>0</v>
      </c>
      <c r="BD14">
        <f>ROUND((VLOOKUP($E14,RLS!$C$26:$BK$31,MATCH(BD$2,RLS!$C$25:$BK$25,0),FALSE)-BD$59)*'Unit Distribution'!$F$5,0)</f>
        <v>0</v>
      </c>
      <c r="BE14">
        <f>ROUND((VLOOKUP($E14,RLS!$C$26:$BK$31,MATCH(BE$2,RLS!$C$25:$BK$25,0),FALSE)-BE$59)*'Unit Distribution'!$F$5,0)</f>
        <v>0</v>
      </c>
      <c r="BF14">
        <f>ROUND((VLOOKUP($E14,RLS!$C$26:$BK$31,MATCH(BF$2,RLS!$C$25:$BK$25,0),FALSE)-BF$59)*'Unit Distribution'!$F$5,0)</f>
        <v>0</v>
      </c>
      <c r="BG14">
        <f>ROUND((VLOOKUP($E14,RLS!$C$26:$BK$31,MATCH(BG$2,RLS!$C$25:$BK$25,0),FALSE)-BG$59)*'Unit Distribution'!$F$5,0)</f>
        <v>0</v>
      </c>
      <c r="BH14">
        <f>ROUND((VLOOKUP($E14,RLS!$C$26:$BK$31,MATCH(BH$2,RLS!$C$25:$BK$25,0),FALSE)-BH$59)*'Unit Distribution'!$F$5,0)</f>
        <v>0</v>
      </c>
      <c r="BI14">
        <f>ROUND((VLOOKUP($E14,RLS!$C$26:$BK$31,MATCH(BI$2,RLS!$C$25:$BK$25,0),FALSE)-BI$59)*'Unit Distribution'!$F$5,0)</f>
        <v>0</v>
      </c>
      <c r="BJ14">
        <f>ROUND((VLOOKUP($E14,RLS!$C$26:$BK$31,MATCH(BJ$2,RLS!$C$25:$BK$25,0),FALSE)-BJ$59)*'Unit Distribution'!$F$5,0)</f>
        <v>0</v>
      </c>
      <c r="BK14">
        <f>ROUND((VLOOKUP($E14,RLS!$C$26:$BK$31,MATCH(BK$2,RLS!$C$25:$BK$25,0),FALSE)-BK$59)*'Unit Distribution'!$F$5,0)</f>
        <v>0</v>
      </c>
      <c r="BL14">
        <f>ROUND((VLOOKUP($E14,RLS!$C$26:$BK$31,MATCH(BL$2,RLS!$C$25:$BK$25,0),FALSE)-BL$59)*'Unit Distribution'!$F$5,0)</f>
        <v>0</v>
      </c>
      <c r="BM14">
        <f>ROUND((VLOOKUP($E14,RLS!$C$26:$BK$31,MATCH(BM$2,RLS!$C$25:$BK$25,0),FALSE)-BM$59)*'Unit Distribution'!$F$5,0)</f>
        <v>0</v>
      </c>
      <c r="BN14">
        <f>ROUND((VLOOKUP($E14,RLS!$C$26:$BK$31,MATCH(BN$2,RLS!$C$25:$BK$25,0),FALSE)-BN$59)*'Unit Distribution'!$F$5,0)</f>
        <v>0</v>
      </c>
    </row>
    <row r="15" spans="1:66" x14ac:dyDescent="0.35">
      <c r="A15" t="s">
        <v>74</v>
      </c>
      <c r="B15" t="s">
        <v>66</v>
      </c>
      <c r="C15" t="s">
        <v>109</v>
      </c>
      <c r="D15" t="s">
        <v>67</v>
      </c>
      <c r="E15" t="str">
        <f t="shared" si="0"/>
        <v>MaintenanceIndia</v>
      </c>
      <c r="F15" t="s">
        <v>75</v>
      </c>
      <c r="G15" s="14">
        <f>VLOOKUP($E15,RLS!$C$26:$BK$31,MATCH(G$2,RLS!$C$25:$BK$25,0),FALSE)</f>
        <v>1</v>
      </c>
      <c r="H15" s="14">
        <f>VLOOKUP($E15,RLS!$C$26:$BK$31,MATCH(H$2,RLS!$C$25:$BK$25,0),FALSE)</f>
        <v>1</v>
      </c>
      <c r="I15" s="14">
        <f>VLOOKUP($E15,RLS!$C$26:$BK$31,MATCH(I$2,RLS!$C$25:$BK$25,0),FALSE)</f>
        <v>1</v>
      </c>
      <c r="J15" s="14">
        <f>VLOOKUP($E15,RLS!$C$26:$BK$31,MATCH(J$2,RLS!$C$25:$BK$25,0),FALSE)</f>
        <v>1</v>
      </c>
      <c r="K15" s="14">
        <f>VLOOKUP($E15,RLS!$C$26:$BK$31,MATCH(K$2,RLS!$C$25:$BK$25,0),FALSE)</f>
        <v>1</v>
      </c>
      <c r="L15" s="14">
        <f>VLOOKUP($E15,RLS!$C$26:$BK$31,MATCH(L$2,RLS!$C$25:$BK$25,0),FALSE)</f>
        <v>1</v>
      </c>
      <c r="M15" s="14">
        <f>VLOOKUP($E15,RLS!$C$26:$BK$31,MATCH(M$2,RLS!$C$25:$BK$25,0),FALSE)</f>
        <v>1</v>
      </c>
      <c r="N15" s="14">
        <f>VLOOKUP($E15,RLS!$C$26:$BK$31,MATCH(N$2,RLS!$C$25:$BK$25,0),FALSE)</f>
        <v>1</v>
      </c>
      <c r="O15" s="14">
        <f>VLOOKUP($E15,RLS!$C$26:$BK$31,MATCH(O$2,RLS!$C$25:$BK$25,0),FALSE)</f>
        <v>1</v>
      </c>
      <c r="P15" s="14">
        <f>VLOOKUP($E15,RLS!$C$26:$BK$31,MATCH(P$2,RLS!$C$25:$BK$25,0),FALSE)</f>
        <v>1</v>
      </c>
      <c r="Q15" s="14">
        <f>VLOOKUP($E15,RLS!$C$26:$BK$31,MATCH(Q$2,RLS!$C$25:$BK$25,0),FALSE)</f>
        <v>1</v>
      </c>
      <c r="R15" s="14">
        <f>VLOOKUP($E15,RLS!$C$26:$BK$31,MATCH(R$2,RLS!$C$25:$BK$25,0),FALSE)</f>
        <v>1</v>
      </c>
      <c r="S15" s="14">
        <f>VLOOKUP($E15,RLS!$C$26:$BK$31,MATCH(S$2,RLS!$C$25:$BK$25,0),FALSE)</f>
        <v>1</v>
      </c>
      <c r="T15" s="14">
        <f>VLOOKUP($E15,RLS!$C$26:$BK$31,MATCH(T$2,RLS!$C$25:$BK$25,0),FALSE)</f>
        <v>1</v>
      </c>
      <c r="U15" s="14">
        <f>VLOOKUP($E15,RLS!$C$26:$BK$31,MATCH(U$2,RLS!$C$25:$BK$25,0),FALSE)</f>
        <v>1</v>
      </c>
      <c r="V15" s="14">
        <f>VLOOKUP($E15,RLS!$C$26:$BK$31,MATCH(V$2,RLS!$C$25:$BK$25,0),FALSE)</f>
        <v>1</v>
      </c>
      <c r="W15" s="14">
        <f>VLOOKUP($E15,RLS!$C$26:$BK$31,MATCH(W$2,RLS!$C$25:$BK$25,0),FALSE)</f>
        <v>1</v>
      </c>
      <c r="X15" s="14">
        <f>VLOOKUP($E15,RLS!$C$26:$BK$31,MATCH(X$2,RLS!$C$25:$BK$25,0),FALSE)</f>
        <v>1</v>
      </c>
      <c r="Y15" s="14">
        <f>VLOOKUP($E15,RLS!$C$26:$BK$31,MATCH(Y$2,RLS!$C$25:$BK$25,0),FALSE)</f>
        <v>1</v>
      </c>
      <c r="Z15" s="14">
        <f>VLOOKUP($E15,RLS!$C$26:$BK$31,MATCH(Z$2,RLS!$C$25:$BK$25,0),FALSE)</f>
        <v>1</v>
      </c>
      <c r="AA15" s="14">
        <f>VLOOKUP($E15,RLS!$C$26:$BK$31,MATCH(AA$2,RLS!$C$25:$BK$25,0),FALSE)</f>
        <v>1</v>
      </c>
      <c r="AB15" s="14">
        <f>VLOOKUP($E15,RLS!$C$26:$BK$31,MATCH(AB$2,RLS!$C$25:$BK$25,0),FALSE)</f>
        <v>1</v>
      </c>
      <c r="AC15" s="14">
        <f>VLOOKUP($E15,RLS!$C$26:$BK$31,MATCH(AC$2,RLS!$C$25:$BK$25,0),FALSE)</f>
        <v>1</v>
      </c>
      <c r="AD15" s="14">
        <f>VLOOKUP($E15,RLS!$C$26:$BK$31,MATCH(AD$2,RLS!$C$25:$BK$25,0),FALSE)</f>
        <v>1</v>
      </c>
      <c r="AE15" s="14">
        <f>VLOOKUP($E15,RLS!$C$26:$BK$31,MATCH(AE$2,RLS!$C$25:$BK$25,0),FALSE)</f>
        <v>1</v>
      </c>
      <c r="AF15" s="14">
        <f>VLOOKUP($E15,RLS!$C$26:$BK$31,MATCH(AF$2,RLS!$C$25:$BK$25,0),FALSE)</f>
        <v>1</v>
      </c>
      <c r="AG15" s="14">
        <f>VLOOKUP($E15,RLS!$C$26:$BK$31,MATCH(AG$2,RLS!$C$25:$BK$25,0),FALSE)</f>
        <v>1</v>
      </c>
      <c r="AH15" s="14">
        <f>VLOOKUP($E15,RLS!$C$26:$BK$31,MATCH(AH$2,RLS!$C$25:$BK$25,0),FALSE)</f>
        <v>1</v>
      </c>
      <c r="AI15" s="14">
        <f>VLOOKUP($E15,RLS!$C$26:$BK$31,MATCH(AI$2,RLS!$C$25:$BK$25,0),FALSE)</f>
        <v>1</v>
      </c>
      <c r="AJ15" s="14">
        <f>VLOOKUP($E15,RLS!$C$26:$BK$31,MATCH(AJ$2,RLS!$C$25:$BK$25,0),FALSE)</f>
        <v>1</v>
      </c>
      <c r="AK15" s="14">
        <f>VLOOKUP($E15,RLS!$C$26:$BK$31,MATCH(AK$2,RLS!$C$25:$BK$25,0),FALSE)</f>
        <v>1</v>
      </c>
      <c r="AL15" s="14">
        <f>VLOOKUP($E15,RLS!$C$26:$BK$31,MATCH(AL$2,RLS!$C$25:$BK$25,0),FALSE)</f>
        <v>1</v>
      </c>
      <c r="AM15" s="14">
        <f>VLOOKUP($E15,RLS!$C$26:$BK$31,MATCH(AM$2,RLS!$C$25:$BK$25,0),FALSE)</f>
        <v>1</v>
      </c>
      <c r="AN15" s="14">
        <f>VLOOKUP($E15,RLS!$C$26:$BK$31,MATCH(AN$2,RLS!$C$25:$BK$25,0),FALSE)</f>
        <v>1</v>
      </c>
      <c r="AO15" s="14">
        <f>VLOOKUP($E15,RLS!$C$26:$BK$31,MATCH(AO$2,RLS!$C$25:$BK$25,0),FALSE)</f>
        <v>1</v>
      </c>
      <c r="AP15" s="14">
        <f>VLOOKUP($E15,RLS!$C$26:$BK$31,MATCH(AP$2,RLS!$C$25:$BK$25,0),FALSE)</f>
        <v>1</v>
      </c>
      <c r="AQ15">
        <f>VLOOKUP($E15,RLS!$C$26:$BK$31,MATCH(AQ$2,RLS!$C$25:$BK$25,0),FALSE)</f>
        <v>1</v>
      </c>
      <c r="AR15">
        <f>VLOOKUP($E15,RLS!$C$26:$BK$31,MATCH(AR$2,RLS!$C$25:$BK$25,0),FALSE)</f>
        <v>1</v>
      </c>
      <c r="AS15">
        <f>VLOOKUP($E15,RLS!$C$26:$BK$31,MATCH(AS$2,RLS!$C$25:$BK$25,0),FALSE)</f>
        <v>1</v>
      </c>
      <c r="AT15">
        <f>VLOOKUP($E15,RLS!$C$26:$BK$31,MATCH(AT$2,RLS!$C$25:$BK$25,0),FALSE)</f>
        <v>1</v>
      </c>
      <c r="AU15">
        <f>VLOOKUP($E15,RLS!$C$26:$BK$31,MATCH(AU$2,RLS!$C$25:$BK$25,0),FALSE)</f>
        <v>1</v>
      </c>
      <c r="AV15">
        <f>VLOOKUP($E15,RLS!$C$26:$BK$31,MATCH(AV$2,RLS!$C$25:$BK$25,0),FALSE)</f>
        <v>1</v>
      </c>
      <c r="AW15">
        <f>VLOOKUP($E15,RLS!$C$26:$BK$31,MATCH(AW$2,RLS!$C$25:$BK$25,0),FALSE)</f>
        <v>1</v>
      </c>
      <c r="AX15">
        <f>VLOOKUP($E15,RLS!$C$26:$BK$31,MATCH(AX$2,RLS!$C$25:$BK$25,0),FALSE)</f>
        <v>1</v>
      </c>
      <c r="AY15">
        <f>VLOOKUP($E15,RLS!$C$26:$BK$31,MATCH(AY$2,RLS!$C$25:$BK$25,0),FALSE)</f>
        <v>1</v>
      </c>
      <c r="AZ15">
        <f>VLOOKUP($E15,RLS!$C$26:$BK$31,MATCH(AZ$2,RLS!$C$25:$BK$25,0),FALSE)</f>
        <v>1</v>
      </c>
      <c r="BA15">
        <f>VLOOKUP($E15,RLS!$C$26:$BK$31,MATCH(BA$2,RLS!$C$25:$BK$25,0),FALSE)</f>
        <v>1</v>
      </c>
      <c r="BB15">
        <f>VLOOKUP($E15,RLS!$C$26:$BK$31,MATCH(BB$2,RLS!$C$25:$BK$25,0),FALSE)</f>
        <v>1</v>
      </c>
      <c r="BC15">
        <f>VLOOKUP($E15,RLS!$C$26:$BK$31,MATCH(BC$2,RLS!$C$25:$BK$25,0),FALSE)</f>
        <v>2</v>
      </c>
      <c r="BD15">
        <f>VLOOKUP($E15,RLS!$C$26:$BK$31,MATCH(BD$2,RLS!$C$25:$BK$25,0),FALSE)</f>
        <v>2</v>
      </c>
      <c r="BE15">
        <f>VLOOKUP($E15,RLS!$C$26:$BK$31,MATCH(BE$2,RLS!$C$25:$BK$25,0),FALSE)</f>
        <v>2</v>
      </c>
      <c r="BF15">
        <f>VLOOKUP($E15,RLS!$C$26:$BK$31,MATCH(BF$2,RLS!$C$25:$BK$25,0),FALSE)</f>
        <v>2</v>
      </c>
      <c r="BG15">
        <f>VLOOKUP($E15,RLS!$C$26:$BK$31,MATCH(BG$2,RLS!$C$25:$BK$25,0),FALSE)</f>
        <v>2</v>
      </c>
      <c r="BH15">
        <f>VLOOKUP($E15,RLS!$C$26:$BK$31,MATCH(BH$2,RLS!$C$25:$BK$25,0),FALSE)</f>
        <v>2</v>
      </c>
      <c r="BI15">
        <f>VLOOKUP($E15,RLS!$C$26:$BK$31,MATCH(BI$2,RLS!$C$25:$BK$25,0),FALSE)</f>
        <v>2</v>
      </c>
      <c r="BJ15">
        <f>VLOOKUP($E15,RLS!$C$26:$BK$31,MATCH(BJ$2,RLS!$C$25:$BK$25,0),FALSE)</f>
        <v>2</v>
      </c>
      <c r="BK15">
        <f>VLOOKUP($E15,RLS!$C$26:$BK$31,MATCH(BK$2,RLS!$C$25:$BK$25,0),FALSE)</f>
        <v>2</v>
      </c>
      <c r="BL15">
        <f>VLOOKUP($E15,RLS!$C$26:$BK$31,MATCH(BL$2,RLS!$C$25:$BK$25,0),FALSE)</f>
        <v>2</v>
      </c>
      <c r="BM15">
        <f>VLOOKUP($E15,RLS!$C$26:$BK$31,MATCH(BM$2,RLS!$C$25:$BK$25,0),FALSE)</f>
        <v>2</v>
      </c>
      <c r="BN15">
        <f>VLOOKUP($E15,RLS!$C$26:$BK$31,MATCH(BN$2,RLS!$C$25:$BK$25,0),FALSE)</f>
        <v>2</v>
      </c>
    </row>
    <row r="16" spans="1:66" x14ac:dyDescent="0.35">
      <c r="A16" t="s">
        <v>76</v>
      </c>
      <c r="B16" t="s">
        <v>66</v>
      </c>
      <c r="C16" t="s">
        <v>109</v>
      </c>
      <c r="D16" t="s">
        <v>67</v>
      </c>
      <c r="E16" t="str">
        <f t="shared" si="0"/>
        <v>DevOpsIndia</v>
      </c>
      <c r="F16" t="s">
        <v>75</v>
      </c>
      <c r="G16" s="14">
        <f>MIN(1,VLOOKUP("DevIndia",RLS!$C$26:$BK$31,MATCH(G$2,RLS!$C$25:$BK$25,0),FALSE))</f>
        <v>1</v>
      </c>
      <c r="H16" s="14">
        <f>MIN(1,VLOOKUP("DevIndia",RLS!$C$26:$BK$31,MATCH(H$2,RLS!$C$25:$BK$25,0),FALSE))</f>
        <v>1</v>
      </c>
      <c r="I16" s="14">
        <f>MIN(1,VLOOKUP("DevIndia",RLS!$C$26:$BK$31,MATCH(I$2,RLS!$C$25:$BK$25,0),FALSE))</f>
        <v>1</v>
      </c>
      <c r="J16" s="14">
        <f>MIN(1,VLOOKUP("DevIndia",RLS!$C$26:$BK$31,MATCH(J$2,RLS!$C$25:$BK$25,0),FALSE))</f>
        <v>1</v>
      </c>
      <c r="K16" s="14">
        <f>MIN(1,VLOOKUP("DevIndia",RLS!$C$26:$BK$31,MATCH(K$2,RLS!$C$25:$BK$25,0),FALSE))</f>
        <v>1</v>
      </c>
      <c r="L16" s="14">
        <f>MIN(1,VLOOKUP("DevIndia",RLS!$C$26:$BK$31,MATCH(L$2,RLS!$C$25:$BK$25,0),FALSE))</f>
        <v>1</v>
      </c>
      <c r="M16" s="14">
        <f>MIN(1,VLOOKUP("DevIndia",RLS!$C$26:$BK$31,MATCH(M$2,RLS!$C$25:$BK$25,0),FALSE))</f>
        <v>1</v>
      </c>
      <c r="N16" s="14">
        <f>MIN(1,VLOOKUP("DevIndia",RLS!$C$26:$BK$31,MATCH(N$2,RLS!$C$25:$BK$25,0),FALSE))</f>
        <v>1</v>
      </c>
      <c r="O16" s="14">
        <f>MIN(1,VLOOKUP("DevIndia",RLS!$C$26:$BK$31,MATCH(O$2,RLS!$C$25:$BK$25,0),FALSE))</f>
        <v>1</v>
      </c>
      <c r="P16" s="14">
        <f>MIN(1,VLOOKUP("DevIndia",RLS!$C$26:$BK$31,MATCH(P$2,RLS!$C$25:$BK$25,0),FALSE))</f>
        <v>1</v>
      </c>
      <c r="Q16" s="14">
        <f>MIN(1,VLOOKUP("DevIndia",RLS!$C$26:$BK$31,MATCH(Q$2,RLS!$C$25:$BK$25,0),FALSE))</f>
        <v>1</v>
      </c>
      <c r="R16" s="14">
        <f>MIN(1,VLOOKUP("DevIndia",RLS!$C$26:$BK$31,MATCH(R$2,RLS!$C$25:$BK$25,0),FALSE))</f>
        <v>1</v>
      </c>
      <c r="S16" s="14">
        <f>MIN(1,VLOOKUP("DevIndia",RLS!$C$26:$BK$31,MATCH(S$2,RLS!$C$25:$BK$25,0),FALSE))</f>
        <v>1</v>
      </c>
      <c r="T16" s="14">
        <f>MIN(1,VLOOKUP("DevIndia",RLS!$C$26:$BK$31,MATCH(T$2,RLS!$C$25:$BK$25,0),FALSE))</f>
        <v>1</v>
      </c>
      <c r="U16" s="14">
        <f>MIN(1,VLOOKUP("DevIndia",RLS!$C$26:$BK$31,MATCH(U$2,RLS!$C$25:$BK$25,0),FALSE))</f>
        <v>1</v>
      </c>
      <c r="V16" s="14">
        <f>MIN(1,VLOOKUP("DevIndia",RLS!$C$26:$BK$31,MATCH(V$2,RLS!$C$25:$BK$25,0),FALSE))</f>
        <v>1</v>
      </c>
      <c r="W16" s="14">
        <f>MIN(1,VLOOKUP("DevIndia",RLS!$C$26:$BK$31,MATCH(W$2,RLS!$C$25:$BK$25,0),FALSE))</f>
        <v>1</v>
      </c>
      <c r="X16" s="14">
        <f>MIN(1,VLOOKUP("DevIndia",RLS!$C$26:$BK$31,MATCH(X$2,RLS!$C$25:$BK$25,0),FALSE))</f>
        <v>1</v>
      </c>
      <c r="Y16" s="14">
        <f>MIN(1,VLOOKUP("DevIndia",RLS!$C$26:$BK$31,MATCH(Y$2,RLS!$C$25:$BK$25,0),FALSE))</f>
        <v>1</v>
      </c>
      <c r="Z16" s="14">
        <f>MIN(1,VLOOKUP("DevIndia",RLS!$C$26:$BK$31,MATCH(Z$2,RLS!$C$25:$BK$25,0),FALSE))</f>
        <v>1</v>
      </c>
      <c r="AA16" s="14">
        <f>MIN(1,VLOOKUP("DevIndia",RLS!$C$26:$BK$31,MATCH(AA$2,RLS!$C$25:$BK$25,0),FALSE))</f>
        <v>1</v>
      </c>
      <c r="AB16" s="14">
        <f>MIN(1,VLOOKUP("DevIndia",RLS!$C$26:$BK$31,MATCH(AB$2,RLS!$C$25:$BK$25,0),FALSE))</f>
        <v>1</v>
      </c>
      <c r="AC16" s="14">
        <f>MIN(1,VLOOKUP("DevIndia",RLS!$C$26:$BK$31,MATCH(AC$2,RLS!$C$25:$BK$25,0),FALSE))</f>
        <v>1</v>
      </c>
      <c r="AD16" s="14">
        <f>MIN(1,VLOOKUP("DevIndia",RLS!$C$26:$BK$31,MATCH(AD$2,RLS!$C$25:$BK$25,0),FALSE))</f>
        <v>1</v>
      </c>
      <c r="AE16" s="14">
        <f>MIN(1,VLOOKUP("DevIndia",RLS!$C$26:$BK$31,MATCH(AE$2,RLS!$C$25:$BK$25,0),FALSE))</f>
        <v>1</v>
      </c>
      <c r="AF16" s="14">
        <f>MIN(1,VLOOKUP("DevIndia",RLS!$C$26:$BK$31,MATCH(AF$2,RLS!$C$25:$BK$25,0),FALSE))</f>
        <v>1</v>
      </c>
      <c r="AG16" s="14">
        <f>MIN(1,VLOOKUP("DevIndia",RLS!$C$26:$BK$31,MATCH(AG$2,RLS!$C$25:$BK$25,0),FALSE))</f>
        <v>1</v>
      </c>
      <c r="AH16" s="14">
        <f>MIN(1,VLOOKUP("DevIndia",RLS!$C$26:$BK$31,MATCH(AH$2,RLS!$C$25:$BK$25,0),FALSE))</f>
        <v>1</v>
      </c>
      <c r="AI16" s="14">
        <f>MIN(1,VLOOKUP("DevIndia",RLS!$C$26:$BK$31,MATCH(AI$2,RLS!$C$25:$BK$25,0),FALSE))</f>
        <v>1</v>
      </c>
      <c r="AJ16" s="14">
        <f>MIN(1,VLOOKUP("DevIndia",RLS!$C$26:$BK$31,MATCH(AJ$2,RLS!$C$25:$BK$25,0),FALSE))</f>
        <v>1</v>
      </c>
      <c r="AK16" s="14">
        <f>MIN(1,VLOOKUP("DevIndia",RLS!$C$26:$BK$31,MATCH(AK$2,RLS!$C$25:$BK$25,0),FALSE))</f>
        <v>1</v>
      </c>
      <c r="AL16" s="14">
        <f>MIN(1,VLOOKUP("DevIndia",RLS!$C$26:$BK$31,MATCH(AL$2,RLS!$C$25:$BK$25,0),FALSE))</f>
        <v>1</v>
      </c>
      <c r="AM16" s="14">
        <f>MIN(1,VLOOKUP("DevIndia",RLS!$C$26:$BK$31,MATCH(AM$2,RLS!$C$25:$BK$25,0),FALSE))</f>
        <v>1</v>
      </c>
      <c r="AN16" s="14">
        <f>MIN(1,VLOOKUP("DevIndia",RLS!$C$26:$BK$31,MATCH(AN$2,RLS!$C$25:$BK$25,0),FALSE))</f>
        <v>1</v>
      </c>
      <c r="AO16" s="14">
        <f>MIN(1,VLOOKUP("DevIndia",RLS!$C$26:$BK$31,MATCH(AO$2,RLS!$C$25:$BK$25,0),FALSE))</f>
        <v>1</v>
      </c>
      <c r="AP16" s="14">
        <f>MIN(1,VLOOKUP("DevIndia",RLS!$C$26:$BK$31,MATCH(AP$2,RLS!$C$25:$BK$25,0),FALSE))</f>
        <v>1</v>
      </c>
      <c r="AQ16">
        <f>MIN(1,VLOOKUP("DevIndia",RLS!$C$26:$BK$31,MATCH(AQ$2,RLS!$C$25:$BK$25,0),FALSE))</f>
        <v>1</v>
      </c>
      <c r="AR16">
        <f>MIN(1,VLOOKUP("DevIndia",RLS!$C$26:$BK$31,MATCH(AR$2,RLS!$C$25:$BK$25,0),FALSE))</f>
        <v>1</v>
      </c>
      <c r="AS16">
        <f>MIN(1,VLOOKUP("DevIndia",RLS!$C$26:$BK$31,MATCH(AS$2,RLS!$C$25:$BK$25,0),FALSE))</f>
        <v>1</v>
      </c>
      <c r="AT16">
        <f>MIN(1,VLOOKUP("DevIndia",RLS!$C$26:$BK$31,MATCH(AT$2,RLS!$C$25:$BK$25,0),FALSE))</f>
        <v>1</v>
      </c>
      <c r="AU16">
        <f>MIN(1,VLOOKUP("DevIndia",RLS!$C$26:$BK$31,MATCH(AU$2,RLS!$C$25:$BK$25,0),FALSE))</f>
        <v>1</v>
      </c>
      <c r="AV16">
        <f>MIN(1,VLOOKUP("DevIndia",RLS!$C$26:$BK$31,MATCH(AV$2,RLS!$C$25:$BK$25,0),FALSE))</f>
        <v>1</v>
      </c>
      <c r="AW16">
        <f>MIN(1,VLOOKUP("DevIndia",RLS!$C$26:$BK$31,MATCH(AW$2,RLS!$C$25:$BK$25,0),FALSE))</f>
        <v>1</v>
      </c>
      <c r="AX16">
        <f>MIN(1,VLOOKUP("DevIndia",RLS!$C$26:$BK$31,MATCH(AX$2,RLS!$C$25:$BK$25,0),FALSE))</f>
        <v>1</v>
      </c>
      <c r="AY16">
        <f>MIN(1,VLOOKUP("DevIndia",RLS!$C$26:$BK$31,MATCH(AY$2,RLS!$C$25:$BK$25,0),FALSE))</f>
        <v>1</v>
      </c>
      <c r="AZ16">
        <f>MIN(1,VLOOKUP("DevIndia",RLS!$C$26:$BK$31,MATCH(AZ$2,RLS!$C$25:$BK$25,0),FALSE))</f>
        <v>1</v>
      </c>
      <c r="BA16">
        <f>MIN(1,VLOOKUP("DevIndia",RLS!$C$26:$BK$31,MATCH(BA$2,RLS!$C$25:$BK$25,0),FALSE))</f>
        <v>1</v>
      </c>
      <c r="BB16">
        <f>MIN(1,VLOOKUP("DevIndia",RLS!$C$26:$BK$31,MATCH(BB$2,RLS!$C$25:$BK$25,0),FALSE))</f>
        <v>1</v>
      </c>
      <c r="BC16">
        <f>MIN(1,VLOOKUP("DevIndia",RLS!$C$26:$BK$31,MATCH(BC$2,RLS!$C$25:$BK$25,0),FALSE))</f>
        <v>1</v>
      </c>
      <c r="BD16">
        <f>MIN(1,VLOOKUP("DevIndia",RLS!$C$26:$BK$31,MATCH(BD$2,RLS!$C$25:$BK$25,0),FALSE))</f>
        <v>1</v>
      </c>
      <c r="BE16">
        <f>MIN(1,VLOOKUP("DevIndia",RLS!$C$26:$BK$31,MATCH(BE$2,RLS!$C$25:$BK$25,0),FALSE))</f>
        <v>1</v>
      </c>
      <c r="BF16">
        <f>MIN(1,VLOOKUP("DevIndia",RLS!$C$26:$BK$31,MATCH(BF$2,RLS!$C$25:$BK$25,0),FALSE))</f>
        <v>1</v>
      </c>
      <c r="BG16">
        <f>MIN(1,VLOOKUP("DevIndia",RLS!$C$26:$BK$31,MATCH(BG$2,RLS!$C$25:$BK$25,0),FALSE))</f>
        <v>1</v>
      </c>
      <c r="BH16">
        <f>MIN(1,VLOOKUP("DevIndia",RLS!$C$26:$BK$31,MATCH(BH$2,RLS!$C$25:$BK$25,0),FALSE))</f>
        <v>1</v>
      </c>
      <c r="BI16">
        <f>MIN(1,VLOOKUP("DevIndia",RLS!$C$26:$BK$31,MATCH(BI$2,RLS!$C$25:$BK$25,0),FALSE))</f>
        <v>1</v>
      </c>
      <c r="BJ16">
        <f>MIN(1,VLOOKUP("DevIndia",RLS!$C$26:$BK$31,MATCH(BJ$2,RLS!$C$25:$BK$25,0),FALSE))</f>
        <v>1</v>
      </c>
      <c r="BK16">
        <f>MIN(1,VLOOKUP("DevIndia",RLS!$C$26:$BK$31,MATCH(BK$2,RLS!$C$25:$BK$25,0),FALSE))</f>
        <v>1</v>
      </c>
      <c r="BL16">
        <f>MIN(1,VLOOKUP("DevIndia",RLS!$C$26:$BK$31,MATCH(BL$2,RLS!$C$25:$BK$25,0),FALSE))</f>
        <v>1</v>
      </c>
      <c r="BM16">
        <f>MIN(1,VLOOKUP("DevIndia",RLS!$C$26:$BK$31,MATCH(BM$2,RLS!$C$25:$BK$25,0),FALSE))</f>
        <v>1</v>
      </c>
      <c r="BN16">
        <f>MIN(1,VLOOKUP("DevIndia",RLS!$C$26:$BK$31,MATCH(BN$2,RLS!$C$25:$BK$25,0),FALSE))</f>
        <v>1</v>
      </c>
    </row>
    <row r="17" spans="1:66" x14ac:dyDescent="0.35">
      <c r="A17" t="s">
        <v>77</v>
      </c>
      <c r="B17" t="s">
        <v>78</v>
      </c>
      <c r="C17" t="s">
        <v>111</v>
      </c>
      <c r="D17" t="s">
        <v>67</v>
      </c>
      <c r="E17" t="str">
        <f t="shared" si="0"/>
        <v>PMIndia</v>
      </c>
      <c r="F17" t="s">
        <v>75</v>
      </c>
      <c r="G17" s="14">
        <f>VLOOKUP($E17,RLS!$C$26:$BK$31,MATCH(G$2,RLS!$C$25:$BK$25,0),FALSE)</f>
        <v>0</v>
      </c>
      <c r="H17" s="14">
        <f>VLOOKUP($E17,RLS!$C$26:$BK$31,MATCH(H$2,RLS!$C$25:$BK$25,0),FALSE)</f>
        <v>0</v>
      </c>
      <c r="I17" s="14">
        <f>VLOOKUP($E17,RLS!$C$26:$BK$31,MATCH(I$2,RLS!$C$25:$BK$25,0),FALSE)</f>
        <v>0</v>
      </c>
      <c r="J17" s="14">
        <f>VLOOKUP($E17,RLS!$C$26:$BK$31,MATCH(J$2,RLS!$C$25:$BK$25,0),FALSE)</f>
        <v>0</v>
      </c>
      <c r="K17" s="14">
        <f>VLOOKUP($E17,RLS!$C$26:$BK$31,MATCH(K$2,RLS!$C$25:$BK$25,0),FALSE)</f>
        <v>0</v>
      </c>
      <c r="L17" s="14">
        <f>VLOOKUP($E17,RLS!$C$26:$BK$31,MATCH(L$2,RLS!$C$25:$BK$25,0),FALSE)</f>
        <v>0</v>
      </c>
      <c r="M17" s="14">
        <f>VLOOKUP($E17,RLS!$C$26:$BK$31,MATCH(M$2,RLS!$C$25:$BK$25,0),FALSE)</f>
        <v>0</v>
      </c>
      <c r="N17" s="14">
        <f>VLOOKUP($E17,RLS!$C$26:$BK$31,MATCH(N$2,RLS!$C$25:$BK$25,0),FALSE)</f>
        <v>0</v>
      </c>
      <c r="O17" s="14">
        <f>VLOOKUP($E17,RLS!$C$26:$BK$31,MATCH(O$2,RLS!$C$25:$BK$25,0),FALSE)</f>
        <v>0</v>
      </c>
      <c r="P17" s="14">
        <f>VLOOKUP($E17,RLS!$C$26:$BK$31,MATCH(P$2,RLS!$C$25:$BK$25,0),FALSE)</f>
        <v>0</v>
      </c>
      <c r="Q17" s="14">
        <f>VLOOKUP($E17,RLS!$C$26:$BK$31,MATCH(Q$2,RLS!$C$25:$BK$25,0),FALSE)</f>
        <v>0</v>
      </c>
      <c r="R17" s="14">
        <f>VLOOKUP($E17,RLS!$C$26:$BK$31,MATCH(R$2,RLS!$C$25:$BK$25,0),FALSE)</f>
        <v>0</v>
      </c>
      <c r="S17" s="14">
        <f>VLOOKUP($E17,RLS!$C$26:$BK$31,MATCH(S$2,RLS!$C$25:$BK$25,0),FALSE)</f>
        <v>1</v>
      </c>
      <c r="T17" s="14">
        <f>VLOOKUP($E17,RLS!$C$26:$BK$31,MATCH(T$2,RLS!$C$25:$BK$25,0),FALSE)</f>
        <v>1</v>
      </c>
      <c r="U17" s="14">
        <f>VLOOKUP($E17,RLS!$C$26:$BK$31,MATCH(U$2,RLS!$C$25:$BK$25,0),FALSE)</f>
        <v>1</v>
      </c>
      <c r="V17" s="14">
        <f>VLOOKUP($E17,RLS!$C$26:$BK$31,MATCH(V$2,RLS!$C$25:$BK$25,0),FALSE)</f>
        <v>1</v>
      </c>
      <c r="W17" s="14">
        <f>VLOOKUP($E17,RLS!$C$26:$BK$31,MATCH(W$2,RLS!$C$25:$BK$25,0),FALSE)</f>
        <v>1</v>
      </c>
      <c r="X17" s="14">
        <f>VLOOKUP($E17,RLS!$C$26:$BK$31,MATCH(X$2,RLS!$C$25:$BK$25,0),FALSE)</f>
        <v>1</v>
      </c>
      <c r="Y17" s="14">
        <f>VLOOKUP($E17,RLS!$C$26:$BK$31,MATCH(Y$2,RLS!$C$25:$BK$25,0),FALSE)</f>
        <v>1</v>
      </c>
      <c r="Z17" s="14">
        <f>VLOOKUP($E17,RLS!$C$26:$BK$31,MATCH(Z$2,RLS!$C$25:$BK$25,0),FALSE)</f>
        <v>1</v>
      </c>
      <c r="AA17" s="14">
        <f>VLOOKUP($E17,RLS!$C$26:$BK$31,MATCH(AA$2,RLS!$C$25:$BK$25,0),FALSE)</f>
        <v>1</v>
      </c>
      <c r="AB17" s="14">
        <f>VLOOKUP($E17,RLS!$C$26:$BK$31,MATCH(AB$2,RLS!$C$25:$BK$25,0),FALSE)</f>
        <v>1</v>
      </c>
      <c r="AC17" s="14">
        <f>VLOOKUP($E17,RLS!$C$26:$BK$31,MATCH(AC$2,RLS!$C$25:$BK$25,0),FALSE)</f>
        <v>1</v>
      </c>
      <c r="AD17" s="14">
        <f>VLOOKUP($E17,RLS!$C$26:$BK$31,MATCH(AD$2,RLS!$C$25:$BK$25,0),FALSE)</f>
        <v>1</v>
      </c>
      <c r="AE17" s="14">
        <f>VLOOKUP($E17,RLS!$C$26:$BK$31,MATCH(AE$2,RLS!$C$25:$BK$25,0),FALSE)</f>
        <v>1</v>
      </c>
      <c r="AF17" s="14">
        <f>VLOOKUP($E17,RLS!$C$26:$BK$31,MATCH(AF$2,RLS!$C$25:$BK$25,0),FALSE)</f>
        <v>1</v>
      </c>
      <c r="AG17" s="14">
        <f>VLOOKUP($E17,RLS!$C$26:$BK$31,MATCH(AG$2,RLS!$C$25:$BK$25,0),FALSE)</f>
        <v>1</v>
      </c>
      <c r="AH17" s="14">
        <f>VLOOKUP($E17,RLS!$C$26:$BK$31,MATCH(AH$2,RLS!$C$25:$BK$25,0),FALSE)</f>
        <v>1</v>
      </c>
      <c r="AI17" s="14">
        <f>VLOOKUP($E17,RLS!$C$26:$BK$31,MATCH(AI$2,RLS!$C$25:$BK$25,0),FALSE)</f>
        <v>1</v>
      </c>
      <c r="AJ17" s="14">
        <f>VLOOKUP($E17,RLS!$C$26:$BK$31,MATCH(AJ$2,RLS!$C$25:$BK$25,0),FALSE)</f>
        <v>1</v>
      </c>
      <c r="AK17" s="14">
        <f>VLOOKUP($E17,RLS!$C$26:$BK$31,MATCH(AK$2,RLS!$C$25:$BK$25,0),FALSE)</f>
        <v>1</v>
      </c>
      <c r="AL17" s="14">
        <f>VLOOKUP($E17,RLS!$C$26:$BK$31,MATCH(AL$2,RLS!$C$25:$BK$25,0),FALSE)</f>
        <v>1</v>
      </c>
      <c r="AM17" s="14">
        <f>VLOOKUP($E17,RLS!$C$26:$BK$31,MATCH(AM$2,RLS!$C$25:$BK$25,0),FALSE)</f>
        <v>1</v>
      </c>
      <c r="AN17" s="14">
        <f>VLOOKUP($E17,RLS!$C$26:$BK$31,MATCH(AN$2,RLS!$C$25:$BK$25,0),FALSE)</f>
        <v>1</v>
      </c>
      <c r="AO17" s="14">
        <f>VLOOKUP($E17,RLS!$C$26:$BK$31,MATCH(AO$2,RLS!$C$25:$BK$25,0),FALSE)</f>
        <v>1</v>
      </c>
      <c r="AP17" s="14">
        <f>VLOOKUP($E17,RLS!$C$26:$BK$31,MATCH(AP$2,RLS!$C$25:$BK$25,0),FALSE)</f>
        <v>1</v>
      </c>
      <c r="AQ17">
        <f>VLOOKUP($E17,RLS!$C$26:$BK$31,MATCH(AQ$2,RLS!$C$25:$BK$25,0),FALSE)</f>
        <v>1</v>
      </c>
      <c r="AR17">
        <f>VLOOKUP($E17,RLS!$C$26:$BK$31,MATCH(AR$2,RLS!$C$25:$BK$25,0),FALSE)</f>
        <v>1</v>
      </c>
      <c r="AS17">
        <f>VLOOKUP($E17,RLS!$C$26:$BK$31,MATCH(AS$2,RLS!$C$25:$BK$25,0),FALSE)</f>
        <v>1</v>
      </c>
      <c r="AT17">
        <f>VLOOKUP($E17,RLS!$C$26:$BK$31,MATCH(AT$2,RLS!$C$25:$BK$25,0),FALSE)</f>
        <v>1</v>
      </c>
      <c r="AU17">
        <f>VLOOKUP($E17,RLS!$C$26:$BK$31,MATCH(AU$2,RLS!$C$25:$BK$25,0),FALSE)</f>
        <v>1</v>
      </c>
      <c r="AV17">
        <f>VLOOKUP($E17,RLS!$C$26:$BK$31,MATCH(AV$2,RLS!$C$25:$BK$25,0),FALSE)</f>
        <v>1</v>
      </c>
      <c r="AW17">
        <f>VLOOKUP($E17,RLS!$C$26:$BK$31,MATCH(AW$2,RLS!$C$25:$BK$25,0),FALSE)</f>
        <v>1</v>
      </c>
      <c r="AX17">
        <f>VLOOKUP($E17,RLS!$C$26:$BK$31,MATCH(AX$2,RLS!$C$25:$BK$25,0),FALSE)</f>
        <v>1</v>
      </c>
      <c r="AY17">
        <f>VLOOKUP($E17,RLS!$C$26:$BK$31,MATCH(AY$2,RLS!$C$25:$BK$25,0),FALSE)</f>
        <v>1</v>
      </c>
      <c r="AZ17">
        <f>VLOOKUP($E17,RLS!$C$26:$BK$31,MATCH(AZ$2,RLS!$C$25:$BK$25,0),FALSE)</f>
        <v>1</v>
      </c>
      <c r="BA17">
        <f>VLOOKUP($E17,RLS!$C$26:$BK$31,MATCH(BA$2,RLS!$C$25:$BK$25,0),FALSE)</f>
        <v>1</v>
      </c>
      <c r="BB17">
        <f>VLOOKUP($E17,RLS!$C$26:$BK$31,MATCH(BB$2,RLS!$C$25:$BK$25,0),FALSE)</f>
        <v>1</v>
      </c>
      <c r="BC17">
        <f>VLOOKUP($E17,RLS!$C$26:$BK$31,MATCH(BC$2,RLS!$C$25:$BK$25,0),FALSE)</f>
        <v>1</v>
      </c>
      <c r="BD17">
        <f>VLOOKUP($E17,RLS!$C$26:$BK$31,MATCH(BD$2,RLS!$C$25:$BK$25,0),FALSE)</f>
        <v>1</v>
      </c>
      <c r="BE17">
        <f>VLOOKUP($E17,RLS!$C$26:$BK$31,MATCH(BE$2,RLS!$C$25:$BK$25,0),FALSE)</f>
        <v>1</v>
      </c>
      <c r="BF17">
        <f>VLOOKUP($E17,RLS!$C$26:$BK$31,MATCH(BF$2,RLS!$C$25:$BK$25,0),FALSE)</f>
        <v>1</v>
      </c>
      <c r="BG17">
        <f>VLOOKUP($E17,RLS!$C$26:$BK$31,MATCH(BG$2,RLS!$C$25:$BK$25,0),FALSE)</f>
        <v>1</v>
      </c>
      <c r="BH17">
        <f>VLOOKUP($E17,RLS!$C$26:$BK$31,MATCH(BH$2,RLS!$C$25:$BK$25,0),FALSE)</f>
        <v>1</v>
      </c>
      <c r="BI17">
        <f>VLOOKUP($E17,RLS!$C$26:$BK$31,MATCH(BI$2,RLS!$C$25:$BK$25,0),FALSE)</f>
        <v>1</v>
      </c>
      <c r="BJ17">
        <f>VLOOKUP($E17,RLS!$C$26:$BK$31,MATCH(BJ$2,RLS!$C$25:$BK$25,0),FALSE)</f>
        <v>1</v>
      </c>
      <c r="BK17">
        <f>VLOOKUP($E17,RLS!$C$26:$BK$31,MATCH(BK$2,RLS!$C$25:$BK$25,0),FALSE)</f>
        <v>1</v>
      </c>
      <c r="BL17">
        <f>VLOOKUP($E17,RLS!$C$26:$BK$31,MATCH(BL$2,RLS!$C$25:$BK$25,0),FALSE)</f>
        <v>1</v>
      </c>
      <c r="BM17">
        <f>VLOOKUP($E17,RLS!$C$26:$BK$31,MATCH(BM$2,RLS!$C$25:$BK$25,0),FALSE)</f>
        <v>1</v>
      </c>
      <c r="BN17">
        <f>VLOOKUP($E17,RLS!$C$26:$BK$31,MATCH(BN$2,RLS!$C$25:$BK$25,0),FALSE)</f>
        <v>1</v>
      </c>
    </row>
    <row r="18" spans="1:66" x14ac:dyDescent="0.35">
      <c r="A18" t="s">
        <v>79</v>
      </c>
      <c r="B18" t="s">
        <v>69</v>
      </c>
      <c r="C18" t="s">
        <v>111</v>
      </c>
      <c r="D18" t="s">
        <v>67</v>
      </c>
      <c r="E18" t="str">
        <f t="shared" si="0"/>
        <v>LeadIndia</v>
      </c>
      <c r="F18" t="s">
        <v>68</v>
      </c>
      <c r="G18" s="14">
        <f>VLOOKUP($E18,RLS!$C$26:$BK$31,MATCH(G$2,RLS!$C$25:$BK$25,0),FALSE)</f>
        <v>1</v>
      </c>
      <c r="H18" s="14">
        <f>VLOOKUP($E18,RLS!$C$26:$BK$31,MATCH(H$2,RLS!$C$25:$BK$25,0),FALSE)</f>
        <v>1</v>
      </c>
      <c r="I18" s="14">
        <f>VLOOKUP($E18,RLS!$C$26:$BK$31,MATCH(I$2,RLS!$C$25:$BK$25,0),FALSE)</f>
        <v>1</v>
      </c>
      <c r="J18" s="14">
        <f>VLOOKUP($E18,RLS!$C$26:$BK$31,MATCH(J$2,RLS!$C$25:$BK$25,0),FALSE)</f>
        <v>1</v>
      </c>
      <c r="K18" s="14">
        <f>VLOOKUP($E18,RLS!$C$26:$BK$31,MATCH(K$2,RLS!$C$25:$BK$25,0),FALSE)</f>
        <v>1</v>
      </c>
      <c r="L18" s="14">
        <f>VLOOKUP($E18,RLS!$C$26:$BK$31,MATCH(L$2,RLS!$C$25:$BK$25,0),FALSE)</f>
        <v>1</v>
      </c>
      <c r="M18" s="14">
        <f>VLOOKUP($E18,RLS!$C$26:$BK$31,MATCH(M$2,RLS!$C$25:$BK$25,0),FALSE)</f>
        <v>1</v>
      </c>
      <c r="N18" s="14">
        <f>VLOOKUP($E18,RLS!$C$26:$BK$31,MATCH(N$2,RLS!$C$25:$BK$25,0),FALSE)</f>
        <v>1</v>
      </c>
      <c r="O18" s="14">
        <f>VLOOKUP($E18,RLS!$C$26:$BK$31,MATCH(O$2,RLS!$C$25:$BK$25,0),FALSE)</f>
        <v>1</v>
      </c>
      <c r="P18" s="14">
        <f>VLOOKUP($E18,RLS!$C$26:$BK$31,MATCH(P$2,RLS!$C$25:$BK$25,0),FALSE)</f>
        <v>1</v>
      </c>
      <c r="Q18" s="14">
        <f>VLOOKUP($E18,RLS!$C$26:$BK$31,MATCH(Q$2,RLS!$C$25:$BK$25,0),FALSE)</f>
        <v>1</v>
      </c>
      <c r="R18" s="14">
        <f>VLOOKUP($E18,RLS!$C$26:$BK$31,MATCH(R$2,RLS!$C$25:$BK$25,0),FALSE)</f>
        <v>1</v>
      </c>
      <c r="S18" s="14">
        <f>VLOOKUP($E18,RLS!$C$26:$BK$31,MATCH(S$2,RLS!$C$25:$BK$25,0),FALSE)</f>
        <v>1</v>
      </c>
      <c r="T18" s="14">
        <f>VLOOKUP($E18,RLS!$C$26:$BK$31,MATCH(T$2,RLS!$C$25:$BK$25,0),FALSE)</f>
        <v>1</v>
      </c>
      <c r="U18" s="14">
        <f>VLOOKUP($E18,RLS!$C$26:$BK$31,MATCH(U$2,RLS!$C$25:$BK$25,0),FALSE)</f>
        <v>1</v>
      </c>
      <c r="V18" s="14">
        <f>VLOOKUP($E18,RLS!$C$26:$BK$31,MATCH(V$2,RLS!$C$25:$BK$25,0),FALSE)</f>
        <v>1</v>
      </c>
      <c r="W18" s="14">
        <f>VLOOKUP($E18,RLS!$C$26:$BK$31,MATCH(W$2,RLS!$C$25:$BK$25,0),FALSE)</f>
        <v>1</v>
      </c>
      <c r="X18" s="14">
        <f>VLOOKUP($E18,RLS!$C$26:$BK$31,MATCH(X$2,RLS!$C$25:$BK$25,0),FALSE)</f>
        <v>1</v>
      </c>
      <c r="Y18" s="14">
        <f>VLOOKUP($E18,RLS!$C$26:$BK$31,MATCH(Y$2,RLS!$C$25:$BK$25,0),FALSE)</f>
        <v>1</v>
      </c>
      <c r="Z18" s="14">
        <f>VLOOKUP($E18,RLS!$C$26:$BK$31,MATCH(Z$2,RLS!$C$25:$BK$25,0),FALSE)</f>
        <v>1</v>
      </c>
      <c r="AA18" s="14">
        <f>VLOOKUP($E18,RLS!$C$26:$BK$31,MATCH(AA$2,RLS!$C$25:$BK$25,0),FALSE)</f>
        <v>1</v>
      </c>
      <c r="AB18" s="14">
        <f>VLOOKUP($E18,RLS!$C$26:$BK$31,MATCH(AB$2,RLS!$C$25:$BK$25,0),FALSE)</f>
        <v>1</v>
      </c>
      <c r="AC18" s="14">
        <f>VLOOKUP($E18,RLS!$C$26:$BK$31,MATCH(AC$2,RLS!$C$25:$BK$25,0),FALSE)</f>
        <v>1</v>
      </c>
      <c r="AD18" s="14">
        <f>VLOOKUP($E18,RLS!$C$26:$BK$31,MATCH(AD$2,RLS!$C$25:$BK$25,0),FALSE)</f>
        <v>1</v>
      </c>
      <c r="AE18" s="14">
        <f>VLOOKUP($E18,RLS!$C$26:$BK$31,MATCH(AE$2,RLS!$C$25:$BK$25,0),FALSE)</f>
        <v>1</v>
      </c>
      <c r="AF18" s="14">
        <f>VLOOKUP($E18,RLS!$C$26:$BK$31,MATCH(AF$2,RLS!$C$25:$BK$25,0),FALSE)</f>
        <v>1</v>
      </c>
      <c r="AG18" s="14">
        <f>VLOOKUP($E18,RLS!$C$26:$BK$31,MATCH(AG$2,RLS!$C$25:$BK$25,0),FALSE)</f>
        <v>1</v>
      </c>
      <c r="AH18" s="14">
        <f>VLOOKUP($E18,RLS!$C$26:$BK$31,MATCH(AH$2,RLS!$C$25:$BK$25,0),FALSE)</f>
        <v>1</v>
      </c>
      <c r="AI18" s="14">
        <f>VLOOKUP($E18,RLS!$C$26:$BK$31,MATCH(AI$2,RLS!$C$25:$BK$25,0),FALSE)</f>
        <v>1</v>
      </c>
      <c r="AJ18" s="14">
        <f>VLOOKUP($E18,RLS!$C$26:$BK$31,MATCH(AJ$2,RLS!$C$25:$BK$25,0),FALSE)</f>
        <v>1</v>
      </c>
      <c r="AK18" s="14">
        <f>VLOOKUP($E18,RLS!$C$26:$BK$31,MATCH(AK$2,RLS!$C$25:$BK$25,0),FALSE)</f>
        <v>1</v>
      </c>
      <c r="AL18" s="14">
        <f>VLOOKUP($E18,RLS!$C$26:$BK$31,MATCH(AL$2,RLS!$C$25:$BK$25,0),FALSE)</f>
        <v>1</v>
      </c>
      <c r="AM18" s="14">
        <f>VLOOKUP($E18,RLS!$C$26:$BK$31,MATCH(AM$2,RLS!$C$25:$BK$25,0),FALSE)</f>
        <v>1</v>
      </c>
      <c r="AN18" s="14">
        <f>VLOOKUP($E18,RLS!$C$26:$BK$31,MATCH(AN$2,RLS!$C$25:$BK$25,0),FALSE)</f>
        <v>1</v>
      </c>
      <c r="AO18" s="14">
        <f>VLOOKUP($E18,RLS!$C$26:$BK$31,MATCH(AO$2,RLS!$C$25:$BK$25,0),FALSE)</f>
        <v>1</v>
      </c>
      <c r="AP18" s="14">
        <f>VLOOKUP($E18,RLS!$C$26:$BK$31,MATCH(AP$2,RLS!$C$25:$BK$25,0),FALSE)</f>
        <v>1</v>
      </c>
      <c r="AQ18">
        <f>VLOOKUP($E18,RLS!$C$26:$BK$31,MATCH(AQ$2,RLS!$C$25:$BK$25,0),FALSE)</f>
        <v>1</v>
      </c>
      <c r="AR18">
        <f>VLOOKUP($E18,RLS!$C$26:$BK$31,MATCH(AR$2,RLS!$C$25:$BK$25,0),FALSE)</f>
        <v>1</v>
      </c>
      <c r="AS18">
        <f>VLOOKUP($E18,RLS!$C$26:$BK$31,MATCH(AS$2,RLS!$C$25:$BK$25,0),FALSE)</f>
        <v>1</v>
      </c>
      <c r="AT18">
        <f>VLOOKUP($E18,RLS!$C$26:$BK$31,MATCH(AT$2,RLS!$C$25:$BK$25,0),FALSE)</f>
        <v>1</v>
      </c>
      <c r="AU18">
        <f>VLOOKUP($E18,RLS!$C$26:$BK$31,MATCH(AU$2,RLS!$C$25:$BK$25,0),FALSE)</f>
        <v>1</v>
      </c>
      <c r="AV18">
        <f>VLOOKUP($E18,RLS!$C$26:$BK$31,MATCH(AV$2,RLS!$C$25:$BK$25,0),FALSE)</f>
        <v>1</v>
      </c>
      <c r="AW18">
        <f>VLOOKUP($E18,RLS!$C$26:$BK$31,MATCH(AW$2,RLS!$C$25:$BK$25,0),FALSE)</f>
        <v>1</v>
      </c>
      <c r="AX18">
        <f>VLOOKUP($E18,RLS!$C$26:$BK$31,MATCH(AX$2,RLS!$C$25:$BK$25,0),FALSE)</f>
        <v>1</v>
      </c>
      <c r="AY18">
        <f>VLOOKUP($E18,RLS!$C$26:$BK$31,MATCH(AY$2,RLS!$C$25:$BK$25,0),FALSE)</f>
        <v>1</v>
      </c>
      <c r="AZ18">
        <f>VLOOKUP($E18,RLS!$C$26:$BK$31,MATCH(AZ$2,RLS!$C$25:$BK$25,0),FALSE)</f>
        <v>1</v>
      </c>
      <c r="BA18">
        <f>VLOOKUP($E18,RLS!$C$26:$BK$31,MATCH(BA$2,RLS!$C$25:$BK$25,0),FALSE)</f>
        <v>1</v>
      </c>
      <c r="BB18">
        <f>VLOOKUP($E18,RLS!$C$26:$BK$31,MATCH(BB$2,RLS!$C$25:$BK$25,0),FALSE)</f>
        <v>1</v>
      </c>
      <c r="BC18">
        <f>VLOOKUP($E18,RLS!$C$26:$BK$31,MATCH(BC$2,RLS!$C$25:$BK$25,0),FALSE)</f>
        <v>1</v>
      </c>
      <c r="BD18">
        <f>VLOOKUP($E18,RLS!$C$26:$BK$31,MATCH(BD$2,RLS!$C$25:$BK$25,0),FALSE)</f>
        <v>1</v>
      </c>
      <c r="BE18">
        <f>VLOOKUP($E18,RLS!$C$26:$BK$31,MATCH(BE$2,RLS!$C$25:$BK$25,0),FALSE)</f>
        <v>1</v>
      </c>
      <c r="BF18">
        <f>VLOOKUP($E18,RLS!$C$26:$BK$31,MATCH(BF$2,RLS!$C$25:$BK$25,0),FALSE)</f>
        <v>1</v>
      </c>
      <c r="BG18">
        <f>VLOOKUP($E18,RLS!$C$26:$BK$31,MATCH(BG$2,RLS!$C$25:$BK$25,0),FALSE)</f>
        <v>1</v>
      </c>
      <c r="BH18">
        <f>VLOOKUP($E18,RLS!$C$26:$BK$31,MATCH(BH$2,RLS!$C$25:$BK$25,0),FALSE)</f>
        <v>1</v>
      </c>
      <c r="BI18">
        <f>VLOOKUP($E18,RLS!$C$26:$BK$31,MATCH(BI$2,RLS!$C$25:$BK$25,0),FALSE)</f>
        <v>1</v>
      </c>
      <c r="BJ18">
        <f>VLOOKUP($E18,RLS!$C$26:$BK$31,MATCH(BJ$2,RLS!$C$25:$BK$25,0),FALSE)</f>
        <v>1</v>
      </c>
      <c r="BK18">
        <f>VLOOKUP($E18,RLS!$C$26:$BK$31,MATCH(BK$2,RLS!$C$25:$BK$25,0),FALSE)</f>
        <v>1</v>
      </c>
      <c r="BL18">
        <f>VLOOKUP($E18,RLS!$C$26:$BK$31,MATCH(BL$2,RLS!$C$25:$BK$25,0),FALSE)</f>
        <v>1</v>
      </c>
      <c r="BM18">
        <f>VLOOKUP($E18,RLS!$C$26:$BK$31,MATCH(BM$2,RLS!$C$25:$BK$25,0),FALSE)</f>
        <v>1</v>
      </c>
      <c r="BN18">
        <f>VLOOKUP($E18,RLS!$C$26:$BK$31,MATCH(BN$2,RLS!$C$25:$BK$25,0),FALSE)</f>
        <v>1</v>
      </c>
    </row>
    <row r="19" spans="1:66" x14ac:dyDescent="0.35">
      <c r="A19" t="s">
        <v>65</v>
      </c>
      <c r="B19" t="s">
        <v>69</v>
      </c>
      <c r="C19" t="s">
        <v>111</v>
      </c>
      <c r="D19" t="s">
        <v>80</v>
      </c>
      <c r="E19" t="str">
        <f t="shared" si="0"/>
        <v>BSAOnsite</v>
      </c>
      <c r="F19" t="s">
        <v>68</v>
      </c>
      <c r="G19" s="14">
        <f>MIN(1,ROUND((VLOOKUP($E19,RLS!$C$32:$BK$36,MATCH(G$2,RLS!$C$25:$BK$25,0),FALSE)-G$44)*'Unit Distribution'!$B$3,0))</f>
        <v>1</v>
      </c>
      <c r="H19" s="14">
        <f>MIN(1,ROUND((VLOOKUP($E19,RLS!$C$32:$BK$36,MATCH(H$2,RLS!$C$25:$BK$25,0),FALSE)-H$44)*'Unit Distribution'!$B$3,0))</f>
        <v>1</v>
      </c>
      <c r="I19" s="14">
        <f>MIN(1,ROUND((VLOOKUP($E19,RLS!$C$32:$BK$36,MATCH(I$2,RLS!$C$25:$BK$25,0),FALSE)-I$44)*'Unit Distribution'!$B$3,0))</f>
        <v>1</v>
      </c>
      <c r="J19" s="14">
        <f>MIN(1,ROUND((VLOOKUP($E19,RLS!$C$32:$BK$36,MATCH(J$2,RLS!$C$25:$BK$25,0),FALSE)-J$44)*'Unit Distribution'!$B$3,0))</f>
        <v>1</v>
      </c>
      <c r="K19" s="14">
        <f>MIN(1,ROUND((VLOOKUP($E19,RLS!$C$32:$BK$36,MATCH(K$2,RLS!$C$25:$BK$25,0),FALSE)-K$44)*'Unit Distribution'!$B$3,0))</f>
        <v>1</v>
      </c>
      <c r="L19" s="14">
        <f>MIN(1,ROUND((VLOOKUP($E19,RLS!$C$32:$BK$36,MATCH(L$2,RLS!$C$25:$BK$25,0),FALSE)-L$44)*'Unit Distribution'!$B$3,0))</f>
        <v>1</v>
      </c>
      <c r="M19" s="14">
        <f>MIN(1,ROUND((VLOOKUP($E19,RLS!$C$32:$BK$36,MATCH(M$2,RLS!$C$25:$BK$25,0),FALSE)-M$44)*'Unit Distribution'!$B$3,0))</f>
        <v>1</v>
      </c>
      <c r="N19" s="14">
        <f>MIN(1,ROUND((VLOOKUP($E19,RLS!$C$32:$BK$36,MATCH(N$2,RLS!$C$25:$BK$25,0),FALSE)-N$44)*'Unit Distribution'!$B$3,0))</f>
        <v>1</v>
      </c>
      <c r="O19" s="14">
        <f>MIN(1,ROUND((VLOOKUP($E19,RLS!$C$32:$BK$36,MATCH(O$2,RLS!$C$25:$BK$25,0),FALSE)-O$44)*'Unit Distribution'!$B$3,0))</f>
        <v>1</v>
      </c>
      <c r="P19" s="14">
        <f>MIN(1,ROUND((VLOOKUP($E19,RLS!$C$32:$BK$36,MATCH(P$2,RLS!$C$25:$BK$25,0),FALSE)-P$44)*'Unit Distribution'!$B$3,0))</f>
        <v>1</v>
      </c>
      <c r="Q19" s="14">
        <f>MIN(1,ROUND((VLOOKUP($E19,RLS!$C$32:$BK$36,MATCH(Q$2,RLS!$C$25:$BK$25,0),FALSE)-Q$44)*'Unit Distribution'!$B$3,0))</f>
        <v>1</v>
      </c>
      <c r="R19" s="14">
        <f>MIN(1,ROUND((VLOOKUP($E19,RLS!$C$32:$BK$36,MATCH(R$2,RLS!$C$25:$BK$25,0),FALSE)-R$44)*'Unit Distribution'!$B$3,0))</f>
        <v>1</v>
      </c>
      <c r="S19" s="14">
        <f>MIN(1,ROUNDDOWN((VLOOKUP($E19,RLS!$C$32:$BK$36,MATCH(S$2,RLS!$C$25:$BK$25,0),FALSE)-S$44)*'Unit Distribution'!$C$3,0))</f>
        <v>1</v>
      </c>
      <c r="T19" s="14">
        <f>MIN(1,ROUNDDOWN((VLOOKUP($E19,RLS!$C$32:$BK$36,MATCH(T$2,RLS!$C$25:$BK$25,0),FALSE)-T$44)*'Unit Distribution'!$C$3,0))</f>
        <v>1</v>
      </c>
      <c r="U19" s="14">
        <f>MIN(1,ROUNDDOWN((VLOOKUP($E19,RLS!$C$32:$BK$36,MATCH(U$2,RLS!$C$25:$BK$25,0),FALSE)-U$44)*'Unit Distribution'!$C$3,0))</f>
        <v>1</v>
      </c>
      <c r="V19" s="14">
        <f>MIN(1,ROUNDDOWN((VLOOKUP($E19,RLS!$C$32:$BK$36,MATCH(V$2,RLS!$C$25:$BK$25,0),FALSE)-V$44)*'Unit Distribution'!$C$3,0))</f>
        <v>1</v>
      </c>
      <c r="W19" s="14">
        <f>MIN(1,ROUNDDOWN((VLOOKUP($E19,RLS!$C$32:$BK$36,MATCH(W$2,RLS!$C$25:$BK$25,0),FALSE)-W$44)*'Unit Distribution'!$C$3,0))</f>
        <v>1</v>
      </c>
      <c r="X19" s="14">
        <f>MIN(1,ROUNDDOWN((VLOOKUP($E19,RLS!$C$32:$BK$36,MATCH(X$2,RLS!$C$25:$BK$25,0),FALSE)-X$44)*'Unit Distribution'!$C$3,0))</f>
        <v>1</v>
      </c>
      <c r="Y19" s="14">
        <f>MIN(1,ROUNDDOWN((VLOOKUP($E19,RLS!$C$32:$BK$36,MATCH(Y$2,RLS!$C$25:$BK$25,0),FALSE)-Y$44)*'Unit Distribution'!$C$3,0))</f>
        <v>1</v>
      </c>
      <c r="Z19" s="14">
        <f>MIN(1,ROUNDDOWN((VLOOKUP($E19,RLS!$C$32:$BK$36,MATCH(Z$2,RLS!$C$25:$BK$25,0),FALSE)-Z$44)*'Unit Distribution'!$C$3,0))</f>
        <v>1</v>
      </c>
      <c r="AA19" s="14">
        <f>MIN(1,ROUNDDOWN((VLOOKUP($E19,RLS!$C$32:$BK$36,MATCH(AA$2,RLS!$C$25:$BK$25,0),FALSE)-AA$44)*'Unit Distribution'!$C$3,0))</f>
        <v>1</v>
      </c>
      <c r="AB19" s="14">
        <f>MIN(1,ROUNDDOWN((VLOOKUP($E19,RLS!$C$32:$BK$36,MATCH(AB$2,RLS!$C$25:$BK$25,0),FALSE)-AB$44)*'Unit Distribution'!$C$3,0))</f>
        <v>1</v>
      </c>
      <c r="AC19" s="14">
        <f>MIN(1,ROUNDDOWN((VLOOKUP($E19,RLS!$C$32:$BK$36,MATCH(AC$2,RLS!$C$25:$BK$25,0),FALSE)-AC$44)*'Unit Distribution'!$C$3,0))</f>
        <v>1</v>
      </c>
      <c r="AD19" s="14">
        <f>MIN(1,ROUNDDOWN((VLOOKUP($E19,RLS!$C$32:$BK$36,MATCH(AD$2,RLS!$C$25:$BK$25,0),FALSE)-AD$44)*'Unit Distribution'!$C$3,0))</f>
        <v>1</v>
      </c>
      <c r="AE19" s="14">
        <f>MIN(1,ROUND((VLOOKUP($E19,RLS!$C$32:$BK$36,MATCH(AE$2,RLS!$C$25:$BK$25,0),FALSE)-AE$44)*'Unit Distribution'!$D$3,0))</f>
        <v>1</v>
      </c>
      <c r="AF19" s="14">
        <f>MIN(1,ROUND((VLOOKUP($E19,RLS!$C$32:$BK$36,MATCH(AF$2,RLS!$C$25:$BK$25,0),FALSE)-AF$44)*'Unit Distribution'!$D$3,0))</f>
        <v>1</v>
      </c>
      <c r="AG19" s="14">
        <f>MIN(1,ROUND((VLOOKUP($E19,RLS!$C$32:$BK$36,MATCH(AG$2,RLS!$C$25:$BK$25,0),FALSE)-AG$44)*'Unit Distribution'!$D$3,0))</f>
        <v>1</v>
      </c>
      <c r="AH19" s="14">
        <f>MIN(1,ROUND((VLOOKUP($E19,RLS!$C$32:$BK$36,MATCH(AH$2,RLS!$C$25:$BK$25,0),FALSE)-AH$44)*'Unit Distribution'!$D$3,0))</f>
        <v>1</v>
      </c>
      <c r="AI19" s="14">
        <f>MIN(1,ROUND((VLOOKUP($E19,RLS!$C$32:$BK$36,MATCH(AI$2,RLS!$C$25:$BK$25,0),FALSE)-AI$44)*'Unit Distribution'!$D$3,0))</f>
        <v>1</v>
      </c>
      <c r="AJ19" s="14">
        <f>MIN(1,ROUND((VLOOKUP($E19,RLS!$C$32:$BK$36,MATCH(AJ$2,RLS!$C$25:$BK$25,0),FALSE)-AJ$44)*'Unit Distribution'!$D$3,0))</f>
        <v>1</v>
      </c>
      <c r="AK19" s="14">
        <f>MIN(1,ROUND((VLOOKUP($E19,RLS!$C$32:$BK$36,MATCH(AK$2,RLS!$C$25:$BK$25,0),FALSE)-AK$44)*'Unit Distribution'!$D$3,0))</f>
        <v>1</v>
      </c>
      <c r="AL19" s="14">
        <f>MIN(1,ROUND((VLOOKUP($E19,RLS!$C$32:$BK$36,MATCH(AL$2,RLS!$C$25:$BK$25,0),FALSE)-AL$44)*'Unit Distribution'!$D$3,0))</f>
        <v>1</v>
      </c>
      <c r="AM19" s="14">
        <f>MIN(1,ROUND((VLOOKUP($E19,RLS!$C$32:$BK$36,MATCH(AM$2,RLS!$C$25:$BK$25,0),FALSE)-AM$44)*'Unit Distribution'!$D$3,0))</f>
        <v>1</v>
      </c>
      <c r="AN19" s="14">
        <f>MIN(1,ROUND((VLOOKUP($E19,RLS!$C$32:$BK$36,MATCH(AN$2,RLS!$C$25:$BK$25,0),FALSE)-AN$44)*'Unit Distribution'!$D$3,0))</f>
        <v>1</v>
      </c>
      <c r="AO19" s="14">
        <f>MIN(1,ROUND((VLOOKUP($E19,RLS!$C$32:$BK$36,MATCH(AO$2,RLS!$C$25:$BK$25,0),FALSE)-AO$44)*'Unit Distribution'!$D$3,0))</f>
        <v>1</v>
      </c>
      <c r="AP19" s="14">
        <f>MIN(1,ROUND((VLOOKUP($E19,RLS!$C$32:$BK$36,MATCH(AP$2,RLS!$C$25:$BK$25,0),FALSE)-AP$44)*'Unit Distribution'!$D$3,0))</f>
        <v>1</v>
      </c>
      <c r="AQ19">
        <f>MIN(1,ROUND((VLOOKUP($E19,RLS!$C$32:$BK$36,MATCH(AQ$2,RLS!$C$25:$BK$25,0),FALSE)-AQ$44)*'Unit Distribution'!$E$3,0))</f>
        <v>1</v>
      </c>
      <c r="AR19">
        <f>MIN(1,ROUND((VLOOKUP($E19,RLS!$C$32:$BK$36,MATCH(AR$2,RLS!$C$25:$BK$25,0),FALSE)-AR$44)*'Unit Distribution'!$E$3,0))</f>
        <v>1</v>
      </c>
      <c r="AS19">
        <f>MIN(1,ROUND((VLOOKUP($E19,RLS!$C$32:$BK$36,MATCH(AS$2,RLS!$C$25:$BK$25,0),FALSE)-AS$44)*'Unit Distribution'!$E$3,0))</f>
        <v>1</v>
      </c>
      <c r="AT19">
        <f>MIN(1,ROUND((VLOOKUP($E19,RLS!$C$32:$BK$36,MATCH(AT$2,RLS!$C$25:$BK$25,0),FALSE)-AT$44)*'Unit Distribution'!$E$3,0))</f>
        <v>1</v>
      </c>
      <c r="AU19">
        <f>MIN(1,ROUND((VLOOKUP($E19,RLS!$C$32:$BK$36,MATCH(AU$2,RLS!$C$25:$BK$25,0),FALSE)-AU$44)*'Unit Distribution'!$E$3,0))</f>
        <v>1</v>
      </c>
      <c r="AV19">
        <f>MIN(1,ROUND((VLOOKUP($E19,RLS!$C$32:$BK$36,MATCH(AV$2,RLS!$C$25:$BK$25,0),FALSE)-AV$44)*'Unit Distribution'!$E$3,0))</f>
        <v>1</v>
      </c>
      <c r="AW19">
        <f>MIN(1,ROUND((VLOOKUP($E19,RLS!$C$32:$BK$36,MATCH(AW$2,RLS!$C$25:$BK$25,0),FALSE)-AW$44)*'Unit Distribution'!$E$3,0))</f>
        <v>1</v>
      </c>
      <c r="AX19">
        <f>MIN(1,ROUND((VLOOKUP($E19,RLS!$C$32:$BK$36,MATCH(AX$2,RLS!$C$25:$BK$25,0),FALSE)-AX$44)*'Unit Distribution'!$E$3,0))</f>
        <v>1</v>
      </c>
      <c r="AY19">
        <f>MIN(1,ROUND((VLOOKUP($E19,RLS!$C$32:$BK$36,MATCH(AY$2,RLS!$C$25:$BK$25,0),FALSE)-AY$44)*'Unit Distribution'!$E$3,0))</f>
        <v>1</v>
      </c>
      <c r="AZ19">
        <f>MIN(1,ROUND((VLOOKUP($E19,RLS!$C$32:$BK$36,MATCH(AZ$2,RLS!$C$25:$BK$25,0),FALSE)-AZ$44)*'Unit Distribution'!$E$3,0))</f>
        <v>1</v>
      </c>
      <c r="BA19">
        <f>MIN(1,ROUND((VLOOKUP($E19,RLS!$C$32:$BK$36,MATCH(BA$2,RLS!$C$25:$BK$25,0),FALSE)-BA$44)*'Unit Distribution'!$E$3,0))</f>
        <v>1</v>
      </c>
      <c r="BB19">
        <f>MIN(1,ROUND((VLOOKUP($E19,RLS!$C$32:$BK$36,MATCH(BB$2,RLS!$C$25:$BK$25,0),FALSE)-BB$44)*'Unit Distribution'!$E$3,0))</f>
        <v>1</v>
      </c>
      <c r="BC19">
        <f>0</f>
        <v>0</v>
      </c>
      <c r="BD19">
        <f>0</f>
        <v>0</v>
      </c>
      <c r="BE19">
        <f>0</f>
        <v>0</v>
      </c>
      <c r="BF19">
        <f>0</f>
        <v>0</v>
      </c>
      <c r="BG19">
        <f>0</f>
        <v>0</v>
      </c>
      <c r="BH19">
        <f>0</f>
        <v>0</v>
      </c>
      <c r="BI19">
        <f>0</f>
        <v>0</v>
      </c>
      <c r="BJ19">
        <f>0</f>
        <v>0</v>
      </c>
      <c r="BK19">
        <f>0</f>
        <v>0</v>
      </c>
      <c r="BL19">
        <f>0</f>
        <v>0</v>
      </c>
      <c r="BM19">
        <f>0</f>
        <v>0</v>
      </c>
      <c r="BN19">
        <f>0</f>
        <v>0</v>
      </c>
    </row>
    <row r="20" spans="1:66" x14ac:dyDescent="0.35">
      <c r="A20" t="s">
        <v>65</v>
      </c>
      <c r="B20" t="s">
        <v>66</v>
      </c>
      <c r="C20" t="s">
        <v>109</v>
      </c>
      <c r="D20" t="s">
        <v>80</v>
      </c>
      <c r="E20" t="str">
        <f t="shared" si="0"/>
        <v>BSAOnsite</v>
      </c>
      <c r="F20" t="s">
        <v>68</v>
      </c>
      <c r="G20" s="14">
        <f>ROUND((VLOOKUP($E19,RLS!$C$32:$BK$36,MATCH(G$2,RLS!$C$25:$BK$25,0),FALSE)-G$44)*'Unit Distribution'!$B$3,0)-G19</f>
        <v>2</v>
      </c>
      <c r="H20" s="14">
        <f>ROUND((VLOOKUP($E19,RLS!$C$32:$BK$36,MATCH(H$2,RLS!$C$25:$BK$25,0),FALSE)-H$44)*'Unit Distribution'!$B$3,0)-H19</f>
        <v>2</v>
      </c>
      <c r="I20" s="14">
        <f>ROUND((VLOOKUP($E19,RLS!$C$32:$BK$36,MATCH(I$2,RLS!$C$25:$BK$25,0),FALSE)-I$44)*'Unit Distribution'!$B$3,0)-I19</f>
        <v>2</v>
      </c>
      <c r="J20" s="14">
        <f>ROUND((VLOOKUP($E19,RLS!$C$32:$BK$36,MATCH(J$2,RLS!$C$25:$BK$25,0),FALSE)-J$44)*'Unit Distribution'!$B$3,0)-J19</f>
        <v>2</v>
      </c>
      <c r="K20" s="14">
        <f>ROUND((VLOOKUP($E19,RLS!$C$32:$BK$36,MATCH(K$2,RLS!$C$25:$BK$25,0),FALSE)-K$44)*'Unit Distribution'!$B$3,0)-K19</f>
        <v>2</v>
      </c>
      <c r="L20" s="14">
        <f>ROUND((VLOOKUP($E19,RLS!$C$32:$BK$36,MATCH(L$2,RLS!$C$25:$BK$25,0),FALSE)-L$44)*'Unit Distribution'!$B$3,0)-L19</f>
        <v>2</v>
      </c>
      <c r="M20" s="14">
        <f>ROUND((VLOOKUP($E19,RLS!$C$32:$BK$36,MATCH(M$2,RLS!$C$25:$BK$25,0),FALSE)-M$44)*'Unit Distribution'!$B$3,0)-M19</f>
        <v>2</v>
      </c>
      <c r="N20" s="14">
        <f>ROUND((VLOOKUP($E19,RLS!$C$32:$BK$36,MATCH(N$2,RLS!$C$25:$BK$25,0),FALSE)-N$44)*'Unit Distribution'!$B$3,0)-N19</f>
        <v>2</v>
      </c>
      <c r="O20" s="14">
        <f>ROUND((VLOOKUP($E19,RLS!$C$32:$BK$36,MATCH(O$2,RLS!$C$25:$BK$25,0),FALSE)-O$44)*'Unit Distribution'!$B$3,0)-O19</f>
        <v>2</v>
      </c>
      <c r="P20" s="14">
        <f>ROUND((VLOOKUP($E19,RLS!$C$32:$BK$36,MATCH(P$2,RLS!$C$25:$BK$25,0),FALSE)-P$44)*'Unit Distribution'!$B$3,0)-P19</f>
        <v>2</v>
      </c>
      <c r="Q20" s="14">
        <f>ROUND((VLOOKUP($E19,RLS!$C$32:$BK$36,MATCH(Q$2,RLS!$C$25:$BK$25,0),FALSE)-Q$44)*'Unit Distribution'!$B$3,0)-Q19</f>
        <v>2</v>
      </c>
      <c r="R20" s="14">
        <f>ROUND((VLOOKUP($E19,RLS!$C$32:$BK$36,MATCH(R$2,RLS!$C$25:$BK$25,0),FALSE)-R$44)*'Unit Distribution'!$B$3,0)-R19</f>
        <v>2</v>
      </c>
      <c r="S20" s="14">
        <f>ROUNDDOWN((VLOOKUP($E19,RLS!$C$32:$BK$36,MATCH(S$2,RLS!$C$25:$BK$25,0),FALSE)-S$44)*'Unit Distribution'!$C$3,0)-S19</f>
        <v>1</v>
      </c>
      <c r="T20" s="14">
        <f>ROUNDDOWN((VLOOKUP($E19,RLS!$C$32:$BK$36,MATCH(T$2,RLS!$C$25:$BK$25,0),FALSE)-T$44)*'Unit Distribution'!$C$3,0)-T19</f>
        <v>1</v>
      </c>
      <c r="U20" s="14">
        <f>ROUNDDOWN((VLOOKUP($E19,RLS!$C$32:$BK$36,MATCH(U$2,RLS!$C$25:$BK$25,0),FALSE)-U$44)*'Unit Distribution'!$C$3,0)-U19</f>
        <v>1</v>
      </c>
      <c r="V20" s="14">
        <f>ROUNDDOWN((VLOOKUP($E19,RLS!$C$32:$BK$36,MATCH(V$2,RLS!$C$25:$BK$25,0),FALSE)-V$44)*'Unit Distribution'!$C$3,0)-V19</f>
        <v>1</v>
      </c>
      <c r="W20" s="14">
        <f>ROUNDDOWN((VLOOKUP($E19,RLS!$C$32:$BK$36,MATCH(W$2,RLS!$C$25:$BK$25,0),FALSE)-W$44)*'Unit Distribution'!$C$3,0)-W19</f>
        <v>1</v>
      </c>
      <c r="X20" s="14">
        <f>ROUNDDOWN((VLOOKUP($E19,RLS!$C$32:$BK$36,MATCH(X$2,RLS!$C$25:$BK$25,0),FALSE)-X$44)*'Unit Distribution'!$C$3,0)-X19</f>
        <v>1</v>
      </c>
      <c r="Y20" s="14">
        <f>ROUNDDOWN((VLOOKUP($E19,RLS!$C$32:$BK$36,MATCH(Y$2,RLS!$C$25:$BK$25,0),FALSE)-Y$44)*'Unit Distribution'!$C$3,0)-Y19</f>
        <v>1</v>
      </c>
      <c r="Z20" s="14">
        <f>ROUNDDOWN((VLOOKUP($E19,RLS!$C$32:$BK$36,MATCH(Z$2,RLS!$C$25:$BK$25,0),FALSE)-Z$44)*'Unit Distribution'!$C$3,0)-Z19</f>
        <v>1</v>
      </c>
      <c r="AA20" s="14">
        <f>ROUNDDOWN((VLOOKUP($E19,RLS!$C$32:$BK$36,MATCH(AA$2,RLS!$C$25:$BK$25,0),FALSE)-AA$44)*'Unit Distribution'!$C$3,0)-AA19</f>
        <v>1</v>
      </c>
      <c r="AB20" s="14">
        <f>ROUNDDOWN((VLOOKUP($E19,RLS!$C$32:$BK$36,MATCH(AB$2,RLS!$C$25:$BK$25,0),FALSE)-AB$44)*'Unit Distribution'!$C$3,0)-AB19</f>
        <v>1</v>
      </c>
      <c r="AC20" s="14">
        <f>ROUNDDOWN((VLOOKUP($E19,RLS!$C$32:$BK$36,MATCH(AC$2,RLS!$C$25:$BK$25,0),FALSE)-AC$44)*'Unit Distribution'!$C$3,0)-AC19</f>
        <v>1</v>
      </c>
      <c r="AD20" s="14">
        <f>ROUNDDOWN((VLOOKUP($E19,RLS!$C$32:$BK$36,MATCH(AD$2,RLS!$C$25:$BK$25,0),FALSE)-AD$44)*'Unit Distribution'!$C$3,0)-AD19</f>
        <v>1</v>
      </c>
      <c r="AE20" s="14">
        <f>ROUND((VLOOKUP($E19,RLS!$C$32:$BK$36,MATCH(AE$2,RLS!$C$25:$BK$25,0),FALSE)-AE$44)*'Unit Distribution'!$D$3,0)-AE19</f>
        <v>1</v>
      </c>
      <c r="AF20" s="14">
        <f>ROUND((VLOOKUP($E19,RLS!$C$32:$BK$36,MATCH(AF$2,RLS!$C$25:$BK$25,0),FALSE)-AF$44)*'Unit Distribution'!$D$3,0)-AF19</f>
        <v>1</v>
      </c>
      <c r="AG20" s="14">
        <f>ROUND((VLOOKUP($E19,RLS!$C$32:$BK$36,MATCH(AG$2,RLS!$C$25:$BK$25,0),FALSE)-AG$44)*'Unit Distribution'!$D$3,0)-AG19</f>
        <v>1</v>
      </c>
      <c r="AH20" s="14">
        <f>ROUND((VLOOKUP($E19,RLS!$C$32:$BK$36,MATCH(AH$2,RLS!$C$25:$BK$25,0),FALSE)-AH$44)*'Unit Distribution'!$D$3,0)-AH19</f>
        <v>1</v>
      </c>
      <c r="AI20" s="14">
        <f>ROUND((VLOOKUP($E19,RLS!$C$32:$BK$36,MATCH(AI$2,RLS!$C$25:$BK$25,0),FALSE)-AI$44)*'Unit Distribution'!$D$3,0)-AI19</f>
        <v>1</v>
      </c>
      <c r="AJ20" s="14">
        <f>ROUND((VLOOKUP($E19,RLS!$C$32:$BK$36,MATCH(AJ$2,RLS!$C$25:$BK$25,0),FALSE)-AJ$44)*'Unit Distribution'!$D$3,0)-AJ19</f>
        <v>1</v>
      </c>
      <c r="AK20" s="14">
        <f>ROUND((VLOOKUP($E19,RLS!$C$32:$BK$36,MATCH(AK$2,RLS!$C$25:$BK$25,0),FALSE)-AK$44)*'Unit Distribution'!$D$3,0)-AK19</f>
        <v>1</v>
      </c>
      <c r="AL20" s="14">
        <f>ROUND((VLOOKUP($E19,RLS!$C$32:$BK$36,MATCH(AL$2,RLS!$C$25:$BK$25,0),FALSE)-AL$44)*'Unit Distribution'!$D$3,0)-AL19</f>
        <v>1</v>
      </c>
      <c r="AM20" s="14">
        <f>ROUND((VLOOKUP($E19,RLS!$C$32:$BK$36,MATCH(AM$2,RLS!$C$25:$BK$25,0),FALSE)-AM$44)*'Unit Distribution'!$D$3,0)-AM19</f>
        <v>1</v>
      </c>
      <c r="AN20" s="14">
        <f>ROUND((VLOOKUP($E19,RLS!$C$32:$BK$36,MATCH(AN$2,RLS!$C$25:$BK$25,0),FALSE)-AN$44)*'Unit Distribution'!$D$3,0)-AN19</f>
        <v>1</v>
      </c>
      <c r="AO20" s="14">
        <f>ROUND((VLOOKUP($E19,RLS!$C$32:$BK$36,MATCH(AO$2,RLS!$C$25:$BK$25,0),FALSE)-AO$44)*'Unit Distribution'!$D$3,0)-AO19</f>
        <v>1</v>
      </c>
      <c r="AP20" s="14">
        <f>ROUND((VLOOKUP($E19,RLS!$C$32:$BK$36,MATCH(AP$2,RLS!$C$25:$BK$25,0),FALSE)-AP$44)*'Unit Distribution'!$D$3,0)-AP19</f>
        <v>1</v>
      </c>
      <c r="AQ20">
        <f>ROUND((VLOOKUP($E19,RLS!$C$32:$BK$36,MATCH(AQ$2,RLS!$C$25:$BK$25,0),FALSE)-AQ$44)*'Unit Distribution'!$E$3,0)-AQ19</f>
        <v>1</v>
      </c>
      <c r="AR20">
        <f>ROUND((VLOOKUP($E19,RLS!$C$32:$BK$36,MATCH(AR$2,RLS!$C$25:$BK$25,0),FALSE)-AR$44)*'Unit Distribution'!$E$3,0)-AR19</f>
        <v>1</v>
      </c>
      <c r="AS20">
        <f>ROUND((VLOOKUP($E19,RLS!$C$32:$BK$36,MATCH(AS$2,RLS!$C$25:$BK$25,0),FALSE)-AS$44)*'Unit Distribution'!$E$3,0)-AS19</f>
        <v>1</v>
      </c>
      <c r="AT20">
        <f>ROUND((VLOOKUP($E19,RLS!$C$32:$BK$36,MATCH(AT$2,RLS!$C$25:$BK$25,0),FALSE)-AT$44)*'Unit Distribution'!$E$3,0)-AT19</f>
        <v>1</v>
      </c>
      <c r="AU20">
        <f>ROUND((VLOOKUP($E19,RLS!$C$32:$BK$36,MATCH(AU$2,RLS!$C$25:$BK$25,0),FALSE)-AU$44)*'Unit Distribution'!$E$3,0)-AU19</f>
        <v>1</v>
      </c>
      <c r="AV20">
        <f>ROUND((VLOOKUP($E19,RLS!$C$32:$BK$36,MATCH(AV$2,RLS!$C$25:$BK$25,0),FALSE)-AV$44)*'Unit Distribution'!$E$3,0)-AV19</f>
        <v>1</v>
      </c>
      <c r="AW20">
        <f>ROUND((VLOOKUP($E19,RLS!$C$32:$BK$36,MATCH(AW$2,RLS!$C$25:$BK$25,0),FALSE)-AW$44)*'Unit Distribution'!$E$3,0)-AW19</f>
        <v>1</v>
      </c>
      <c r="AX20">
        <f>ROUND((VLOOKUP($E19,RLS!$C$32:$BK$36,MATCH(AX$2,RLS!$C$25:$BK$25,0),FALSE)-AX$44)*'Unit Distribution'!$E$3,0)-AX19</f>
        <v>1</v>
      </c>
      <c r="AY20">
        <f>ROUND((VLOOKUP($E19,RLS!$C$32:$BK$36,MATCH(AY$2,RLS!$C$25:$BK$25,0),FALSE)-AY$44)*'Unit Distribution'!$E$3,0)-AY19</f>
        <v>1</v>
      </c>
      <c r="AZ20">
        <f>ROUND((VLOOKUP($E19,RLS!$C$32:$BK$36,MATCH(AZ$2,RLS!$C$25:$BK$25,0),FALSE)-AZ$44)*'Unit Distribution'!$E$3,0)-AZ19</f>
        <v>1</v>
      </c>
      <c r="BA20">
        <f>ROUND((VLOOKUP($E19,RLS!$C$32:$BK$36,MATCH(BA$2,RLS!$C$25:$BK$25,0),FALSE)-BA$44)*'Unit Distribution'!$E$3,0)-BA19</f>
        <v>1</v>
      </c>
      <c r="BB20">
        <f>ROUND((VLOOKUP($E19,RLS!$C$32:$BK$36,MATCH(BB$2,RLS!$C$25:$BK$25,0),FALSE)-BB$44)*'Unit Distribution'!$E$3,0)-BB19</f>
        <v>1</v>
      </c>
      <c r="BC20">
        <f>ROUND((VLOOKUP($E19,RLS!$C$32:$BK$36,MATCH(BC$2,RLS!$C$25:$BK$25,0),FALSE)-BC$44)*'Unit Distribution'!$F$3,0)-BC19</f>
        <v>1</v>
      </c>
      <c r="BD20">
        <f>ROUND((VLOOKUP($E19,RLS!$C$32:$BK$36,MATCH(BD$2,RLS!$C$25:$BK$25,0),FALSE)-BD$44)*'Unit Distribution'!$F$3,0)-BD19</f>
        <v>1</v>
      </c>
      <c r="BE20">
        <f>ROUND((VLOOKUP($E19,RLS!$C$32:$BK$36,MATCH(BE$2,RLS!$C$25:$BK$25,0),FALSE)-BE$44)*'Unit Distribution'!$F$3,0)-BE19</f>
        <v>1</v>
      </c>
      <c r="BF20">
        <f>ROUND((VLOOKUP($E19,RLS!$C$32:$BK$36,MATCH(BF$2,RLS!$C$25:$BK$25,0),FALSE)-BF$44)*'Unit Distribution'!$F$3,0)-BF19</f>
        <v>1</v>
      </c>
      <c r="BG20">
        <f>ROUND((VLOOKUP($E19,RLS!$C$32:$BK$36,MATCH(BG$2,RLS!$C$25:$BK$25,0),FALSE)-BG$44)*'Unit Distribution'!$F$3,0)-BG19</f>
        <v>1</v>
      </c>
      <c r="BH20">
        <f>ROUND((VLOOKUP($E19,RLS!$C$32:$BK$36,MATCH(BH$2,RLS!$C$25:$BK$25,0),FALSE)-BH$44)*'Unit Distribution'!$F$3,0)-BH19</f>
        <v>1</v>
      </c>
      <c r="BI20">
        <f>ROUND((VLOOKUP($E19,RLS!$C$32:$BK$36,MATCH(BI$2,RLS!$C$25:$BK$25,0),FALSE)-BI$44)*'Unit Distribution'!$F$3,0)-BI19</f>
        <v>1</v>
      </c>
      <c r="BJ20">
        <f>ROUND((VLOOKUP($E19,RLS!$C$32:$BK$36,MATCH(BJ$2,RLS!$C$25:$BK$25,0),FALSE)-BJ$44)*'Unit Distribution'!$F$3,0)-BJ19</f>
        <v>1</v>
      </c>
      <c r="BK20">
        <f>ROUND((VLOOKUP($E19,RLS!$C$32:$BK$36,MATCH(BK$2,RLS!$C$25:$BK$25,0),FALSE)-BK$44)*'Unit Distribution'!$F$3,0)-BK19</f>
        <v>1</v>
      </c>
      <c r="BL20">
        <f>ROUND((VLOOKUP($E19,RLS!$C$32:$BK$36,MATCH(BL$2,RLS!$C$25:$BK$25,0),FALSE)-BL$44)*'Unit Distribution'!$F$3,0)-BL19</f>
        <v>1</v>
      </c>
      <c r="BM20">
        <f>ROUND((VLOOKUP($E19,RLS!$C$32:$BK$36,MATCH(BM$2,RLS!$C$25:$BK$25,0),FALSE)-BM$44)*'Unit Distribution'!$F$3,0)-BM19</f>
        <v>1</v>
      </c>
      <c r="BN20">
        <f>ROUND((VLOOKUP($E19,RLS!$C$32:$BK$36,MATCH(BN$2,RLS!$C$25:$BK$25,0),FALSE)-BN$44)*'Unit Distribution'!$F$3,0)-BN19</f>
        <v>1</v>
      </c>
    </row>
    <row r="21" spans="1:66" x14ac:dyDescent="0.35">
      <c r="A21" t="s">
        <v>65</v>
      </c>
      <c r="B21" t="s">
        <v>69</v>
      </c>
      <c r="C21" t="s">
        <v>111</v>
      </c>
      <c r="D21" t="s">
        <v>80</v>
      </c>
      <c r="E21" t="str">
        <f t="shared" si="0"/>
        <v>BSAOnsite</v>
      </c>
      <c r="F21" t="s">
        <v>68</v>
      </c>
      <c r="G21" s="14">
        <f>ROUND((VLOOKUP($E21,RLS!$C$32:$BK$36,MATCH(G$2,RLS!$C$25:$BK$25,0),FALSE)-G$44)*'Unit Distribution'!$B$6,0)</f>
        <v>0</v>
      </c>
      <c r="H21" s="14">
        <f>ROUND((VLOOKUP($E21,RLS!$C$32:$BK$36,MATCH(H$2,RLS!$C$25:$BK$25,0),FALSE)-H$44)*'Unit Distribution'!$B$6,0)</f>
        <v>0</v>
      </c>
      <c r="I21" s="14">
        <f>ROUND((VLOOKUP($E21,RLS!$C$32:$BK$36,MATCH(I$2,RLS!$C$25:$BK$25,0),FALSE)-I$44)*'Unit Distribution'!$B$6,0)</f>
        <v>0</v>
      </c>
      <c r="J21" s="14">
        <f>ROUND((VLOOKUP($E21,RLS!$C$32:$BK$36,MATCH(J$2,RLS!$C$25:$BK$25,0),FALSE)-J$44)*'Unit Distribution'!$B$6,0)</f>
        <v>0</v>
      </c>
      <c r="K21" s="14">
        <f>ROUND((VLOOKUP($E21,RLS!$C$32:$BK$36,MATCH(K$2,RLS!$C$25:$BK$25,0),FALSE)-K$44)*'Unit Distribution'!$B$6,0)</f>
        <v>0</v>
      </c>
      <c r="L21" s="14">
        <f>ROUND((VLOOKUP($E21,RLS!$C$32:$BK$36,MATCH(L$2,RLS!$C$25:$BK$25,0),FALSE)-L$44)*'Unit Distribution'!$B$6,0)</f>
        <v>0</v>
      </c>
      <c r="M21" s="14">
        <f>ROUND((VLOOKUP($E21,RLS!$C$32:$BK$36,MATCH(M$2,RLS!$C$25:$BK$25,0),FALSE)-M$44)*'Unit Distribution'!$B$6,0)</f>
        <v>0</v>
      </c>
      <c r="N21" s="14">
        <f>ROUND((VLOOKUP($E21,RLS!$C$32:$BK$36,MATCH(N$2,RLS!$C$25:$BK$25,0),FALSE)-N$44)*'Unit Distribution'!$B$6,0)</f>
        <v>0</v>
      </c>
      <c r="O21" s="14">
        <f>ROUND((VLOOKUP($E21,RLS!$C$32:$BK$36,MATCH(O$2,RLS!$C$25:$BK$25,0),FALSE)-O$44)*'Unit Distribution'!$B$6,0)</f>
        <v>0</v>
      </c>
      <c r="P21" s="14">
        <f>ROUND((VLOOKUP($E21,RLS!$C$32:$BK$36,MATCH(P$2,RLS!$C$25:$BK$25,0),FALSE)-P$44)*'Unit Distribution'!$B$6,0)</f>
        <v>0</v>
      </c>
      <c r="Q21" s="14">
        <f>ROUND((VLOOKUP($E21,RLS!$C$32:$BK$36,MATCH(Q$2,RLS!$C$25:$BK$25,0),FALSE)-Q$44)*'Unit Distribution'!$B$6,0)</f>
        <v>0</v>
      </c>
      <c r="R21" s="14">
        <f>ROUND((VLOOKUP($E21,RLS!$C$32:$BK$36,MATCH(R$2,RLS!$C$25:$BK$25,0),FALSE)-R$44)*'Unit Distribution'!$B$6,0)</f>
        <v>0</v>
      </c>
      <c r="S21" s="14">
        <f>ROUND((VLOOKUP($E21,RLS!$C$32:$BK$36,MATCH(S$2,RLS!$C$25:$BK$25,0),FALSE)-S$44)*'Unit Distribution'!$C$6,0)</f>
        <v>0</v>
      </c>
      <c r="T21" s="14">
        <f>ROUND((VLOOKUP($E21,RLS!$C$32:$BK$36,MATCH(T$2,RLS!$C$25:$BK$25,0),FALSE)-T$44)*'Unit Distribution'!$C$6,0)</f>
        <v>0</v>
      </c>
      <c r="U21" s="14">
        <f>ROUND((VLOOKUP($E21,RLS!$C$32:$BK$36,MATCH(U$2,RLS!$C$25:$BK$25,0),FALSE)-U$44)*'Unit Distribution'!$C$6,0)</f>
        <v>0</v>
      </c>
      <c r="V21" s="14">
        <f>ROUND((VLOOKUP($E21,RLS!$C$32:$BK$36,MATCH(V$2,RLS!$C$25:$BK$25,0),FALSE)-V$44)*'Unit Distribution'!$C$6,0)</f>
        <v>0</v>
      </c>
      <c r="W21" s="14">
        <f>ROUND((VLOOKUP($E21,RLS!$C$32:$BK$36,MATCH(W$2,RLS!$C$25:$BK$25,0),FALSE)-W$44)*'Unit Distribution'!$C$6,0)</f>
        <v>0</v>
      </c>
      <c r="X21" s="14">
        <f>ROUND((VLOOKUP($E21,RLS!$C$32:$BK$36,MATCH(X$2,RLS!$C$25:$BK$25,0),FALSE)-X$44)*'Unit Distribution'!$C$6,0)</f>
        <v>0</v>
      </c>
      <c r="Y21" s="14">
        <f>ROUND((VLOOKUP($E21,RLS!$C$32:$BK$36,MATCH(Y$2,RLS!$C$25:$BK$25,0),FALSE)-Y$44)*'Unit Distribution'!$C$6,0)</f>
        <v>0</v>
      </c>
      <c r="Z21" s="14">
        <f>ROUND((VLOOKUP($E21,RLS!$C$32:$BK$36,MATCH(Z$2,RLS!$C$25:$BK$25,0),FALSE)-Z$44)*'Unit Distribution'!$C$6,0)</f>
        <v>0</v>
      </c>
      <c r="AA21" s="14">
        <f>ROUND((VLOOKUP($E21,RLS!$C$32:$BK$36,MATCH(AA$2,RLS!$C$25:$BK$25,0),FALSE)-AA$44)*'Unit Distribution'!$C$6,0)</f>
        <v>0</v>
      </c>
      <c r="AB21" s="14">
        <f>ROUND((VLOOKUP($E21,RLS!$C$32:$BK$36,MATCH(AB$2,RLS!$C$25:$BK$25,0),FALSE)-AB$44)*'Unit Distribution'!$C$6,0)</f>
        <v>0</v>
      </c>
      <c r="AC21" s="14">
        <f>ROUND((VLOOKUP($E21,RLS!$C$32:$BK$36,MATCH(AC$2,RLS!$C$25:$BK$25,0),FALSE)-AC$44)*'Unit Distribution'!$C$6,0)</f>
        <v>0</v>
      </c>
      <c r="AD21" s="14">
        <f>ROUND((VLOOKUP($E21,RLS!$C$32:$BK$36,MATCH(AD$2,RLS!$C$25:$BK$25,0),FALSE)-AD$44)*'Unit Distribution'!$C$6,0)</f>
        <v>0</v>
      </c>
      <c r="AE21" s="14">
        <f>ROUND((VLOOKUP($E21,RLS!$C$32:$BK$36,MATCH(AE$2,RLS!$C$25:$BK$25,0),FALSE)-AE$44)*'Unit Distribution'!$D$6,0)</f>
        <v>0</v>
      </c>
      <c r="AF21" s="14">
        <f>ROUND((VLOOKUP($E21,RLS!$C$32:$BK$36,MATCH(AF$2,RLS!$C$25:$BK$25,0),FALSE)-AF$44)*'Unit Distribution'!$D$6,0)</f>
        <v>0</v>
      </c>
      <c r="AG21" s="14">
        <f>ROUND((VLOOKUP($E21,RLS!$C$32:$BK$36,MATCH(AG$2,RLS!$C$25:$BK$25,0),FALSE)-AG$44)*'Unit Distribution'!$D$6,0)</f>
        <v>0</v>
      </c>
      <c r="AH21" s="14">
        <f>ROUND((VLOOKUP($E21,RLS!$C$32:$BK$36,MATCH(AH$2,RLS!$C$25:$BK$25,0),FALSE)-AH$44)*'Unit Distribution'!$D$6,0)</f>
        <v>0</v>
      </c>
      <c r="AI21" s="14">
        <f>ROUND((VLOOKUP($E21,RLS!$C$32:$BK$36,MATCH(AI$2,RLS!$C$25:$BK$25,0),FALSE)-AI$44)*'Unit Distribution'!$D$6,0)</f>
        <v>0</v>
      </c>
      <c r="AJ21" s="14">
        <f>ROUND((VLOOKUP($E21,RLS!$C$32:$BK$36,MATCH(AJ$2,RLS!$C$25:$BK$25,0),FALSE)-AJ$44)*'Unit Distribution'!$D$6,0)</f>
        <v>0</v>
      </c>
      <c r="AK21" s="14">
        <f>ROUND((VLOOKUP($E21,RLS!$C$32:$BK$36,MATCH(AK$2,RLS!$C$25:$BK$25,0),FALSE)-AK$44)*'Unit Distribution'!$D$6,0)</f>
        <v>0</v>
      </c>
      <c r="AL21" s="14">
        <f>ROUND((VLOOKUP($E21,RLS!$C$32:$BK$36,MATCH(AL$2,RLS!$C$25:$BK$25,0),FALSE)-AL$44)*'Unit Distribution'!$D$6,0)</f>
        <v>0</v>
      </c>
      <c r="AM21" s="14">
        <f>ROUND((VLOOKUP($E21,RLS!$C$32:$BK$36,MATCH(AM$2,RLS!$C$25:$BK$25,0),FALSE)-AM$44)*'Unit Distribution'!$D$6,0)</f>
        <v>0</v>
      </c>
      <c r="AN21" s="14">
        <f>ROUND((VLOOKUP($E21,RLS!$C$32:$BK$36,MATCH(AN$2,RLS!$C$25:$BK$25,0),FALSE)-AN$44)*'Unit Distribution'!$D$6,0)</f>
        <v>0</v>
      </c>
      <c r="AO21" s="14">
        <f>ROUND((VLOOKUP($E21,RLS!$C$32:$BK$36,MATCH(AO$2,RLS!$C$25:$BK$25,0),FALSE)-AO$44)*'Unit Distribution'!$D$6,0)</f>
        <v>0</v>
      </c>
      <c r="AP21" s="14">
        <f>ROUND((VLOOKUP($E21,RLS!$C$32:$BK$36,MATCH(AP$2,RLS!$C$25:$BK$25,0),FALSE)-AP$44)*'Unit Distribution'!$D$6,0)</f>
        <v>0</v>
      </c>
      <c r="AQ21">
        <f>(VLOOKUP($E21,RLS!$C$32:$BK$36,MATCH(AQ$2,RLS!$C$25:$BK$25,0),FALSE)-AQ$44)-AQ19-AQ20-(AQ22+AQ23+AQ24)-(AQ25+AQ26+AQ27)</f>
        <v>2</v>
      </c>
      <c r="AR21">
        <f>(VLOOKUP($E21,RLS!$C$32:$BK$36,MATCH(AR$2,RLS!$C$25:$BK$25,0),FALSE)-AR$44)-AR19-AR20-(AR22+AR23+AR24)-(AR25+AR26+AR27)</f>
        <v>2</v>
      </c>
      <c r="AS21">
        <f>(VLOOKUP($E21,RLS!$C$32:$BK$36,MATCH(AS$2,RLS!$C$25:$BK$25,0),FALSE)-AS$44)-AS19-AS20-(AS22+AS23+AS24)-(AS25+AS26+AS27)</f>
        <v>2</v>
      </c>
      <c r="AT21">
        <f>(VLOOKUP($E21,RLS!$C$32:$BK$36,MATCH(AT$2,RLS!$C$25:$BK$25,0),FALSE)-AT$44)-AT19-AT20-(AT22+AT23+AT24)-(AT25+AT26+AT27)</f>
        <v>2</v>
      </c>
      <c r="AU21">
        <f>(VLOOKUP($E21,RLS!$C$32:$BK$36,MATCH(AU$2,RLS!$C$25:$BK$25,0),FALSE)-AU$44)-AU19-AU20-(AU22+AU23+AU24)-(AU25+AU26+AU27)</f>
        <v>2</v>
      </c>
      <c r="AV21">
        <f>(VLOOKUP($E21,RLS!$C$32:$BK$36,MATCH(AV$2,RLS!$C$25:$BK$25,0),FALSE)-AV$44)-AV19-AV20-(AV22+AV23+AV24)-(AV25+AV26+AV27)</f>
        <v>2</v>
      </c>
      <c r="AW21">
        <f>(VLOOKUP($E21,RLS!$C$32:$BK$36,MATCH(AW$2,RLS!$C$25:$BK$25,0),FALSE)-AW$44)-AW19-AW20-(AW22+AW23+AW24)-(AW25+AW26+AW27)</f>
        <v>2</v>
      </c>
      <c r="AX21">
        <f>(VLOOKUP($E21,RLS!$C$32:$BK$36,MATCH(AX$2,RLS!$C$25:$BK$25,0),FALSE)-AX$44)-AX19-AX20-(AX22+AX23+AX24)-(AX25+AX26+AX27)</f>
        <v>2</v>
      </c>
      <c r="AY21">
        <f>(VLOOKUP($E21,RLS!$C$32:$BK$36,MATCH(AY$2,RLS!$C$25:$BK$25,0),FALSE)-AY$44)-AY19-AY20-(AY22+AY23+AY24)-(AY25+AY26+AY27)</f>
        <v>2</v>
      </c>
      <c r="AZ21">
        <f>(VLOOKUP($E21,RLS!$C$32:$BK$36,MATCH(AZ$2,RLS!$C$25:$BK$25,0),FALSE)-AZ$44)-AZ19-AZ20-(AZ22+AZ23+AZ24)-(AZ25+AZ26+AZ27)</f>
        <v>2</v>
      </c>
      <c r="BA21">
        <f>(VLOOKUP($E21,RLS!$C$32:$BK$36,MATCH(BA$2,RLS!$C$25:$BK$25,0),FALSE)-BA$44)-BA19-BA20-(BA22+BA23+BA24)-(BA25+BA26+BA27)</f>
        <v>2</v>
      </c>
      <c r="BB21">
        <f>(VLOOKUP($E21,RLS!$C$32:$BK$36,MATCH(BB$2,RLS!$C$25:$BK$25,0),FALSE)-BB$44)-BB19-BB20-(BB22+BB23+BB24)-(BB25+BB26+BB27)</f>
        <v>2</v>
      </c>
      <c r="BC21">
        <f>(VLOOKUP($E21,RLS!$C$32:$BK$36,MATCH(BC$2,RLS!$C$25:$BK$25,0),FALSE)-BC$44)-BC19-BC20-(BC22+BC23+BC24)-(BC25+BC26+BC27)</f>
        <v>1</v>
      </c>
      <c r="BD21">
        <f>(VLOOKUP($E21,RLS!$C$32:$BK$36,MATCH(BD$2,RLS!$C$25:$BK$25,0),FALSE)-BD$44)-BD19-BD20-(BD22+BD23+BD24)-(BD25+BD26+BD27)</f>
        <v>1</v>
      </c>
      <c r="BE21">
        <f>(VLOOKUP($E21,RLS!$C$32:$BK$36,MATCH(BE$2,RLS!$C$25:$BK$25,0),FALSE)-BE$44)-BE19-BE20-(BE22+BE23+BE24)-(BE25+BE26+BE27)</f>
        <v>1</v>
      </c>
      <c r="BF21">
        <f>(VLOOKUP($E21,RLS!$C$32:$BK$36,MATCH(BF$2,RLS!$C$25:$BK$25,0),FALSE)-BF$44)-BF19-BF20-(BF22+BF23+BF24)-(BF25+BF26+BF27)</f>
        <v>1</v>
      </c>
      <c r="BG21">
        <f>(VLOOKUP($E21,RLS!$C$32:$BK$36,MATCH(BG$2,RLS!$C$25:$BK$25,0),FALSE)-BG$44)-BG19-BG20-(BG22+BG23+BG24)-(BG25+BG26+BG27)</f>
        <v>1</v>
      </c>
      <c r="BH21">
        <f>(VLOOKUP($E21,RLS!$C$32:$BK$36,MATCH(BH$2,RLS!$C$25:$BK$25,0),FALSE)-BH$44)-BH19-BH20-(BH22+BH23+BH24)-(BH25+BH26+BH27)</f>
        <v>1</v>
      </c>
      <c r="BI21">
        <f>(VLOOKUP($E21,RLS!$C$32:$BK$36,MATCH(BI$2,RLS!$C$25:$BK$25,0),FALSE)-BI$44)-BI19-BI20-(BI22+BI23+BI24)-(BI25+BI26+BI27)</f>
        <v>1</v>
      </c>
      <c r="BJ21">
        <f>(VLOOKUP($E21,RLS!$C$32:$BK$36,MATCH(BJ$2,RLS!$C$25:$BK$25,0),FALSE)-BJ$44)-BJ19-BJ20-(BJ22+BJ23+BJ24)-(BJ25+BJ26+BJ27)</f>
        <v>1</v>
      </c>
      <c r="BK21">
        <f>(VLOOKUP($E21,RLS!$C$32:$BK$36,MATCH(BK$2,RLS!$C$25:$BK$25,0),FALSE)-BK$44)-BK19-BK20-(BK22+BK23+BK24)-(BK25+BK26+BK27)</f>
        <v>1</v>
      </c>
      <c r="BL21">
        <f>(VLOOKUP($E21,RLS!$C$32:$BK$36,MATCH(BL$2,RLS!$C$25:$BK$25,0),FALSE)-BL$44)-BL19-BL20-(BL22+BL23+BL24)-(BL25+BL26+BL27)</f>
        <v>1</v>
      </c>
      <c r="BM21">
        <f>(VLOOKUP($E21,RLS!$C$32:$BK$36,MATCH(BM$2,RLS!$C$25:$BK$25,0),FALSE)-BM$44)-BM19-BM20-(BM22+BM23+BM24)-(BM25+BM26+BM27)</f>
        <v>1</v>
      </c>
      <c r="BN21">
        <f>(VLOOKUP($E21,RLS!$C$32:$BK$36,MATCH(BN$2,RLS!$C$25:$BK$25,0),FALSE)-BN$44)-BN19-BN20-(BN22+BN23+BN24)-(BN25+BN26+BN27)</f>
        <v>1</v>
      </c>
    </row>
    <row r="22" spans="1:66" x14ac:dyDescent="0.35">
      <c r="A22" t="s">
        <v>65</v>
      </c>
      <c r="B22" t="s">
        <v>69</v>
      </c>
      <c r="C22" t="s">
        <v>111</v>
      </c>
      <c r="D22" t="s">
        <v>80</v>
      </c>
      <c r="E22" t="str">
        <f t="shared" si="0"/>
        <v>BSAOnsite</v>
      </c>
      <c r="F22" t="s">
        <v>70</v>
      </c>
      <c r="G22" s="14">
        <f>MIN(2,(ROUND((VLOOKUP($E22,RLS!$C$32:$BK$36,MATCH(G$2,RLS!$C$25:$BK$25,0),FALSE)-G$44)*'Unit Distribution'!$B$4,0)))</f>
        <v>2</v>
      </c>
      <c r="H22" s="14">
        <f>MIN(2,(ROUND((VLOOKUP($E22,RLS!$C$32:$BK$36,MATCH(H$2,RLS!$C$25:$BK$25,0),FALSE)-H$44)*'Unit Distribution'!$B$4,0)))</f>
        <v>2</v>
      </c>
      <c r="I22" s="14">
        <f>MIN(2,(ROUND((VLOOKUP($E22,RLS!$C$32:$BK$36,MATCH(I$2,RLS!$C$25:$BK$25,0),FALSE)-I$44)*'Unit Distribution'!$B$4,0)))</f>
        <v>2</v>
      </c>
      <c r="J22" s="14">
        <f>MIN(2,(ROUND((VLOOKUP($E22,RLS!$C$32:$BK$36,MATCH(J$2,RLS!$C$25:$BK$25,0),FALSE)-J$44)*'Unit Distribution'!$B$4,0)))</f>
        <v>2</v>
      </c>
      <c r="K22" s="14">
        <f>MIN(2,(ROUND((VLOOKUP($E22,RLS!$C$32:$BK$36,MATCH(K$2,RLS!$C$25:$BK$25,0),FALSE)-K$44)*'Unit Distribution'!$B$4,0)))</f>
        <v>2</v>
      </c>
      <c r="L22" s="14">
        <f>MIN(2,(ROUND((VLOOKUP($E22,RLS!$C$32:$BK$36,MATCH(L$2,RLS!$C$25:$BK$25,0),FALSE)-L$44)*'Unit Distribution'!$B$4,0)))</f>
        <v>2</v>
      </c>
      <c r="M22" s="14">
        <f>MIN(2,(ROUND((VLOOKUP($E22,RLS!$C$32:$BK$36,MATCH(M$2,RLS!$C$25:$BK$25,0),FALSE)-M$44)*'Unit Distribution'!$B$4,0)))</f>
        <v>2</v>
      </c>
      <c r="N22" s="14">
        <f>MIN(2,(ROUND((VLOOKUP($E22,RLS!$C$32:$BK$36,MATCH(N$2,RLS!$C$25:$BK$25,0),FALSE)-N$44)*'Unit Distribution'!$B$4,0)))</f>
        <v>2</v>
      </c>
      <c r="O22" s="14">
        <f>MIN(2,(ROUND((VLOOKUP($E22,RLS!$C$32:$BK$36,MATCH(O$2,RLS!$C$25:$BK$25,0),FALSE)-O$44)*'Unit Distribution'!$B$4,0)))</f>
        <v>2</v>
      </c>
      <c r="P22" s="14">
        <f>MIN(2,(ROUND((VLOOKUP($E22,RLS!$C$32:$BK$36,MATCH(P$2,RLS!$C$25:$BK$25,0),FALSE)-P$44)*'Unit Distribution'!$B$4,0)))</f>
        <v>2</v>
      </c>
      <c r="Q22" s="14">
        <f>MIN(2,(ROUND((VLOOKUP($E22,RLS!$C$32:$BK$36,MATCH(Q$2,RLS!$C$25:$BK$25,0),FALSE)-Q$44)*'Unit Distribution'!$B$4,0)))</f>
        <v>2</v>
      </c>
      <c r="R22" s="14">
        <f>MIN(2,(ROUND((VLOOKUP($E22,RLS!$C$32:$BK$36,MATCH(R$2,RLS!$C$25:$BK$25,0),FALSE)-R$44)*'Unit Distribution'!$B$4,0)))</f>
        <v>2</v>
      </c>
      <c r="S22" s="14">
        <f>MIN(1,(ROUND((VLOOKUP($E22,RLS!$C$32:$BK$36,MATCH(S$2,RLS!$C$25:$BK$25,0),FALSE)-S$44)*'Unit Distribution'!$C$4,0)))</f>
        <v>1</v>
      </c>
      <c r="T22" s="14">
        <f>MIN(1,(ROUND((VLOOKUP($E22,RLS!$C$32:$BK$36,MATCH(T$2,RLS!$C$25:$BK$25,0),FALSE)-T$44)*'Unit Distribution'!$C$4,0)))</f>
        <v>1</v>
      </c>
      <c r="U22" s="14">
        <f>MIN(1,(ROUND((VLOOKUP($E22,RLS!$C$32:$BK$36,MATCH(U$2,RLS!$C$25:$BK$25,0),FALSE)-U$44)*'Unit Distribution'!$C$4,0)))</f>
        <v>1</v>
      </c>
      <c r="V22" s="14">
        <f>MIN(1,(ROUND((VLOOKUP($E22,RLS!$C$32:$BK$36,MATCH(V$2,RLS!$C$25:$BK$25,0),FALSE)-V$44)*'Unit Distribution'!$C$4,0)))</f>
        <v>1</v>
      </c>
      <c r="W22" s="14">
        <f>MIN(1,(ROUND((VLOOKUP($E22,RLS!$C$32:$BK$36,MATCH(W$2,RLS!$C$25:$BK$25,0),FALSE)-W$44)*'Unit Distribution'!$C$4,0)))</f>
        <v>1</v>
      </c>
      <c r="X22" s="14">
        <f>MIN(1,(ROUND((VLOOKUP($E22,RLS!$C$32:$BK$36,MATCH(X$2,RLS!$C$25:$BK$25,0),FALSE)-X$44)*'Unit Distribution'!$C$4,0)))</f>
        <v>1</v>
      </c>
      <c r="Y22" s="14">
        <f>MIN(1,(ROUND((VLOOKUP($E22,RLS!$C$32:$BK$36,MATCH(Y$2,RLS!$C$25:$BK$25,0),FALSE)-Y$44)*'Unit Distribution'!$C$4,0)))</f>
        <v>1</v>
      </c>
      <c r="Z22" s="14">
        <f>MIN(1,(ROUND((VLOOKUP($E22,RLS!$C$32:$BK$36,MATCH(Z$2,RLS!$C$25:$BK$25,0),FALSE)-Z$44)*'Unit Distribution'!$C$4,0)))</f>
        <v>1</v>
      </c>
      <c r="AA22" s="14">
        <f>MIN(1,(ROUND((VLOOKUP($E22,RLS!$C$32:$BK$36,MATCH(AA$2,RLS!$C$25:$BK$25,0),FALSE)-AA$44)*'Unit Distribution'!$C$4,0)))</f>
        <v>1</v>
      </c>
      <c r="AB22" s="14">
        <f>MIN(1,(ROUND((VLOOKUP($E22,RLS!$C$32:$BK$36,MATCH(AB$2,RLS!$C$25:$BK$25,0),FALSE)-AB$44)*'Unit Distribution'!$C$4,0)))</f>
        <v>1</v>
      </c>
      <c r="AC22" s="14">
        <f>MIN(1,(ROUND((VLOOKUP($E22,RLS!$C$32:$BK$36,MATCH(AC$2,RLS!$C$25:$BK$25,0),FALSE)-AC$44)*'Unit Distribution'!$C$4,0)))</f>
        <v>1</v>
      </c>
      <c r="AD22" s="14">
        <f>MIN(1,(ROUND((VLOOKUP($E22,RLS!$C$32:$BK$36,MATCH(AD$2,RLS!$C$25:$BK$25,0),FALSE)-AD$44)*'Unit Distribution'!$C$4,0)))</f>
        <v>1</v>
      </c>
      <c r="AE22" s="14">
        <f>MIN(0,(ROUND((VLOOKUP($E22,RLS!$C$32:$BK$36,MATCH(AE$2,RLS!$C$25:$BK$25,0),FALSE)-AE$44)*'Unit Distribution'!$D$4,0)))</f>
        <v>0</v>
      </c>
      <c r="AF22" s="14">
        <f>MIN(0,(ROUND((VLOOKUP($E22,RLS!$C$32:$BK$36,MATCH(AF$2,RLS!$C$25:$BK$25,0),FALSE)-AF$44)*'Unit Distribution'!$D$4,0)))</f>
        <v>0</v>
      </c>
      <c r="AG22" s="14">
        <f>MIN(0,(ROUND((VLOOKUP($E22,RLS!$C$32:$BK$36,MATCH(AG$2,RLS!$C$25:$BK$25,0),FALSE)-AG$44)*'Unit Distribution'!$D$4,0)))</f>
        <v>0</v>
      </c>
      <c r="AH22" s="14">
        <f>MIN(0,(ROUND((VLOOKUP($E22,RLS!$C$32:$BK$36,MATCH(AH$2,RLS!$C$25:$BK$25,0),FALSE)-AH$44)*'Unit Distribution'!$D$4,0)))</f>
        <v>0</v>
      </c>
      <c r="AI22" s="14">
        <f>MIN(0,(ROUND((VLOOKUP($E22,RLS!$C$32:$BK$36,MATCH(AI$2,RLS!$C$25:$BK$25,0),FALSE)-AI$44)*'Unit Distribution'!$D$4,0)))</f>
        <v>0</v>
      </c>
      <c r="AJ22" s="14">
        <f>MIN(0,(ROUND((VLOOKUP($E22,RLS!$C$32:$BK$36,MATCH(AJ$2,RLS!$C$25:$BK$25,0),FALSE)-AJ$44)*'Unit Distribution'!$D$4,0)))</f>
        <v>0</v>
      </c>
      <c r="AK22" s="14">
        <f>MIN(0,(ROUND((VLOOKUP($E22,RLS!$C$32:$BK$36,MATCH(AK$2,RLS!$C$25:$BK$25,0),FALSE)-AK$44)*'Unit Distribution'!$D$4,0)))</f>
        <v>0</v>
      </c>
      <c r="AL22" s="14">
        <f>MIN(0,(ROUND((VLOOKUP($E22,RLS!$C$32:$BK$36,MATCH(AL$2,RLS!$C$25:$BK$25,0),FALSE)-AL$44)*'Unit Distribution'!$D$4,0)))</f>
        <v>0</v>
      </c>
      <c r="AM22" s="14">
        <f>MIN(0,(ROUND((VLOOKUP($E22,RLS!$C$32:$BK$36,MATCH(AM$2,RLS!$C$25:$BK$25,0),FALSE)-AM$44)*'Unit Distribution'!$D$4,0)))</f>
        <v>0</v>
      </c>
      <c r="AN22" s="14">
        <f>MIN(0,(ROUND((VLOOKUP($E22,RLS!$C$32:$BK$36,MATCH(AN$2,RLS!$C$25:$BK$25,0),FALSE)-AN$44)*'Unit Distribution'!$D$4,0)))</f>
        <v>0</v>
      </c>
      <c r="AO22" s="14">
        <f>MIN(0,(ROUND((VLOOKUP($E22,RLS!$C$32:$BK$36,MATCH(AO$2,RLS!$C$25:$BK$25,0),FALSE)-AO$44)*'Unit Distribution'!$D$4,0)))</f>
        <v>0</v>
      </c>
      <c r="AP22" s="14">
        <f>MIN(0,(ROUND((VLOOKUP($E22,RLS!$C$32:$BK$36,MATCH(AP$2,RLS!$C$25:$BK$25,0),FALSE)-AP$44)*'Unit Distribution'!$D$4,0)))</f>
        <v>0</v>
      </c>
      <c r="AQ22">
        <f>MIN(0,(ROUND((VLOOKUP($E22,RLS!$C$32:$BK$36,MATCH(AQ$2,RLS!$C$25:$BK$25,0),FALSE)-AQ$44)*'Unit Distribution'!$E$4,0)))</f>
        <v>0</v>
      </c>
      <c r="AR22">
        <f>MIN(0,(ROUND((VLOOKUP($E22,RLS!$C$32:$BK$36,MATCH(AR$2,RLS!$C$25:$BK$25,0),FALSE)-AR$44)*'Unit Distribution'!$E$4,0)))</f>
        <v>0</v>
      </c>
      <c r="AS22">
        <f>MIN(0,(ROUND((VLOOKUP($E22,RLS!$C$32:$BK$36,MATCH(AS$2,RLS!$C$25:$BK$25,0),FALSE)-AS$44)*'Unit Distribution'!$E$4,0)))</f>
        <v>0</v>
      </c>
      <c r="AT22">
        <f>MIN(0,(ROUND((VLOOKUP($E22,RLS!$C$32:$BK$36,MATCH(AT$2,RLS!$C$25:$BK$25,0),FALSE)-AT$44)*'Unit Distribution'!$E$4,0)))</f>
        <v>0</v>
      </c>
      <c r="AU22">
        <f>MIN(0,(ROUND((VLOOKUP($E22,RLS!$C$32:$BK$36,MATCH(AU$2,RLS!$C$25:$BK$25,0),FALSE)-AU$44)*'Unit Distribution'!$E$4,0)))</f>
        <v>0</v>
      </c>
      <c r="AV22">
        <f>MIN(0,(ROUND((VLOOKUP($E22,RLS!$C$32:$BK$36,MATCH(AV$2,RLS!$C$25:$BK$25,0),FALSE)-AV$44)*'Unit Distribution'!$E$4,0)))</f>
        <v>0</v>
      </c>
      <c r="AW22">
        <f>MIN(0,(ROUND((VLOOKUP($E22,RLS!$C$32:$BK$36,MATCH(AW$2,RLS!$C$25:$BK$25,0),FALSE)-AW$44)*'Unit Distribution'!$E$4,0)))</f>
        <v>0</v>
      </c>
      <c r="AX22">
        <f>MIN(0,(ROUND((VLOOKUP($E22,RLS!$C$32:$BK$36,MATCH(AX$2,RLS!$C$25:$BK$25,0),FALSE)-AX$44)*'Unit Distribution'!$E$4,0)))</f>
        <v>0</v>
      </c>
      <c r="AY22">
        <f>MIN(0,(ROUND((VLOOKUP($E22,RLS!$C$32:$BK$36,MATCH(AY$2,RLS!$C$25:$BK$25,0),FALSE)-AY$44)*'Unit Distribution'!$E$4,0)))</f>
        <v>0</v>
      </c>
      <c r="AZ22">
        <f>MIN(0,(ROUND((VLOOKUP($E22,RLS!$C$32:$BK$36,MATCH(AZ$2,RLS!$C$25:$BK$25,0),FALSE)-AZ$44)*'Unit Distribution'!$E$4,0)))</f>
        <v>0</v>
      </c>
      <c r="BA22">
        <f>MIN(0,(ROUND((VLOOKUP($E22,RLS!$C$32:$BK$36,MATCH(BA$2,RLS!$C$25:$BK$25,0),FALSE)-BA$44)*'Unit Distribution'!$E$4,0)))</f>
        <v>0</v>
      </c>
      <c r="BB22">
        <f>MIN(0,(ROUND((VLOOKUP($E22,RLS!$C$32:$BK$36,MATCH(BB$2,RLS!$C$25:$BK$25,0),FALSE)-BB$44)*'Unit Distribution'!$E$4,0)))</f>
        <v>0</v>
      </c>
      <c r="BC22">
        <f>MIN(0,(ROUND((VLOOKUP($E22,RLS!$C$32:$BK$36,MATCH(BC$2,RLS!$C$25:$BK$25,0),FALSE)-BC$44)*'Unit Distribution'!$F$4,0)))</f>
        <v>0</v>
      </c>
      <c r="BD22">
        <f>MIN(0,(ROUND((VLOOKUP($E22,RLS!$C$32:$BK$36,MATCH(BD$2,RLS!$C$25:$BK$25,0),FALSE)-BD$44)*'Unit Distribution'!$F$4,0)))</f>
        <v>0</v>
      </c>
      <c r="BE22">
        <f>MIN(0,(ROUND((VLOOKUP($E22,RLS!$C$32:$BK$36,MATCH(BE$2,RLS!$C$25:$BK$25,0),FALSE)-BE$44)*'Unit Distribution'!$F$4,0)))</f>
        <v>0</v>
      </c>
      <c r="BF22">
        <f>MIN(0,(ROUND((VLOOKUP($E22,RLS!$C$32:$BK$36,MATCH(BF$2,RLS!$C$25:$BK$25,0),FALSE)-BF$44)*'Unit Distribution'!$F$4,0)))</f>
        <v>0</v>
      </c>
      <c r="BG22">
        <f>MIN(0,(ROUND((VLOOKUP($E22,RLS!$C$32:$BK$36,MATCH(BG$2,RLS!$C$25:$BK$25,0),FALSE)-BG$44)*'Unit Distribution'!$F$4,0)))</f>
        <v>0</v>
      </c>
      <c r="BH22">
        <f>MIN(0,(ROUND((VLOOKUP($E22,RLS!$C$32:$BK$36,MATCH(BH$2,RLS!$C$25:$BK$25,0),FALSE)-BH$44)*'Unit Distribution'!$F$4,0)))</f>
        <v>0</v>
      </c>
      <c r="BI22">
        <f>MIN(0,(ROUND((VLOOKUP($E22,RLS!$C$32:$BK$36,MATCH(BI$2,RLS!$C$25:$BK$25,0),FALSE)-BI$44)*'Unit Distribution'!$F$4,0)))</f>
        <v>0</v>
      </c>
      <c r="BJ22">
        <f>MIN(0,(ROUND((VLOOKUP($E22,RLS!$C$32:$BK$36,MATCH(BJ$2,RLS!$C$25:$BK$25,0),FALSE)-BJ$44)*'Unit Distribution'!$F$4,0)))</f>
        <v>0</v>
      </c>
      <c r="BK22">
        <f>MIN(0,(ROUND((VLOOKUP($E22,RLS!$C$32:$BK$36,MATCH(BK$2,RLS!$C$25:$BK$25,0),FALSE)-BK$44)*'Unit Distribution'!$F$4,0)))</f>
        <v>0</v>
      </c>
      <c r="BL22">
        <f>MIN(0,(ROUND((VLOOKUP($E22,RLS!$C$32:$BK$36,MATCH(BL$2,RLS!$C$25:$BK$25,0),FALSE)-BL$44)*'Unit Distribution'!$F$4,0)))</f>
        <v>0</v>
      </c>
      <c r="BM22">
        <f>MIN(0,(ROUND((VLOOKUP($E22,RLS!$C$32:$BK$36,MATCH(BM$2,RLS!$C$25:$BK$25,0),FALSE)-BM$44)*'Unit Distribution'!$F$4,0)))</f>
        <v>0</v>
      </c>
      <c r="BN22">
        <f>MIN(0,(ROUND((VLOOKUP($E22,RLS!$C$32:$BK$36,MATCH(BN$2,RLS!$C$25:$BK$25,0),FALSE)-BN$44)*'Unit Distribution'!$F$4,0)))</f>
        <v>0</v>
      </c>
    </row>
    <row r="23" spans="1:66" x14ac:dyDescent="0.35">
      <c r="A23" t="s">
        <v>65</v>
      </c>
      <c r="B23" t="s">
        <v>66</v>
      </c>
      <c r="C23" t="s">
        <v>112</v>
      </c>
      <c r="D23" t="s">
        <v>80</v>
      </c>
      <c r="E23" t="str">
        <f t="shared" si="0"/>
        <v>BSAOnsite</v>
      </c>
      <c r="F23" t="s">
        <v>70</v>
      </c>
      <c r="G23" s="14">
        <f>MIN(1,(ROUND((VLOOKUP($E22,RLS!$C$32:$BK$36,MATCH(G$2,RLS!$C$25:$BK$25,0),FALSE)-G$44)*'Unit Distribution'!$B$4,0))-G22)</f>
        <v>1</v>
      </c>
      <c r="H23" s="14">
        <f>MIN(1,(ROUND((VLOOKUP($E22,RLS!$C$32:$BK$36,MATCH(H$2,RLS!$C$25:$BK$25,0),FALSE)-H$44)*'Unit Distribution'!$B$4,0))-H22)</f>
        <v>1</v>
      </c>
      <c r="I23" s="14">
        <f>MIN(1,(ROUND((VLOOKUP($E22,RLS!$C$32:$BK$36,MATCH(I$2,RLS!$C$25:$BK$25,0),FALSE)-I$44)*'Unit Distribution'!$B$4,0))-I22)</f>
        <v>1</v>
      </c>
      <c r="J23" s="14">
        <f>MIN(1,(ROUND((VLOOKUP($E22,RLS!$C$32:$BK$36,MATCH(J$2,RLS!$C$25:$BK$25,0),FALSE)-J$44)*'Unit Distribution'!$B$4,0))-J22)</f>
        <v>1</v>
      </c>
      <c r="K23" s="14">
        <f>MIN(1,(ROUND((VLOOKUP($E22,RLS!$C$32:$BK$36,MATCH(K$2,RLS!$C$25:$BK$25,0),FALSE)-K$44)*'Unit Distribution'!$B$4,0))-K22)</f>
        <v>1</v>
      </c>
      <c r="L23" s="14">
        <f>MIN(1,(ROUND((VLOOKUP($E22,RLS!$C$32:$BK$36,MATCH(L$2,RLS!$C$25:$BK$25,0),FALSE)-L$44)*'Unit Distribution'!$B$4,0))-L22)</f>
        <v>1</v>
      </c>
      <c r="M23" s="14">
        <f>MIN(1,(ROUND((VLOOKUP($E22,RLS!$C$32:$BK$36,MATCH(M$2,RLS!$C$25:$BK$25,0),FALSE)-M$44)*'Unit Distribution'!$B$4,0))-M22)</f>
        <v>1</v>
      </c>
      <c r="N23" s="14">
        <f>MIN(1,(ROUND((VLOOKUP($E22,RLS!$C$32:$BK$36,MATCH(N$2,RLS!$C$25:$BK$25,0),FALSE)-N$44)*'Unit Distribution'!$B$4,0))-N22)</f>
        <v>1</v>
      </c>
      <c r="O23" s="14">
        <f>MIN(1,(ROUND((VLOOKUP($E22,RLS!$C$32:$BK$36,MATCH(O$2,RLS!$C$25:$BK$25,0),FALSE)-O$44)*'Unit Distribution'!$B$4,0))-O22)</f>
        <v>1</v>
      </c>
      <c r="P23" s="14">
        <f>MIN(1,(ROUND((VLOOKUP($E22,RLS!$C$32:$BK$36,MATCH(P$2,RLS!$C$25:$BK$25,0),FALSE)-P$44)*'Unit Distribution'!$B$4,0))-P22)</f>
        <v>1</v>
      </c>
      <c r="Q23" s="14">
        <f>MIN(1,(ROUND((VLOOKUP($E22,RLS!$C$32:$BK$36,MATCH(Q$2,RLS!$C$25:$BK$25,0),FALSE)-Q$44)*'Unit Distribution'!$B$4,0))-Q22)</f>
        <v>1</v>
      </c>
      <c r="R23" s="14">
        <f>MIN(1,(ROUND((VLOOKUP($E22,RLS!$C$32:$BK$36,MATCH(R$2,RLS!$C$25:$BK$25,0),FALSE)-R$44)*'Unit Distribution'!$B$4,0))-R22)</f>
        <v>1</v>
      </c>
      <c r="S23" s="14">
        <f>MIN(1,(ROUND((VLOOKUP($E22,RLS!$C$32:$BK$36,MATCH(S$2,RLS!$C$25:$BK$25,0),FALSE)-S$44)*'Unit Distribution'!$C$4,0))-S22)</f>
        <v>1</v>
      </c>
      <c r="T23" s="14">
        <f>MIN(1,(ROUND((VLOOKUP($E22,RLS!$C$32:$BK$36,MATCH(T$2,RLS!$C$25:$BK$25,0),FALSE)-T$44)*'Unit Distribution'!$C$4,0))-T22)</f>
        <v>1</v>
      </c>
      <c r="U23" s="14">
        <f>MIN(1,(ROUND((VLOOKUP($E22,RLS!$C$32:$BK$36,MATCH(U$2,RLS!$C$25:$BK$25,0),FALSE)-U$44)*'Unit Distribution'!$C$4,0))-U22)</f>
        <v>1</v>
      </c>
      <c r="V23" s="14">
        <f>MIN(1,(ROUND((VLOOKUP($E22,RLS!$C$32:$BK$36,MATCH(V$2,RLS!$C$25:$BK$25,0),FALSE)-V$44)*'Unit Distribution'!$C$4,0))-V22)</f>
        <v>1</v>
      </c>
      <c r="W23" s="14">
        <f>MIN(1,(ROUND((VLOOKUP($E22,RLS!$C$32:$BK$36,MATCH(W$2,RLS!$C$25:$BK$25,0),FALSE)-W$44)*'Unit Distribution'!$C$4,0))-W22)</f>
        <v>1</v>
      </c>
      <c r="X23" s="14">
        <f>MIN(1,(ROUND((VLOOKUP($E22,RLS!$C$32:$BK$36,MATCH(X$2,RLS!$C$25:$BK$25,0),FALSE)-X$44)*'Unit Distribution'!$C$4,0))-X22)</f>
        <v>1</v>
      </c>
      <c r="Y23" s="14">
        <f>MIN(1,(ROUND((VLOOKUP($E22,RLS!$C$32:$BK$36,MATCH(Y$2,RLS!$C$25:$BK$25,0),FALSE)-Y$44)*'Unit Distribution'!$C$4,0))-Y22)</f>
        <v>1</v>
      </c>
      <c r="Z23" s="14">
        <f>MIN(1,(ROUND((VLOOKUP($E22,RLS!$C$32:$BK$36,MATCH(Z$2,RLS!$C$25:$BK$25,0),FALSE)-Z$44)*'Unit Distribution'!$C$4,0))-Z22)</f>
        <v>1</v>
      </c>
      <c r="AA23" s="14">
        <f>MIN(1,(ROUND((VLOOKUP($E22,RLS!$C$32:$BK$36,MATCH(AA$2,RLS!$C$25:$BK$25,0),FALSE)-AA$44)*'Unit Distribution'!$C$4,0))-AA22)</f>
        <v>1</v>
      </c>
      <c r="AB23" s="14">
        <f>MIN(1,(ROUND((VLOOKUP($E22,RLS!$C$32:$BK$36,MATCH(AB$2,RLS!$C$25:$BK$25,0),FALSE)-AB$44)*'Unit Distribution'!$C$4,0))-AB22)</f>
        <v>1</v>
      </c>
      <c r="AC23" s="14">
        <f>MIN(1,(ROUND((VLOOKUP($E22,RLS!$C$32:$BK$36,MATCH(AC$2,RLS!$C$25:$BK$25,0),FALSE)-AC$44)*'Unit Distribution'!$C$4,0))-AC22)</f>
        <v>1</v>
      </c>
      <c r="AD23" s="14">
        <f>MIN(1,(ROUND((VLOOKUP($E22,RLS!$C$32:$BK$36,MATCH(AD$2,RLS!$C$25:$BK$25,0),FALSE)-AD$44)*'Unit Distribution'!$C$4,0))-AD22)</f>
        <v>1</v>
      </c>
      <c r="AE23" s="14">
        <f>MIN(1,(ROUND((VLOOKUP($E22,RLS!$C$32:$BK$36,MATCH(AE$2,RLS!$C$25:$BK$25,0),FALSE)-AE$44)*'Unit Distribution'!$D$4,0))-AE22)</f>
        <v>1</v>
      </c>
      <c r="AF23" s="14">
        <f>MIN(1,(ROUND((VLOOKUP($E22,RLS!$C$32:$BK$36,MATCH(AF$2,RLS!$C$25:$BK$25,0),FALSE)-AF$44)*'Unit Distribution'!$D$4,0))-AF22)</f>
        <v>1</v>
      </c>
      <c r="AG23" s="14">
        <f>MIN(1,(ROUND((VLOOKUP($E22,RLS!$C$32:$BK$36,MATCH(AG$2,RLS!$C$25:$BK$25,0),FALSE)-AG$44)*'Unit Distribution'!$D$4,0))-AG22)</f>
        <v>1</v>
      </c>
      <c r="AH23" s="14">
        <f>MIN(1,(ROUND((VLOOKUP($E22,RLS!$C$32:$BK$36,MATCH(AH$2,RLS!$C$25:$BK$25,0),FALSE)-AH$44)*'Unit Distribution'!$D$4,0))-AH22)</f>
        <v>1</v>
      </c>
      <c r="AI23" s="14">
        <f>MIN(1,(ROUND((VLOOKUP($E22,RLS!$C$32:$BK$36,MATCH(AI$2,RLS!$C$25:$BK$25,0),FALSE)-AI$44)*'Unit Distribution'!$D$4,0))-AI22)</f>
        <v>1</v>
      </c>
      <c r="AJ23" s="14">
        <f>MIN(1,(ROUND((VLOOKUP($E22,RLS!$C$32:$BK$36,MATCH(AJ$2,RLS!$C$25:$BK$25,0),FALSE)-AJ$44)*'Unit Distribution'!$D$4,0))-AJ22)</f>
        <v>1</v>
      </c>
      <c r="AK23" s="14">
        <f>MIN(1,(ROUND((VLOOKUP($E22,RLS!$C$32:$BK$36,MATCH(AK$2,RLS!$C$25:$BK$25,0),FALSE)-AK$44)*'Unit Distribution'!$D$4,0))-AK22)</f>
        <v>1</v>
      </c>
      <c r="AL23" s="14">
        <f>MIN(1,(ROUND((VLOOKUP($E22,RLS!$C$32:$BK$36,MATCH(AL$2,RLS!$C$25:$BK$25,0),FALSE)-AL$44)*'Unit Distribution'!$D$4,0))-AL22)</f>
        <v>1</v>
      </c>
      <c r="AM23" s="14">
        <f>MIN(1,(ROUND((VLOOKUP($E22,RLS!$C$32:$BK$36,MATCH(AM$2,RLS!$C$25:$BK$25,0),FALSE)-AM$44)*'Unit Distribution'!$D$4,0))-AM22)</f>
        <v>1</v>
      </c>
      <c r="AN23" s="14">
        <f>MIN(1,(ROUND((VLOOKUP($E22,RLS!$C$32:$BK$36,MATCH(AN$2,RLS!$C$25:$BK$25,0),FALSE)-AN$44)*'Unit Distribution'!$D$4,0))-AN22)</f>
        <v>1</v>
      </c>
      <c r="AO23" s="14">
        <f>MIN(1,(ROUND((VLOOKUP($E22,RLS!$C$32:$BK$36,MATCH(AO$2,RLS!$C$25:$BK$25,0),FALSE)-AO$44)*'Unit Distribution'!$D$4,0))-AO22)</f>
        <v>1</v>
      </c>
      <c r="AP23" s="14">
        <f>MIN(1,(ROUND((VLOOKUP($E22,RLS!$C$32:$BK$36,MATCH(AP$2,RLS!$C$25:$BK$25,0),FALSE)-AP$44)*'Unit Distribution'!$D$4,0))-AP22)</f>
        <v>1</v>
      </c>
      <c r="AQ23">
        <f>MIN(0,(ROUND((VLOOKUP($E22,RLS!$C$32:$BK$36,MATCH(AQ$2,RLS!$C$25:$BK$25,0),FALSE)-AQ$44)*'Unit Distribution'!$E$4,0))-AQ22)</f>
        <v>0</v>
      </c>
      <c r="AR23">
        <f>MIN(0,(ROUND((VLOOKUP($E22,RLS!$C$32:$BK$36,MATCH(AR$2,RLS!$C$25:$BK$25,0),FALSE)-AR$44)*'Unit Distribution'!$E$4,0))-AR22)</f>
        <v>0</v>
      </c>
      <c r="AS23">
        <f>MIN(0,(ROUND((VLOOKUP($E22,RLS!$C$32:$BK$36,MATCH(AS$2,RLS!$C$25:$BK$25,0),FALSE)-AS$44)*'Unit Distribution'!$E$4,0))-AS22)</f>
        <v>0</v>
      </c>
      <c r="AT23">
        <f>MIN(0,(ROUND((VLOOKUP($E22,RLS!$C$32:$BK$36,MATCH(AT$2,RLS!$C$25:$BK$25,0),FALSE)-AT$44)*'Unit Distribution'!$E$4,0))-AT22)</f>
        <v>0</v>
      </c>
      <c r="AU23">
        <f>MIN(0,(ROUND((VLOOKUP($E22,RLS!$C$32:$BK$36,MATCH(AU$2,RLS!$C$25:$BK$25,0),FALSE)-AU$44)*'Unit Distribution'!$E$4,0))-AU22)</f>
        <v>0</v>
      </c>
      <c r="AV23">
        <f>MIN(0,(ROUND((VLOOKUP($E22,RLS!$C$32:$BK$36,MATCH(AV$2,RLS!$C$25:$BK$25,0),FALSE)-AV$44)*'Unit Distribution'!$E$4,0))-AV22)</f>
        <v>0</v>
      </c>
      <c r="AW23">
        <f>MIN(0,(ROUND((VLOOKUP($E22,RLS!$C$32:$BK$36,MATCH(AW$2,RLS!$C$25:$BK$25,0),FALSE)-AW$44)*'Unit Distribution'!$E$4,0))-AW22)</f>
        <v>0</v>
      </c>
      <c r="AX23">
        <f>MIN(0,(ROUND((VLOOKUP($E22,RLS!$C$32:$BK$36,MATCH(AX$2,RLS!$C$25:$BK$25,0),FALSE)-AX$44)*'Unit Distribution'!$E$4,0))-AX22)</f>
        <v>0</v>
      </c>
      <c r="AY23">
        <f>MIN(0,(ROUND((VLOOKUP($E22,RLS!$C$32:$BK$36,MATCH(AY$2,RLS!$C$25:$BK$25,0),FALSE)-AY$44)*'Unit Distribution'!$E$4,0))-AY22)</f>
        <v>0</v>
      </c>
      <c r="AZ23">
        <f>MIN(0,(ROUND((VLOOKUP($E22,RLS!$C$32:$BK$36,MATCH(AZ$2,RLS!$C$25:$BK$25,0),FALSE)-AZ$44)*'Unit Distribution'!$E$4,0))-AZ22)</f>
        <v>0</v>
      </c>
      <c r="BA23">
        <f>MIN(0,(ROUND((VLOOKUP($E22,RLS!$C$32:$BK$36,MATCH(BA$2,RLS!$C$25:$BK$25,0),FALSE)-BA$44)*'Unit Distribution'!$E$4,0))-BA22)</f>
        <v>0</v>
      </c>
      <c r="BB23">
        <f>MIN(0,(ROUND((VLOOKUP($E22,RLS!$C$32:$BK$36,MATCH(BB$2,RLS!$C$25:$BK$25,0),FALSE)-BB$44)*'Unit Distribution'!$E$4,0))-BB22)</f>
        <v>0</v>
      </c>
      <c r="BC23">
        <f>MIN(0,(ROUND((VLOOKUP($E22,RLS!$C$32:$BK$36,MATCH(BC$2,RLS!$C$25:$BK$25,0),FALSE)-BC$44)*'Unit Distribution'!$F$4,0))-BC22)</f>
        <v>0</v>
      </c>
      <c r="BD23">
        <f>MIN(0,(ROUND((VLOOKUP($E22,RLS!$C$32:$BK$36,MATCH(BD$2,RLS!$C$25:$BK$25,0),FALSE)-BD$44)*'Unit Distribution'!$F$4,0))-BD22)</f>
        <v>0</v>
      </c>
      <c r="BE23">
        <f>MIN(0,(ROUND((VLOOKUP($E22,RLS!$C$32:$BK$36,MATCH(BE$2,RLS!$C$25:$BK$25,0),FALSE)-BE$44)*'Unit Distribution'!$F$4,0))-BE22)</f>
        <v>0</v>
      </c>
      <c r="BF23">
        <f>MIN(0,(ROUND((VLOOKUP($E22,RLS!$C$32:$BK$36,MATCH(BF$2,RLS!$C$25:$BK$25,0),FALSE)-BF$44)*'Unit Distribution'!$F$4,0))-BF22)</f>
        <v>0</v>
      </c>
      <c r="BG23">
        <f>MIN(0,(ROUND((VLOOKUP($E22,RLS!$C$32:$BK$36,MATCH(BG$2,RLS!$C$25:$BK$25,0),FALSE)-BG$44)*'Unit Distribution'!$F$4,0))-BG22)</f>
        <v>0</v>
      </c>
      <c r="BH23">
        <f>MIN(0,(ROUND((VLOOKUP($E22,RLS!$C$32:$BK$36,MATCH(BH$2,RLS!$C$25:$BK$25,0),FALSE)-BH$44)*'Unit Distribution'!$F$4,0))-BH22)</f>
        <v>0</v>
      </c>
      <c r="BI23">
        <f>MIN(0,(ROUND((VLOOKUP($E22,RLS!$C$32:$BK$36,MATCH(BI$2,RLS!$C$25:$BK$25,0),FALSE)-BI$44)*'Unit Distribution'!$F$4,0))-BI22)</f>
        <v>0</v>
      </c>
      <c r="BJ23">
        <f>MIN(0,(ROUND((VLOOKUP($E22,RLS!$C$32:$BK$36,MATCH(BJ$2,RLS!$C$25:$BK$25,0),FALSE)-BJ$44)*'Unit Distribution'!$F$4,0))-BJ22)</f>
        <v>0</v>
      </c>
      <c r="BK23">
        <f>MIN(0,(ROUND((VLOOKUP($E22,RLS!$C$32:$BK$36,MATCH(BK$2,RLS!$C$25:$BK$25,0),FALSE)-BK$44)*'Unit Distribution'!$F$4,0))-BK22)</f>
        <v>0</v>
      </c>
      <c r="BL23">
        <f>MIN(0,(ROUND((VLOOKUP($E22,RLS!$C$32:$BK$36,MATCH(BL$2,RLS!$C$25:$BK$25,0),FALSE)-BL$44)*'Unit Distribution'!$F$4,0))-BL22)</f>
        <v>0</v>
      </c>
      <c r="BM23">
        <f>MIN(0,(ROUND((VLOOKUP($E22,RLS!$C$32:$BK$36,MATCH(BM$2,RLS!$C$25:$BK$25,0),FALSE)-BM$44)*'Unit Distribution'!$F$4,0))-BM22)</f>
        <v>0</v>
      </c>
      <c r="BN23">
        <f>MIN(0,(ROUND((VLOOKUP($E22,RLS!$C$32:$BK$36,MATCH(BN$2,RLS!$C$25:$BK$25,0),FALSE)-BN$44)*'Unit Distribution'!$F$4,0))-BN22)</f>
        <v>0</v>
      </c>
    </row>
    <row r="24" spans="1:66" x14ac:dyDescent="0.35">
      <c r="A24" t="s">
        <v>65</v>
      </c>
      <c r="B24" t="s">
        <v>81</v>
      </c>
      <c r="C24" t="s">
        <v>112</v>
      </c>
      <c r="D24" t="s">
        <v>80</v>
      </c>
      <c r="E24" t="str">
        <f t="shared" si="0"/>
        <v>BSAOnsite</v>
      </c>
      <c r="F24" t="s">
        <v>70</v>
      </c>
      <c r="G24" s="14">
        <f>(ROUND((VLOOKUP($E22,RLS!$C$32:$BK$36,MATCH(G$2,RLS!$C$25:$BK$25,0),FALSE)-G$44)*'Unit Distribution'!$B$4,0))-G22-G23</f>
        <v>1</v>
      </c>
      <c r="H24" s="14">
        <f>(ROUND((VLOOKUP($E22,RLS!$C$32:$BK$36,MATCH(H$2,RLS!$C$25:$BK$25,0),FALSE)-H$44)*'Unit Distribution'!$B$4,0))-H22-H23</f>
        <v>1</v>
      </c>
      <c r="I24" s="14">
        <f>(ROUND((VLOOKUP($E22,RLS!$C$32:$BK$36,MATCH(I$2,RLS!$C$25:$BK$25,0),FALSE)-I$44)*'Unit Distribution'!$B$4,0))-I22-I23</f>
        <v>1</v>
      </c>
      <c r="J24" s="14">
        <f>(ROUND((VLOOKUP($E22,RLS!$C$32:$BK$36,MATCH(J$2,RLS!$C$25:$BK$25,0),FALSE)-J$44)*'Unit Distribution'!$B$4,0))-J22-J23</f>
        <v>1</v>
      </c>
      <c r="K24" s="14">
        <f>(ROUND((VLOOKUP($E22,RLS!$C$32:$BK$36,MATCH(K$2,RLS!$C$25:$BK$25,0),FALSE)-K$44)*'Unit Distribution'!$B$4,0))-K22-K23</f>
        <v>1</v>
      </c>
      <c r="L24" s="14">
        <f>(ROUND((VLOOKUP($E22,RLS!$C$32:$BK$36,MATCH(L$2,RLS!$C$25:$BK$25,0),FALSE)-L$44)*'Unit Distribution'!$B$4,0))-L22-L23</f>
        <v>1</v>
      </c>
      <c r="M24" s="14">
        <f>(ROUND((VLOOKUP($E22,RLS!$C$32:$BK$36,MATCH(M$2,RLS!$C$25:$BK$25,0),FALSE)-M$44)*'Unit Distribution'!$B$4,0))-M22-M23</f>
        <v>1</v>
      </c>
      <c r="N24" s="14">
        <f>(ROUND((VLOOKUP($E22,RLS!$C$32:$BK$36,MATCH(N$2,RLS!$C$25:$BK$25,0),FALSE)-N$44)*'Unit Distribution'!$B$4,0))-N22-N23</f>
        <v>1</v>
      </c>
      <c r="O24" s="14">
        <f>(ROUND((VLOOKUP($E22,RLS!$C$32:$BK$36,MATCH(O$2,RLS!$C$25:$BK$25,0),FALSE)-O$44)*'Unit Distribution'!$B$4,0))-O22-O23</f>
        <v>1</v>
      </c>
      <c r="P24" s="14">
        <f>(ROUND((VLOOKUP($E22,RLS!$C$32:$BK$36,MATCH(P$2,RLS!$C$25:$BK$25,0),FALSE)-P$44)*'Unit Distribution'!$B$4,0))-P22-P23</f>
        <v>1</v>
      </c>
      <c r="Q24" s="14">
        <f>(ROUND((VLOOKUP($E22,RLS!$C$32:$BK$36,MATCH(Q$2,RLS!$C$25:$BK$25,0),FALSE)-Q$44)*'Unit Distribution'!$B$4,0))-Q22-Q23</f>
        <v>1</v>
      </c>
      <c r="R24" s="14">
        <f>(ROUND((VLOOKUP($E22,RLS!$C$32:$BK$36,MATCH(R$2,RLS!$C$25:$BK$25,0),FALSE)-R$44)*'Unit Distribution'!$B$4,0))-R22-R23</f>
        <v>1</v>
      </c>
      <c r="S24" s="14">
        <f>(ROUND((VLOOKUP($E22,RLS!$C$32:$BK$36,MATCH(S$2,RLS!$C$25:$BK$25,0),FALSE)-S$44)*'Unit Distribution'!$C$4,0))-S22-S23</f>
        <v>1</v>
      </c>
      <c r="T24" s="14">
        <f>(ROUND((VLOOKUP($E22,RLS!$C$32:$BK$36,MATCH(T$2,RLS!$C$25:$BK$25,0),FALSE)-T$44)*'Unit Distribution'!$C$4,0))-T22-T23</f>
        <v>1</v>
      </c>
      <c r="U24" s="14">
        <f>(ROUND((VLOOKUP($E22,RLS!$C$32:$BK$36,MATCH(U$2,RLS!$C$25:$BK$25,0),FALSE)-U$44)*'Unit Distribution'!$C$4,0))-U22-U23</f>
        <v>1</v>
      </c>
      <c r="V24" s="14">
        <f>(ROUND((VLOOKUP($E22,RLS!$C$32:$BK$36,MATCH(V$2,RLS!$C$25:$BK$25,0),FALSE)-V$44)*'Unit Distribution'!$C$4,0))-V22-V23</f>
        <v>1</v>
      </c>
      <c r="W24" s="14">
        <f>(ROUND((VLOOKUP($E22,RLS!$C$32:$BK$36,MATCH(W$2,RLS!$C$25:$BK$25,0),FALSE)-W$44)*'Unit Distribution'!$C$4,0))-W22-W23</f>
        <v>1</v>
      </c>
      <c r="X24" s="14">
        <f>(ROUND((VLOOKUP($E22,RLS!$C$32:$BK$36,MATCH(X$2,RLS!$C$25:$BK$25,0),FALSE)-X$44)*'Unit Distribution'!$C$4,0))-X22-X23</f>
        <v>1</v>
      </c>
      <c r="Y24" s="14">
        <f>(ROUND((VLOOKUP($E22,RLS!$C$32:$BK$36,MATCH(Y$2,RLS!$C$25:$BK$25,0),FALSE)-Y$44)*'Unit Distribution'!$C$4,0))-Y22-Y23</f>
        <v>1</v>
      </c>
      <c r="Z24" s="14">
        <f>(ROUND((VLOOKUP($E22,RLS!$C$32:$BK$36,MATCH(Z$2,RLS!$C$25:$BK$25,0),FALSE)-Z$44)*'Unit Distribution'!$C$4,0))-Z22-Z23</f>
        <v>1</v>
      </c>
      <c r="AA24" s="14">
        <f>(ROUND((VLOOKUP($E22,RLS!$C$32:$BK$36,MATCH(AA$2,RLS!$C$25:$BK$25,0),FALSE)-AA$44)*'Unit Distribution'!$C$4,0))-AA22-AA23</f>
        <v>1</v>
      </c>
      <c r="AB24" s="14">
        <f>(ROUND((VLOOKUP($E22,RLS!$C$32:$BK$36,MATCH(AB$2,RLS!$C$25:$BK$25,0),FALSE)-AB$44)*'Unit Distribution'!$C$4,0))-AB22-AB23</f>
        <v>1</v>
      </c>
      <c r="AC24" s="14">
        <f>(ROUND((VLOOKUP($E22,RLS!$C$32:$BK$36,MATCH(AC$2,RLS!$C$25:$BK$25,0),FALSE)-AC$44)*'Unit Distribution'!$C$4,0))-AC22-AC23</f>
        <v>1</v>
      </c>
      <c r="AD24" s="14">
        <f>(ROUND((VLOOKUP($E22,RLS!$C$32:$BK$36,MATCH(AD$2,RLS!$C$25:$BK$25,0),FALSE)-AD$44)*'Unit Distribution'!$C$4,0))-AD22-AD23</f>
        <v>1</v>
      </c>
      <c r="AE24" s="14">
        <f>(ROUND((VLOOKUP($E22,RLS!$C$32:$BK$36,MATCH(AE$2,RLS!$C$25:$BK$25,0),FALSE)-AE$44)*'Unit Distribution'!$D$4,0))-AE22-AE23</f>
        <v>1</v>
      </c>
      <c r="AF24" s="14">
        <f>(ROUND((VLOOKUP($E22,RLS!$C$32:$BK$36,MATCH(AF$2,RLS!$C$25:$BK$25,0),FALSE)-AF$44)*'Unit Distribution'!$D$4,0))-AF22-AF23</f>
        <v>1</v>
      </c>
      <c r="AG24" s="14">
        <f>(ROUND((VLOOKUP($E22,RLS!$C$32:$BK$36,MATCH(AG$2,RLS!$C$25:$BK$25,0),FALSE)-AG$44)*'Unit Distribution'!$D$4,0))-AG22-AG23</f>
        <v>1</v>
      </c>
      <c r="AH24" s="14">
        <f>(ROUND((VLOOKUP($E22,RLS!$C$32:$BK$36,MATCH(AH$2,RLS!$C$25:$BK$25,0),FALSE)-AH$44)*'Unit Distribution'!$D$4,0))-AH22-AH23</f>
        <v>1</v>
      </c>
      <c r="AI24" s="14">
        <f>(ROUND((VLOOKUP($E22,RLS!$C$32:$BK$36,MATCH(AI$2,RLS!$C$25:$BK$25,0),FALSE)-AI$44)*'Unit Distribution'!$D$4,0))-AI22-AI23</f>
        <v>1</v>
      </c>
      <c r="AJ24" s="14">
        <f>(ROUND((VLOOKUP($E22,RLS!$C$32:$BK$36,MATCH(AJ$2,RLS!$C$25:$BK$25,0),FALSE)-AJ$44)*'Unit Distribution'!$D$4,0))-AJ22-AJ23</f>
        <v>1</v>
      </c>
      <c r="AK24" s="14">
        <f>(ROUND((VLOOKUP($E22,RLS!$C$32:$BK$36,MATCH(AK$2,RLS!$C$25:$BK$25,0),FALSE)-AK$44)*'Unit Distribution'!$D$4,0))-AK22-AK23</f>
        <v>1</v>
      </c>
      <c r="AL24" s="14">
        <f>(ROUND((VLOOKUP($E22,RLS!$C$32:$BK$36,MATCH(AL$2,RLS!$C$25:$BK$25,0),FALSE)-AL$44)*'Unit Distribution'!$D$4,0))-AL22-AL23</f>
        <v>1</v>
      </c>
      <c r="AM24" s="14">
        <f>(ROUND((VLOOKUP($E22,RLS!$C$32:$BK$36,MATCH(AM$2,RLS!$C$25:$BK$25,0),FALSE)-AM$44)*'Unit Distribution'!$D$4,0))-AM22-AM23</f>
        <v>1</v>
      </c>
      <c r="AN24" s="14">
        <f>(ROUND((VLOOKUP($E22,RLS!$C$32:$BK$36,MATCH(AN$2,RLS!$C$25:$BK$25,0),FALSE)-AN$44)*'Unit Distribution'!$D$4,0))-AN22-AN23</f>
        <v>1</v>
      </c>
      <c r="AO24" s="14">
        <f>(ROUND((VLOOKUP($E22,RLS!$C$32:$BK$36,MATCH(AO$2,RLS!$C$25:$BK$25,0),FALSE)-AO$44)*'Unit Distribution'!$D$4,0))-AO22-AO23</f>
        <v>1</v>
      </c>
      <c r="AP24" s="14">
        <f>(ROUND((VLOOKUP($E22,RLS!$C$32:$BK$36,MATCH(AP$2,RLS!$C$25:$BK$25,0),FALSE)-AP$44)*'Unit Distribution'!$D$4,0))-AP22-AP23</f>
        <v>1</v>
      </c>
      <c r="AQ24">
        <f>(ROUND((VLOOKUP($E22,RLS!$C$32:$BK$36,MATCH(AQ$2,RLS!$C$25:$BK$25,0),FALSE)-AQ$44)*'Unit Distribution'!$E$4,0))-AQ22-AQ23</f>
        <v>0</v>
      </c>
      <c r="AR24">
        <f>(ROUND((VLOOKUP($E22,RLS!$C$32:$BK$36,MATCH(AR$2,RLS!$C$25:$BK$25,0),FALSE)-AR$44)*'Unit Distribution'!$E$4,0))-AR22-AR23</f>
        <v>0</v>
      </c>
      <c r="AS24">
        <f>(ROUND((VLOOKUP($E22,RLS!$C$32:$BK$36,MATCH(AS$2,RLS!$C$25:$BK$25,0),FALSE)-AS$44)*'Unit Distribution'!$E$4,0))-AS22-AS23</f>
        <v>0</v>
      </c>
      <c r="AT24">
        <f>(ROUND((VLOOKUP($E22,RLS!$C$32:$BK$36,MATCH(AT$2,RLS!$C$25:$BK$25,0),FALSE)-AT$44)*'Unit Distribution'!$E$4,0))-AT22-AT23</f>
        <v>0</v>
      </c>
      <c r="AU24">
        <f>(ROUND((VLOOKUP($E22,RLS!$C$32:$BK$36,MATCH(AU$2,RLS!$C$25:$BK$25,0),FALSE)-AU$44)*'Unit Distribution'!$E$4,0))-AU22-AU23</f>
        <v>0</v>
      </c>
      <c r="AV24">
        <f>(ROUND((VLOOKUP($E22,RLS!$C$32:$BK$36,MATCH(AV$2,RLS!$C$25:$BK$25,0),FALSE)-AV$44)*'Unit Distribution'!$E$4,0))-AV22-AV23</f>
        <v>0</v>
      </c>
      <c r="AW24">
        <f>(ROUND((VLOOKUP($E22,RLS!$C$32:$BK$36,MATCH(AW$2,RLS!$C$25:$BK$25,0),FALSE)-AW$44)*'Unit Distribution'!$E$4,0))-AW22-AW23</f>
        <v>0</v>
      </c>
      <c r="AX24">
        <f>(ROUND((VLOOKUP($E22,RLS!$C$32:$BK$36,MATCH(AX$2,RLS!$C$25:$BK$25,0),FALSE)-AX$44)*'Unit Distribution'!$E$4,0))-AX22-AX23</f>
        <v>0</v>
      </c>
      <c r="AY24">
        <f>(ROUND((VLOOKUP($E22,RLS!$C$32:$BK$36,MATCH(AY$2,RLS!$C$25:$BK$25,0),FALSE)-AY$44)*'Unit Distribution'!$E$4,0))-AY22-AY23</f>
        <v>0</v>
      </c>
      <c r="AZ24">
        <f>(ROUND((VLOOKUP($E22,RLS!$C$32:$BK$36,MATCH(AZ$2,RLS!$C$25:$BK$25,0),FALSE)-AZ$44)*'Unit Distribution'!$E$4,0))-AZ22-AZ23</f>
        <v>0</v>
      </c>
      <c r="BA24">
        <f>(ROUND((VLOOKUP($E22,RLS!$C$32:$BK$36,MATCH(BA$2,RLS!$C$25:$BK$25,0),FALSE)-BA$44)*'Unit Distribution'!$E$4,0))-BA22-BA23</f>
        <v>0</v>
      </c>
      <c r="BB24">
        <f>(ROUND((VLOOKUP($E22,RLS!$C$32:$BK$36,MATCH(BB$2,RLS!$C$25:$BK$25,0),FALSE)-BB$44)*'Unit Distribution'!$E$4,0))-BB22-BB23</f>
        <v>0</v>
      </c>
      <c r="BC24">
        <f>(ROUND((VLOOKUP($E22,RLS!$C$32:$BK$36,MATCH(BC$2,RLS!$C$25:$BK$25,0),FALSE)-BC$44)*'Unit Distribution'!$F$4,0))-BC22-BC23</f>
        <v>0</v>
      </c>
      <c r="BD24">
        <f>(ROUND((VLOOKUP($E22,RLS!$C$32:$BK$36,MATCH(BD$2,RLS!$C$25:$BK$25,0),FALSE)-BD$44)*'Unit Distribution'!$F$4,0))-BD22-BD23</f>
        <v>0</v>
      </c>
      <c r="BE24">
        <f>(ROUND((VLOOKUP($E22,RLS!$C$32:$BK$36,MATCH(BE$2,RLS!$C$25:$BK$25,0),FALSE)-BE$44)*'Unit Distribution'!$F$4,0))-BE22-BE23</f>
        <v>0</v>
      </c>
      <c r="BF24">
        <f>(ROUND((VLOOKUP($E22,RLS!$C$32:$BK$36,MATCH(BF$2,RLS!$C$25:$BK$25,0),FALSE)-BF$44)*'Unit Distribution'!$F$4,0))-BF22-BF23</f>
        <v>0</v>
      </c>
      <c r="BG24">
        <f>(ROUND((VLOOKUP($E22,RLS!$C$32:$BK$36,MATCH(BG$2,RLS!$C$25:$BK$25,0),FALSE)-BG$44)*'Unit Distribution'!$F$4,0))-BG22-BG23</f>
        <v>0</v>
      </c>
      <c r="BH24">
        <f>(ROUND((VLOOKUP($E22,RLS!$C$32:$BK$36,MATCH(BH$2,RLS!$C$25:$BK$25,0),FALSE)-BH$44)*'Unit Distribution'!$F$4,0))-BH22-BH23</f>
        <v>0</v>
      </c>
      <c r="BI24">
        <f>(ROUND((VLOOKUP($E22,RLS!$C$32:$BK$36,MATCH(BI$2,RLS!$C$25:$BK$25,0),FALSE)-BI$44)*'Unit Distribution'!$F$4,0))-BI22-BI23</f>
        <v>0</v>
      </c>
      <c r="BJ24">
        <f>(ROUND((VLOOKUP($E22,RLS!$C$32:$BK$36,MATCH(BJ$2,RLS!$C$25:$BK$25,0),FALSE)-BJ$44)*'Unit Distribution'!$F$4,0))-BJ22-BJ23</f>
        <v>0</v>
      </c>
      <c r="BK24">
        <f>(ROUND((VLOOKUP($E22,RLS!$C$32:$BK$36,MATCH(BK$2,RLS!$C$25:$BK$25,0),FALSE)-BK$44)*'Unit Distribution'!$F$4,0))-BK22-BK23</f>
        <v>0</v>
      </c>
      <c r="BL24">
        <f>(ROUND((VLOOKUP($E22,RLS!$C$32:$BK$36,MATCH(BL$2,RLS!$C$25:$BK$25,0),FALSE)-BL$44)*'Unit Distribution'!$F$4,0))-BL22-BL23</f>
        <v>0</v>
      </c>
      <c r="BM24">
        <f>(ROUND((VLOOKUP($E22,RLS!$C$32:$BK$36,MATCH(BM$2,RLS!$C$25:$BK$25,0),FALSE)-BM$44)*'Unit Distribution'!$F$4,0))-BM22-BM23</f>
        <v>0</v>
      </c>
      <c r="BN24">
        <f>(ROUND((VLOOKUP($E22,RLS!$C$32:$BK$36,MATCH(BN$2,RLS!$C$25:$BK$25,0),FALSE)-BN$44)*'Unit Distribution'!$F$4,0))-BN22-BN23</f>
        <v>0</v>
      </c>
    </row>
    <row r="25" spans="1:66" x14ac:dyDescent="0.35">
      <c r="A25" t="s">
        <v>65</v>
      </c>
      <c r="B25" t="s">
        <v>69</v>
      </c>
      <c r="C25" t="s">
        <v>112</v>
      </c>
      <c r="D25" t="s">
        <v>80</v>
      </c>
      <c r="E25" t="str">
        <f t="shared" si="0"/>
        <v>BSAOnsite</v>
      </c>
      <c r="F25" t="s">
        <v>70</v>
      </c>
      <c r="G25" s="14">
        <f>MIN(2,((VLOOKUP($E25,RLS!$C$32:$BK$36,MATCH(G$2,RLS!$C$25:$BK$25,0),FALSE)-G$44)-G19-G20-G21-(G22+G23+G24)))</f>
        <v>2</v>
      </c>
      <c r="H25" s="14">
        <f>MIN(2,((VLOOKUP($E25,RLS!$C$32:$BK$36,MATCH(H$2,RLS!$C$25:$BK$25,0),FALSE)-H$44)-H19-H20-H21-(H22+H23+H24)))</f>
        <v>2</v>
      </c>
      <c r="I25" s="14">
        <f>MIN(2,((VLOOKUP($E25,RLS!$C$32:$BK$36,MATCH(I$2,RLS!$C$25:$BK$25,0),FALSE)-I$44)-I19-I20-I21-(I22+I23+I24)))</f>
        <v>2</v>
      </c>
      <c r="J25" s="14">
        <f>MIN(2,((VLOOKUP($E25,RLS!$C$32:$BK$36,MATCH(J$2,RLS!$C$25:$BK$25,0),FALSE)-J$44)-J19-J20-J21-(J22+J23+J24)))</f>
        <v>2</v>
      </c>
      <c r="K25" s="14">
        <f>MIN(2,((VLOOKUP($E25,RLS!$C$32:$BK$36,MATCH(K$2,RLS!$C$25:$BK$25,0),FALSE)-K$44)-K19-K20-K21-(K22+K23+K24)))</f>
        <v>2</v>
      </c>
      <c r="L25" s="14">
        <f>MIN(2,((VLOOKUP($E25,RLS!$C$32:$BK$36,MATCH(L$2,RLS!$C$25:$BK$25,0),FALSE)-L$44)-L19-L20-L21-(L22+L23+L24)))</f>
        <v>2</v>
      </c>
      <c r="M25" s="14">
        <f>MIN(2,((VLOOKUP($E25,RLS!$C$32:$BK$36,MATCH(M$2,RLS!$C$25:$BK$25,0),FALSE)-M$44)-M19-M20-M21-(M22+M23+M24)))</f>
        <v>2</v>
      </c>
      <c r="N25" s="14">
        <f>MIN(2,((VLOOKUP($E25,RLS!$C$32:$BK$36,MATCH(N$2,RLS!$C$25:$BK$25,0),FALSE)-N$44)-N19-N20-N21-(N22+N23+N24)))</f>
        <v>2</v>
      </c>
      <c r="O25" s="14">
        <f>MIN(2,((VLOOKUP($E25,RLS!$C$32:$BK$36,MATCH(O$2,RLS!$C$25:$BK$25,0),FALSE)-O$44)-O19-O20-O21-(O22+O23+O24)))</f>
        <v>2</v>
      </c>
      <c r="P25" s="14">
        <f>MIN(2,((VLOOKUP($E25,RLS!$C$32:$BK$36,MATCH(P$2,RLS!$C$25:$BK$25,0),FALSE)-P$44)-P19-P20-P21-(P22+P23+P24)))</f>
        <v>2</v>
      </c>
      <c r="Q25" s="14">
        <f>MIN(2,((VLOOKUP($E25,RLS!$C$32:$BK$36,MATCH(Q$2,RLS!$C$25:$BK$25,0),FALSE)-Q$44)-Q19-Q20-Q21-(Q22+Q23+Q24)))</f>
        <v>2</v>
      </c>
      <c r="R25" s="14">
        <f>MIN(2,((VLOOKUP($E25,RLS!$C$32:$BK$36,MATCH(R$2,RLS!$C$25:$BK$25,0),FALSE)-R$44)-R19-R20-R21-(R22+R23+R24)))</f>
        <v>2</v>
      </c>
      <c r="S25" s="14">
        <f>MIN(2,((VLOOKUP($E25,RLS!$C$32:$BK$36,MATCH(S$2,RLS!$C$25:$BK$25,0),FALSE)-S$44)-S19-S20-S21-(S22+S23+S24)))</f>
        <v>2</v>
      </c>
      <c r="T25" s="14">
        <f>MIN(2,((VLOOKUP($E25,RLS!$C$32:$BK$36,MATCH(T$2,RLS!$C$25:$BK$25,0),FALSE)-T$44)-T19-T20-T21-(T22+T23+T24)))</f>
        <v>2</v>
      </c>
      <c r="U25" s="14">
        <f>MIN(2,((VLOOKUP($E25,RLS!$C$32:$BK$36,MATCH(U$2,RLS!$C$25:$BK$25,0),FALSE)-U$44)-U19-U20-U21-(U22+U23+U24)))</f>
        <v>2</v>
      </c>
      <c r="V25" s="14">
        <f>MIN(2,((VLOOKUP($E25,RLS!$C$32:$BK$36,MATCH(V$2,RLS!$C$25:$BK$25,0),FALSE)-V$44)-V19-V20-V21-(V22+V23+V24)))</f>
        <v>2</v>
      </c>
      <c r="W25" s="14">
        <f>MIN(2,((VLOOKUP($E25,RLS!$C$32:$BK$36,MATCH(W$2,RLS!$C$25:$BK$25,0),FALSE)-W$44)-W19-W20-W21-(W22+W23+W24)))</f>
        <v>2</v>
      </c>
      <c r="X25" s="14">
        <f>MIN(2,((VLOOKUP($E25,RLS!$C$32:$BK$36,MATCH(X$2,RLS!$C$25:$BK$25,0),FALSE)-X$44)-X19-X20-X21-(X22+X23+X24)))</f>
        <v>2</v>
      </c>
      <c r="Y25" s="14">
        <f>MIN(2,((VLOOKUP($E25,RLS!$C$32:$BK$36,MATCH(Y$2,RLS!$C$25:$BK$25,0),FALSE)-Y$44)-Y19-Y20-Y21-(Y22+Y23+Y24)))</f>
        <v>2</v>
      </c>
      <c r="Z25" s="14">
        <f>MIN(2,((VLOOKUP($E25,RLS!$C$32:$BK$36,MATCH(Z$2,RLS!$C$25:$BK$25,0),FALSE)-Z$44)-Z19-Z20-Z21-(Z22+Z23+Z24)))</f>
        <v>2</v>
      </c>
      <c r="AA25" s="14">
        <f>MIN(2,((VLOOKUP($E25,RLS!$C$32:$BK$36,MATCH(AA$2,RLS!$C$25:$BK$25,0),FALSE)-AA$44)-AA19-AA20-AA21-(AA22+AA23+AA24)))</f>
        <v>2</v>
      </c>
      <c r="AB25" s="14">
        <f>MIN(2,((VLOOKUP($E25,RLS!$C$32:$BK$36,MATCH(AB$2,RLS!$C$25:$BK$25,0),FALSE)-AB$44)-AB19-AB20-AB21-(AB22+AB23+AB24)))</f>
        <v>2</v>
      </c>
      <c r="AC25" s="14">
        <f>MIN(2,((VLOOKUP($E25,RLS!$C$32:$BK$36,MATCH(AC$2,RLS!$C$25:$BK$25,0),FALSE)-AC$44)-AC19-AC20-AC21-(AC22+AC23+AC24)))</f>
        <v>2</v>
      </c>
      <c r="AD25" s="14">
        <f>MIN(2,((VLOOKUP($E25,RLS!$C$32:$BK$36,MATCH(AD$2,RLS!$C$25:$BK$25,0),FALSE)-AD$44)-AD19-AD20-AD21-(AD22+AD23+AD24)))</f>
        <v>2</v>
      </c>
      <c r="AE25" s="14">
        <f>MIN(0,((VLOOKUP($E25,RLS!$C$32:$BK$36,MATCH(AE$2,RLS!$C$25:$BK$25,0),FALSE)-AE$44)-AE19-AE20-AE21-(AE22+AE23+AE24)))</f>
        <v>0</v>
      </c>
      <c r="AF25" s="14">
        <f>MIN(0,((VLOOKUP($E25,RLS!$C$32:$BK$36,MATCH(AF$2,RLS!$C$25:$BK$25,0),FALSE)-AF$44)-AF19-AF20-AF21-(AF22+AF23+AF24)))</f>
        <v>0</v>
      </c>
      <c r="AG25" s="14">
        <f>MIN(0,((VLOOKUP($E25,RLS!$C$32:$BK$36,MATCH(AG$2,RLS!$C$25:$BK$25,0),FALSE)-AG$44)-AG19-AG20-AG21-(AG22+AG23+AG24)))</f>
        <v>0</v>
      </c>
      <c r="AH25" s="14">
        <f>MIN(0,((VLOOKUP($E25,RLS!$C$32:$BK$36,MATCH(AH$2,RLS!$C$25:$BK$25,0),FALSE)-AH$44)-AH19-AH20-AH21-(AH22+AH23+AH24)))</f>
        <v>0</v>
      </c>
      <c r="AI25" s="14">
        <f>MIN(0,((VLOOKUP($E25,RLS!$C$32:$BK$36,MATCH(AI$2,RLS!$C$25:$BK$25,0),FALSE)-AI$44)-AI19-AI20-AI21-(AI22+AI23+AI24)))</f>
        <v>0</v>
      </c>
      <c r="AJ25" s="14">
        <f>MIN(0,((VLOOKUP($E25,RLS!$C$32:$BK$36,MATCH(AJ$2,RLS!$C$25:$BK$25,0),FALSE)-AJ$44)-AJ19-AJ20-AJ21-(AJ22+AJ23+AJ24)))</f>
        <v>0</v>
      </c>
      <c r="AK25" s="14">
        <f>MIN(0,((VLOOKUP($E25,RLS!$C$32:$BK$36,MATCH(AK$2,RLS!$C$25:$BK$25,0),FALSE)-AK$44)-AK19-AK20-AK21-(AK22+AK23+AK24)))</f>
        <v>0</v>
      </c>
      <c r="AL25" s="14">
        <f>MIN(0,((VLOOKUP($E25,RLS!$C$32:$BK$36,MATCH(AL$2,RLS!$C$25:$BK$25,0),FALSE)-AL$44)-AL19-AL20-AL21-(AL22+AL23+AL24)))</f>
        <v>0</v>
      </c>
      <c r="AM25" s="14">
        <f>MIN(0,((VLOOKUP($E25,RLS!$C$32:$BK$36,MATCH(AM$2,RLS!$C$25:$BK$25,0),FALSE)-AM$44)-AM19-AM20-AM21-(AM22+AM23+AM24)))</f>
        <v>0</v>
      </c>
      <c r="AN25" s="14">
        <f>MIN(0,((VLOOKUP($E25,RLS!$C$32:$BK$36,MATCH(AN$2,RLS!$C$25:$BK$25,0),FALSE)-AN$44)-AN19-AN20-AN21-(AN22+AN23+AN24)))</f>
        <v>0</v>
      </c>
      <c r="AO25" s="14">
        <f>MIN(0,((VLOOKUP($E25,RLS!$C$32:$BK$36,MATCH(AO$2,RLS!$C$25:$BK$25,0),FALSE)-AO$44)-AO19-AO20-AO21-(AO22+AO23+AO24)))</f>
        <v>0</v>
      </c>
      <c r="AP25" s="14">
        <f>MIN(0,((VLOOKUP($E25,RLS!$C$32:$BK$36,MATCH(AP$2,RLS!$C$25:$BK$25,0),FALSE)-AP$44)-AP19-AP20-AP21-(AP22+AP23+AP24)))</f>
        <v>0</v>
      </c>
      <c r="AQ25">
        <f>MIN(0,(ROUND((VLOOKUP($E25,RLS!$C$32:$BK$36,MATCH(AQ$2,RLS!$C$25:$BK$25,0),FALSE)-AQ$44)*'Unit Distribution'!$E$5,0)))</f>
        <v>0</v>
      </c>
      <c r="AR25">
        <f>MIN(0,(ROUND((VLOOKUP($E25,RLS!$C$32:$BK$36,MATCH(AR$2,RLS!$C$25:$BK$25,0),FALSE)-AR$44)*'Unit Distribution'!$E$5,0)))</f>
        <v>0</v>
      </c>
      <c r="AS25">
        <f>MIN(0,(ROUND((VLOOKUP($E25,RLS!$C$32:$BK$36,MATCH(AS$2,RLS!$C$25:$BK$25,0),FALSE)-AS$44)*'Unit Distribution'!$E$5,0)))</f>
        <v>0</v>
      </c>
      <c r="AT25">
        <f>MIN(0,(ROUND((VLOOKUP($E25,RLS!$C$32:$BK$36,MATCH(AT$2,RLS!$C$25:$BK$25,0),FALSE)-AT$44)*'Unit Distribution'!$E$5,0)))</f>
        <v>0</v>
      </c>
      <c r="AU25">
        <f>MIN(0,(ROUND((VLOOKUP($E25,RLS!$C$32:$BK$36,MATCH(AU$2,RLS!$C$25:$BK$25,0),FALSE)-AU$44)*'Unit Distribution'!$E$5,0)))</f>
        <v>0</v>
      </c>
      <c r="AV25">
        <f>MIN(0,(ROUND((VLOOKUP($E25,RLS!$C$32:$BK$36,MATCH(AV$2,RLS!$C$25:$BK$25,0),FALSE)-AV$44)*'Unit Distribution'!$E$5,0)))</f>
        <v>0</v>
      </c>
      <c r="AW25">
        <f>MIN(0,(ROUND((VLOOKUP($E25,RLS!$C$32:$BK$36,MATCH(AW$2,RLS!$C$25:$BK$25,0),FALSE)-AW$44)*'Unit Distribution'!$E$5,0)))</f>
        <v>0</v>
      </c>
      <c r="AX25">
        <f>MIN(0,(ROUND((VLOOKUP($E25,RLS!$C$32:$BK$36,MATCH(AX$2,RLS!$C$25:$BK$25,0),FALSE)-AX$44)*'Unit Distribution'!$E$5,0)))</f>
        <v>0</v>
      </c>
      <c r="AY25">
        <f>MIN(0,(ROUND((VLOOKUP($E25,RLS!$C$32:$BK$36,MATCH(AY$2,RLS!$C$25:$BK$25,0),FALSE)-AY$44)*'Unit Distribution'!$E$5,0)))</f>
        <v>0</v>
      </c>
      <c r="AZ25">
        <f>MIN(0,(ROUND((VLOOKUP($E25,RLS!$C$32:$BK$36,MATCH(AZ$2,RLS!$C$25:$BK$25,0),FALSE)-AZ$44)*'Unit Distribution'!$E$5,0)))</f>
        <v>0</v>
      </c>
      <c r="BA25">
        <f>MIN(0,(ROUND((VLOOKUP($E25,RLS!$C$32:$BK$36,MATCH(BA$2,RLS!$C$25:$BK$25,0),FALSE)-BA$44)*'Unit Distribution'!$E$5,0)))</f>
        <v>0</v>
      </c>
      <c r="BB25">
        <f>MIN(0,(ROUND((VLOOKUP($E25,RLS!$C$32:$BK$36,MATCH(BB$2,RLS!$C$25:$BK$25,0),FALSE)-BB$44)*'Unit Distribution'!$E$5,0)))</f>
        <v>0</v>
      </c>
      <c r="BC25">
        <f>MIN(0,(ROUND((VLOOKUP($E25,RLS!$C$32:$BK$36,MATCH(BC$2,RLS!$C$25:$BK$25,0),FALSE)-BC$44)*'Unit Distribution'!$F$5,0)))</f>
        <v>0</v>
      </c>
      <c r="BD25">
        <f>MIN(0,(ROUND((VLOOKUP($E25,RLS!$C$32:$BK$36,MATCH(BD$2,RLS!$C$25:$BK$25,0),FALSE)-BD$44)*'Unit Distribution'!$F$5,0)))</f>
        <v>0</v>
      </c>
      <c r="BE25">
        <f>MIN(0,(ROUND((VLOOKUP($E25,RLS!$C$32:$BK$36,MATCH(BE$2,RLS!$C$25:$BK$25,0),FALSE)-BE$44)*'Unit Distribution'!$F$5,0)))</f>
        <v>0</v>
      </c>
      <c r="BF25">
        <f>MIN(0,(ROUND((VLOOKUP($E25,RLS!$C$32:$BK$36,MATCH(BF$2,RLS!$C$25:$BK$25,0),FALSE)-BF$44)*'Unit Distribution'!$F$5,0)))</f>
        <v>0</v>
      </c>
      <c r="BG25">
        <f>MIN(0,(ROUND((VLOOKUP($E25,RLS!$C$32:$BK$36,MATCH(BG$2,RLS!$C$25:$BK$25,0),FALSE)-BG$44)*'Unit Distribution'!$F$5,0)))</f>
        <v>0</v>
      </c>
      <c r="BH25">
        <f>MIN(0,(ROUND((VLOOKUP($E25,RLS!$C$32:$BK$36,MATCH(BH$2,RLS!$C$25:$BK$25,0),FALSE)-BH$44)*'Unit Distribution'!$F$5,0)))</f>
        <v>0</v>
      </c>
      <c r="BI25">
        <f>MIN(0,(ROUND((VLOOKUP($E25,RLS!$C$32:$BK$36,MATCH(BI$2,RLS!$C$25:$BK$25,0),FALSE)-BI$44)*'Unit Distribution'!$F$5,0)))</f>
        <v>0</v>
      </c>
      <c r="BJ25">
        <f>MIN(0,(ROUND((VLOOKUP($E25,RLS!$C$32:$BK$36,MATCH(BJ$2,RLS!$C$25:$BK$25,0),FALSE)-BJ$44)*'Unit Distribution'!$F$5,0)))</f>
        <v>0</v>
      </c>
      <c r="BK25">
        <f>MIN(0,(ROUND((VLOOKUP($E25,RLS!$C$32:$BK$36,MATCH(BK$2,RLS!$C$25:$BK$25,0),FALSE)-BK$44)*'Unit Distribution'!$F$5,0)))</f>
        <v>0</v>
      </c>
      <c r="BL25">
        <f>MIN(0,(ROUND((VLOOKUP($E25,RLS!$C$32:$BK$36,MATCH(BL$2,RLS!$C$25:$BK$25,0),FALSE)-BL$44)*'Unit Distribution'!$F$5,0)))</f>
        <v>0</v>
      </c>
      <c r="BM25">
        <f>MIN(0,(ROUND((VLOOKUP($E25,RLS!$C$32:$BK$36,MATCH(BM$2,RLS!$C$25:$BK$25,0),FALSE)-BM$44)*'Unit Distribution'!$F$5,0)))</f>
        <v>0</v>
      </c>
      <c r="BN25">
        <f>MIN(0,(ROUND((VLOOKUP($E25,RLS!$C$32:$BK$36,MATCH(BN$2,RLS!$C$25:$BK$25,0),FALSE)-BN$44)*'Unit Distribution'!$F$5,0)))</f>
        <v>0</v>
      </c>
    </row>
    <row r="26" spans="1:66" x14ac:dyDescent="0.35">
      <c r="A26" t="s">
        <v>65</v>
      </c>
      <c r="B26" t="s">
        <v>66</v>
      </c>
      <c r="C26" t="s">
        <v>112</v>
      </c>
      <c r="D26" t="s">
        <v>80</v>
      </c>
      <c r="E26" t="str">
        <f t="shared" si="0"/>
        <v>BSAOnsite</v>
      </c>
      <c r="F26" t="s">
        <v>70</v>
      </c>
      <c r="G26" s="14">
        <f>MIN(1,((VLOOKUP($E25,RLS!$C$32:$BK$36,MATCH(G$2,RLS!$C$25:$BK$25,0),FALSE)-G$44)-G19-G20-G21-(G22+G23+G24))-G25)</f>
        <v>1</v>
      </c>
      <c r="H26" s="14">
        <f>MIN(1,((VLOOKUP($E25,RLS!$C$32:$BK$36,MATCH(H$2,RLS!$C$25:$BK$25,0),FALSE)-H$44)-H19-H20-H21-(H22+H23+H24))-H25)</f>
        <v>1</v>
      </c>
      <c r="I26" s="14">
        <f>MIN(1,((VLOOKUP($E25,RLS!$C$32:$BK$36,MATCH(I$2,RLS!$C$25:$BK$25,0),FALSE)-I$44)-I19-I20-I21-(I22+I23+I24))-I25)</f>
        <v>1</v>
      </c>
      <c r="J26" s="14">
        <f>MIN(1,((VLOOKUP($E25,RLS!$C$32:$BK$36,MATCH(J$2,RLS!$C$25:$BK$25,0),FALSE)-J$44)-J19-J20-J21-(J22+J23+J24))-J25)</f>
        <v>1</v>
      </c>
      <c r="K26" s="14">
        <f>MIN(1,((VLOOKUP($E25,RLS!$C$32:$BK$36,MATCH(K$2,RLS!$C$25:$BK$25,0),FALSE)-K$44)-K19-K20-K21-(K22+K23+K24))-K25)</f>
        <v>1</v>
      </c>
      <c r="L26" s="14">
        <f>MIN(1,((VLOOKUP($E25,RLS!$C$32:$BK$36,MATCH(L$2,RLS!$C$25:$BK$25,0),FALSE)-L$44)-L19-L20-L21-(L22+L23+L24))-L25)</f>
        <v>1</v>
      </c>
      <c r="M26" s="14">
        <f>MIN(1,((VLOOKUP($E25,RLS!$C$32:$BK$36,MATCH(M$2,RLS!$C$25:$BK$25,0),FALSE)-M$44)-M19-M20-M21-(M22+M23+M24))-M25)</f>
        <v>1</v>
      </c>
      <c r="N26" s="14">
        <f>MIN(1,((VLOOKUP($E25,RLS!$C$32:$BK$36,MATCH(N$2,RLS!$C$25:$BK$25,0),FALSE)-N$44)-N19-N20-N21-(N22+N23+N24))-N25)</f>
        <v>1</v>
      </c>
      <c r="O26" s="14">
        <f>MIN(1,((VLOOKUP($E25,RLS!$C$32:$BK$36,MATCH(O$2,RLS!$C$25:$BK$25,0),FALSE)-O$44)-O19-O20-O21-(O22+O23+O24))-O25)</f>
        <v>1</v>
      </c>
      <c r="P26" s="14">
        <f>MIN(1,((VLOOKUP($E25,RLS!$C$32:$BK$36,MATCH(P$2,RLS!$C$25:$BK$25,0),FALSE)-P$44)-P19-P20-P21-(P22+P23+P24))-P25)</f>
        <v>1</v>
      </c>
      <c r="Q26" s="14">
        <f>MIN(1,((VLOOKUP($E25,RLS!$C$32:$BK$36,MATCH(Q$2,RLS!$C$25:$BK$25,0),FALSE)-Q$44)-Q19-Q20-Q21-(Q22+Q23+Q24))-Q25)</f>
        <v>1</v>
      </c>
      <c r="R26" s="14">
        <f>MIN(1,((VLOOKUP($E25,RLS!$C$32:$BK$36,MATCH(R$2,RLS!$C$25:$BK$25,0),FALSE)-R$44)-R19-R20-R21-(R22+R23+R24))-R25)</f>
        <v>1</v>
      </c>
      <c r="S26" s="14">
        <f>MIN(1,((VLOOKUP($E25,RLS!$C$32:$BK$36,MATCH(S$2,RLS!$C$25:$BK$25,0),FALSE)-S$44)-S19-S20-S21-(S22+S23+S24))-S25)</f>
        <v>1</v>
      </c>
      <c r="T26" s="14">
        <f>MIN(1,((VLOOKUP($E25,RLS!$C$32:$BK$36,MATCH(T$2,RLS!$C$25:$BK$25,0),FALSE)-T$44)-T19-T20-T21-(T22+T23+T24))-T25)</f>
        <v>1</v>
      </c>
      <c r="U26" s="14">
        <f>MIN(1,((VLOOKUP($E25,RLS!$C$32:$BK$36,MATCH(U$2,RLS!$C$25:$BK$25,0),FALSE)-U$44)-U19-U20-U21-(U22+U23+U24))-U25)</f>
        <v>1</v>
      </c>
      <c r="V26" s="14">
        <f>MIN(1,((VLOOKUP($E25,RLS!$C$32:$BK$36,MATCH(V$2,RLS!$C$25:$BK$25,0),FALSE)-V$44)-V19-V20-V21-(V22+V23+V24))-V25)</f>
        <v>1</v>
      </c>
      <c r="W26" s="14">
        <f>MIN(1,((VLOOKUP($E25,RLS!$C$32:$BK$36,MATCH(W$2,RLS!$C$25:$BK$25,0),FALSE)-W$44)-W19-W20-W21-(W22+W23+W24))-W25)</f>
        <v>1</v>
      </c>
      <c r="X26" s="14">
        <f>MIN(1,((VLOOKUP($E25,RLS!$C$32:$BK$36,MATCH(X$2,RLS!$C$25:$BK$25,0),FALSE)-X$44)-X19-X20-X21-(X22+X23+X24))-X25)</f>
        <v>1</v>
      </c>
      <c r="Y26" s="14">
        <f>MIN(1,((VLOOKUP($E25,RLS!$C$32:$BK$36,MATCH(Y$2,RLS!$C$25:$BK$25,0),FALSE)-Y$44)-Y19-Y20-Y21-(Y22+Y23+Y24))-Y25)</f>
        <v>1</v>
      </c>
      <c r="Z26" s="14">
        <f>MIN(1,((VLOOKUP($E25,RLS!$C$32:$BK$36,MATCH(Z$2,RLS!$C$25:$BK$25,0),FALSE)-Z$44)-Z19-Z20-Z21-(Z22+Z23+Z24))-Z25)</f>
        <v>1</v>
      </c>
      <c r="AA26" s="14">
        <f>MIN(1,((VLOOKUP($E25,RLS!$C$32:$BK$36,MATCH(AA$2,RLS!$C$25:$BK$25,0),FALSE)-AA$44)-AA19-AA20-AA21-(AA22+AA23+AA24))-AA25)</f>
        <v>1</v>
      </c>
      <c r="AB26" s="14">
        <f>MIN(1,((VLOOKUP($E25,RLS!$C$32:$BK$36,MATCH(AB$2,RLS!$C$25:$BK$25,0),FALSE)-AB$44)-AB19-AB20-AB21-(AB22+AB23+AB24))-AB25)</f>
        <v>1</v>
      </c>
      <c r="AC26" s="14">
        <f>MIN(1,((VLOOKUP($E25,RLS!$C$32:$BK$36,MATCH(AC$2,RLS!$C$25:$BK$25,0),FALSE)-AC$44)-AC19-AC20-AC21-(AC22+AC23+AC24))-AC25)</f>
        <v>1</v>
      </c>
      <c r="AD26" s="14">
        <f>MIN(1,((VLOOKUP($E25,RLS!$C$32:$BK$36,MATCH(AD$2,RLS!$C$25:$BK$25,0),FALSE)-AD$44)-AD19-AD20-AD21-(AD22+AD23+AD24))-AD25)</f>
        <v>1</v>
      </c>
      <c r="AE26" s="14">
        <f>MIN(1,((VLOOKUP($E25,RLS!$C$32:$BK$36,MATCH(AE$2,RLS!$C$25:$BK$25,0),FALSE)-AE$44)-AE19-AE20-AE21-(AE22+AE23+AE24))-AE25)</f>
        <v>1</v>
      </c>
      <c r="AF26" s="14">
        <f>MIN(1,((VLOOKUP($E25,RLS!$C$32:$BK$36,MATCH(AF$2,RLS!$C$25:$BK$25,0),FALSE)-AF$44)-AF19-AF20-AF21-(AF22+AF23+AF24))-AF25)</f>
        <v>1</v>
      </c>
      <c r="AG26" s="14">
        <f>MIN(1,((VLOOKUP($E25,RLS!$C$32:$BK$36,MATCH(AG$2,RLS!$C$25:$BK$25,0),FALSE)-AG$44)-AG19-AG20-AG21-(AG22+AG23+AG24))-AG25)</f>
        <v>1</v>
      </c>
      <c r="AH26" s="14">
        <f>MIN(1,((VLOOKUP($E25,RLS!$C$32:$BK$36,MATCH(AH$2,RLS!$C$25:$BK$25,0),FALSE)-AH$44)-AH19-AH20-AH21-(AH22+AH23+AH24))-AH25)</f>
        <v>1</v>
      </c>
      <c r="AI26" s="14">
        <f>MIN(1,((VLOOKUP($E25,RLS!$C$32:$BK$36,MATCH(AI$2,RLS!$C$25:$BK$25,0),FALSE)-AI$44)-AI19-AI20-AI21-(AI22+AI23+AI24))-AI25)</f>
        <v>1</v>
      </c>
      <c r="AJ26" s="14">
        <f>MIN(1,((VLOOKUP($E25,RLS!$C$32:$BK$36,MATCH(AJ$2,RLS!$C$25:$BK$25,0),FALSE)-AJ$44)-AJ19-AJ20-AJ21-(AJ22+AJ23+AJ24))-AJ25)</f>
        <v>1</v>
      </c>
      <c r="AK26" s="14">
        <f>MIN(1,((VLOOKUP($E25,RLS!$C$32:$BK$36,MATCH(AK$2,RLS!$C$25:$BK$25,0),FALSE)-AK$44)-AK19-AK20-AK21-(AK22+AK23+AK24))-AK25)</f>
        <v>1</v>
      </c>
      <c r="AL26" s="14">
        <f>MIN(1,((VLOOKUP($E25,RLS!$C$32:$BK$36,MATCH(AL$2,RLS!$C$25:$BK$25,0),FALSE)-AL$44)-AL19-AL20-AL21-(AL22+AL23+AL24))-AL25)</f>
        <v>1</v>
      </c>
      <c r="AM26" s="14">
        <f>MIN(1,((VLOOKUP($E25,RLS!$C$32:$BK$36,MATCH(AM$2,RLS!$C$25:$BK$25,0),FALSE)-AM$44)-AM19-AM20-AM21-(AM22+AM23+AM24))-AM25)</f>
        <v>1</v>
      </c>
      <c r="AN26" s="14">
        <f>MIN(1,((VLOOKUP($E25,RLS!$C$32:$BK$36,MATCH(AN$2,RLS!$C$25:$BK$25,0),FALSE)-AN$44)-AN19-AN20-AN21-(AN22+AN23+AN24))-AN25)</f>
        <v>1</v>
      </c>
      <c r="AO26" s="14">
        <f>MIN(1,((VLOOKUP($E25,RLS!$C$32:$BK$36,MATCH(AO$2,RLS!$C$25:$BK$25,0),FALSE)-AO$44)-AO19-AO20-AO21-(AO22+AO23+AO24))-AO25)</f>
        <v>1</v>
      </c>
      <c r="AP26" s="14">
        <f>MIN(1,((VLOOKUP($E25,RLS!$C$32:$BK$36,MATCH(AP$2,RLS!$C$25:$BK$25,0),FALSE)-AP$44)-AP19-AP20-AP21-(AP22+AP23+AP24))-AP25)</f>
        <v>1</v>
      </c>
      <c r="AQ26">
        <f>MIN(0,(ROUND((VLOOKUP($E25,RLS!$C$32:$BK$36,MATCH(AQ$2,RLS!$C$25:$BK$25,0),FALSE)-AQ$44)*'Unit Distribution'!$E$5,0))-AQ25)</f>
        <v>0</v>
      </c>
      <c r="AR26">
        <f>MIN(0,(ROUND((VLOOKUP($E25,RLS!$C$32:$BK$36,MATCH(AR$2,RLS!$C$25:$BK$25,0),FALSE)-AR$44)*'Unit Distribution'!$E$5,0))-AR25)</f>
        <v>0</v>
      </c>
      <c r="AS26">
        <f>MIN(0,(ROUND((VLOOKUP($E25,RLS!$C$32:$BK$36,MATCH(AS$2,RLS!$C$25:$BK$25,0),FALSE)-AS$44)*'Unit Distribution'!$E$5,0))-AS25)</f>
        <v>0</v>
      </c>
      <c r="AT26">
        <f>MIN(0,(ROUND((VLOOKUP($E25,RLS!$C$32:$BK$36,MATCH(AT$2,RLS!$C$25:$BK$25,0),FALSE)-AT$44)*'Unit Distribution'!$E$5,0))-AT25)</f>
        <v>0</v>
      </c>
      <c r="AU26">
        <f>MIN(0,(ROUND((VLOOKUP($E25,RLS!$C$32:$BK$36,MATCH(AU$2,RLS!$C$25:$BK$25,0),FALSE)-AU$44)*'Unit Distribution'!$E$5,0))-AU25)</f>
        <v>0</v>
      </c>
      <c r="AV26">
        <f>MIN(0,(ROUND((VLOOKUP($E25,RLS!$C$32:$BK$36,MATCH(AV$2,RLS!$C$25:$BK$25,0),FALSE)-AV$44)*'Unit Distribution'!$E$5,0))-AV25)</f>
        <v>0</v>
      </c>
      <c r="AW26">
        <f>MIN(0,(ROUND((VLOOKUP($E25,RLS!$C$32:$BK$36,MATCH(AW$2,RLS!$C$25:$BK$25,0),FALSE)-AW$44)*'Unit Distribution'!$E$5,0))-AW25)</f>
        <v>0</v>
      </c>
      <c r="AX26">
        <f>MIN(0,(ROUND((VLOOKUP($E25,RLS!$C$32:$BK$36,MATCH(AX$2,RLS!$C$25:$BK$25,0),FALSE)-AX$44)*'Unit Distribution'!$E$5,0))-AX25)</f>
        <v>0</v>
      </c>
      <c r="AY26">
        <f>MIN(0,(ROUND((VLOOKUP($E25,RLS!$C$32:$BK$36,MATCH(AY$2,RLS!$C$25:$BK$25,0),FALSE)-AY$44)*'Unit Distribution'!$E$5,0))-AY25)</f>
        <v>0</v>
      </c>
      <c r="AZ26">
        <f>MIN(0,(ROUND((VLOOKUP($E25,RLS!$C$32:$BK$36,MATCH(AZ$2,RLS!$C$25:$BK$25,0),FALSE)-AZ$44)*'Unit Distribution'!$E$5,0))-AZ25)</f>
        <v>0</v>
      </c>
      <c r="BA26">
        <f>MIN(0,(ROUND((VLOOKUP($E25,RLS!$C$32:$BK$36,MATCH(BA$2,RLS!$C$25:$BK$25,0),FALSE)-BA$44)*'Unit Distribution'!$E$5,0))-BA25)</f>
        <v>0</v>
      </c>
      <c r="BB26">
        <f>MIN(0,(ROUND((VLOOKUP($E25,RLS!$C$32:$BK$36,MATCH(BB$2,RLS!$C$25:$BK$25,0),FALSE)-BB$44)*'Unit Distribution'!$E$5,0))-BB25)</f>
        <v>0</v>
      </c>
      <c r="BC26">
        <f>MIN(0,(ROUND((VLOOKUP($E25,RLS!$C$32:$BK$36,MATCH(BC$2,RLS!$C$25:$BK$25,0),FALSE)-BC$44)*'Unit Distribution'!$F$5,0))-BC25)</f>
        <v>0</v>
      </c>
      <c r="BD26">
        <f>MIN(0,(ROUND((VLOOKUP($E25,RLS!$C$32:$BK$36,MATCH(BD$2,RLS!$C$25:$BK$25,0),FALSE)-BD$44)*'Unit Distribution'!$F$5,0))-BD25)</f>
        <v>0</v>
      </c>
      <c r="BE26">
        <f>MIN(0,(ROUND((VLOOKUP($E25,RLS!$C$32:$BK$36,MATCH(BE$2,RLS!$C$25:$BK$25,0),FALSE)-BE$44)*'Unit Distribution'!$F$5,0))-BE25)</f>
        <v>0</v>
      </c>
      <c r="BF26">
        <f>MIN(0,(ROUND((VLOOKUP($E25,RLS!$C$32:$BK$36,MATCH(BF$2,RLS!$C$25:$BK$25,0),FALSE)-BF$44)*'Unit Distribution'!$F$5,0))-BF25)</f>
        <v>0</v>
      </c>
      <c r="BG26">
        <f>MIN(0,(ROUND((VLOOKUP($E25,RLS!$C$32:$BK$36,MATCH(BG$2,RLS!$C$25:$BK$25,0),FALSE)-BG$44)*'Unit Distribution'!$F$5,0))-BG25)</f>
        <v>0</v>
      </c>
      <c r="BH26">
        <f>MIN(0,(ROUND((VLOOKUP($E25,RLS!$C$32:$BK$36,MATCH(BH$2,RLS!$C$25:$BK$25,0),FALSE)-BH$44)*'Unit Distribution'!$F$5,0))-BH25)</f>
        <v>0</v>
      </c>
      <c r="BI26">
        <f>MIN(0,(ROUND((VLOOKUP($E25,RLS!$C$32:$BK$36,MATCH(BI$2,RLS!$C$25:$BK$25,0),FALSE)-BI$44)*'Unit Distribution'!$F$5,0))-BI25)</f>
        <v>0</v>
      </c>
      <c r="BJ26">
        <f>MIN(0,(ROUND((VLOOKUP($E25,RLS!$C$32:$BK$36,MATCH(BJ$2,RLS!$C$25:$BK$25,0),FALSE)-BJ$44)*'Unit Distribution'!$F$5,0))-BJ25)</f>
        <v>0</v>
      </c>
      <c r="BK26">
        <f>MIN(0,(ROUND((VLOOKUP($E25,RLS!$C$32:$BK$36,MATCH(BK$2,RLS!$C$25:$BK$25,0),FALSE)-BK$44)*'Unit Distribution'!$F$5,0))-BK25)</f>
        <v>0</v>
      </c>
      <c r="BL26">
        <f>MIN(0,(ROUND((VLOOKUP($E25,RLS!$C$32:$BK$36,MATCH(BL$2,RLS!$C$25:$BK$25,0),FALSE)-BL$44)*'Unit Distribution'!$F$5,0))-BL25)</f>
        <v>0</v>
      </c>
      <c r="BM26">
        <f>MIN(0,(ROUND((VLOOKUP($E25,RLS!$C$32:$BK$36,MATCH(BM$2,RLS!$C$25:$BK$25,0),FALSE)-BM$44)*'Unit Distribution'!$F$5,0))-BM25)</f>
        <v>0</v>
      </c>
      <c r="BN26">
        <f>MIN(0,(ROUND((VLOOKUP($E25,RLS!$C$32:$BK$36,MATCH(BN$2,RLS!$C$25:$BK$25,0),FALSE)-BN$44)*'Unit Distribution'!$F$5,0))-BN25)</f>
        <v>0</v>
      </c>
    </row>
    <row r="27" spans="1:66" x14ac:dyDescent="0.35">
      <c r="A27" t="s">
        <v>65</v>
      </c>
      <c r="B27" t="s">
        <v>81</v>
      </c>
      <c r="C27" t="s">
        <v>112</v>
      </c>
      <c r="D27" t="s">
        <v>80</v>
      </c>
      <c r="E27" t="str">
        <f t="shared" si="0"/>
        <v>BSAOnsite</v>
      </c>
      <c r="F27" t="s">
        <v>70</v>
      </c>
      <c r="G27" s="14">
        <f>((VLOOKUP($E25,RLS!$C$32:$BK$36,MATCH(G$2,RLS!$C$25:$BK$25,0),FALSE)-G$44)-G19-G20-G21-(G22+G23+G24))-G25-G26</f>
        <v>1</v>
      </c>
      <c r="H27" s="14">
        <f>((VLOOKUP($E25,RLS!$C$32:$BK$36,MATCH(H$2,RLS!$C$25:$BK$25,0),FALSE)-H$44)-H19-H20-H21-(H22+H23+H24))-H25-H26</f>
        <v>1</v>
      </c>
      <c r="I27" s="14">
        <f>((VLOOKUP($E25,RLS!$C$32:$BK$36,MATCH(I$2,RLS!$C$25:$BK$25,0),FALSE)-I$44)-I19-I20-I21-(I22+I23+I24))-I25-I26</f>
        <v>1</v>
      </c>
      <c r="J27" s="14">
        <f>((VLOOKUP($E25,RLS!$C$32:$BK$36,MATCH(J$2,RLS!$C$25:$BK$25,0),FALSE)-J$44)-J19-J20-J21-(J22+J23+J24))-J25-J26</f>
        <v>1</v>
      </c>
      <c r="K27" s="14">
        <f>((VLOOKUP($E25,RLS!$C$32:$BK$36,MATCH(K$2,RLS!$C$25:$BK$25,0),FALSE)-K$44)-K19-K20-K21-(K22+K23+K24))-K25-K26</f>
        <v>1</v>
      </c>
      <c r="L27" s="14">
        <f>((VLOOKUP($E25,RLS!$C$32:$BK$36,MATCH(L$2,RLS!$C$25:$BK$25,0),FALSE)-L$44)-L19-L20-L21-(L22+L23+L24))-L25-L26</f>
        <v>1</v>
      </c>
      <c r="M27" s="14">
        <f>((VLOOKUP($E25,RLS!$C$32:$BK$36,MATCH(M$2,RLS!$C$25:$BK$25,0),FALSE)-M$44)-M19-M20-M21-(M22+M23+M24))-M25-M26</f>
        <v>1</v>
      </c>
      <c r="N27" s="14">
        <f>((VLOOKUP($E25,RLS!$C$32:$BK$36,MATCH(N$2,RLS!$C$25:$BK$25,0),FALSE)-N$44)-N19-N20-N21-(N22+N23+N24))-N25-N26</f>
        <v>1</v>
      </c>
      <c r="O27" s="14">
        <f>((VLOOKUP($E25,RLS!$C$32:$BK$36,MATCH(O$2,RLS!$C$25:$BK$25,0),FALSE)-O$44)-O19-O20-O21-(O22+O23+O24))-O25-O26</f>
        <v>1</v>
      </c>
      <c r="P27" s="14">
        <f>((VLOOKUP($E25,RLS!$C$32:$BK$36,MATCH(P$2,RLS!$C$25:$BK$25,0),FALSE)-P$44)-P19-P20-P21-(P22+P23+P24))-P25-P26</f>
        <v>1</v>
      </c>
      <c r="Q27" s="14">
        <f>((VLOOKUP($E25,RLS!$C$32:$BK$36,MATCH(Q$2,RLS!$C$25:$BK$25,0),FALSE)-Q$44)-Q19-Q20-Q21-(Q22+Q23+Q24))-Q25-Q26</f>
        <v>1</v>
      </c>
      <c r="R27" s="14">
        <f>((VLOOKUP($E25,RLS!$C$32:$BK$36,MATCH(R$2,RLS!$C$25:$BK$25,0),FALSE)-R$44)-R19-R20-R21-(R22+R23+R24))-R25-R26</f>
        <v>1</v>
      </c>
      <c r="S27" s="14">
        <f>((VLOOKUP($E25,RLS!$C$32:$BK$36,MATCH(S$2,RLS!$C$25:$BK$25,0),FALSE)-S$44)-S19-S20-S21-(S22+S23+S24))-S25-S26</f>
        <v>1</v>
      </c>
      <c r="T27" s="14">
        <f>((VLOOKUP($E25,RLS!$C$32:$BK$36,MATCH(T$2,RLS!$C$25:$BK$25,0),FALSE)-T$44)-T19-T20-T21-(T22+T23+T24))-T25-T26</f>
        <v>1</v>
      </c>
      <c r="U27" s="14">
        <f>((VLOOKUP($E25,RLS!$C$32:$BK$36,MATCH(U$2,RLS!$C$25:$BK$25,0),FALSE)-U$44)-U19-U20-U21-(U22+U23+U24))-U25-U26</f>
        <v>1</v>
      </c>
      <c r="V27" s="14">
        <f>((VLOOKUP($E25,RLS!$C$32:$BK$36,MATCH(V$2,RLS!$C$25:$BK$25,0),FALSE)-V$44)-V19-V20-V21-(V22+V23+V24))-V25-V26</f>
        <v>1</v>
      </c>
      <c r="W27" s="14">
        <f>((VLOOKUP($E25,RLS!$C$32:$BK$36,MATCH(W$2,RLS!$C$25:$BK$25,0),FALSE)-W$44)-W19-W20-W21-(W22+W23+W24))-W25-W26</f>
        <v>1</v>
      </c>
      <c r="X27" s="14">
        <f>((VLOOKUP($E25,RLS!$C$32:$BK$36,MATCH(X$2,RLS!$C$25:$BK$25,0),FALSE)-X$44)-X19-X20-X21-(X22+X23+X24))-X25-X26</f>
        <v>1</v>
      </c>
      <c r="Y27" s="14">
        <f>((VLOOKUP($E25,RLS!$C$32:$BK$36,MATCH(Y$2,RLS!$C$25:$BK$25,0),FALSE)-Y$44)-Y19-Y20-Y21-(Y22+Y23+Y24))-Y25-Y26</f>
        <v>1</v>
      </c>
      <c r="Z27" s="14">
        <f>((VLOOKUP($E25,RLS!$C$32:$BK$36,MATCH(Z$2,RLS!$C$25:$BK$25,0),FALSE)-Z$44)-Z19-Z20-Z21-(Z22+Z23+Z24))-Z25-Z26</f>
        <v>1</v>
      </c>
      <c r="AA27" s="14">
        <f>((VLOOKUP($E25,RLS!$C$32:$BK$36,MATCH(AA$2,RLS!$C$25:$BK$25,0),FALSE)-AA$44)-AA19-AA20-AA21-(AA22+AA23+AA24))-AA25-AA26</f>
        <v>1</v>
      </c>
      <c r="AB27" s="14">
        <f>((VLOOKUP($E25,RLS!$C$32:$BK$36,MATCH(AB$2,RLS!$C$25:$BK$25,0),FALSE)-AB$44)-AB19-AB20-AB21-(AB22+AB23+AB24))-AB25-AB26</f>
        <v>1</v>
      </c>
      <c r="AC27" s="14">
        <f>((VLOOKUP($E25,RLS!$C$32:$BK$36,MATCH(AC$2,RLS!$C$25:$BK$25,0),FALSE)-AC$44)-AC19-AC20-AC21-(AC22+AC23+AC24))-AC25-AC26</f>
        <v>1</v>
      </c>
      <c r="AD27" s="14">
        <f>((VLOOKUP($E25,RLS!$C$32:$BK$36,MATCH(AD$2,RLS!$C$25:$BK$25,0),FALSE)-AD$44)-AD19-AD20-AD21-(AD22+AD23+AD24))-AD25-AD26</f>
        <v>1</v>
      </c>
      <c r="AE27" s="14">
        <f>((VLOOKUP($E25,RLS!$C$32:$BK$36,MATCH(AE$2,RLS!$C$25:$BK$25,0),FALSE)-AE$44)-AE19-AE20-AE21-(AE22+AE23+AE24))-AE25-AE26</f>
        <v>1</v>
      </c>
      <c r="AF27" s="14">
        <f>((VLOOKUP($E25,RLS!$C$32:$BK$36,MATCH(AF$2,RLS!$C$25:$BK$25,0),FALSE)-AF$44)-AF19-AF20-AF21-(AF22+AF23+AF24))-AF25-AF26</f>
        <v>1</v>
      </c>
      <c r="AG27" s="14">
        <f>((VLOOKUP($E25,RLS!$C$32:$BK$36,MATCH(AG$2,RLS!$C$25:$BK$25,0),FALSE)-AG$44)-AG19-AG20-AG21-(AG22+AG23+AG24))-AG25-AG26</f>
        <v>1</v>
      </c>
      <c r="AH27" s="14">
        <f>((VLOOKUP($E25,RLS!$C$32:$BK$36,MATCH(AH$2,RLS!$C$25:$BK$25,0),FALSE)-AH$44)-AH19-AH20-AH21-(AH22+AH23+AH24))-AH25-AH26</f>
        <v>1</v>
      </c>
      <c r="AI27" s="14">
        <f>((VLOOKUP($E25,RLS!$C$32:$BK$36,MATCH(AI$2,RLS!$C$25:$BK$25,0),FALSE)-AI$44)-AI19-AI20-AI21-(AI22+AI23+AI24))-AI25-AI26</f>
        <v>1</v>
      </c>
      <c r="AJ27" s="14">
        <f>((VLOOKUP($E25,RLS!$C$32:$BK$36,MATCH(AJ$2,RLS!$C$25:$BK$25,0),FALSE)-AJ$44)-AJ19-AJ20-AJ21-(AJ22+AJ23+AJ24))-AJ25-AJ26</f>
        <v>1</v>
      </c>
      <c r="AK27" s="14">
        <f>((VLOOKUP($E25,RLS!$C$32:$BK$36,MATCH(AK$2,RLS!$C$25:$BK$25,0),FALSE)-AK$44)-AK19-AK20-AK21-(AK22+AK23+AK24))-AK25-AK26</f>
        <v>1</v>
      </c>
      <c r="AL27" s="14">
        <f>((VLOOKUP($E25,RLS!$C$32:$BK$36,MATCH(AL$2,RLS!$C$25:$BK$25,0),FALSE)-AL$44)-AL19-AL20-AL21-(AL22+AL23+AL24))-AL25-AL26</f>
        <v>1</v>
      </c>
      <c r="AM27" s="14">
        <f>((VLOOKUP($E25,RLS!$C$32:$BK$36,MATCH(AM$2,RLS!$C$25:$BK$25,0),FALSE)-AM$44)-AM19-AM20-AM21-(AM22+AM23+AM24))-AM25-AM26</f>
        <v>1</v>
      </c>
      <c r="AN27" s="14">
        <f>((VLOOKUP($E25,RLS!$C$32:$BK$36,MATCH(AN$2,RLS!$C$25:$BK$25,0),FALSE)-AN$44)-AN19-AN20-AN21-(AN22+AN23+AN24))-AN25-AN26</f>
        <v>1</v>
      </c>
      <c r="AO27" s="14">
        <f>((VLOOKUP($E25,RLS!$C$32:$BK$36,MATCH(AO$2,RLS!$C$25:$BK$25,0),FALSE)-AO$44)-AO19-AO20-AO21-(AO22+AO23+AO24))-AO25-AO26</f>
        <v>1</v>
      </c>
      <c r="AP27" s="14">
        <f>((VLOOKUP($E25,RLS!$C$32:$BK$36,MATCH(AP$2,RLS!$C$25:$BK$25,0),FALSE)-AP$44)-AP19-AP20-AP21-(AP22+AP23+AP24))-AP25-AP26</f>
        <v>1</v>
      </c>
      <c r="AQ27">
        <f>(ROUND((VLOOKUP($E25,RLS!$C$32:$BK$36,MATCH(AQ$2,RLS!$C$25:$BK$25,0),FALSE)-AQ$44)*'Unit Distribution'!$E$5,0))-AQ25-AQ26</f>
        <v>0</v>
      </c>
      <c r="AR27">
        <f>(ROUND((VLOOKUP($E25,RLS!$C$32:$BK$36,MATCH(AR$2,RLS!$C$25:$BK$25,0),FALSE)-AR$44)*'Unit Distribution'!$E$5,0))-AR25-AR26</f>
        <v>0</v>
      </c>
      <c r="AS27">
        <f>(ROUND((VLOOKUP($E25,RLS!$C$32:$BK$36,MATCH(AS$2,RLS!$C$25:$BK$25,0),FALSE)-AS$44)*'Unit Distribution'!$E$5,0))-AS25-AS26</f>
        <v>0</v>
      </c>
      <c r="AT27">
        <f>(ROUND((VLOOKUP($E25,RLS!$C$32:$BK$36,MATCH(AT$2,RLS!$C$25:$BK$25,0),FALSE)-AT$44)*'Unit Distribution'!$E$5,0))-AT25-AT26</f>
        <v>0</v>
      </c>
      <c r="AU27">
        <f>(ROUND((VLOOKUP($E25,RLS!$C$32:$BK$36,MATCH(AU$2,RLS!$C$25:$BK$25,0),FALSE)-AU$44)*'Unit Distribution'!$E$5,0))-AU25-AU26</f>
        <v>0</v>
      </c>
      <c r="AV27">
        <f>(ROUND((VLOOKUP($E25,RLS!$C$32:$BK$36,MATCH(AV$2,RLS!$C$25:$BK$25,0),FALSE)-AV$44)*'Unit Distribution'!$E$5,0))-AV25-AV26</f>
        <v>0</v>
      </c>
      <c r="AW27">
        <f>(ROUND((VLOOKUP($E25,RLS!$C$32:$BK$36,MATCH(AW$2,RLS!$C$25:$BK$25,0),FALSE)-AW$44)*'Unit Distribution'!$E$5,0))-AW25-AW26</f>
        <v>0</v>
      </c>
      <c r="AX27">
        <f>(ROUND((VLOOKUP($E25,RLS!$C$32:$BK$36,MATCH(AX$2,RLS!$C$25:$BK$25,0),FALSE)-AX$44)*'Unit Distribution'!$E$5,0))-AX25-AX26</f>
        <v>0</v>
      </c>
      <c r="AY27">
        <f>(ROUND((VLOOKUP($E25,RLS!$C$32:$BK$36,MATCH(AY$2,RLS!$C$25:$BK$25,0),FALSE)-AY$44)*'Unit Distribution'!$E$5,0))-AY25-AY26</f>
        <v>0</v>
      </c>
      <c r="AZ27">
        <f>(ROUND((VLOOKUP($E25,RLS!$C$32:$BK$36,MATCH(AZ$2,RLS!$C$25:$BK$25,0),FALSE)-AZ$44)*'Unit Distribution'!$E$5,0))-AZ25-AZ26</f>
        <v>0</v>
      </c>
      <c r="BA27">
        <f>(ROUND((VLOOKUP($E25,RLS!$C$32:$BK$36,MATCH(BA$2,RLS!$C$25:$BK$25,0),FALSE)-BA$44)*'Unit Distribution'!$E$5,0))-BA25-BA26</f>
        <v>0</v>
      </c>
      <c r="BB27">
        <f>(ROUND((VLOOKUP($E25,RLS!$C$32:$BK$36,MATCH(BB$2,RLS!$C$25:$BK$25,0),FALSE)-BB$44)*'Unit Distribution'!$E$5,0))-BB25-BB26</f>
        <v>0</v>
      </c>
      <c r="BC27">
        <f>(ROUND((VLOOKUP($E25,RLS!$C$32:$BK$36,MATCH(BC$2,RLS!$C$25:$BK$25,0),FALSE)-BC$44)*'Unit Distribution'!$F$5,0))-BC25-BC26</f>
        <v>0</v>
      </c>
      <c r="BD27">
        <f>(ROUND((VLOOKUP($E25,RLS!$C$32:$BK$36,MATCH(BD$2,RLS!$C$25:$BK$25,0),FALSE)-BD$44)*'Unit Distribution'!$F$5,0))-BD25-BD26</f>
        <v>0</v>
      </c>
      <c r="BE27">
        <f>(ROUND((VLOOKUP($E25,RLS!$C$32:$BK$36,MATCH(BE$2,RLS!$C$25:$BK$25,0),FALSE)-BE$44)*'Unit Distribution'!$F$5,0))-BE25-BE26</f>
        <v>0</v>
      </c>
      <c r="BF27">
        <f>(ROUND((VLOOKUP($E25,RLS!$C$32:$BK$36,MATCH(BF$2,RLS!$C$25:$BK$25,0),FALSE)-BF$44)*'Unit Distribution'!$F$5,0))-BF25-BF26</f>
        <v>0</v>
      </c>
      <c r="BG27">
        <f>(ROUND((VLOOKUP($E25,RLS!$C$32:$BK$36,MATCH(BG$2,RLS!$C$25:$BK$25,0),FALSE)-BG$44)*'Unit Distribution'!$F$5,0))-BG25-BG26</f>
        <v>0</v>
      </c>
      <c r="BH27">
        <f>(ROUND((VLOOKUP($E25,RLS!$C$32:$BK$36,MATCH(BH$2,RLS!$C$25:$BK$25,0),FALSE)-BH$44)*'Unit Distribution'!$F$5,0))-BH25-BH26</f>
        <v>0</v>
      </c>
      <c r="BI27">
        <f>(ROUND((VLOOKUP($E25,RLS!$C$32:$BK$36,MATCH(BI$2,RLS!$C$25:$BK$25,0),FALSE)-BI$44)*'Unit Distribution'!$F$5,0))-BI25-BI26</f>
        <v>0</v>
      </c>
      <c r="BJ27">
        <f>(ROUND((VLOOKUP($E25,RLS!$C$32:$BK$36,MATCH(BJ$2,RLS!$C$25:$BK$25,0),FALSE)-BJ$44)*'Unit Distribution'!$F$5,0))-BJ25-BJ26</f>
        <v>0</v>
      </c>
      <c r="BK27">
        <f>(ROUND((VLOOKUP($E25,RLS!$C$32:$BK$36,MATCH(BK$2,RLS!$C$25:$BK$25,0),FALSE)-BK$44)*'Unit Distribution'!$F$5,0))-BK25-BK26</f>
        <v>0</v>
      </c>
      <c r="BL27">
        <f>(ROUND((VLOOKUP($E25,RLS!$C$32:$BK$36,MATCH(BL$2,RLS!$C$25:$BK$25,0),FALSE)-BL$44)*'Unit Distribution'!$F$5,0))-BL25-BL26</f>
        <v>0</v>
      </c>
      <c r="BM27">
        <f>(ROUND((VLOOKUP($E25,RLS!$C$32:$BK$36,MATCH(BM$2,RLS!$C$25:$BK$25,0),FALSE)-BM$44)*'Unit Distribution'!$F$5,0))-BM25-BM26</f>
        <v>0</v>
      </c>
      <c r="BN27">
        <f>(ROUND((VLOOKUP($E25,RLS!$C$32:$BK$36,MATCH(BN$2,RLS!$C$25:$BK$25,0),FALSE)-BN$44)*'Unit Distribution'!$F$5,0))-BN25-BN26</f>
        <v>0</v>
      </c>
    </row>
    <row r="28" spans="1:66" hidden="1" x14ac:dyDescent="0.35">
      <c r="A28" t="s">
        <v>71</v>
      </c>
      <c r="B28" t="s">
        <v>69</v>
      </c>
      <c r="C28" t="s">
        <v>112</v>
      </c>
      <c r="D28" t="s">
        <v>80</v>
      </c>
      <c r="E28" t="str">
        <f t="shared" si="0"/>
        <v>DevOnsite</v>
      </c>
      <c r="F28" t="s">
        <v>68</v>
      </c>
      <c r="G28" s="14">
        <f>ROUND((VLOOKUP($E28,RLS!$C$32:$BK$36,MATCH(G$2,RLS!$C$25:$BK$25,0),FALSE))*'Unit Distribution'!$B$3,0)</f>
        <v>0</v>
      </c>
      <c r="H28" s="14">
        <f>ROUND((VLOOKUP($E28,RLS!$C$32:$BK$36,MATCH(H$2,RLS!$C$25:$BK$25,0),FALSE))*'Unit Distribution'!$B$3,0)</f>
        <v>0</v>
      </c>
      <c r="I28" s="14">
        <f>ROUND((VLOOKUP($E28,RLS!$C$32:$BK$36,MATCH(I$2,RLS!$C$25:$BK$25,0),FALSE))*'Unit Distribution'!$B$3,0)</f>
        <v>0</v>
      </c>
      <c r="J28" s="14">
        <f>ROUND((VLOOKUP($E28,RLS!$C$32:$BK$36,MATCH(J$2,RLS!$C$25:$BK$25,0),FALSE))*'Unit Distribution'!$B$3,0)</f>
        <v>0</v>
      </c>
      <c r="K28" s="14">
        <f>ROUND((VLOOKUP($E28,RLS!$C$32:$BK$36,MATCH(K$2,RLS!$C$25:$BK$25,0),FALSE))*'Unit Distribution'!$B$3,0)</f>
        <v>0</v>
      </c>
      <c r="L28" s="14">
        <f>ROUND((VLOOKUP($E28,RLS!$C$32:$BK$36,MATCH(L$2,RLS!$C$25:$BK$25,0),FALSE))*'Unit Distribution'!$B$3,0)</f>
        <v>0</v>
      </c>
      <c r="M28" s="14">
        <f>ROUND((VLOOKUP($E28,RLS!$C$32:$BK$36,MATCH(M$2,RLS!$C$25:$BK$25,0),FALSE))*'Unit Distribution'!$B$3,0)</f>
        <v>0</v>
      </c>
      <c r="N28" s="14">
        <f>ROUND((VLOOKUP($E28,RLS!$C$32:$BK$36,MATCH(N$2,RLS!$C$25:$BK$25,0),FALSE))*'Unit Distribution'!$B$3,0)</f>
        <v>0</v>
      </c>
      <c r="O28" s="14">
        <f>ROUND((VLOOKUP($E28,RLS!$C$32:$BK$36,MATCH(O$2,RLS!$C$25:$BK$25,0),FALSE))*'Unit Distribution'!$B$3,0)</f>
        <v>0</v>
      </c>
      <c r="P28" s="14">
        <f>ROUND((VLOOKUP($E28,RLS!$C$32:$BK$36,MATCH(P$2,RLS!$C$25:$BK$25,0),FALSE))*'Unit Distribution'!$B$3,0)</f>
        <v>0</v>
      </c>
      <c r="Q28" s="14">
        <f>ROUND((VLOOKUP($E28,RLS!$C$32:$BK$36,MATCH(Q$2,RLS!$C$25:$BK$25,0),FALSE))*'Unit Distribution'!$B$3,0)</f>
        <v>0</v>
      </c>
      <c r="R28" s="14">
        <f>ROUND((VLOOKUP($E28,RLS!$C$32:$BK$36,MATCH(R$2,RLS!$C$25:$BK$25,0),FALSE))*'Unit Distribution'!$B$3,0)</f>
        <v>0</v>
      </c>
      <c r="S28" s="14">
        <f>ROUND((VLOOKUP($E28,RLS!$C$32:$BK$36,MATCH(S$2,RLS!$C$25:$BK$25,0),FALSE))*'Unit Distribution'!$C$3,0)</f>
        <v>0</v>
      </c>
      <c r="T28" s="14">
        <f>ROUND((VLOOKUP($E28,RLS!$C$32:$BK$36,MATCH(T$2,RLS!$C$25:$BK$25,0),FALSE))*'Unit Distribution'!$C$3,0)</f>
        <v>0</v>
      </c>
      <c r="U28" s="14">
        <f>ROUND((VLOOKUP($E28,RLS!$C$32:$BK$36,MATCH(U$2,RLS!$C$25:$BK$25,0),FALSE))*'Unit Distribution'!$C$3,0)</f>
        <v>0</v>
      </c>
      <c r="V28" s="14">
        <f>ROUND((VLOOKUP($E28,RLS!$C$32:$BK$36,MATCH(V$2,RLS!$C$25:$BK$25,0),FALSE))*'Unit Distribution'!$C$3,0)</f>
        <v>0</v>
      </c>
      <c r="W28" s="14">
        <f>ROUND((VLOOKUP($E28,RLS!$C$32:$BK$36,MATCH(W$2,RLS!$C$25:$BK$25,0),FALSE))*'Unit Distribution'!$C$3,0)</f>
        <v>0</v>
      </c>
      <c r="X28" s="14">
        <f>ROUND((VLOOKUP($E28,RLS!$C$32:$BK$36,MATCH(X$2,RLS!$C$25:$BK$25,0),FALSE))*'Unit Distribution'!$C$3,0)</f>
        <v>0</v>
      </c>
      <c r="Y28" s="14">
        <f>ROUND((VLOOKUP($E28,RLS!$C$32:$BK$36,MATCH(Y$2,RLS!$C$25:$BK$25,0),FALSE))*'Unit Distribution'!$C$3,0)</f>
        <v>0</v>
      </c>
      <c r="Z28" s="14">
        <f>ROUND((VLOOKUP($E28,RLS!$C$32:$BK$36,MATCH(Z$2,RLS!$C$25:$BK$25,0),FALSE))*'Unit Distribution'!$C$3,0)</f>
        <v>0</v>
      </c>
      <c r="AA28" s="14">
        <f>ROUND((VLOOKUP($E28,RLS!$C$32:$BK$36,MATCH(AA$2,RLS!$C$25:$BK$25,0),FALSE))*'Unit Distribution'!$C$3,0)</f>
        <v>0</v>
      </c>
      <c r="AB28" s="14">
        <f>ROUND((VLOOKUP($E28,RLS!$C$32:$BK$36,MATCH(AB$2,RLS!$C$25:$BK$25,0),FALSE))*'Unit Distribution'!$C$3,0)</f>
        <v>0</v>
      </c>
      <c r="AC28" s="14">
        <f>ROUND((VLOOKUP($E28,RLS!$C$32:$BK$36,MATCH(AC$2,RLS!$C$25:$BK$25,0),FALSE))*'Unit Distribution'!$C$3,0)</f>
        <v>0</v>
      </c>
      <c r="AD28" s="14">
        <f>ROUND((VLOOKUP($E28,RLS!$C$32:$BK$36,MATCH(AD$2,RLS!$C$25:$BK$25,0),FALSE))*'Unit Distribution'!$C$3,0)</f>
        <v>0</v>
      </c>
      <c r="AE28" s="14">
        <f>ROUND((VLOOKUP($E28,RLS!$C$32:$BK$36,MATCH(AE$2,RLS!$C$25:$BK$25,0),FALSE))*'Unit Distribution'!$D$3,0)</f>
        <v>0</v>
      </c>
      <c r="AF28" s="14">
        <f>ROUND((VLOOKUP($E28,RLS!$C$32:$BK$36,MATCH(AF$2,RLS!$C$25:$BK$25,0),FALSE))*'Unit Distribution'!$D$3,0)</f>
        <v>0</v>
      </c>
      <c r="AG28" s="14">
        <f>ROUND((VLOOKUP($E28,RLS!$C$32:$BK$36,MATCH(AG$2,RLS!$C$25:$BK$25,0),FALSE))*'Unit Distribution'!$D$3,0)</f>
        <v>0</v>
      </c>
      <c r="AH28" s="14">
        <f>ROUND((VLOOKUP($E28,RLS!$C$32:$BK$36,MATCH(AH$2,RLS!$C$25:$BK$25,0),FALSE))*'Unit Distribution'!$D$3,0)</f>
        <v>0</v>
      </c>
      <c r="AI28" s="14">
        <f>ROUND((VLOOKUP($E28,RLS!$C$32:$BK$36,MATCH(AI$2,RLS!$C$25:$BK$25,0),FALSE))*'Unit Distribution'!$D$3,0)</f>
        <v>0</v>
      </c>
      <c r="AJ28" s="14">
        <f>ROUND((VLOOKUP($E28,RLS!$C$32:$BK$36,MATCH(AJ$2,RLS!$C$25:$BK$25,0),FALSE))*'Unit Distribution'!$D$3,0)</f>
        <v>0</v>
      </c>
      <c r="AK28" s="14">
        <f>ROUND((VLOOKUP($E28,RLS!$C$32:$BK$36,MATCH(AK$2,RLS!$C$25:$BK$25,0),FALSE))*'Unit Distribution'!$D$3,0)</f>
        <v>0</v>
      </c>
      <c r="AL28" s="14">
        <f>ROUND((VLOOKUP($E28,RLS!$C$32:$BK$36,MATCH(AL$2,RLS!$C$25:$BK$25,0),FALSE))*'Unit Distribution'!$D$3,0)</f>
        <v>0</v>
      </c>
      <c r="AM28" s="14">
        <f>ROUND((VLOOKUP($E28,RLS!$C$32:$BK$36,MATCH(AM$2,RLS!$C$25:$BK$25,0),FALSE))*'Unit Distribution'!$D$3,0)</f>
        <v>0</v>
      </c>
      <c r="AN28" s="14">
        <f>ROUND((VLOOKUP($E28,RLS!$C$32:$BK$36,MATCH(AN$2,RLS!$C$25:$BK$25,0),FALSE))*'Unit Distribution'!$D$3,0)</f>
        <v>0</v>
      </c>
      <c r="AO28" s="14">
        <f>ROUND((VLOOKUP($E28,RLS!$C$32:$BK$36,MATCH(AO$2,RLS!$C$25:$BK$25,0),FALSE))*'Unit Distribution'!$D$3,0)</f>
        <v>0</v>
      </c>
      <c r="AP28" s="14">
        <f>ROUND((VLOOKUP($E28,RLS!$C$32:$BK$36,MATCH(AP$2,RLS!$C$25:$BK$25,0),FALSE))*'Unit Distribution'!$D$3,0)</f>
        <v>0</v>
      </c>
      <c r="AQ28">
        <f>ROUND((VLOOKUP($E28,RLS!$C$32:$BK$36,MATCH(AQ$2,RLS!$C$25:$BK$25,0),FALSE))*'Unit Distribution'!$E$3,0)</f>
        <v>0</v>
      </c>
      <c r="AR28">
        <f>ROUND((VLOOKUP($E28,RLS!$C$32:$BK$36,MATCH(AR$2,RLS!$C$25:$BK$25,0),FALSE))*'Unit Distribution'!$E$3,0)</f>
        <v>0</v>
      </c>
      <c r="AS28">
        <f>ROUND((VLOOKUP($E28,RLS!$C$32:$BK$36,MATCH(AS$2,RLS!$C$25:$BK$25,0),FALSE))*'Unit Distribution'!$E$3,0)</f>
        <v>0</v>
      </c>
      <c r="AT28">
        <f>ROUND((VLOOKUP($E28,RLS!$C$32:$BK$36,MATCH(AT$2,RLS!$C$25:$BK$25,0),FALSE))*'Unit Distribution'!$E$3,0)</f>
        <v>0</v>
      </c>
      <c r="AU28">
        <f>ROUND((VLOOKUP($E28,RLS!$C$32:$BK$36,MATCH(AU$2,RLS!$C$25:$BK$25,0),FALSE))*'Unit Distribution'!$E$3,0)</f>
        <v>0</v>
      </c>
      <c r="AV28">
        <f>ROUND((VLOOKUP($E28,RLS!$C$32:$BK$36,MATCH(AV$2,RLS!$C$25:$BK$25,0),FALSE))*'Unit Distribution'!$E$3,0)</f>
        <v>0</v>
      </c>
      <c r="AW28">
        <f>ROUND((VLOOKUP($E28,RLS!$C$32:$BK$36,MATCH(AW$2,RLS!$C$25:$BK$25,0),FALSE))*'Unit Distribution'!$E$3,0)</f>
        <v>0</v>
      </c>
      <c r="AX28">
        <f>ROUND((VLOOKUP($E28,RLS!$C$32:$BK$36,MATCH(AX$2,RLS!$C$25:$BK$25,0),FALSE))*'Unit Distribution'!$E$3,0)</f>
        <v>0</v>
      </c>
      <c r="AY28">
        <f>ROUND((VLOOKUP($E28,RLS!$C$32:$BK$36,MATCH(AY$2,RLS!$C$25:$BK$25,0),FALSE))*'Unit Distribution'!$E$3,0)</f>
        <v>0</v>
      </c>
      <c r="AZ28">
        <f>ROUND((VLOOKUP($E28,RLS!$C$32:$BK$36,MATCH(AZ$2,RLS!$C$25:$BK$25,0),FALSE))*'Unit Distribution'!$E$3,0)</f>
        <v>0</v>
      </c>
      <c r="BA28">
        <f>ROUND((VLOOKUP($E28,RLS!$C$32:$BK$36,MATCH(BA$2,RLS!$C$25:$BK$25,0),FALSE))*'Unit Distribution'!$E$3,0)</f>
        <v>0</v>
      </c>
      <c r="BB28">
        <f>ROUND((VLOOKUP($E28,RLS!$C$32:$BK$36,MATCH(BB$2,RLS!$C$25:$BK$25,0),FALSE))*'Unit Distribution'!$E$3,0)</f>
        <v>0</v>
      </c>
      <c r="BC28">
        <f>ROUND((VLOOKUP($E28,RLS!$C$32:$BK$36,MATCH(BC$2,RLS!$C$25:$BK$25,0),FALSE))*'Unit Distribution'!$F$3,0)</f>
        <v>0</v>
      </c>
      <c r="BD28">
        <f>ROUND((VLOOKUP($E28,RLS!$C$32:$BK$36,MATCH(BD$2,RLS!$C$25:$BK$25,0),FALSE))*'Unit Distribution'!$F$3,0)</f>
        <v>0</v>
      </c>
      <c r="BE28">
        <f>ROUND((VLOOKUP($E28,RLS!$C$32:$BK$36,MATCH(BE$2,RLS!$C$25:$BK$25,0),FALSE))*'Unit Distribution'!$F$3,0)</f>
        <v>0</v>
      </c>
      <c r="BF28">
        <f>ROUND((VLOOKUP($E28,RLS!$C$32:$BK$36,MATCH(BF$2,RLS!$C$25:$BK$25,0),FALSE))*'Unit Distribution'!$F$3,0)</f>
        <v>0</v>
      </c>
      <c r="BG28">
        <f>ROUND((VLOOKUP($E28,RLS!$C$32:$BK$36,MATCH(BG$2,RLS!$C$25:$BK$25,0),FALSE))*'Unit Distribution'!$F$3,0)</f>
        <v>0</v>
      </c>
      <c r="BH28">
        <f>ROUND((VLOOKUP($E28,RLS!$C$32:$BK$36,MATCH(BH$2,RLS!$C$25:$BK$25,0),FALSE))*'Unit Distribution'!$F$3,0)</f>
        <v>0</v>
      </c>
      <c r="BI28">
        <f>ROUND((VLOOKUP($E28,RLS!$C$32:$BK$36,MATCH(BI$2,RLS!$C$25:$BK$25,0),FALSE))*'Unit Distribution'!$F$3,0)</f>
        <v>0</v>
      </c>
      <c r="BJ28">
        <f>ROUND((VLOOKUP($E28,RLS!$C$32:$BK$36,MATCH(BJ$2,RLS!$C$25:$BK$25,0),FALSE))*'Unit Distribution'!$F$3,0)</f>
        <v>0</v>
      </c>
      <c r="BK28">
        <f>ROUND((VLOOKUP($E28,RLS!$C$32:$BK$36,MATCH(BK$2,RLS!$C$25:$BK$25,0),FALSE))*'Unit Distribution'!$F$3,0)</f>
        <v>0</v>
      </c>
      <c r="BL28">
        <f>ROUND((VLOOKUP($E28,RLS!$C$32:$BK$36,MATCH(BL$2,RLS!$C$25:$BK$25,0),FALSE))*'Unit Distribution'!$F$3,0)</f>
        <v>0</v>
      </c>
      <c r="BM28">
        <f>ROUND((VLOOKUP($E28,RLS!$C$32:$BK$36,MATCH(BM$2,RLS!$C$25:$BK$25,0),FALSE))*'Unit Distribution'!$F$3,0)</f>
        <v>0</v>
      </c>
      <c r="BN28">
        <f>ROUND((VLOOKUP($E28,RLS!$C$32:$BK$36,MATCH(BN$2,RLS!$C$25:$BK$25,0),FALSE))*'Unit Distribution'!$F$3,0)</f>
        <v>0</v>
      </c>
    </row>
    <row r="29" spans="1:66" hidden="1" x14ac:dyDescent="0.35">
      <c r="A29" t="s">
        <v>71</v>
      </c>
      <c r="B29" t="s">
        <v>73</v>
      </c>
      <c r="C29" t="s">
        <v>112</v>
      </c>
      <c r="D29" t="s">
        <v>80</v>
      </c>
      <c r="E29" t="str">
        <f t="shared" si="0"/>
        <v>DevOnsite</v>
      </c>
      <c r="F29" t="s">
        <v>68</v>
      </c>
      <c r="G29" s="14">
        <f>ROUND((VLOOKUP($E29,RLS!$C$32:$BK$36,MATCH(G$2,RLS!$C$25:$BK$25,0),FALSE))*'Unit Distribution'!$B$6,0)</f>
        <v>0</v>
      </c>
      <c r="H29" s="14">
        <f>ROUND((VLOOKUP($E29,RLS!$C$32:$BK$36,MATCH(H$2,RLS!$C$25:$BK$25,0),FALSE))*'Unit Distribution'!$B$6,0)</f>
        <v>0</v>
      </c>
      <c r="I29" s="14">
        <f>ROUND((VLOOKUP($E29,RLS!$C$32:$BK$36,MATCH(I$2,RLS!$C$25:$BK$25,0),FALSE))*'Unit Distribution'!$B$6,0)</f>
        <v>0</v>
      </c>
      <c r="J29" s="14">
        <f>ROUND((VLOOKUP($E29,RLS!$C$32:$BK$36,MATCH(J$2,RLS!$C$25:$BK$25,0),FALSE))*'Unit Distribution'!$B$6,0)</f>
        <v>0</v>
      </c>
      <c r="K29" s="14">
        <f>ROUND((VLOOKUP($E29,RLS!$C$32:$BK$36,MATCH(K$2,RLS!$C$25:$BK$25,0),FALSE))*'Unit Distribution'!$B$6,0)</f>
        <v>0</v>
      </c>
      <c r="L29" s="14">
        <f>ROUND((VLOOKUP($E29,RLS!$C$32:$BK$36,MATCH(L$2,RLS!$C$25:$BK$25,0),FALSE))*'Unit Distribution'!$B$6,0)</f>
        <v>0</v>
      </c>
      <c r="M29" s="14">
        <f>ROUND((VLOOKUP($E29,RLS!$C$32:$BK$36,MATCH(M$2,RLS!$C$25:$BK$25,0),FALSE))*'Unit Distribution'!$B$6,0)</f>
        <v>0</v>
      </c>
      <c r="N29" s="14">
        <f>ROUND((VLOOKUP($E29,RLS!$C$32:$BK$36,MATCH(N$2,RLS!$C$25:$BK$25,0),FALSE))*'Unit Distribution'!$B$6,0)</f>
        <v>0</v>
      </c>
      <c r="O29" s="14">
        <f>ROUND((VLOOKUP($E29,RLS!$C$32:$BK$36,MATCH(O$2,RLS!$C$25:$BK$25,0),FALSE))*'Unit Distribution'!$B$6,0)</f>
        <v>0</v>
      </c>
      <c r="P29" s="14">
        <f>ROUND((VLOOKUP($E29,RLS!$C$32:$BK$36,MATCH(P$2,RLS!$C$25:$BK$25,0),FALSE))*'Unit Distribution'!$B$6,0)</f>
        <v>0</v>
      </c>
      <c r="Q29" s="14">
        <f>ROUND((VLOOKUP($E29,RLS!$C$32:$BK$36,MATCH(Q$2,RLS!$C$25:$BK$25,0),FALSE))*'Unit Distribution'!$B$6,0)</f>
        <v>0</v>
      </c>
      <c r="R29" s="14">
        <f>ROUND((VLOOKUP($E29,RLS!$C$32:$BK$36,MATCH(R$2,RLS!$C$25:$BK$25,0),FALSE))*'Unit Distribution'!$B$6,0)</f>
        <v>0</v>
      </c>
      <c r="S29" s="14">
        <f>ROUND((VLOOKUP($E29,RLS!$C$32:$BK$36,MATCH(S$2,RLS!$C$25:$BK$25,0),FALSE))*'Unit Distribution'!$C$6,0)</f>
        <v>0</v>
      </c>
      <c r="T29" s="14">
        <f>ROUND((VLOOKUP($E29,RLS!$C$32:$BK$36,MATCH(T$2,RLS!$C$25:$BK$25,0),FALSE))*'Unit Distribution'!$C$6,0)</f>
        <v>0</v>
      </c>
      <c r="U29" s="14">
        <f>ROUND((VLOOKUP($E29,RLS!$C$32:$BK$36,MATCH(U$2,RLS!$C$25:$BK$25,0),FALSE))*'Unit Distribution'!$C$6,0)</f>
        <v>0</v>
      </c>
      <c r="V29" s="14">
        <f>ROUND((VLOOKUP($E29,RLS!$C$32:$BK$36,MATCH(V$2,RLS!$C$25:$BK$25,0),FALSE))*'Unit Distribution'!$C$6,0)</f>
        <v>0</v>
      </c>
      <c r="W29" s="14">
        <f>ROUND((VLOOKUP($E29,RLS!$C$32:$BK$36,MATCH(W$2,RLS!$C$25:$BK$25,0),FALSE))*'Unit Distribution'!$C$6,0)</f>
        <v>0</v>
      </c>
      <c r="X29" s="14">
        <f>ROUND((VLOOKUP($E29,RLS!$C$32:$BK$36,MATCH(X$2,RLS!$C$25:$BK$25,0),FALSE))*'Unit Distribution'!$C$6,0)</f>
        <v>0</v>
      </c>
      <c r="Y29" s="14">
        <f>ROUND((VLOOKUP($E29,RLS!$C$32:$BK$36,MATCH(Y$2,RLS!$C$25:$BK$25,0),FALSE))*'Unit Distribution'!$C$6,0)</f>
        <v>0</v>
      </c>
      <c r="Z29" s="14">
        <f>ROUND((VLOOKUP($E29,RLS!$C$32:$BK$36,MATCH(Z$2,RLS!$C$25:$BK$25,0),FALSE))*'Unit Distribution'!$C$6,0)</f>
        <v>0</v>
      </c>
      <c r="AA29" s="14">
        <f>ROUND((VLOOKUP($E29,RLS!$C$32:$BK$36,MATCH(AA$2,RLS!$C$25:$BK$25,0),FALSE))*'Unit Distribution'!$C$6,0)</f>
        <v>0</v>
      </c>
      <c r="AB29" s="14">
        <f>ROUND((VLOOKUP($E29,RLS!$C$32:$BK$36,MATCH(AB$2,RLS!$C$25:$BK$25,0),FALSE))*'Unit Distribution'!$C$6,0)</f>
        <v>0</v>
      </c>
      <c r="AC29" s="14">
        <f>ROUND((VLOOKUP($E29,RLS!$C$32:$BK$36,MATCH(AC$2,RLS!$C$25:$BK$25,0),FALSE))*'Unit Distribution'!$C$6,0)</f>
        <v>0</v>
      </c>
      <c r="AD29" s="14">
        <f>ROUND((VLOOKUP($E29,RLS!$C$32:$BK$36,MATCH(AD$2,RLS!$C$25:$BK$25,0),FALSE))*'Unit Distribution'!$C$6,0)</f>
        <v>0</v>
      </c>
      <c r="AE29" s="14">
        <f>ROUND((VLOOKUP($E29,RLS!$C$32:$BK$36,MATCH(AE$2,RLS!$C$25:$BK$25,0),FALSE))*'Unit Distribution'!$D$6,0)</f>
        <v>0</v>
      </c>
      <c r="AF29" s="14">
        <f>ROUND((VLOOKUP($E29,RLS!$C$32:$BK$36,MATCH(AF$2,RLS!$C$25:$BK$25,0),FALSE))*'Unit Distribution'!$D$6,0)</f>
        <v>0</v>
      </c>
      <c r="AG29" s="14">
        <f>ROUND((VLOOKUP($E29,RLS!$C$32:$BK$36,MATCH(AG$2,RLS!$C$25:$BK$25,0),FALSE))*'Unit Distribution'!$D$6,0)</f>
        <v>0</v>
      </c>
      <c r="AH29" s="14">
        <f>ROUND((VLOOKUP($E29,RLS!$C$32:$BK$36,MATCH(AH$2,RLS!$C$25:$BK$25,0),FALSE))*'Unit Distribution'!$D$6,0)</f>
        <v>0</v>
      </c>
      <c r="AI29" s="14">
        <f>ROUND((VLOOKUP($E29,RLS!$C$32:$BK$36,MATCH(AI$2,RLS!$C$25:$BK$25,0),FALSE))*'Unit Distribution'!$D$6,0)</f>
        <v>0</v>
      </c>
      <c r="AJ29" s="14">
        <f>ROUND((VLOOKUP($E29,RLS!$C$32:$BK$36,MATCH(AJ$2,RLS!$C$25:$BK$25,0),FALSE))*'Unit Distribution'!$D$6,0)</f>
        <v>0</v>
      </c>
      <c r="AK29" s="14">
        <f>ROUND((VLOOKUP($E29,RLS!$C$32:$BK$36,MATCH(AK$2,RLS!$C$25:$BK$25,0),FALSE))*'Unit Distribution'!$D$6,0)</f>
        <v>0</v>
      </c>
      <c r="AL29" s="14">
        <f>ROUND((VLOOKUP($E29,RLS!$C$32:$BK$36,MATCH(AL$2,RLS!$C$25:$BK$25,0),FALSE))*'Unit Distribution'!$D$6,0)</f>
        <v>0</v>
      </c>
      <c r="AM29" s="14">
        <f>ROUND((VLOOKUP($E29,RLS!$C$32:$BK$36,MATCH(AM$2,RLS!$C$25:$BK$25,0),FALSE))*'Unit Distribution'!$D$6,0)</f>
        <v>0</v>
      </c>
      <c r="AN29" s="14">
        <f>ROUND((VLOOKUP($E29,RLS!$C$32:$BK$36,MATCH(AN$2,RLS!$C$25:$BK$25,0),FALSE))*'Unit Distribution'!$D$6,0)</f>
        <v>0</v>
      </c>
      <c r="AO29" s="14">
        <f>ROUND((VLOOKUP($E29,RLS!$C$32:$BK$36,MATCH(AO$2,RLS!$C$25:$BK$25,0),FALSE))*'Unit Distribution'!$D$6,0)</f>
        <v>0</v>
      </c>
      <c r="AP29" s="14">
        <f>ROUND((VLOOKUP($E29,RLS!$C$32:$BK$36,MATCH(AP$2,RLS!$C$25:$BK$25,0),FALSE))*'Unit Distribution'!$D$6,0)</f>
        <v>0</v>
      </c>
      <c r="AQ29">
        <f>(VLOOKUP($E29,RLS!$C$32:$BK$36,MATCH(AQ$2,RLS!$C$25:$BK$25,0),FALSE))-AQ28-AQ30-AQ31</f>
        <v>0</v>
      </c>
      <c r="AR29">
        <f>(VLOOKUP($E29,RLS!$C$32:$BK$36,MATCH(AR$2,RLS!$C$25:$BK$25,0),FALSE))-AR28-AR30-AR31</f>
        <v>0</v>
      </c>
      <c r="AS29">
        <f>(VLOOKUP($E29,RLS!$C$32:$BK$36,MATCH(AS$2,RLS!$C$25:$BK$25,0),FALSE))-AS28-AS30-AS31</f>
        <v>0</v>
      </c>
      <c r="AT29">
        <f>(VLOOKUP($E29,RLS!$C$32:$BK$36,MATCH(AT$2,RLS!$C$25:$BK$25,0),FALSE))-AT28-AT30-AT31</f>
        <v>0</v>
      </c>
      <c r="AU29">
        <f>(VLOOKUP($E29,RLS!$C$32:$BK$36,MATCH(AU$2,RLS!$C$25:$BK$25,0),FALSE))-AU28-AU30-AU31</f>
        <v>0</v>
      </c>
      <c r="AV29">
        <f>(VLOOKUP($E29,RLS!$C$32:$BK$36,MATCH(AV$2,RLS!$C$25:$BK$25,0),FALSE))-AV28-AV30-AV31</f>
        <v>0</v>
      </c>
      <c r="AW29">
        <f>(VLOOKUP($E29,RLS!$C$32:$BK$36,MATCH(AW$2,RLS!$C$25:$BK$25,0),FALSE))-AW28-AW30-AW31</f>
        <v>0</v>
      </c>
      <c r="AX29">
        <f>(VLOOKUP($E29,RLS!$C$32:$BK$36,MATCH(AX$2,RLS!$C$25:$BK$25,0),FALSE))-AX28-AX30-AX31</f>
        <v>0</v>
      </c>
      <c r="AY29">
        <f>(VLOOKUP($E29,RLS!$C$32:$BK$36,MATCH(AY$2,RLS!$C$25:$BK$25,0),FALSE))-AY28-AY30-AY31</f>
        <v>0</v>
      </c>
      <c r="AZ29">
        <f>(VLOOKUP($E29,RLS!$C$32:$BK$36,MATCH(AZ$2,RLS!$C$25:$BK$25,0),FALSE))-AZ28-AZ30-AZ31</f>
        <v>0</v>
      </c>
      <c r="BA29">
        <f>(VLOOKUP($E29,RLS!$C$32:$BK$36,MATCH(BA$2,RLS!$C$25:$BK$25,0),FALSE))-BA28-BA30-BA31</f>
        <v>0</v>
      </c>
      <c r="BB29">
        <f>(VLOOKUP($E29,RLS!$C$32:$BK$36,MATCH(BB$2,RLS!$C$25:$BK$25,0),FALSE))-BB28-BB30-BB31</f>
        <v>0</v>
      </c>
      <c r="BC29">
        <f>(VLOOKUP($E29,RLS!$C$32:$BK$36,MATCH(BC$2,RLS!$C$25:$BK$25,0),FALSE))-BC28-BC30-BC31</f>
        <v>0</v>
      </c>
      <c r="BD29">
        <f>(VLOOKUP($E29,RLS!$C$32:$BK$36,MATCH(BD$2,RLS!$C$25:$BK$25,0),FALSE))-BD28-BD30-BD31</f>
        <v>0</v>
      </c>
      <c r="BE29">
        <f>(VLOOKUP($E29,RLS!$C$32:$BK$36,MATCH(BE$2,RLS!$C$25:$BK$25,0),FALSE))-BE28-BE30-BE31</f>
        <v>0</v>
      </c>
      <c r="BF29">
        <f>(VLOOKUP($E29,RLS!$C$32:$BK$36,MATCH(BF$2,RLS!$C$25:$BK$25,0),FALSE))-BF28-BF30-BF31</f>
        <v>0</v>
      </c>
      <c r="BG29">
        <f>(VLOOKUP($E29,RLS!$C$32:$BK$36,MATCH(BG$2,RLS!$C$25:$BK$25,0),FALSE))-BG28-BG30-BG31</f>
        <v>0</v>
      </c>
      <c r="BH29">
        <f>(VLOOKUP($E29,RLS!$C$32:$BK$36,MATCH(BH$2,RLS!$C$25:$BK$25,0),FALSE))-BH28-BH30-BH31</f>
        <v>0</v>
      </c>
      <c r="BI29">
        <f>(VLOOKUP($E29,RLS!$C$32:$BK$36,MATCH(BI$2,RLS!$C$25:$BK$25,0),FALSE))-BI28-BI30-BI31</f>
        <v>0</v>
      </c>
      <c r="BJ29">
        <f>(VLOOKUP($E29,RLS!$C$32:$BK$36,MATCH(BJ$2,RLS!$C$25:$BK$25,0),FALSE))-BJ28-BJ30-BJ31</f>
        <v>0</v>
      </c>
      <c r="BK29">
        <f>(VLOOKUP($E29,RLS!$C$32:$BK$36,MATCH(BK$2,RLS!$C$25:$BK$25,0),FALSE))-BK28-BK30-BK31</f>
        <v>0</v>
      </c>
      <c r="BL29">
        <f>(VLOOKUP($E29,RLS!$C$32:$BK$36,MATCH(BL$2,RLS!$C$25:$BK$25,0),FALSE))-BL28-BL30-BL31</f>
        <v>0</v>
      </c>
      <c r="BM29">
        <f>(VLOOKUP($E29,RLS!$C$32:$BK$36,MATCH(BM$2,RLS!$C$25:$BK$25,0),FALSE))-BM28-BM30-BM31</f>
        <v>0</v>
      </c>
      <c r="BN29">
        <f>(VLOOKUP($E29,RLS!$C$32:$BK$36,MATCH(BN$2,RLS!$C$25:$BK$25,0),FALSE))-BN28-BN30-BN31</f>
        <v>0</v>
      </c>
    </row>
    <row r="30" spans="1:66" hidden="1" x14ac:dyDescent="0.35">
      <c r="A30" t="s">
        <v>71</v>
      </c>
      <c r="B30" t="s">
        <v>73</v>
      </c>
      <c r="C30" t="s">
        <v>112</v>
      </c>
      <c r="D30" t="s">
        <v>80</v>
      </c>
      <c r="E30" t="str">
        <f t="shared" si="0"/>
        <v>DevOnsite</v>
      </c>
      <c r="F30" t="s">
        <v>70</v>
      </c>
      <c r="G30" s="14">
        <f>ROUND((VLOOKUP($E30,RLS!$C$32:$BK$36,MATCH(G$2,RLS!$C$25:$BK$25,0),FALSE))*'Unit Distribution'!$B$4,0)</f>
        <v>0</v>
      </c>
      <c r="H30" s="14">
        <f>ROUND((VLOOKUP($E30,RLS!$C$32:$BK$36,MATCH(H$2,RLS!$C$25:$BK$25,0),FALSE))*'Unit Distribution'!$B$4,0)</f>
        <v>0</v>
      </c>
      <c r="I30" s="14">
        <f>ROUND((VLOOKUP($E30,RLS!$C$32:$BK$36,MATCH(I$2,RLS!$C$25:$BK$25,0),FALSE))*'Unit Distribution'!$B$4,0)</f>
        <v>0</v>
      </c>
      <c r="J30" s="14">
        <f>ROUND((VLOOKUP($E30,RLS!$C$32:$BK$36,MATCH(J$2,RLS!$C$25:$BK$25,0),FALSE))*'Unit Distribution'!$B$4,0)</f>
        <v>0</v>
      </c>
      <c r="K30" s="14">
        <f>ROUND((VLOOKUP($E30,RLS!$C$32:$BK$36,MATCH(K$2,RLS!$C$25:$BK$25,0),FALSE))*'Unit Distribution'!$B$4,0)</f>
        <v>0</v>
      </c>
      <c r="L30" s="14">
        <f>ROUND((VLOOKUP($E30,RLS!$C$32:$BK$36,MATCH(L$2,RLS!$C$25:$BK$25,0),FALSE))*'Unit Distribution'!$B$4,0)</f>
        <v>0</v>
      </c>
      <c r="M30" s="14">
        <f>ROUND((VLOOKUP($E30,RLS!$C$32:$BK$36,MATCH(M$2,RLS!$C$25:$BK$25,0),FALSE))*'Unit Distribution'!$B$4,0)</f>
        <v>0</v>
      </c>
      <c r="N30" s="14">
        <f>ROUND((VLOOKUP($E30,RLS!$C$32:$BK$36,MATCH(N$2,RLS!$C$25:$BK$25,0),FALSE))*'Unit Distribution'!$B$4,0)</f>
        <v>0</v>
      </c>
      <c r="O30" s="14">
        <f>ROUND((VLOOKUP($E30,RLS!$C$32:$BK$36,MATCH(O$2,RLS!$C$25:$BK$25,0),FALSE))*'Unit Distribution'!$B$4,0)</f>
        <v>0</v>
      </c>
      <c r="P30" s="14">
        <f>ROUND((VLOOKUP($E30,RLS!$C$32:$BK$36,MATCH(P$2,RLS!$C$25:$BK$25,0),FALSE))*'Unit Distribution'!$B$4,0)</f>
        <v>0</v>
      </c>
      <c r="Q30" s="14">
        <f>ROUND((VLOOKUP($E30,RLS!$C$32:$BK$36,MATCH(Q$2,RLS!$C$25:$BK$25,0),FALSE))*'Unit Distribution'!$B$4,0)</f>
        <v>0</v>
      </c>
      <c r="R30" s="14">
        <f>ROUND((VLOOKUP($E30,RLS!$C$32:$BK$36,MATCH(R$2,RLS!$C$25:$BK$25,0),FALSE))*'Unit Distribution'!$B$4,0)</f>
        <v>0</v>
      </c>
      <c r="S30" s="14">
        <f>ROUND((VLOOKUP($E30,RLS!$C$32:$BK$36,MATCH(S$2,RLS!$C$25:$BK$25,0),FALSE))*'Unit Distribution'!$C$4,0)</f>
        <v>0</v>
      </c>
      <c r="T30" s="14">
        <f>ROUND((VLOOKUP($E30,RLS!$C$32:$BK$36,MATCH(T$2,RLS!$C$25:$BK$25,0),FALSE))*'Unit Distribution'!$C$4,0)</f>
        <v>0</v>
      </c>
      <c r="U30" s="14">
        <f>ROUND((VLOOKUP($E30,RLS!$C$32:$BK$36,MATCH(U$2,RLS!$C$25:$BK$25,0),FALSE))*'Unit Distribution'!$C$4,0)</f>
        <v>0</v>
      </c>
      <c r="V30" s="14">
        <f>ROUND((VLOOKUP($E30,RLS!$C$32:$BK$36,MATCH(V$2,RLS!$C$25:$BK$25,0),FALSE))*'Unit Distribution'!$C$4,0)</f>
        <v>0</v>
      </c>
      <c r="W30" s="14">
        <f>ROUND((VLOOKUP($E30,RLS!$C$32:$BK$36,MATCH(W$2,RLS!$C$25:$BK$25,0),FALSE))*'Unit Distribution'!$C$4,0)</f>
        <v>0</v>
      </c>
      <c r="X30" s="14">
        <f>ROUND((VLOOKUP($E30,RLS!$C$32:$BK$36,MATCH(X$2,RLS!$C$25:$BK$25,0),FALSE))*'Unit Distribution'!$C$4,0)</f>
        <v>0</v>
      </c>
      <c r="Y30" s="14">
        <f>ROUND((VLOOKUP($E30,RLS!$C$32:$BK$36,MATCH(Y$2,RLS!$C$25:$BK$25,0),FALSE))*'Unit Distribution'!$C$4,0)</f>
        <v>0</v>
      </c>
      <c r="Z30" s="14">
        <f>ROUND((VLOOKUP($E30,RLS!$C$32:$BK$36,MATCH(Z$2,RLS!$C$25:$BK$25,0),FALSE))*'Unit Distribution'!$C$4,0)</f>
        <v>0</v>
      </c>
      <c r="AA30" s="14">
        <f>ROUND((VLOOKUP($E30,RLS!$C$32:$BK$36,MATCH(AA$2,RLS!$C$25:$BK$25,0),FALSE))*'Unit Distribution'!$C$4,0)</f>
        <v>0</v>
      </c>
      <c r="AB30" s="14">
        <f>ROUND((VLOOKUP($E30,RLS!$C$32:$BK$36,MATCH(AB$2,RLS!$C$25:$BK$25,0),FALSE))*'Unit Distribution'!$C$4,0)</f>
        <v>0</v>
      </c>
      <c r="AC30" s="14">
        <f>ROUND((VLOOKUP($E30,RLS!$C$32:$BK$36,MATCH(AC$2,RLS!$C$25:$BK$25,0),FALSE))*'Unit Distribution'!$C$4,0)</f>
        <v>0</v>
      </c>
      <c r="AD30" s="14">
        <f>ROUND((VLOOKUP($E30,RLS!$C$32:$BK$36,MATCH(AD$2,RLS!$C$25:$BK$25,0),FALSE))*'Unit Distribution'!$C$4,0)</f>
        <v>0</v>
      </c>
      <c r="AE30" s="14">
        <f>ROUND((VLOOKUP($E30,RLS!$C$32:$BK$36,MATCH(AE$2,RLS!$C$25:$BK$25,0),FALSE))*'Unit Distribution'!$D$4,0)</f>
        <v>0</v>
      </c>
      <c r="AF30" s="14">
        <f>ROUND((VLOOKUP($E30,RLS!$C$32:$BK$36,MATCH(AF$2,RLS!$C$25:$BK$25,0),FALSE))*'Unit Distribution'!$D$4,0)</f>
        <v>0</v>
      </c>
      <c r="AG30" s="14">
        <f>ROUND((VLOOKUP($E30,RLS!$C$32:$BK$36,MATCH(AG$2,RLS!$C$25:$BK$25,0),FALSE))*'Unit Distribution'!$D$4,0)</f>
        <v>0</v>
      </c>
      <c r="AH30" s="14">
        <f>ROUND((VLOOKUP($E30,RLS!$C$32:$BK$36,MATCH(AH$2,RLS!$C$25:$BK$25,0),FALSE))*'Unit Distribution'!$D$4,0)</f>
        <v>0</v>
      </c>
      <c r="AI30" s="14">
        <f>ROUND((VLOOKUP($E30,RLS!$C$32:$BK$36,MATCH(AI$2,RLS!$C$25:$BK$25,0),FALSE))*'Unit Distribution'!$D$4,0)</f>
        <v>0</v>
      </c>
      <c r="AJ30" s="14">
        <f>ROUND((VLOOKUP($E30,RLS!$C$32:$BK$36,MATCH(AJ$2,RLS!$C$25:$BK$25,0),FALSE))*'Unit Distribution'!$D$4,0)</f>
        <v>0</v>
      </c>
      <c r="AK30" s="14">
        <f>ROUND((VLOOKUP($E30,RLS!$C$32:$BK$36,MATCH(AK$2,RLS!$C$25:$BK$25,0),FALSE))*'Unit Distribution'!$D$4,0)</f>
        <v>0</v>
      </c>
      <c r="AL30" s="14">
        <f>ROUND((VLOOKUP($E30,RLS!$C$32:$BK$36,MATCH(AL$2,RLS!$C$25:$BK$25,0),FALSE))*'Unit Distribution'!$D$4,0)</f>
        <v>0</v>
      </c>
      <c r="AM30" s="14">
        <f>ROUND((VLOOKUP($E30,RLS!$C$32:$BK$36,MATCH(AM$2,RLS!$C$25:$BK$25,0),FALSE))*'Unit Distribution'!$D$4,0)</f>
        <v>0</v>
      </c>
      <c r="AN30" s="14">
        <f>ROUND((VLOOKUP($E30,RLS!$C$32:$BK$36,MATCH(AN$2,RLS!$C$25:$BK$25,0),FALSE))*'Unit Distribution'!$D$4,0)</f>
        <v>0</v>
      </c>
      <c r="AO30" s="14">
        <f>ROUND((VLOOKUP($E30,RLS!$C$32:$BK$36,MATCH(AO$2,RLS!$C$25:$BK$25,0),FALSE))*'Unit Distribution'!$D$4,0)</f>
        <v>0</v>
      </c>
      <c r="AP30" s="14">
        <f>ROUND((VLOOKUP($E30,RLS!$C$32:$BK$36,MATCH(AP$2,RLS!$C$25:$BK$25,0),FALSE))*'Unit Distribution'!$D$4,0)</f>
        <v>0</v>
      </c>
      <c r="AQ30">
        <f>ROUND((VLOOKUP($E30,RLS!$C$32:$BK$36,MATCH(AQ$2,RLS!$C$25:$BK$25,0),FALSE))*'Unit Distribution'!$E$4,0)</f>
        <v>0</v>
      </c>
      <c r="AR30">
        <f>ROUND((VLOOKUP($E30,RLS!$C$32:$BK$36,MATCH(AR$2,RLS!$C$25:$BK$25,0),FALSE))*'Unit Distribution'!$E$4,0)</f>
        <v>0</v>
      </c>
      <c r="AS30">
        <f>ROUND((VLOOKUP($E30,RLS!$C$32:$BK$36,MATCH(AS$2,RLS!$C$25:$BK$25,0),FALSE))*'Unit Distribution'!$E$4,0)</f>
        <v>0</v>
      </c>
      <c r="AT30">
        <f>ROUND((VLOOKUP($E30,RLS!$C$32:$BK$36,MATCH(AT$2,RLS!$C$25:$BK$25,0),FALSE))*'Unit Distribution'!$E$4,0)</f>
        <v>0</v>
      </c>
      <c r="AU30">
        <f>ROUND((VLOOKUP($E30,RLS!$C$32:$BK$36,MATCH(AU$2,RLS!$C$25:$BK$25,0),FALSE))*'Unit Distribution'!$E$4,0)</f>
        <v>0</v>
      </c>
      <c r="AV30">
        <f>ROUND((VLOOKUP($E30,RLS!$C$32:$BK$36,MATCH(AV$2,RLS!$C$25:$BK$25,0),FALSE))*'Unit Distribution'!$E$4,0)</f>
        <v>0</v>
      </c>
      <c r="AW30">
        <f>ROUND((VLOOKUP($E30,RLS!$C$32:$BK$36,MATCH(AW$2,RLS!$C$25:$BK$25,0),FALSE))*'Unit Distribution'!$E$4,0)</f>
        <v>0</v>
      </c>
      <c r="AX30">
        <f>ROUND((VLOOKUP($E30,RLS!$C$32:$BK$36,MATCH(AX$2,RLS!$C$25:$BK$25,0),FALSE))*'Unit Distribution'!$E$4,0)</f>
        <v>0</v>
      </c>
      <c r="AY30">
        <f>ROUND((VLOOKUP($E30,RLS!$C$32:$BK$36,MATCH(AY$2,RLS!$C$25:$BK$25,0),FALSE))*'Unit Distribution'!$E$4,0)</f>
        <v>0</v>
      </c>
      <c r="AZ30">
        <f>ROUND((VLOOKUP($E30,RLS!$C$32:$BK$36,MATCH(AZ$2,RLS!$C$25:$BK$25,0),FALSE))*'Unit Distribution'!$E$4,0)</f>
        <v>0</v>
      </c>
      <c r="BA30">
        <f>ROUND((VLOOKUP($E30,RLS!$C$32:$BK$36,MATCH(BA$2,RLS!$C$25:$BK$25,0),FALSE))*'Unit Distribution'!$E$4,0)</f>
        <v>0</v>
      </c>
      <c r="BB30">
        <f>ROUND((VLOOKUP($E30,RLS!$C$32:$BK$36,MATCH(BB$2,RLS!$C$25:$BK$25,0),FALSE))*'Unit Distribution'!$E$4,0)</f>
        <v>0</v>
      </c>
      <c r="BC30">
        <f>ROUND((VLOOKUP($E30,RLS!$C$32:$BK$36,MATCH(BC$2,RLS!$C$25:$BK$25,0),FALSE))*'Unit Distribution'!$F$4,0)</f>
        <v>0</v>
      </c>
      <c r="BD30">
        <f>ROUND((VLOOKUP($E30,RLS!$C$32:$BK$36,MATCH(BD$2,RLS!$C$25:$BK$25,0),FALSE))*'Unit Distribution'!$F$4,0)</f>
        <v>0</v>
      </c>
      <c r="BE30">
        <f>ROUND((VLOOKUP($E30,RLS!$C$32:$BK$36,MATCH(BE$2,RLS!$C$25:$BK$25,0),FALSE))*'Unit Distribution'!$F$4,0)</f>
        <v>0</v>
      </c>
      <c r="BF30">
        <f>ROUND((VLOOKUP($E30,RLS!$C$32:$BK$36,MATCH(BF$2,RLS!$C$25:$BK$25,0),FALSE))*'Unit Distribution'!$F$4,0)</f>
        <v>0</v>
      </c>
      <c r="BG30">
        <f>ROUND((VLOOKUP($E30,RLS!$C$32:$BK$36,MATCH(BG$2,RLS!$C$25:$BK$25,0),FALSE))*'Unit Distribution'!$F$4,0)</f>
        <v>0</v>
      </c>
      <c r="BH30">
        <f>ROUND((VLOOKUP($E30,RLS!$C$32:$BK$36,MATCH(BH$2,RLS!$C$25:$BK$25,0),FALSE))*'Unit Distribution'!$F$4,0)</f>
        <v>0</v>
      </c>
      <c r="BI30">
        <f>ROUND((VLOOKUP($E30,RLS!$C$32:$BK$36,MATCH(BI$2,RLS!$C$25:$BK$25,0),FALSE))*'Unit Distribution'!$F$4,0)</f>
        <v>0</v>
      </c>
      <c r="BJ30">
        <f>ROUND((VLOOKUP($E30,RLS!$C$32:$BK$36,MATCH(BJ$2,RLS!$C$25:$BK$25,0),FALSE))*'Unit Distribution'!$F$4,0)</f>
        <v>0</v>
      </c>
      <c r="BK30">
        <f>ROUND((VLOOKUP($E30,RLS!$C$32:$BK$36,MATCH(BK$2,RLS!$C$25:$BK$25,0),FALSE))*'Unit Distribution'!$F$4,0)</f>
        <v>0</v>
      </c>
      <c r="BL30">
        <f>ROUND((VLOOKUP($E30,RLS!$C$32:$BK$36,MATCH(BL$2,RLS!$C$25:$BK$25,0),FALSE))*'Unit Distribution'!$F$4,0)</f>
        <v>0</v>
      </c>
      <c r="BM30">
        <f>ROUND((VLOOKUP($E30,RLS!$C$32:$BK$36,MATCH(BM$2,RLS!$C$25:$BK$25,0),FALSE))*'Unit Distribution'!$F$4,0)</f>
        <v>0</v>
      </c>
      <c r="BN30">
        <f>ROUND((VLOOKUP($E30,RLS!$C$32:$BK$36,MATCH(BN$2,RLS!$C$25:$BK$25,0),FALSE))*'Unit Distribution'!$F$4,0)</f>
        <v>0</v>
      </c>
    </row>
    <row r="31" spans="1:66" hidden="1" x14ac:dyDescent="0.35">
      <c r="A31" t="s">
        <v>71</v>
      </c>
      <c r="B31" t="s">
        <v>66</v>
      </c>
      <c r="C31" t="s">
        <v>112</v>
      </c>
      <c r="D31" t="s">
        <v>80</v>
      </c>
      <c r="E31" t="str">
        <f t="shared" si="0"/>
        <v>DevOnsite</v>
      </c>
      <c r="F31" t="s">
        <v>70</v>
      </c>
      <c r="G31" s="14">
        <f>(VLOOKUP($E31,RLS!$C$32:$BK$36,MATCH(G$2,RLS!$C$25:$BK$25,0),FALSE))-G28-G29-G30</f>
        <v>0</v>
      </c>
      <c r="H31" s="14">
        <f>(VLOOKUP($E31,RLS!$C$32:$BK$36,MATCH(H$2,RLS!$C$25:$BK$25,0),FALSE))-H28-H29-H30</f>
        <v>0</v>
      </c>
      <c r="I31" s="14">
        <f>(VLOOKUP($E31,RLS!$C$32:$BK$36,MATCH(I$2,RLS!$C$25:$BK$25,0),FALSE))-I28-I29-I30</f>
        <v>0</v>
      </c>
      <c r="J31" s="14">
        <f>(VLOOKUP($E31,RLS!$C$32:$BK$36,MATCH(J$2,RLS!$C$25:$BK$25,0),FALSE))-J28-J29-J30</f>
        <v>0</v>
      </c>
      <c r="K31" s="14">
        <f>(VLOOKUP($E31,RLS!$C$32:$BK$36,MATCH(K$2,RLS!$C$25:$BK$25,0),FALSE))-K28-K29-K30</f>
        <v>0</v>
      </c>
      <c r="L31" s="14">
        <f>(VLOOKUP($E31,RLS!$C$32:$BK$36,MATCH(L$2,RLS!$C$25:$BK$25,0),FALSE))-L28-L29-L30</f>
        <v>0</v>
      </c>
      <c r="M31" s="14">
        <f>(VLOOKUP($E31,RLS!$C$32:$BK$36,MATCH(M$2,RLS!$C$25:$BK$25,0),FALSE))-M28-M29-M30</f>
        <v>0</v>
      </c>
      <c r="N31" s="14">
        <f>(VLOOKUP($E31,RLS!$C$32:$BK$36,MATCH(N$2,RLS!$C$25:$BK$25,0),FALSE))-N28-N29-N30</f>
        <v>0</v>
      </c>
      <c r="O31" s="14">
        <f>(VLOOKUP($E31,RLS!$C$32:$BK$36,MATCH(O$2,RLS!$C$25:$BK$25,0),FALSE))-O28-O29-O30</f>
        <v>0</v>
      </c>
      <c r="P31" s="14">
        <f>(VLOOKUP($E31,RLS!$C$32:$BK$36,MATCH(P$2,RLS!$C$25:$BK$25,0),FALSE))-P28-P29-P30</f>
        <v>0</v>
      </c>
      <c r="Q31" s="14">
        <f>(VLOOKUP($E31,RLS!$C$32:$BK$36,MATCH(Q$2,RLS!$C$25:$BK$25,0),FALSE))-Q28-Q29-Q30</f>
        <v>0</v>
      </c>
      <c r="R31" s="14">
        <f>(VLOOKUP($E31,RLS!$C$32:$BK$36,MATCH(R$2,RLS!$C$25:$BK$25,0),FALSE))-R28-R29-R30</f>
        <v>0</v>
      </c>
      <c r="S31" s="14">
        <f>(VLOOKUP($E31,RLS!$C$32:$BK$36,MATCH(S$2,RLS!$C$25:$BK$25,0),FALSE))-S28-S29-S30</f>
        <v>0</v>
      </c>
      <c r="T31" s="14">
        <f>(VLOOKUP($E31,RLS!$C$32:$BK$36,MATCH(T$2,RLS!$C$25:$BK$25,0),FALSE))-T28-T29-T30</f>
        <v>0</v>
      </c>
      <c r="U31" s="14">
        <f>(VLOOKUP($E31,RLS!$C$32:$BK$36,MATCH(U$2,RLS!$C$25:$BK$25,0),FALSE))-U28-U29-U30</f>
        <v>0</v>
      </c>
      <c r="V31" s="14">
        <f>(VLOOKUP($E31,RLS!$C$32:$BK$36,MATCH(V$2,RLS!$C$25:$BK$25,0),FALSE))-V28-V29-V30</f>
        <v>0</v>
      </c>
      <c r="W31" s="14">
        <f>(VLOOKUP($E31,RLS!$C$32:$BK$36,MATCH(W$2,RLS!$C$25:$BK$25,0),FALSE))-W28-W29-W30</f>
        <v>0</v>
      </c>
      <c r="X31" s="14">
        <f>(VLOOKUP($E31,RLS!$C$32:$BK$36,MATCH(X$2,RLS!$C$25:$BK$25,0),FALSE))-X28-X29-X30</f>
        <v>0</v>
      </c>
      <c r="Y31" s="14">
        <f>(VLOOKUP($E31,RLS!$C$32:$BK$36,MATCH(Y$2,RLS!$C$25:$BK$25,0),FALSE))-Y28-Y29-Y30</f>
        <v>0</v>
      </c>
      <c r="Z31" s="14">
        <f>(VLOOKUP($E31,RLS!$C$32:$BK$36,MATCH(Z$2,RLS!$C$25:$BK$25,0),FALSE))-Z28-Z29-Z30</f>
        <v>0</v>
      </c>
      <c r="AA31" s="14">
        <f>(VLOOKUP($E31,RLS!$C$32:$BK$36,MATCH(AA$2,RLS!$C$25:$BK$25,0),FALSE))-AA28-AA29-AA30</f>
        <v>0</v>
      </c>
      <c r="AB31" s="14">
        <f>(VLOOKUP($E31,RLS!$C$32:$BK$36,MATCH(AB$2,RLS!$C$25:$BK$25,0),FALSE))-AB28-AB29-AB30</f>
        <v>0</v>
      </c>
      <c r="AC31" s="14">
        <f>(VLOOKUP($E31,RLS!$C$32:$BK$36,MATCH(AC$2,RLS!$C$25:$BK$25,0),FALSE))-AC28-AC29-AC30</f>
        <v>0</v>
      </c>
      <c r="AD31" s="14">
        <f>(VLOOKUP($E31,RLS!$C$32:$BK$36,MATCH(AD$2,RLS!$C$25:$BK$25,0),FALSE))-AD28-AD29-AD30</f>
        <v>0</v>
      </c>
      <c r="AE31" s="14">
        <f>(VLOOKUP($E31,RLS!$C$32:$BK$36,MATCH(AE$2,RLS!$C$25:$BK$25,0),FALSE))-AE28-AE29-AE30</f>
        <v>0</v>
      </c>
      <c r="AF31" s="14">
        <f>(VLOOKUP($E31,RLS!$C$32:$BK$36,MATCH(AF$2,RLS!$C$25:$BK$25,0),FALSE))-AF28-AF29-AF30</f>
        <v>0</v>
      </c>
      <c r="AG31" s="14">
        <f>(VLOOKUP($E31,RLS!$C$32:$BK$36,MATCH(AG$2,RLS!$C$25:$BK$25,0),FALSE))-AG28-AG29-AG30</f>
        <v>0</v>
      </c>
      <c r="AH31" s="14">
        <f>(VLOOKUP($E31,RLS!$C$32:$BK$36,MATCH(AH$2,RLS!$C$25:$BK$25,0),FALSE))-AH28-AH29-AH30</f>
        <v>0</v>
      </c>
      <c r="AI31" s="14">
        <f>(VLOOKUP($E31,RLS!$C$32:$BK$36,MATCH(AI$2,RLS!$C$25:$BK$25,0),FALSE))-AI28-AI29-AI30</f>
        <v>0</v>
      </c>
      <c r="AJ31" s="14">
        <f>(VLOOKUP($E31,RLS!$C$32:$BK$36,MATCH(AJ$2,RLS!$C$25:$BK$25,0),FALSE))-AJ28-AJ29-AJ30</f>
        <v>0</v>
      </c>
      <c r="AK31" s="14">
        <f>(VLOOKUP($E31,RLS!$C$32:$BK$36,MATCH(AK$2,RLS!$C$25:$BK$25,0),FALSE))-AK28-AK29-AK30</f>
        <v>0</v>
      </c>
      <c r="AL31" s="14">
        <f>(VLOOKUP($E31,RLS!$C$32:$BK$36,MATCH(AL$2,RLS!$C$25:$BK$25,0),FALSE))-AL28-AL29-AL30</f>
        <v>0</v>
      </c>
      <c r="AM31" s="14">
        <f>(VLOOKUP($E31,RLS!$C$32:$BK$36,MATCH(AM$2,RLS!$C$25:$BK$25,0),FALSE))-AM28-AM29-AM30</f>
        <v>0</v>
      </c>
      <c r="AN31" s="14">
        <f>(VLOOKUP($E31,RLS!$C$32:$BK$36,MATCH(AN$2,RLS!$C$25:$BK$25,0),FALSE))-AN28-AN29-AN30</f>
        <v>0</v>
      </c>
      <c r="AO31" s="14">
        <f>(VLOOKUP($E31,RLS!$C$32:$BK$36,MATCH(AO$2,RLS!$C$25:$BK$25,0),FALSE))-AO28-AO29-AO30</f>
        <v>0</v>
      </c>
      <c r="AP31" s="14">
        <f>(VLOOKUP($E31,RLS!$C$32:$BK$36,MATCH(AP$2,RLS!$C$25:$BK$25,0),FALSE))-AP28-AP29-AP30</f>
        <v>0</v>
      </c>
      <c r="AQ31">
        <f>ROUND((VLOOKUP($E31,RLS!$C$32:$BK$36,MATCH(AQ$2,RLS!$C$25:$BK$25,0),FALSE))*'Unit Distribution'!$E$5,0)</f>
        <v>0</v>
      </c>
      <c r="AR31">
        <f>ROUND((VLOOKUP($E31,RLS!$C$32:$BK$36,MATCH(AR$2,RLS!$C$25:$BK$25,0),FALSE))*'Unit Distribution'!$E$5,0)</f>
        <v>0</v>
      </c>
      <c r="AS31">
        <f>ROUND((VLOOKUP($E31,RLS!$C$32:$BK$36,MATCH(AS$2,RLS!$C$25:$BK$25,0),FALSE))*'Unit Distribution'!$E$5,0)</f>
        <v>0</v>
      </c>
      <c r="AT31">
        <f>ROUND((VLOOKUP($E31,RLS!$C$32:$BK$36,MATCH(AT$2,RLS!$C$25:$BK$25,0),FALSE))*'Unit Distribution'!$E$5,0)</f>
        <v>0</v>
      </c>
      <c r="AU31">
        <f>ROUND((VLOOKUP($E31,RLS!$C$32:$BK$36,MATCH(AU$2,RLS!$C$25:$BK$25,0),FALSE))*'Unit Distribution'!$E$5,0)</f>
        <v>0</v>
      </c>
      <c r="AV31">
        <f>ROUND((VLOOKUP($E31,RLS!$C$32:$BK$36,MATCH(AV$2,RLS!$C$25:$BK$25,0),FALSE))*'Unit Distribution'!$E$5,0)</f>
        <v>0</v>
      </c>
      <c r="AW31">
        <f>ROUND((VLOOKUP($E31,RLS!$C$32:$BK$36,MATCH(AW$2,RLS!$C$25:$BK$25,0),FALSE))*'Unit Distribution'!$E$5,0)</f>
        <v>0</v>
      </c>
      <c r="AX31">
        <f>ROUND((VLOOKUP($E31,RLS!$C$32:$BK$36,MATCH(AX$2,RLS!$C$25:$BK$25,0),FALSE))*'Unit Distribution'!$E$5,0)</f>
        <v>0</v>
      </c>
      <c r="AY31">
        <f>ROUND((VLOOKUP($E31,RLS!$C$32:$BK$36,MATCH(AY$2,RLS!$C$25:$BK$25,0),FALSE))*'Unit Distribution'!$E$5,0)</f>
        <v>0</v>
      </c>
      <c r="AZ31">
        <f>ROUND((VLOOKUP($E31,RLS!$C$32:$BK$36,MATCH(AZ$2,RLS!$C$25:$BK$25,0),FALSE))*'Unit Distribution'!$E$5,0)</f>
        <v>0</v>
      </c>
      <c r="BA31">
        <f>ROUND((VLOOKUP($E31,RLS!$C$32:$BK$36,MATCH(BA$2,RLS!$C$25:$BK$25,0),FALSE))*'Unit Distribution'!$E$5,0)</f>
        <v>0</v>
      </c>
      <c r="BB31">
        <f>ROUND((VLOOKUP($E31,RLS!$C$32:$BK$36,MATCH(BB$2,RLS!$C$25:$BK$25,0),FALSE))*'Unit Distribution'!$E$5,0)</f>
        <v>0</v>
      </c>
      <c r="BC31">
        <f>ROUND((VLOOKUP($E31,RLS!$C$32:$BK$36,MATCH(BC$2,RLS!$C$25:$BK$25,0),FALSE))*'Unit Distribution'!$F$5,0)</f>
        <v>0</v>
      </c>
      <c r="BD31">
        <f>ROUND((VLOOKUP($E31,RLS!$C$32:$BK$36,MATCH(BD$2,RLS!$C$25:$BK$25,0),FALSE))*'Unit Distribution'!$F$5,0)</f>
        <v>0</v>
      </c>
      <c r="BE31">
        <f>ROUND((VLOOKUP($E31,RLS!$C$32:$BK$36,MATCH(BE$2,RLS!$C$25:$BK$25,0),FALSE))*'Unit Distribution'!$F$5,0)</f>
        <v>0</v>
      </c>
      <c r="BF31">
        <f>ROUND((VLOOKUP($E31,RLS!$C$32:$BK$36,MATCH(BF$2,RLS!$C$25:$BK$25,0),FALSE))*'Unit Distribution'!$F$5,0)</f>
        <v>0</v>
      </c>
      <c r="BG31">
        <f>ROUND((VLOOKUP($E31,RLS!$C$32:$BK$36,MATCH(BG$2,RLS!$C$25:$BK$25,0),FALSE))*'Unit Distribution'!$F$5,0)</f>
        <v>0</v>
      </c>
      <c r="BH31">
        <f>ROUND((VLOOKUP($E31,RLS!$C$32:$BK$36,MATCH(BH$2,RLS!$C$25:$BK$25,0),FALSE))*'Unit Distribution'!$F$5,0)</f>
        <v>0</v>
      </c>
      <c r="BI31">
        <f>ROUND((VLOOKUP($E31,RLS!$C$32:$BK$36,MATCH(BI$2,RLS!$C$25:$BK$25,0),FALSE))*'Unit Distribution'!$F$5,0)</f>
        <v>0</v>
      </c>
      <c r="BJ31">
        <f>ROUND((VLOOKUP($E31,RLS!$C$32:$BK$36,MATCH(BJ$2,RLS!$C$25:$BK$25,0),FALSE))*'Unit Distribution'!$F$5,0)</f>
        <v>0</v>
      </c>
      <c r="BK31">
        <f>ROUND((VLOOKUP($E31,RLS!$C$32:$BK$36,MATCH(BK$2,RLS!$C$25:$BK$25,0),FALSE))*'Unit Distribution'!$F$5,0)</f>
        <v>0</v>
      </c>
      <c r="BL31">
        <f>ROUND((VLOOKUP($E31,RLS!$C$32:$BK$36,MATCH(BL$2,RLS!$C$25:$BK$25,0),FALSE))*'Unit Distribution'!$F$5,0)</f>
        <v>0</v>
      </c>
      <c r="BM31">
        <f>ROUND((VLOOKUP($E31,RLS!$C$32:$BK$36,MATCH(BM$2,RLS!$C$25:$BK$25,0),FALSE))*'Unit Distribution'!$F$5,0)</f>
        <v>0</v>
      </c>
      <c r="BN31">
        <f>ROUND((VLOOKUP($E31,RLS!$C$32:$BK$36,MATCH(BN$2,RLS!$C$25:$BK$25,0),FALSE))*'Unit Distribution'!$F$5,0)</f>
        <v>0</v>
      </c>
    </row>
    <row r="32" spans="1:66" x14ac:dyDescent="0.35">
      <c r="A32" t="s">
        <v>72</v>
      </c>
      <c r="B32" t="s">
        <v>69</v>
      </c>
      <c r="C32" t="s">
        <v>112</v>
      </c>
      <c r="D32" t="s">
        <v>80</v>
      </c>
      <c r="E32" t="str">
        <f t="shared" si="0"/>
        <v>TesterOnsite</v>
      </c>
      <c r="F32" t="s">
        <v>68</v>
      </c>
      <c r="G32" s="14">
        <f>MIN(1,(ROUND((VLOOKUP($E32,RLS!$C$32:$BK$36,MATCH(G$2,RLS!$C$25:$BK$25,0),FALSE)-G$40)*'Unit Distribution'!$B$3,0)))</f>
        <v>1</v>
      </c>
      <c r="H32" s="14">
        <f>MIN(1,(ROUND((VLOOKUP($E32,RLS!$C$32:$BK$36,MATCH(H$2,RLS!$C$25:$BK$25,0),FALSE)-H$40)*'Unit Distribution'!$B$3,0)))</f>
        <v>1</v>
      </c>
      <c r="I32" s="14">
        <f>MIN(1,(ROUND((VLOOKUP($E32,RLS!$C$32:$BK$36,MATCH(I$2,RLS!$C$25:$BK$25,0),FALSE)-I$40)*'Unit Distribution'!$B$3,0)))</f>
        <v>1</v>
      </c>
      <c r="J32" s="14">
        <f>MIN(1,(ROUND((VLOOKUP($E32,RLS!$C$32:$BK$36,MATCH(J$2,RLS!$C$25:$BK$25,0),FALSE)-J$40)*'Unit Distribution'!$B$3,0)))</f>
        <v>1</v>
      </c>
      <c r="K32" s="14">
        <f>MIN(1,(ROUND((VLOOKUP($E32,RLS!$C$32:$BK$36,MATCH(K$2,RLS!$C$25:$BK$25,0),FALSE)-K$40)*'Unit Distribution'!$B$3,0)))</f>
        <v>1</v>
      </c>
      <c r="L32" s="14">
        <f>MIN(1,(ROUND((VLOOKUP($E32,RLS!$C$32:$BK$36,MATCH(L$2,RLS!$C$25:$BK$25,0),FALSE)-L$40)*'Unit Distribution'!$B$3,0)))</f>
        <v>1</v>
      </c>
      <c r="M32" s="14">
        <f>MIN(1,(ROUND((VLOOKUP($E32,RLS!$C$32:$BK$36,MATCH(M$2,RLS!$C$25:$BK$25,0),FALSE)-M$40)*'Unit Distribution'!$B$3,0)))</f>
        <v>1</v>
      </c>
      <c r="N32" s="14">
        <f>MIN(1,(ROUND((VLOOKUP($E32,RLS!$C$32:$BK$36,MATCH(N$2,RLS!$C$25:$BK$25,0),FALSE)-N$40)*'Unit Distribution'!$B$3,0)))</f>
        <v>1</v>
      </c>
      <c r="O32" s="14">
        <f>MIN(1,(ROUND((VLOOKUP($E32,RLS!$C$32:$BK$36,MATCH(O$2,RLS!$C$25:$BK$25,0),FALSE)-O$40)*'Unit Distribution'!$B$3,0)))</f>
        <v>1</v>
      </c>
      <c r="P32" s="14">
        <f>MIN(1,(ROUND((VLOOKUP($E32,RLS!$C$32:$BK$36,MATCH(P$2,RLS!$C$25:$BK$25,0),FALSE)-P$40)*'Unit Distribution'!$B$3,0)))</f>
        <v>1</v>
      </c>
      <c r="Q32" s="14">
        <f>MIN(1,(ROUND((VLOOKUP($E32,RLS!$C$32:$BK$36,MATCH(Q$2,RLS!$C$25:$BK$25,0),FALSE)-Q$40)*'Unit Distribution'!$B$3,0)))</f>
        <v>1</v>
      </c>
      <c r="R32" s="14">
        <f>MIN(1,(ROUND((VLOOKUP($E32,RLS!$C$32:$BK$36,MATCH(R$2,RLS!$C$25:$BK$25,0),FALSE)-R$40)*'Unit Distribution'!$B$3,0)))</f>
        <v>1</v>
      </c>
      <c r="S32" s="14">
        <f>MIN(0,(ROUND((VLOOKUP($E32,RLS!$C$32:$BK$36,MATCH(S$2,RLS!$C$25:$BK$25,0),FALSE)-S$40)*'Unit Distribution'!$C$3,0)))</f>
        <v>0</v>
      </c>
      <c r="T32" s="14">
        <f>MIN(0,(ROUND((VLOOKUP($E32,RLS!$C$32:$BK$36,MATCH(T$2,RLS!$C$25:$BK$25,0),FALSE)-T$40)*'Unit Distribution'!$C$3,0)))</f>
        <v>0</v>
      </c>
      <c r="U32" s="14">
        <f>MIN(0,(ROUND((VLOOKUP($E32,RLS!$C$32:$BK$36,MATCH(U$2,RLS!$C$25:$BK$25,0),FALSE)-U$40)*'Unit Distribution'!$C$3,0)))</f>
        <v>0</v>
      </c>
      <c r="V32" s="14">
        <f>MIN(0,(ROUND((VLOOKUP($E32,RLS!$C$32:$BK$36,MATCH(V$2,RLS!$C$25:$BK$25,0),FALSE)-V$40)*'Unit Distribution'!$C$3,0)))</f>
        <v>0</v>
      </c>
      <c r="W32" s="14">
        <f>MIN(0,(ROUND((VLOOKUP($E32,RLS!$C$32:$BK$36,MATCH(W$2,RLS!$C$25:$BK$25,0),FALSE)-W$40)*'Unit Distribution'!$C$3,0)))</f>
        <v>0</v>
      </c>
      <c r="X32" s="14">
        <f>MIN(0,(ROUND((VLOOKUP($E32,RLS!$C$32:$BK$36,MATCH(X$2,RLS!$C$25:$BK$25,0),FALSE)-X$40)*'Unit Distribution'!$C$3,0)))</f>
        <v>0</v>
      </c>
      <c r="Y32" s="14">
        <f>MIN(0,(ROUND((VLOOKUP($E32,RLS!$C$32:$BK$36,MATCH(Y$2,RLS!$C$25:$BK$25,0),FALSE)-Y$40)*'Unit Distribution'!$C$3,0)))</f>
        <v>0</v>
      </c>
      <c r="Z32" s="14">
        <f>MIN(0,(ROUND((VLOOKUP($E32,RLS!$C$32:$BK$36,MATCH(Z$2,RLS!$C$25:$BK$25,0),FALSE)-Z$40)*'Unit Distribution'!$C$3,0)))</f>
        <v>0</v>
      </c>
      <c r="AA32" s="14">
        <f>MIN(0,(ROUND((VLOOKUP($E32,RLS!$C$32:$BK$36,MATCH(AA$2,RLS!$C$25:$BK$25,0),FALSE)-AA$40)*'Unit Distribution'!$C$3,0)))</f>
        <v>0</v>
      </c>
      <c r="AB32" s="14">
        <f>MIN(0,(ROUND((VLOOKUP($E32,RLS!$C$32:$BK$36,MATCH(AB$2,RLS!$C$25:$BK$25,0),FALSE)-AB$40)*'Unit Distribution'!$C$3,0)))</f>
        <v>0</v>
      </c>
      <c r="AC32" s="14">
        <f>MIN(0,(ROUND((VLOOKUP($E32,RLS!$C$32:$BK$36,MATCH(AC$2,RLS!$C$25:$BK$25,0),FALSE)-AC$40)*'Unit Distribution'!$C$3,0)))</f>
        <v>0</v>
      </c>
      <c r="AD32" s="14">
        <f>MIN(0,(ROUND((VLOOKUP($E32,RLS!$C$32:$BK$36,MATCH(AD$2,RLS!$C$25:$BK$25,0),FALSE)-AD$40)*'Unit Distribution'!$C$3,0)))</f>
        <v>0</v>
      </c>
      <c r="AE32" s="14">
        <f>MIN(0,(ROUND((VLOOKUP($E32,RLS!$C$32:$BK$36,MATCH(AE$2,RLS!$C$25:$BK$25,0),FALSE)-AE$40)*'Unit Distribution'!$D$3,0)))</f>
        <v>0</v>
      </c>
      <c r="AF32" s="14">
        <f>MIN(0,(ROUND((VLOOKUP($E32,RLS!$C$32:$BK$36,MATCH(AF$2,RLS!$C$25:$BK$25,0),FALSE)-AF$40)*'Unit Distribution'!$D$3,0)))</f>
        <v>0</v>
      </c>
      <c r="AG32" s="14">
        <f>MIN(0,(ROUND((VLOOKUP($E32,RLS!$C$32:$BK$36,MATCH(AG$2,RLS!$C$25:$BK$25,0),FALSE)-AG$40)*'Unit Distribution'!$D$3,0)))</f>
        <v>0</v>
      </c>
      <c r="AH32" s="14">
        <f>MIN(0,(ROUND((VLOOKUP($E32,RLS!$C$32:$BK$36,MATCH(AH$2,RLS!$C$25:$BK$25,0),FALSE)-AH$40)*'Unit Distribution'!$D$3,0)))</f>
        <v>0</v>
      </c>
      <c r="AI32" s="14">
        <f>MIN(0,(ROUND((VLOOKUP($E32,RLS!$C$32:$BK$36,MATCH(AI$2,RLS!$C$25:$BK$25,0),FALSE)-AI$40)*'Unit Distribution'!$D$3,0)))</f>
        <v>0</v>
      </c>
      <c r="AJ32" s="14">
        <f>MIN(0,(ROUND((VLOOKUP($E32,RLS!$C$32:$BK$36,MATCH(AJ$2,RLS!$C$25:$BK$25,0),FALSE)-AJ$40)*'Unit Distribution'!$D$3,0)))</f>
        <v>0</v>
      </c>
      <c r="AK32" s="14">
        <f>MIN(0,(ROUND((VLOOKUP($E32,RLS!$C$32:$BK$36,MATCH(AK$2,RLS!$C$25:$BK$25,0),FALSE)-AK$40)*'Unit Distribution'!$D$3,0)))</f>
        <v>0</v>
      </c>
      <c r="AL32" s="14">
        <f>MIN(0,(ROUND((VLOOKUP($E32,RLS!$C$32:$BK$36,MATCH(AL$2,RLS!$C$25:$BK$25,0),FALSE)-AL$40)*'Unit Distribution'!$D$3,0)))</f>
        <v>0</v>
      </c>
      <c r="AM32" s="14">
        <f>MIN(0,(ROUND((VLOOKUP($E32,RLS!$C$32:$BK$36,MATCH(AM$2,RLS!$C$25:$BK$25,0),FALSE)-AM$40)*'Unit Distribution'!$D$3,0)))</f>
        <v>0</v>
      </c>
      <c r="AN32" s="14">
        <f>MIN(0,(ROUND((VLOOKUP($E32,RLS!$C$32:$BK$36,MATCH(AN$2,RLS!$C$25:$BK$25,0),FALSE)-AN$40)*'Unit Distribution'!$D$3,0)))</f>
        <v>0</v>
      </c>
      <c r="AO32" s="14">
        <f>MIN(0,(ROUND((VLOOKUP($E32,RLS!$C$32:$BK$36,MATCH(AO$2,RLS!$C$25:$BK$25,0),FALSE)-AO$40)*'Unit Distribution'!$D$3,0)))</f>
        <v>0</v>
      </c>
      <c r="AP32" s="14">
        <f>MIN(0,(ROUND((VLOOKUP($E32,RLS!$C$32:$BK$36,MATCH(AP$2,RLS!$C$25:$BK$25,0),FALSE)-AP$40)*'Unit Distribution'!$D$3,0)))</f>
        <v>0</v>
      </c>
      <c r="AQ32">
        <f>MIN(0,(ROUND((VLOOKUP($E32,RLS!$C$32:$BK$36,MATCH(AQ$2,RLS!$C$25:$BK$25,0),FALSE)-AQ$40)*'Unit Distribution'!$E$3,0)))</f>
        <v>0</v>
      </c>
      <c r="AR32">
        <f>MIN(0,(ROUND((VLOOKUP($E32,RLS!$C$32:$BK$36,MATCH(AR$2,RLS!$C$25:$BK$25,0),FALSE)-AR$40)*'Unit Distribution'!$E$3,0)))</f>
        <v>0</v>
      </c>
      <c r="AS32">
        <f>MIN(0,(ROUND((VLOOKUP($E32,RLS!$C$32:$BK$36,MATCH(AS$2,RLS!$C$25:$BK$25,0),FALSE)-AS$40)*'Unit Distribution'!$E$3,0)))</f>
        <v>0</v>
      </c>
      <c r="AT32">
        <f>MIN(0,(ROUND((VLOOKUP($E32,RLS!$C$32:$BK$36,MATCH(AT$2,RLS!$C$25:$BK$25,0),FALSE)-AT$40)*'Unit Distribution'!$E$3,0)))</f>
        <v>0</v>
      </c>
      <c r="AU32">
        <f>MIN(0,(ROUND((VLOOKUP($E32,RLS!$C$32:$BK$36,MATCH(AU$2,RLS!$C$25:$BK$25,0),FALSE)-AU$40)*'Unit Distribution'!$E$3,0)))</f>
        <v>0</v>
      </c>
      <c r="AV32">
        <f>MIN(0,(ROUND((VLOOKUP($E32,RLS!$C$32:$BK$36,MATCH(AV$2,RLS!$C$25:$BK$25,0),FALSE)-AV$40)*'Unit Distribution'!$E$3,0)))</f>
        <v>0</v>
      </c>
      <c r="AW32">
        <f>MIN(0,(ROUND((VLOOKUP($E32,RLS!$C$32:$BK$36,MATCH(AW$2,RLS!$C$25:$BK$25,0),FALSE)-AW$40)*'Unit Distribution'!$E$3,0)))</f>
        <v>0</v>
      </c>
      <c r="AX32">
        <f>MIN(0,(ROUND((VLOOKUP($E32,RLS!$C$32:$BK$36,MATCH(AX$2,RLS!$C$25:$BK$25,0),FALSE)-AX$40)*'Unit Distribution'!$E$3,0)))</f>
        <v>0</v>
      </c>
      <c r="AY32">
        <f>MIN(0,(ROUND((VLOOKUP($E32,RLS!$C$32:$BK$36,MATCH(AY$2,RLS!$C$25:$BK$25,0),FALSE)-AY$40)*'Unit Distribution'!$E$3,0)))</f>
        <v>0</v>
      </c>
      <c r="AZ32">
        <f>MIN(0,(ROUND((VLOOKUP($E32,RLS!$C$32:$BK$36,MATCH(AZ$2,RLS!$C$25:$BK$25,0),FALSE)-AZ$40)*'Unit Distribution'!$E$3,0)))</f>
        <v>0</v>
      </c>
      <c r="BA32">
        <f>MIN(0,(ROUND((VLOOKUP($E32,RLS!$C$32:$BK$36,MATCH(BA$2,RLS!$C$25:$BK$25,0),FALSE)-BA$40)*'Unit Distribution'!$E$3,0)))</f>
        <v>0</v>
      </c>
      <c r="BB32">
        <f>MIN(0,(ROUND((VLOOKUP($E32,RLS!$C$32:$BK$36,MATCH(BB$2,RLS!$C$25:$BK$25,0),FALSE)-BB$40)*'Unit Distribution'!$E$3,0)))</f>
        <v>0</v>
      </c>
      <c r="BC32">
        <f>MIN(0,(ROUND((VLOOKUP($E32,RLS!$C$32:$BK$36,MATCH(BC$2,RLS!$C$25:$BK$25,0),FALSE)-BC$40)*'Unit Distribution'!$F$3,0)))</f>
        <v>0</v>
      </c>
      <c r="BD32">
        <f>MIN(0,(ROUND((VLOOKUP($E32,RLS!$C$32:$BK$36,MATCH(BD$2,RLS!$C$25:$BK$25,0),FALSE)-BD$40)*'Unit Distribution'!$F$3,0)))</f>
        <v>0</v>
      </c>
      <c r="BE32">
        <f>MIN(0,(ROUND((VLOOKUP($E32,RLS!$C$32:$BK$36,MATCH(BE$2,RLS!$C$25:$BK$25,0),FALSE)-BE$40)*'Unit Distribution'!$F$3,0)))</f>
        <v>0</v>
      </c>
      <c r="BF32">
        <f>MIN(0,(ROUND((VLOOKUP($E32,RLS!$C$32:$BK$36,MATCH(BF$2,RLS!$C$25:$BK$25,0),FALSE)-BF$40)*'Unit Distribution'!$F$3,0)))</f>
        <v>0</v>
      </c>
      <c r="BG32">
        <f>MIN(0,(ROUND((VLOOKUP($E32,RLS!$C$32:$BK$36,MATCH(BG$2,RLS!$C$25:$BK$25,0),FALSE)-BG$40)*'Unit Distribution'!$F$3,0)))</f>
        <v>0</v>
      </c>
      <c r="BH32">
        <f>MIN(0,(ROUND((VLOOKUP($E32,RLS!$C$32:$BK$36,MATCH(BH$2,RLS!$C$25:$BK$25,0),FALSE)-BH$40)*'Unit Distribution'!$F$3,0)))</f>
        <v>0</v>
      </c>
      <c r="BI32">
        <f>MIN(0,(ROUND((VLOOKUP($E32,RLS!$C$32:$BK$36,MATCH(BI$2,RLS!$C$25:$BK$25,0),FALSE)-BI$40)*'Unit Distribution'!$F$3,0)))</f>
        <v>0</v>
      </c>
      <c r="BJ32">
        <f>MIN(0,(ROUND((VLOOKUP($E32,RLS!$C$32:$BK$36,MATCH(BJ$2,RLS!$C$25:$BK$25,0),FALSE)-BJ$40)*'Unit Distribution'!$F$3,0)))</f>
        <v>0</v>
      </c>
      <c r="BK32">
        <f>MIN(0,(ROUND((VLOOKUP($E32,RLS!$C$32:$BK$36,MATCH(BK$2,RLS!$C$25:$BK$25,0),FALSE)-BK$40)*'Unit Distribution'!$F$3,0)))</f>
        <v>0</v>
      </c>
      <c r="BL32">
        <f>MIN(0,(ROUND((VLOOKUP($E32,RLS!$C$32:$BK$36,MATCH(BL$2,RLS!$C$25:$BK$25,0),FALSE)-BL$40)*'Unit Distribution'!$F$3,0)))</f>
        <v>0</v>
      </c>
      <c r="BM32">
        <f>MIN(0,(ROUND((VLOOKUP($E32,RLS!$C$32:$BK$36,MATCH(BM$2,RLS!$C$25:$BK$25,0),FALSE)-BM$40)*'Unit Distribution'!$F$3,0)))</f>
        <v>0</v>
      </c>
      <c r="BN32">
        <f>MIN(0,(ROUND((VLOOKUP($E32,RLS!$C$32:$BK$36,MATCH(BN$2,RLS!$C$25:$BK$25,0),FALSE)-BN$40)*'Unit Distribution'!$F$3,0)))</f>
        <v>0</v>
      </c>
    </row>
    <row r="33" spans="1:66" x14ac:dyDescent="0.35">
      <c r="A33" t="s">
        <v>72</v>
      </c>
      <c r="B33" t="s">
        <v>66</v>
      </c>
      <c r="C33" t="s">
        <v>112</v>
      </c>
      <c r="D33" t="s">
        <v>80</v>
      </c>
      <c r="E33" t="str">
        <f t="shared" si="0"/>
        <v>TesterOnsite</v>
      </c>
      <c r="F33" t="s">
        <v>68</v>
      </c>
      <c r="G33" s="14">
        <f>(ROUND((VLOOKUP($E32,RLS!$C$32:$BK$36,MATCH(G$2,RLS!$C$25:$BK$25,0),FALSE)-G$40)*'Unit Distribution'!$B$3,0))-G32</f>
        <v>2</v>
      </c>
      <c r="H33" s="14">
        <f>(ROUND((VLOOKUP($E32,RLS!$C$32:$BK$36,MATCH(H$2,RLS!$C$25:$BK$25,0),FALSE)-H$40)*'Unit Distribution'!$B$3,0))-H32</f>
        <v>2</v>
      </c>
      <c r="I33" s="14">
        <f>(ROUND((VLOOKUP($E32,RLS!$C$32:$BK$36,MATCH(I$2,RLS!$C$25:$BK$25,0),FALSE)-I$40)*'Unit Distribution'!$B$3,0))-I32</f>
        <v>2</v>
      </c>
      <c r="J33" s="14">
        <f>(ROUND((VLOOKUP($E32,RLS!$C$32:$BK$36,MATCH(J$2,RLS!$C$25:$BK$25,0),FALSE)-J$40)*'Unit Distribution'!$B$3,0))-J32</f>
        <v>2</v>
      </c>
      <c r="K33" s="14">
        <f>(ROUND((VLOOKUP($E32,RLS!$C$32:$BK$36,MATCH(K$2,RLS!$C$25:$BK$25,0),FALSE)-K$40)*'Unit Distribution'!$B$3,0))-K32</f>
        <v>2</v>
      </c>
      <c r="L33" s="14">
        <f>(ROUND((VLOOKUP($E32,RLS!$C$32:$BK$36,MATCH(L$2,RLS!$C$25:$BK$25,0),FALSE)-L$40)*'Unit Distribution'!$B$3,0))-L32</f>
        <v>2</v>
      </c>
      <c r="M33" s="14">
        <f>(ROUND((VLOOKUP($E32,RLS!$C$32:$BK$36,MATCH(M$2,RLS!$C$25:$BK$25,0),FALSE)-M$40)*'Unit Distribution'!$B$3,0))-M32</f>
        <v>2</v>
      </c>
      <c r="N33" s="14">
        <f>(ROUND((VLOOKUP($E32,RLS!$C$32:$BK$36,MATCH(N$2,RLS!$C$25:$BK$25,0),FALSE)-N$40)*'Unit Distribution'!$B$3,0))-N32</f>
        <v>2</v>
      </c>
      <c r="O33" s="14">
        <f>(ROUND((VLOOKUP($E32,RLS!$C$32:$BK$36,MATCH(O$2,RLS!$C$25:$BK$25,0),FALSE)-O$40)*'Unit Distribution'!$B$3,0))-O32</f>
        <v>2</v>
      </c>
      <c r="P33" s="14">
        <f>(ROUND((VLOOKUP($E32,RLS!$C$32:$BK$36,MATCH(P$2,RLS!$C$25:$BK$25,0),FALSE)-P$40)*'Unit Distribution'!$B$3,0))-P32</f>
        <v>2</v>
      </c>
      <c r="Q33" s="14">
        <f>(ROUND((VLOOKUP($E32,RLS!$C$32:$BK$36,MATCH(Q$2,RLS!$C$25:$BK$25,0),FALSE)-Q$40)*'Unit Distribution'!$B$3,0))-Q32</f>
        <v>2</v>
      </c>
      <c r="R33" s="14">
        <f>(ROUND((VLOOKUP($E32,RLS!$C$32:$BK$36,MATCH(R$2,RLS!$C$25:$BK$25,0),FALSE)-R$40)*'Unit Distribution'!$B$3,0))-R32</f>
        <v>2</v>
      </c>
      <c r="S33" s="14">
        <f>(ROUND((VLOOKUP($E32,RLS!$C$32:$BK$36,MATCH(S$2,RLS!$C$25:$BK$25,0),FALSE)-S$40)*'Unit Distribution'!$C$3,0))-S32</f>
        <v>2</v>
      </c>
      <c r="T33" s="14">
        <f>(ROUND((VLOOKUP($E32,RLS!$C$32:$BK$36,MATCH(T$2,RLS!$C$25:$BK$25,0),FALSE)-T$40)*'Unit Distribution'!$C$3,0))-T32</f>
        <v>2</v>
      </c>
      <c r="U33" s="14">
        <f>(ROUND((VLOOKUP($E32,RLS!$C$32:$BK$36,MATCH(U$2,RLS!$C$25:$BK$25,0),FALSE)-U$40)*'Unit Distribution'!$C$3,0))-U32</f>
        <v>2</v>
      </c>
      <c r="V33" s="14">
        <f>(ROUND((VLOOKUP($E32,RLS!$C$32:$BK$36,MATCH(V$2,RLS!$C$25:$BK$25,0),FALSE)-V$40)*'Unit Distribution'!$C$3,0))-V32</f>
        <v>2</v>
      </c>
      <c r="W33" s="14">
        <f>(ROUND((VLOOKUP($E32,RLS!$C$32:$BK$36,MATCH(W$2,RLS!$C$25:$BK$25,0),FALSE)-W$40)*'Unit Distribution'!$C$3,0))-W32</f>
        <v>2</v>
      </c>
      <c r="X33" s="14">
        <f>(ROUND((VLOOKUP($E32,RLS!$C$32:$BK$36,MATCH(X$2,RLS!$C$25:$BK$25,0),FALSE)-X$40)*'Unit Distribution'!$C$3,0))-X32</f>
        <v>2</v>
      </c>
      <c r="Y33" s="14">
        <f>(ROUND((VLOOKUP($E32,RLS!$C$32:$BK$36,MATCH(Y$2,RLS!$C$25:$BK$25,0),FALSE)-Y$40)*'Unit Distribution'!$C$3,0))-Y32</f>
        <v>2</v>
      </c>
      <c r="Z33" s="14">
        <f>(ROUND((VLOOKUP($E32,RLS!$C$32:$BK$36,MATCH(Z$2,RLS!$C$25:$BK$25,0),FALSE)-Z$40)*'Unit Distribution'!$C$3,0))-Z32</f>
        <v>2</v>
      </c>
      <c r="AA33" s="14">
        <f>(ROUND((VLOOKUP($E32,RLS!$C$32:$BK$36,MATCH(AA$2,RLS!$C$25:$BK$25,0),FALSE)-AA$40)*'Unit Distribution'!$C$3,0))-AA32</f>
        <v>2</v>
      </c>
      <c r="AB33" s="14">
        <f>(ROUND((VLOOKUP($E32,RLS!$C$32:$BK$36,MATCH(AB$2,RLS!$C$25:$BK$25,0),FALSE)-AB$40)*'Unit Distribution'!$C$3,0))-AB32</f>
        <v>2</v>
      </c>
      <c r="AC33" s="14">
        <f>(ROUND((VLOOKUP($E32,RLS!$C$32:$BK$36,MATCH(AC$2,RLS!$C$25:$BK$25,0),FALSE)-AC$40)*'Unit Distribution'!$C$3,0))-AC32</f>
        <v>2</v>
      </c>
      <c r="AD33" s="14">
        <f>(ROUND((VLOOKUP($E32,RLS!$C$32:$BK$36,MATCH(AD$2,RLS!$C$25:$BK$25,0),FALSE)-AD$40)*'Unit Distribution'!$C$3,0))-AD32</f>
        <v>2</v>
      </c>
      <c r="AE33" s="14">
        <f>(ROUND((VLOOKUP($E32,RLS!$C$32:$BK$36,MATCH(AE$2,RLS!$C$25:$BK$25,0),FALSE)-AE$40)*'Unit Distribution'!$D$3,0))-AE32</f>
        <v>1</v>
      </c>
      <c r="AF33" s="14">
        <f>(ROUND((VLOOKUP($E32,RLS!$C$32:$BK$36,MATCH(AF$2,RLS!$C$25:$BK$25,0),FALSE)-AF$40)*'Unit Distribution'!$D$3,0))-AF32</f>
        <v>1</v>
      </c>
      <c r="AG33" s="14">
        <f>(ROUND((VLOOKUP($E32,RLS!$C$32:$BK$36,MATCH(AG$2,RLS!$C$25:$BK$25,0),FALSE)-AG$40)*'Unit Distribution'!$D$3,0))-AG32</f>
        <v>1</v>
      </c>
      <c r="AH33" s="14">
        <f>(ROUND((VLOOKUP($E32,RLS!$C$32:$BK$36,MATCH(AH$2,RLS!$C$25:$BK$25,0),FALSE)-AH$40)*'Unit Distribution'!$D$3,0))-AH32</f>
        <v>1</v>
      </c>
      <c r="AI33" s="14">
        <f>(ROUND((VLOOKUP($E32,RLS!$C$32:$BK$36,MATCH(AI$2,RLS!$C$25:$BK$25,0),FALSE)-AI$40)*'Unit Distribution'!$D$3,0))-AI32</f>
        <v>1</v>
      </c>
      <c r="AJ33" s="14">
        <f>(ROUND((VLOOKUP($E32,RLS!$C$32:$BK$36,MATCH(AJ$2,RLS!$C$25:$BK$25,0),FALSE)-AJ$40)*'Unit Distribution'!$D$3,0))-AJ32</f>
        <v>1</v>
      </c>
      <c r="AK33" s="14">
        <f>(ROUND((VLOOKUP($E32,RLS!$C$32:$BK$36,MATCH(AK$2,RLS!$C$25:$BK$25,0),FALSE)-AK$40)*'Unit Distribution'!$D$3,0))-AK32</f>
        <v>1</v>
      </c>
      <c r="AL33" s="14">
        <f>(ROUND((VLOOKUP($E32,RLS!$C$32:$BK$36,MATCH(AL$2,RLS!$C$25:$BK$25,0),FALSE)-AL$40)*'Unit Distribution'!$D$3,0))-AL32</f>
        <v>1</v>
      </c>
      <c r="AM33" s="14">
        <f>(ROUND((VLOOKUP($E32,RLS!$C$32:$BK$36,MATCH(AM$2,RLS!$C$25:$BK$25,0),FALSE)-AM$40)*'Unit Distribution'!$D$3,0))-AM32</f>
        <v>1</v>
      </c>
      <c r="AN33" s="14">
        <f>(ROUND((VLOOKUP($E32,RLS!$C$32:$BK$36,MATCH(AN$2,RLS!$C$25:$BK$25,0),FALSE)-AN$40)*'Unit Distribution'!$D$3,0))-AN32</f>
        <v>1</v>
      </c>
      <c r="AO33" s="14">
        <f>(ROUND((VLOOKUP($E32,RLS!$C$32:$BK$36,MATCH(AO$2,RLS!$C$25:$BK$25,0),FALSE)-AO$40)*'Unit Distribution'!$D$3,0))-AO32</f>
        <v>1</v>
      </c>
      <c r="AP33" s="14">
        <f>(ROUND((VLOOKUP($E32,RLS!$C$32:$BK$36,MATCH(AP$2,RLS!$C$25:$BK$25,0),FALSE)-AP$40)*'Unit Distribution'!$D$3,0))-AP32</f>
        <v>1</v>
      </c>
      <c r="AQ33">
        <f>(ROUND((VLOOKUP($E32,RLS!$C$32:$BK$36,MATCH(AQ$2,RLS!$C$25:$BK$25,0),FALSE)-AQ$40)*'Unit Distribution'!$E$3,0))-AQ32</f>
        <v>0</v>
      </c>
      <c r="AR33">
        <f>(ROUND((VLOOKUP($E32,RLS!$C$32:$BK$36,MATCH(AR$2,RLS!$C$25:$BK$25,0),FALSE)-AR$40)*'Unit Distribution'!$E$3,0))-AR32</f>
        <v>0</v>
      </c>
      <c r="AS33">
        <f>(ROUND((VLOOKUP($E32,RLS!$C$32:$BK$36,MATCH(AS$2,RLS!$C$25:$BK$25,0),FALSE)-AS$40)*'Unit Distribution'!$E$3,0))-AS32</f>
        <v>0</v>
      </c>
      <c r="AT33">
        <f>(ROUND((VLOOKUP($E32,RLS!$C$32:$BK$36,MATCH(AT$2,RLS!$C$25:$BK$25,0),FALSE)-AT$40)*'Unit Distribution'!$E$3,0))-AT32</f>
        <v>0</v>
      </c>
      <c r="AU33">
        <f>(ROUND((VLOOKUP($E32,RLS!$C$32:$BK$36,MATCH(AU$2,RLS!$C$25:$BK$25,0),FALSE)-AU$40)*'Unit Distribution'!$E$3,0))-AU32</f>
        <v>0</v>
      </c>
      <c r="AV33">
        <f>(ROUND((VLOOKUP($E32,RLS!$C$32:$BK$36,MATCH(AV$2,RLS!$C$25:$BK$25,0),FALSE)-AV$40)*'Unit Distribution'!$E$3,0))-AV32</f>
        <v>0</v>
      </c>
      <c r="AW33">
        <f>(ROUND((VLOOKUP($E32,RLS!$C$32:$BK$36,MATCH(AW$2,RLS!$C$25:$BK$25,0),FALSE)-AW$40)*'Unit Distribution'!$E$3,0))-AW32</f>
        <v>0</v>
      </c>
      <c r="AX33">
        <f>(ROUND((VLOOKUP($E32,RLS!$C$32:$BK$36,MATCH(AX$2,RLS!$C$25:$BK$25,0),FALSE)-AX$40)*'Unit Distribution'!$E$3,0))-AX32</f>
        <v>0</v>
      </c>
      <c r="AY33">
        <f>(ROUND((VLOOKUP($E32,RLS!$C$32:$BK$36,MATCH(AY$2,RLS!$C$25:$BK$25,0),FALSE)-AY$40)*'Unit Distribution'!$E$3,0))-AY32</f>
        <v>0</v>
      </c>
      <c r="AZ33">
        <f>(ROUND((VLOOKUP($E32,RLS!$C$32:$BK$36,MATCH(AZ$2,RLS!$C$25:$BK$25,0),FALSE)-AZ$40)*'Unit Distribution'!$E$3,0))-AZ32</f>
        <v>0</v>
      </c>
      <c r="BA33">
        <f>(ROUND((VLOOKUP($E32,RLS!$C$32:$BK$36,MATCH(BA$2,RLS!$C$25:$BK$25,0),FALSE)-BA$40)*'Unit Distribution'!$E$3,0))-BA32</f>
        <v>0</v>
      </c>
      <c r="BB33">
        <f>(ROUND((VLOOKUP($E32,RLS!$C$32:$BK$36,MATCH(BB$2,RLS!$C$25:$BK$25,0),FALSE)-BB$40)*'Unit Distribution'!$E$3,0))-BB32</f>
        <v>0</v>
      </c>
      <c r="BC33">
        <f>(ROUND((VLOOKUP($E32,RLS!$C$32:$BK$36,MATCH(BC$2,RLS!$C$25:$BK$25,0),FALSE)-BC$40)*'Unit Distribution'!$F$3,0))-BC32</f>
        <v>0</v>
      </c>
      <c r="BD33">
        <f>(ROUND((VLOOKUP($E32,RLS!$C$32:$BK$36,MATCH(BD$2,RLS!$C$25:$BK$25,0),FALSE)-BD$40)*'Unit Distribution'!$F$3,0))-BD32</f>
        <v>0</v>
      </c>
      <c r="BE33">
        <f>(ROUND((VLOOKUP($E32,RLS!$C$32:$BK$36,MATCH(BE$2,RLS!$C$25:$BK$25,0),FALSE)-BE$40)*'Unit Distribution'!$F$3,0))-BE32</f>
        <v>0</v>
      </c>
      <c r="BF33">
        <f>(ROUND((VLOOKUP($E32,RLS!$C$32:$BK$36,MATCH(BF$2,RLS!$C$25:$BK$25,0),FALSE)-BF$40)*'Unit Distribution'!$F$3,0))-BF32</f>
        <v>0</v>
      </c>
      <c r="BG33">
        <f>(ROUND((VLOOKUP($E32,RLS!$C$32:$BK$36,MATCH(BG$2,RLS!$C$25:$BK$25,0),FALSE)-BG$40)*'Unit Distribution'!$F$3,0))-BG32</f>
        <v>0</v>
      </c>
      <c r="BH33">
        <f>(ROUND((VLOOKUP($E32,RLS!$C$32:$BK$36,MATCH(BH$2,RLS!$C$25:$BK$25,0),FALSE)-BH$40)*'Unit Distribution'!$F$3,0))-BH32</f>
        <v>0</v>
      </c>
      <c r="BI33">
        <f>(ROUND((VLOOKUP($E32,RLS!$C$32:$BK$36,MATCH(BI$2,RLS!$C$25:$BK$25,0),FALSE)-BI$40)*'Unit Distribution'!$F$3,0))-BI32</f>
        <v>0</v>
      </c>
      <c r="BJ33">
        <f>(ROUND((VLOOKUP($E32,RLS!$C$32:$BK$36,MATCH(BJ$2,RLS!$C$25:$BK$25,0),FALSE)-BJ$40)*'Unit Distribution'!$F$3,0))-BJ32</f>
        <v>0</v>
      </c>
      <c r="BK33">
        <f>(ROUND((VLOOKUP($E32,RLS!$C$32:$BK$36,MATCH(BK$2,RLS!$C$25:$BK$25,0),FALSE)-BK$40)*'Unit Distribution'!$F$3,0))-BK32</f>
        <v>0</v>
      </c>
      <c r="BL33">
        <f>(ROUND((VLOOKUP($E32,RLS!$C$32:$BK$36,MATCH(BL$2,RLS!$C$25:$BK$25,0),FALSE)-BL$40)*'Unit Distribution'!$F$3,0))-BL32</f>
        <v>0</v>
      </c>
      <c r="BM33">
        <f>(ROUND((VLOOKUP($E32,RLS!$C$32:$BK$36,MATCH(BM$2,RLS!$C$25:$BK$25,0),FALSE)-BM$40)*'Unit Distribution'!$F$3,0))-BM32</f>
        <v>0</v>
      </c>
      <c r="BN33">
        <f>(ROUND((VLOOKUP($E32,RLS!$C$32:$BK$36,MATCH(BN$2,RLS!$C$25:$BK$25,0),FALSE)-BN$40)*'Unit Distribution'!$F$3,0))-BN32</f>
        <v>0</v>
      </c>
    </row>
    <row r="34" spans="1:66" hidden="1" x14ac:dyDescent="0.35">
      <c r="A34" t="s">
        <v>72</v>
      </c>
      <c r="B34" t="s">
        <v>81</v>
      </c>
      <c r="C34" t="s">
        <v>112</v>
      </c>
      <c r="D34" t="s">
        <v>80</v>
      </c>
      <c r="E34" t="str">
        <f t="shared" si="0"/>
        <v>TesterOnsite</v>
      </c>
      <c r="F34" t="s">
        <v>68</v>
      </c>
      <c r="G34" s="14">
        <f>ROUND((VLOOKUP($E34,RLS!$C$32:$BK$36,MATCH(G$2,RLS!$C$25:$BK$25,0),FALSE)-G$40)*'Unit Distribution'!$B$6,0)</f>
        <v>0</v>
      </c>
      <c r="H34" s="14">
        <f>ROUND((VLOOKUP($E34,RLS!$C$32:$BK$36,MATCH(H$2,RLS!$C$25:$BK$25,0),FALSE)-H$40)*'Unit Distribution'!$B$6,0)</f>
        <v>0</v>
      </c>
      <c r="I34" s="14">
        <f>ROUND((VLOOKUP($E34,RLS!$C$32:$BK$36,MATCH(I$2,RLS!$C$25:$BK$25,0),FALSE)-I$40)*'Unit Distribution'!$B$6,0)</f>
        <v>0</v>
      </c>
      <c r="J34" s="14">
        <f>ROUND((VLOOKUP($E34,RLS!$C$32:$BK$36,MATCH(J$2,RLS!$C$25:$BK$25,0),FALSE)-J$40)*'Unit Distribution'!$B$6,0)</f>
        <v>0</v>
      </c>
      <c r="K34" s="14">
        <f>ROUND((VLOOKUP($E34,RLS!$C$32:$BK$36,MATCH(K$2,RLS!$C$25:$BK$25,0),FALSE)-K$40)*'Unit Distribution'!$B$6,0)</f>
        <v>0</v>
      </c>
      <c r="L34" s="14">
        <f>ROUND((VLOOKUP($E34,RLS!$C$32:$BK$36,MATCH(L$2,RLS!$C$25:$BK$25,0),FALSE)-L$40)*'Unit Distribution'!$B$6,0)</f>
        <v>0</v>
      </c>
      <c r="M34" s="14">
        <f>ROUND((VLOOKUP($E34,RLS!$C$32:$BK$36,MATCH(M$2,RLS!$C$25:$BK$25,0),FALSE)-M$40)*'Unit Distribution'!$B$6,0)</f>
        <v>0</v>
      </c>
      <c r="N34" s="14">
        <f>ROUND((VLOOKUP($E34,RLS!$C$32:$BK$36,MATCH(N$2,RLS!$C$25:$BK$25,0),FALSE)-N$40)*'Unit Distribution'!$B$6,0)</f>
        <v>0</v>
      </c>
      <c r="O34" s="14">
        <f>ROUND((VLOOKUP($E34,RLS!$C$32:$BK$36,MATCH(O$2,RLS!$C$25:$BK$25,0),FALSE)-O$40)*'Unit Distribution'!$B$6,0)</f>
        <v>0</v>
      </c>
      <c r="P34" s="14">
        <f>ROUND((VLOOKUP($E34,RLS!$C$32:$BK$36,MATCH(P$2,RLS!$C$25:$BK$25,0),FALSE)-P$40)*'Unit Distribution'!$B$6,0)</f>
        <v>0</v>
      </c>
      <c r="Q34" s="14">
        <f>ROUND((VLOOKUP($E34,RLS!$C$32:$BK$36,MATCH(Q$2,RLS!$C$25:$BK$25,0),FALSE)-Q$40)*'Unit Distribution'!$B$6,0)</f>
        <v>0</v>
      </c>
      <c r="R34" s="14">
        <f>ROUND((VLOOKUP($E34,RLS!$C$32:$BK$36,MATCH(R$2,RLS!$C$25:$BK$25,0),FALSE)-R$40)*'Unit Distribution'!$B$6,0)</f>
        <v>0</v>
      </c>
      <c r="S34" s="14">
        <f>ROUND((VLOOKUP($E34,RLS!$C$32:$BK$36,MATCH(S$2,RLS!$C$25:$BK$25,0),FALSE)-S$40)*'Unit Distribution'!$C$6,0)</f>
        <v>0</v>
      </c>
      <c r="T34" s="14">
        <f>ROUND((VLOOKUP($E34,RLS!$C$32:$BK$36,MATCH(T$2,RLS!$C$25:$BK$25,0),FALSE)-T$40)*'Unit Distribution'!$C$6,0)</f>
        <v>0</v>
      </c>
      <c r="U34" s="14">
        <f>ROUND((VLOOKUP($E34,RLS!$C$32:$BK$36,MATCH(U$2,RLS!$C$25:$BK$25,0),FALSE)-U$40)*'Unit Distribution'!$C$6,0)</f>
        <v>0</v>
      </c>
      <c r="V34" s="14">
        <f>ROUND((VLOOKUP($E34,RLS!$C$32:$BK$36,MATCH(V$2,RLS!$C$25:$BK$25,0),FALSE)-V$40)*'Unit Distribution'!$C$6,0)</f>
        <v>0</v>
      </c>
      <c r="W34" s="14">
        <f>ROUND((VLOOKUP($E34,RLS!$C$32:$BK$36,MATCH(W$2,RLS!$C$25:$BK$25,0),FALSE)-W$40)*'Unit Distribution'!$C$6,0)</f>
        <v>0</v>
      </c>
      <c r="X34" s="14">
        <f>ROUND((VLOOKUP($E34,RLS!$C$32:$BK$36,MATCH(X$2,RLS!$C$25:$BK$25,0),FALSE)-X$40)*'Unit Distribution'!$C$6,0)</f>
        <v>0</v>
      </c>
      <c r="Y34" s="14">
        <f>ROUND((VLOOKUP($E34,RLS!$C$32:$BK$36,MATCH(Y$2,RLS!$C$25:$BK$25,0),FALSE)-Y$40)*'Unit Distribution'!$C$6,0)</f>
        <v>0</v>
      </c>
      <c r="Z34" s="14">
        <f>ROUND((VLOOKUP($E34,RLS!$C$32:$BK$36,MATCH(Z$2,RLS!$C$25:$BK$25,0),FALSE)-Z$40)*'Unit Distribution'!$C$6,0)</f>
        <v>0</v>
      </c>
      <c r="AA34" s="14">
        <f>ROUND((VLOOKUP($E34,RLS!$C$32:$BK$36,MATCH(AA$2,RLS!$C$25:$BK$25,0),FALSE)-AA$40)*'Unit Distribution'!$C$6,0)</f>
        <v>0</v>
      </c>
      <c r="AB34" s="14">
        <f>ROUND((VLOOKUP($E34,RLS!$C$32:$BK$36,MATCH(AB$2,RLS!$C$25:$BK$25,0),FALSE)-AB$40)*'Unit Distribution'!$C$6,0)</f>
        <v>0</v>
      </c>
      <c r="AC34" s="14">
        <f>ROUND((VLOOKUP($E34,RLS!$C$32:$BK$36,MATCH(AC$2,RLS!$C$25:$BK$25,0),FALSE)-AC$40)*'Unit Distribution'!$C$6,0)</f>
        <v>0</v>
      </c>
      <c r="AD34" s="14">
        <f>ROUND((VLOOKUP($E34,RLS!$C$32:$BK$36,MATCH(AD$2,RLS!$C$25:$BK$25,0),FALSE)-AD$40)*'Unit Distribution'!$C$6,0)</f>
        <v>0</v>
      </c>
      <c r="AE34" s="14">
        <f>ROUND((VLOOKUP($E34,RLS!$C$32:$BK$36,MATCH(AE$2,RLS!$C$25:$BK$25,0),FALSE)-AE$40)*'Unit Distribution'!$D$6,0)</f>
        <v>0</v>
      </c>
      <c r="AF34" s="14">
        <f>ROUND((VLOOKUP($E34,RLS!$C$32:$BK$36,MATCH(AF$2,RLS!$C$25:$BK$25,0),FALSE)-AF$40)*'Unit Distribution'!$D$6,0)</f>
        <v>0</v>
      </c>
      <c r="AG34" s="14">
        <f>ROUND((VLOOKUP($E34,RLS!$C$32:$BK$36,MATCH(AG$2,RLS!$C$25:$BK$25,0),FALSE)-AG$40)*'Unit Distribution'!$D$6,0)</f>
        <v>0</v>
      </c>
      <c r="AH34" s="14">
        <f>ROUND((VLOOKUP($E34,RLS!$C$32:$BK$36,MATCH(AH$2,RLS!$C$25:$BK$25,0),FALSE)-AH$40)*'Unit Distribution'!$D$6,0)</f>
        <v>0</v>
      </c>
      <c r="AI34" s="14">
        <f>ROUND((VLOOKUP($E34,RLS!$C$32:$BK$36,MATCH(AI$2,RLS!$C$25:$BK$25,0),FALSE)-AI$40)*'Unit Distribution'!$D$6,0)</f>
        <v>0</v>
      </c>
      <c r="AJ34" s="14">
        <f>ROUND((VLOOKUP($E34,RLS!$C$32:$BK$36,MATCH(AJ$2,RLS!$C$25:$BK$25,0),FALSE)-AJ$40)*'Unit Distribution'!$D$6,0)</f>
        <v>0</v>
      </c>
      <c r="AK34" s="14">
        <f>ROUND((VLOOKUP($E34,RLS!$C$32:$BK$36,MATCH(AK$2,RLS!$C$25:$BK$25,0),FALSE)-AK$40)*'Unit Distribution'!$D$6,0)</f>
        <v>0</v>
      </c>
      <c r="AL34" s="14">
        <f>ROUND((VLOOKUP($E34,RLS!$C$32:$BK$36,MATCH(AL$2,RLS!$C$25:$BK$25,0),FALSE)-AL$40)*'Unit Distribution'!$D$6,0)</f>
        <v>0</v>
      </c>
      <c r="AM34" s="14">
        <f>ROUND((VLOOKUP($E34,RLS!$C$32:$BK$36,MATCH(AM$2,RLS!$C$25:$BK$25,0),FALSE)-AM$40)*'Unit Distribution'!$D$6,0)</f>
        <v>0</v>
      </c>
      <c r="AN34" s="14">
        <f>ROUND((VLOOKUP($E34,RLS!$C$32:$BK$36,MATCH(AN$2,RLS!$C$25:$BK$25,0),FALSE)-AN$40)*'Unit Distribution'!$D$6,0)</f>
        <v>0</v>
      </c>
      <c r="AO34" s="14">
        <f>ROUND((VLOOKUP($E34,RLS!$C$32:$BK$36,MATCH(AO$2,RLS!$C$25:$BK$25,0),FALSE)-AO$40)*'Unit Distribution'!$D$6,0)</f>
        <v>0</v>
      </c>
      <c r="AP34" s="14">
        <f>ROUND((VLOOKUP($E34,RLS!$C$32:$BK$36,MATCH(AP$2,RLS!$C$25:$BK$25,0),FALSE)-AP$40)*'Unit Distribution'!$D$6,0)</f>
        <v>0</v>
      </c>
      <c r="AQ34">
        <f>(VLOOKUP($E34,RLS!$C$32:$BK$36,MATCH(AQ$2,RLS!$C$25:$BK$25,0),FALSE)-AQ$40)-(AQ32+AQ33)-(AQ35+AQ36+AQ37)-(AQ38+AQ39)</f>
        <v>0</v>
      </c>
      <c r="AR34">
        <f>(VLOOKUP($E34,RLS!$C$32:$BK$36,MATCH(AR$2,RLS!$C$25:$BK$25,0),FALSE)-AR$40)-(AR32+AR33)-(AR35+AR36+AR37)-(AR38+AR39)</f>
        <v>0</v>
      </c>
      <c r="AS34">
        <f>(VLOOKUP($E34,RLS!$C$32:$BK$36,MATCH(AS$2,RLS!$C$25:$BK$25,0),FALSE)-AS$40)-(AS32+AS33)-(AS35+AS36+AS37)-(AS38+AS39)</f>
        <v>0</v>
      </c>
      <c r="AT34">
        <f>(VLOOKUP($E34,RLS!$C$32:$BK$36,MATCH(AT$2,RLS!$C$25:$BK$25,0),FALSE)-AT$40)-(AT32+AT33)-(AT35+AT36+AT37)-(AT38+AT39)</f>
        <v>0</v>
      </c>
      <c r="AU34">
        <f>(VLOOKUP($E34,RLS!$C$32:$BK$36,MATCH(AU$2,RLS!$C$25:$BK$25,0),FALSE)-AU$40)-(AU32+AU33)-(AU35+AU36+AU37)-(AU38+AU39)</f>
        <v>0</v>
      </c>
      <c r="AV34">
        <f>(VLOOKUP($E34,RLS!$C$32:$BK$36,MATCH(AV$2,RLS!$C$25:$BK$25,0),FALSE)-AV$40)-(AV32+AV33)-(AV35+AV36+AV37)-(AV38+AV39)</f>
        <v>0</v>
      </c>
      <c r="AW34">
        <f>(VLOOKUP($E34,RLS!$C$32:$BK$36,MATCH(AW$2,RLS!$C$25:$BK$25,0),FALSE)-AW$40)-(AW32+AW33)-(AW35+AW36+AW37)-(AW38+AW39)</f>
        <v>0</v>
      </c>
      <c r="AX34">
        <f>(VLOOKUP($E34,RLS!$C$32:$BK$36,MATCH(AX$2,RLS!$C$25:$BK$25,0),FALSE)-AX$40)-(AX32+AX33)-(AX35+AX36+AX37)-(AX38+AX39)</f>
        <v>0</v>
      </c>
      <c r="AY34">
        <f>(VLOOKUP($E34,RLS!$C$32:$BK$36,MATCH(AY$2,RLS!$C$25:$BK$25,0),FALSE)-AY$40)-(AY32+AY33)-(AY35+AY36+AY37)-(AY38+AY39)</f>
        <v>0</v>
      </c>
      <c r="AZ34">
        <f>(VLOOKUP($E34,RLS!$C$32:$BK$36,MATCH(AZ$2,RLS!$C$25:$BK$25,0),FALSE)-AZ$40)-(AZ32+AZ33)-(AZ35+AZ36+AZ37)-(AZ38+AZ39)</f>
        <v>0</v>
      </c>
      <c r="BA34">
        <f>(VLOOKUP($E34,RLS!$C$32:$BK$36,MATCH(BA$2,RLS!$C$25:$BK$25,0),FALSE)-BA$40)-(BA32+BA33)-(BA35+BA36+BA37)-(BA38+BA39)</f>
        <v>0</v>
      </c>
      <c r="BB34">
        <f>(VLOOKUP($E34,RLS!$C$32:$BK$36,MATCH(BB$2,RLS!$C$25:$BK$25,0),FALSE)-BB$40)-(BB32+BB33)-(BB35+BB36+BB37)-(BB38+BB39)</f>
        <v>0</v>
      </c>
      <c r="BC34">
        <f>(VLOOKUP($E34,RLS!$C$32:$BK$36,MATCH(BC$2,RLS!$C$25:$BK$25,0),FALSE)-BC$40)-(BC32+BC33)-(BC35+BC36+BC37)-(BC38+BC39)</f>
        <v>0</v>
      </c>
      <c r="BD34">
        <f>(VLOOKUP($E34,RLS!$C$32:$BK$36,MATCH(BD$2,RLS!$C$25:$BK$25,0),FALSE)-BD$40)-(BD32+BD33)-(BD35+BD36+BD37)-(BD38+BD39)</f>
        <v>0</v>
      </c>
      <c r="BE34">
        <f>(VLOOKUP($E34,RLS!$C$32:$BK$36,MATCH(BE$2,RLS!$C$25:$BK$25,0),FALSE)-BE$40)-(BE32+BE33)-(BE35+BE36+BE37)-(BE38+BE39)</f>
        <v>0</v>
      </c>
      <c r="BF34">
        <f>(VLOOKUP($E34,RLS!$C$32:$BK$36,MATCH(BF$2,RLS!$C$25:$BK$25,0),FALSE)-BF$40)-(BF32+BF33)-(BF35+BF36+BF37)-(BF38+BF39)</f>
        <v>0</v>
      </c>
      <c r="BG34">
        <f>(VLOOKUP($E34,RLS!$C$32:$BK$36,MATCH(BG$2,RLS!$C$25:$BK$25,0),FALSE)-BG$40)-(BG32+BG33)-(BG35+BG36+BG37)-(BG38+BG39)</f>
        <v>0</v>
      </c>
      <c r="BH34">
        <f>(VLOOKUP($E34,RLS!$C$32:$BK$36,MATCH(BH$2,RLS!$C$25:$BK$25,0),FALSE)-BH$40)-(BH32+BH33)-(BH35+BH36+BH37)-(BH38+BH39)</f>
        <v>0</v>
      </c>
      <c r="BI34">
        <f>(VLOOKUP($E34,RLS!$C$32:$BK$36,MATCH(BI$2,RLS!$C$25:$BK$25,0),FALSE)-BI$40)-(BI32+BI33)-(BI35+BI36+BI37)-(BI38+BI39)</f>
        <v>0</v>
      </c>
      <c r="BJ34">
        <f>(VLOOKUP($E34,RLS!$C$32:$BK$36,MATCH(BJ$2,RLS!$C$25:$BK$25,0),FALSE)-BJ$40)-(BJ32+BJ33)-(BJ35+BJ36+BJ37)-(BJ38+BJ39)</f>
        <v>0</v>
      </c>
      <c r="BK34">
        <f>(VLOOKUP($E34,RLS!$C$32:$BK$36,MATCH(BK$2,RLS!$C$25:$BK$25,0),FALSE)-BK$40)-(BK32+BK33)-(BK35+BK36+BK37)-(BK38+BK39)</f>
        <v>0</v>
      </c>
      <c r="BL34">
        <f>(VLOOKUP($E34,RLS!$C$32:$BK$36,MATCH(BL$2,RLS!$C$25:$BK$25,0),FALSE)-BL$40)-(BL32+BL33)-(BL35+BL36+BL37)-(BL38+BL39)</f>
        <v>0</v>
      </c>
      <c r="BM34">
        <f>(VLOOKUP($E34,RLS!$C$32:$BK$36,MATCH(BM$2,RLS!$C$25:$BK$25,0),FALSE)-BM$40)-(BM32+BM33)-(BM35+BM36+BM37)-(BM38+BM39)</f>
        <v>0</v>
      </c>
      <c r="BN34">
        <f>(VLOOKUP($E34,RLS!$C$32:$BK$36,MATCH(BN$2,RLS!$C$25:$BK$25,0),FALSE)-BN$40)-(BN32+BN33)-(BN35+BN36+BN37)-(BN38+BN39)</f>
        <v>0</v>
      </c>
    </row>
    <row r="35" spans="1:66" x14ac:dyDescent="0.35">
      <c r="A35" t="s">
        <v>72</v>
      </c>
      <c r="B35" t="s">
        <v>69</v>
      </c>
      <c r="C35" t="s">
        <v>112</v>
      </c>
      <c r="D35" t="s">
        <v>80</v>
      </c>
      <c r="E35" t="str">
        <f t="shared" ref="E35:E66" si="1">A35&amp;D35</f>
        <v>TesterOnsite</v>
      </c>
      <c r="F35" t="s">
        <v>70</v>
      </c>
      <c r="G35" s="14">
        <f>MIN(1,(ROUND((VLOOKUP($E35,RLS!$C$32:$BK$36,MATCH(G$2,RLS!$C$25:$BK$25,0),FALSE)-G$40)*'Unit Distribution'!$B$4,0)))</f>
        <v>1</v>
      </c>
      <c r="H35" s="14">
        <f>MIN(1,(ROUND((VLOOKUP($E35,RLS!$C$32:$BK$36,MATCH(H$2,RLS!$C$25:$BK$25,0),FALSE)-H$40)*'Unit Distribution'!$B$4,0)))</f>
        <v>1</v>
      </c>
      <c r="I35" s="14">
        <f>MIN(1,(ROUND((VLOOKUP($E35,RLS!$C$32:$BK$36,MATCH(I$2,RLS!$C$25:$BK$25,0),FALSE)-I$40)*'Unit Distribution'!$B$4,0)))</f>
        <v>1</v>
      </c>
      <c r="J35" s="14">
        <f>MIN(1,(ROUND((VLOOKUP($E35,RLS!$C$32:$BK$36,MATCH(J$2,RLS!$C$25:$BK$25,0),FALSE)-J$40)*'Unit Distribution'!$B$4,0)))</f>
        <v>1</v>
      </c>
      <c r="K35" s="14">
        <f>MIN(1,(ROUND((VLOOKUP($E35,RLS!$C$32:$BK$36,MATCH(K$2,RLS!$C$25:$BK$25,0),FALSE)-K$40)*'Unit Distribution'!$B$4,0)))</f>
        <v>1</v>
      </c>
      <c r="L35" s="14">
        <f>MIN(1,(ROUND((VLOOKUP($E35,RLS!$C$32:$BK$36,MATCH(L$2,RLS!$C$25:$BK$25,0),FALSE)-L$40)*'Unit Distribution'!$B$4,0)))</f>
        <v>1</v>
      </c>
      <c r="M35" s="14">
        <f>MIN(1,(ROUND((VLOOKUP($E35,RLS!$C$32:$BK$36,MATCH(M$2,RLS!$C$25:$BK$25,0),FALSE)-M$40)*'Unit Distribution'!$B$4,0)))</f>
        <v>1</v>
      </c>
      <c r="N35" s="14">
        <f>MIN(1,(ROUND((VLOOKUP($E35,RLS!$C$32:$BK$36,MATCH(N$2,RLS!$C$25:$BK$25,0),FALSE)-N$40)*'Unit Distribution'!$B$4,0)))</f>
        <v>1</v>
      </c>
      <c r="O35" s="14">
        <f>MIN(1,(ROUND((VLOOKUP($E35,RLS!$C$32:$BK$36,MATCH(O$2,RLS!$C$25:$BK$25,0),FALSE)-O$40)*'Unit Distribution'!$B$4,0)))</f>
        <v>1</v>
      </c>
      <c r="P35" s="14">
        <f>MIN(1,(ROUND((VLOOKUP($E35,RLS!$C$32:$BK$36,MATCH(P$2,RLS!$C$25:$BK$25,0),FALSE)-P$40)*'Unit Distribution'!$B$4,0)))</f>
        <v>1</v>
      </c>
      <c r="Q35" s="14">
        <f>MIN(1,(ROUND((VLOOKUP($E35,RLS!$C$32:$BK$36,MATCH(Q$2,RLS!$C$25:$BK$25,0),FALSE)-Q$40)*'Unit Distribution'!$B$4,0)))</f>
        <v>1</v>
      </c>
      <c r="R35" s="14">
        <f>MIN(1,(ROUND((VLOOKUP($E35,RLS!$C$32:$BK$36,MATCH(R$2,RLS!$C$25:$BK$25,0),FALSE)-R$40)*'Unit Distribution'!$B$4,0)))</f>
        <v>1</v>
      </c>
      <c r="S35" s="14">
        <f>MIN(0,(ROUND((VLOOKUP($E35,RLS!$C$32:$BK$36,MATCH(S$2,RLS!$C$25:$BK$25,0),FALSE)-S$40)*'Unit Distribution'!$C$4,0)))</f>
        <v>0</v>
      </c>
      <c r="T35" s="14">
        <f>MIN(0,(ROUND((VLOOKUP($E35,RLS!$C$32:$BK$36,MATCH(T$2,RLS!$C$25:$BK$25,0),FALSE)-T$40)*'Unit Distribution'!$C$4,0)))</f>
        <v>0</v>
      </c>
      <c r="U35" s="14">
        <f>MIN(0,(ROUND((VLOOKUP($E35,RLS!$C$32:$BK$36,MATCH(U$2,RLS!$C$25:$BK$25,0),FALSE)-U$40)*'Unit Distribution'!$C$4,0)))</f>
        <v>0</v>
      </c>
      <c r="V35" s="14">
        <f>MIN(0,(ROUND((VLOOKUP($E35,RLS!$C$32:$BK$36,MATCH(V$2,RLS!$C$25:$BK$25,0),FALSE)-V$40)*'Unit Distribution'!$C$4,0)))</f>
        <v>0</v>
      </c>
      <c r="W35" s="14">
        <f>MIN(0,(ROUND((VLOOKUP($E35,RLS!$C$32:$BK$36,MATCH(W$2,RLS!$C$25:$BK$25,0),FALSE)-W$40)*'Unit Distribution'!$C$4,0)))</f>
        <v>0</v>
      </c>
      <c r="X35" s="14">
        <f>MIN(0,(ROUND((VLOOKUP($E35,RLS!$C$32:$BK$36,MATCH(X$2,RLS!$C$25:$BK$25,0),FALSE)-X$40)*'Unit Distribution'!$C$4,0)))</f>
        <v>0</v>
      </c>
      <c r="Y35" s="14">
        <f>MIN(0,(ROUND((VLOOKUP($E35,RLS!$C$32:$BK$36,MATCH(Y$2,RLS!$C$25:$BK$25,0),FALSE)-Y$40)*'Unit Distribution'!$C$4,0)))</f>
        <v>0</v>
      </c>
      <c r="Z35" s="14">
        <f>MIN(0,(ROUND((VLOOKUP($E35,RLS!$C$32:$BK$36,MATCH(Z$2,RLS!$C$25:$BK$25,0),FALSE)-Z$40)*'Unit Distribution'!$C$4,0)))</f>
        <v>0</v>
      </c>
      <c r="AA35" s="14">
        <f>MIN(0,(ROUND((VLOOKUP($E35,RLS!$C$32:$BK$36,MATCH(AA$2,RLS!$C$25:$BK$25,0),FALSE)-AA$40)*'Unit Distribution'!$C$4,0)))</f>
        <v>0</v>
      </c>
      <c r="AB35" s="14">
        <f>MIN(0,(ROUND((VLOOKUP($E35,RLS!$C$32:$BK$36,MATCH(AB$2,RLS!$C$25:$BK$25,0),FALSE)-AB$40)*'Unit Distribution'!$C$4,0)))</f>
        <v>0</v>
      </c>
      <c r="AC35" s="14">
        <f>MIN(0,(ROUND((VLOOKUP($E35,RLS!$C$32:$BK$36,MATCH(AC$2,RLS!$C$25:$BK$25,0),FALSE)-AC$40)*'Unit Distribution'!$C$4,0)))</f>
        <v>0</v>
      </c>
      <c r="AD35" s="14">
        <f>MIN(0,(ROUND((VLOOKUP($E35,RLS!$C$32:$BK$36,MATCH(AD$2,RLS!$C$25:$BK$25,0),FALSE)-AD$40)*'Unit Distribution'!$C$4,0)))</f>
        <v>0</v>
      </c>
      <c r="AE35" s="14">
        <f>MIN(0,(ROUND((VLOOKUP($E35,RLS!$C$32:$BK$36,MATCH(AE$2,RLS!$C$25:$BK$25,0),FALSE)-AE$40)*'Unit Distribution'!$D$4,0)))</f>
        <v>0</v>
      </c>
      <c r="AF35" s="14">
        <f>MIN(0,(ROUND((VLOOKUP($E35,RLS!$C$32:$BK$36,MATCH(AF$2,RLS!$C$25:$BK$25,0),FALSE)-AF$40)*'Unit Distribution'!$D$4,0)))</f>
        <v>0</v>
      </c>
      <c r="AG35" s="14">
        <f>MIN(0,(ROUND((VLOOKUP($E35,RLS!$C$32:$BK$36,MATCH(AG$2,RLS!$C$25:$BK$25,0),FALSE)-AG$40)*'Unit Distribution'!$D$4,0)))</f>
        <v>0</v>
      </c>
      <c r="AH35" s="14">
        <f>MIN(0,(ROUND((VLOOKUP($E35,RLS!$C$32:$BK$36,MATCH(AH$2,RLS!$C$25:$BK$25,0),FALSE)-AH$40)*'Unit Distribution'!$D$4,0)))</f>
        <v>0</v>
      </c>
      <c r="AI35" s="14">
        <f>MIN(0,(ROUND((VLOOKUP($E35,RLS!$C$32:$BK$36,MATCH(AI$2,RLS!$C$25:$BK$25,0),FALSE)-AI$40)*'Unit Distribution'!$D$4,0)))</f>
        <v>0</v>
      </c>
      <c r="AJ35" s="14">
        <f>MIN(0,(ROUND((VLOOKUP($E35,RLS!$C$32:$BK$36,MATCH(AJ$2,RLS!$C$25:$BK$25,0),FALSE)-AJ$40)*'Unit Distribution'!$D$4,0)))</f>
        <v>0</v>
      </c>
      <c r="AK35" s="14">
        <f>MIN(0,(ROUND((VLOOKUP($E35,RLS!$C$32:$BK$36,MATCH(AK$2,RLS!$C$25:$BK$25,0),FALSE)-AK$40)*'Unit Distribution'!$D$4,0)))</f>
        <v>0</v>
      </c>
      <c r="AL35" s="14">
        <f>MIN(0,(ROUND((VLOOKUP($E35,RLS!$C$32:$BK$36,MATCH(AL$2,RLS!$C$25:$BK$25,0),FALSE)-AL$40)*'Unit Distribution'!$D$4,0)))</f>
        <v>0</v>
      </c>
      <c r="AM35" s="14">
        <f>MIN(0,(ROUND((VLOOKUP($E35,RLS!$C$32:$BK$36,MATCH(AM$2,RLS!$C$25:$BK$25,0),FALSE)-AM$40)*'Unit Distribution'!$D$4,0)))</f>
        <v>0</v>
      </c>
      <c r="AN35" s="14">
        <f>MIN(0,(ROUND((VLOOKUP($E35,RLS!$C$32:$BK$36,MATCH(AN$2,RLS!$C$25:$BK$25,0),FALSE)-AN$40)*'Unit Distribution'!$D$4,0)))</f>
        <v>0</v>
      </c>
      <c r="AO35" s="14">
        <f>MIN(0,(ROUND((VLOOKUP($E35,RLS!$C$32:$BK$36,MATCH(AO$2,RLS!$C$25:$BK$25,0),FALSE)-AO$40)*'Unit Distribution'!$D$4,0)))</f>
        <v>0</v>
      </c>
      <c r="AP35" s="14">
        <f>MIN(0,(ROUND((VLOOKUP($E35,RLS!$C$32:$BK$36,MATCH(AP$2,RLS!$C$25:$BK$25,0),FALSE)-AP$40)*'Unit Distribution'!$D$4,0)))</f>
        <v>0</v>
      </c>
      <c r="AQ35">
        <f>MIN(0,(ROUND((VLOOKUP($E35,RLS!$C$32:$BK$36,MATCH(AQ$2,RLS!$C$25:$BK$25,0),FALSE)-AQ$40)*'Unit Distribution'!$E$4,0)))</f>
        <v>0</v>
      </c>
      <c r="AR35">
        <f>MIN(0,(ROUND((VLOOKUP($E35,RLS!$C$32:$BK$36,MATCH(AR$2,RLS!$C$25:$BK$25,0),FALSE)-AR$40)*'Unit Distribution'!$E$4,0)))</f>
        <v>0</v>
      </c>
      <c r="AS35">
        <f>MIN(0,(ROUND((VLOOKUP($E35,RLS!$C$32:$BK$36,MATCH(AS$2,RLS!$C$25:$BK$25,0),FALSE)-AS$40)*'Unit Distribution'!$E$4,0)))</f>
        <v>0</v>
      </c>
      <c r="AT35">
        <f>MIN(0,(ROUND((VLOOKUP($E35,RLS!$C$32:$BK$36,MATCH(AT$2,RLS!$C$25:$BK$25,0),FALSE)-AT$40)*'Unit Distribution'!$E$4,0)))</f>
        <v>0</v>
      </c>
      <c r="AU35">
        <f>MIN(0,(ROUND((VLOOKUP($E35,RLS!$C$32:$BK$36,MATCH(AU$2,RLS!$C$25:$BK$25,0),FALSE)-AU$40)*'Unit Distribution'!$E$4,0)))</f>
        <v>0</v>
      </c>
      <c r="AV35">
        <f>MIN(0,(ROUND((VLOOKUP($E35,RLS!$C$32:$BK$36,MATCH(AV$2,RLS!$C$25:$BK$25,0),FALSE)-AV$40)*'Unit Distribution'!$E$4,0)))</f>
        <v>0</v>
      </c>
      <c r="AW35">
        <f>MIN(0,(ROUND((VLOOKUP($E35,RLS!$C$32:$BK$36,MATCH(AW$2,RLS!$C$25:$BK$25,0),FALSE)-AW$40)*'Unit Distribution'!$E$4,0)))</f>
        <v>0</v>
      </c>
      <c r="AX35">
        <f>MIN(0,(ROUND((VLOOKUP($E35,RLS!$C$32:$BK$36,MATCH(AX$2,RLS!$C$25:$BK$25,0),FALSE)-AX$40)*'Unit Distribution'!$E$4,0)))</f>
        <v>0</v>
      </c>
      <c r="AY35">
        <f>MIN(0,(ROUND((VLOOKUP($E35,RLS!$C$32:$BK$36,MATCH(AY$2,RLS!$C$25:$BK$25,0),FALSE)-AY$40)*'Unit Distribution'!$E$4,0)))</f>
        <v>0</v>
      </c>
      <c r="AZ35">
        <f>MIN(0,(ROUND((VLOOKUP($E35,RLS!$C$32:$BK$36,MATCH(AZ$2,RLS!$C$25:$BK$25,0),FALSE)-AZ$40)*'Unit Distribution'!$E$4,0)))</f>
        <v>0</v>
      </c>
      <c r="BA35">
        <f>MIN(0,(ROUND((VLOOKUP($E35,RLS!$C$32:$BK$36,MATCH(BA$2,RLS!$C$25:$BK$25,0),FALSE)-BA$40)*'Unit Distribution'!$E$4,0)))</f>
        <v>0</v>
      </c>
      <c r="BB35">
        <f>MIN(0,(ROUND((VLOOKUP($E35,RLS!$C$32:$BK$36,MATCH(BB$2,RLS!$C$25:$BK$25,0),FALSE)-BB$40)*'Unit Distribution'!$E$4,0)))</f>
        <v>0</v>
      </c>
      <c r="BC35">
        <f>MIN(0,(ROUND((VLOOKUP($E35,RLS!$C$32:$BK$36,MATCH(BC$2,RLS!$C$25:$BK$25,0),FALSE)-BC$40)*'Unit Distribution'!$F$4,0)))</f>
        <v>0</v>
      </c>
      <c r="BD35">
        <f>MIN(0,(ROUND((VLOOKUP($E35,RLS!$C$32:$BK$36,MATCH(BD$2,RLS!$C$25:$BK$25,0),FALSE)-BD$40)*'Unit Distribution'!$F$4,0)))</f>
        <v>0</v>
      </c>
      <c r="BE35">
        <f>MIN(0,(ROUND((VLOOKUP($E35,RLS!$C$32:$BK$36,MATCH(BE$2,RLS!$C$25:$BK$25,0),FALSE)-BE$40)*'Unit Distribution'!$F$4,0)))</f>
        <v>0</v>
      </c>
      <c r="BF35">
        <f>MIN(0,(ROUND((VLOOKUP($E35,RLS!$C$32:$BK$36,MATCH(BF$2,RLS!$C$25:$BK$25,0),FALSE)-BF$40)*'Unit Distribution'!$F$4,0)))</f>
        <v>0</v>
      </c>
      <c r="BG35">
        <f>MIN(0,(ROUND((VLOOKUP($E35,RLS!$C$32:$BK$36,MATCH(BG$2,RLS!$C$25:$BK$25,0),FALSE)-BG$40)*'Unit Distribution'!$F$4,0)))</f>
        <v>0</v>
      </c>
      <c r="BH35">
        <f>MIN(0,(ROUND((VLOOKUP($E35,RLS!$C$32:$BK$36,MATCH(BH$2,RLS!$C$25:$BK$25,0),FALSE)-BH$40)*'Unit Distribution'!$F$4,0)))</f>
        <v>0</v>
      </c>
      <c r="BI35">
        <f>MIN(0,(ROUND((VLOOKUP($E35,RLS!$C$32:$BK$36,MATCH(BI$2,RLS!$C$25:$BK$25,0),FALSE)-BI$40)*'Unit Distribution'!$F$4,0)))</f>
        <v>0</v>
      </c>
      <c r="BJ35">
        <f>MIN(0,(ROUND((VLOOKUP($E35,RLS!$C$32:$BK$36,MATCH(BJ$2,RLS!$C$25:$BK$25,0),FALSE)-BJ$40)*'Unit Distribution'!$F$4,0)))</f>
        <v>0</v>
      </c>
      <c r="BK35">
        <f>MIN(0,(ROUND((VLOOKUP($E35,RLS!$C$32:$BK$36,MATCH(BK$2,RLS!$C$25:$BK$25,0),FALSE)-BK$40)*'Unit Distribution'!$F$4,0)))</f>
        <v>0</v>
      </c>
      <c r="BL35">
        <f>MIN(0,(ROUND((VLOOKUP($E35,RLS!$C$32:$BK$36,MATCH(BL$2,RLS!$C$25:$BK$25,0),FALSE)-BL$40)*'Unit Distribution'!$F$4,0)))</f>
        <v>0</v>
      </c>
      <c r="BM35">
        <f>MIN(0,(ROUND((VLOOKUP($E35,RLS!$C$32:$BK$36,MATCH(BM$2,RLS!$C$25:$BK$25,0),FALSE)-BM$40)*'Unit Distribution'!$F$4,0)))</f>
        <v>0</v>
      </c>
      <c r="BN35">
        <f>MIN(0,(ROUND((VLOOKUP($E35,RLS!$C$32:$BK$36,MATCH(BN$2,RLS!$C$25:$BK$25,0),FALSE)-BN$40)*'Unit Distribution'!$F$4,0)))</f>
        <v>0</v>
      </c>
    </row>
    <row r="36" spans="1:66" x14ac:dyDescent="0.35">
      <c r="A36" t="s">
        <v>72</v>
      </c>
      <c r="B36" t="s">
        <v>66</v>
      </c>
      <c r="C36" t="s">
        <v>112</v>
      </c>
      <c r="D36" t="s">
        <v>80</v>
      </c>
      <c r="E36" t="str">
        <f t="shared" si="1"/>
        <v>TesterOnsite</v>
      </c>
      <c r="F36" t="s">
        <v>70</v>
      </c>
      <c r="G36" s="14">
        <f>MIN(2,(ROUND((VLOOKUP($E35,RLS!$C$32:$BK$36,MATCH(G$2,RLS!$C$25:$BK$25,0),FALSE)-G$40)*'Unit Distribution'!$B$4,0))-G35)</f>
        <v>2</v>
      </c>
      <c r="H36" s="14">
        <f>MIN(2,(ROUND((VLOOKUP($E35,RLS!$C$32:$BK$36,MATCH(H$2,RLS!$C$25:$BK$25,0),FALSE)-H$40)*'Unit Distribution'!$B$4,0))-H35)</f>
        <v>2</v>
      </c>
      <c r="I36" s="14">
        <f>MIN(2,(ROUND((VLOOKUP($E35,RLS!$C$32:$BK$36,MATCH(I$2,RLS!$C$25:$BK$25,0),FALSE)-I$40)*'Unit Distribution'!$B$4,0))-I35)</f>
        <v>2</v>
      </c>
      <c r="J36" s="14">
        <f>MIN(2,(ROUND((VLOOKUP($E35,RLS!$C$32:$BK$36,MATCH(J$2,RLS!$C$25:$BK$25,0),FALSE)-J$40)*'Unit Distribution'!$B$4,0))-J35)</f>
        <v>2</v>
      </c>
      <c r="K36" s="14">
        <f>MIN(2,(ROUND((VLOOKUP($E35,RLS!$C$32:$BK$36,MATCH(K$2,RLS!$C$25:$BK$25,0),FALSE)-K$40)*'Unit Distribution'!$B$4,0))-K35)</f>
        <v>2</v>
      </c>
      <c r="L36" s="14">
        <f>MIN(2,(ROUND((VLOOKUP($E35,RLS!$C$32:$BK$36,MATCH(L$2,RLS!$C$25:$BK$25,0),FALSE)-L$40)*'Unit Distribution'!$B$4,0))-L35)</f>
        <v>2</v>
      </c>
      <c r="M36" s="14">
        <f>MIN(2,(ROUND((VLOOKUP($E35,RLS!$C$32:$BK$36,MATCH(M$2,RLS!$C$25:$BK$25,0),FALSE)-M$40)*'Unit Distribution'!$B$4,0))-M35)</f>
        <v>2</v>
      </c>
      <c r="N36" s="14">
        <f>MIN(2,(ROUND((VLOOKUP($E35,RLS!$C$32:$BK$36,MATCH(N$2,RLS!$C$25:$BK$25,0),FALSE)-N$40)*'Unit Distribution'!$B$4,0))-N35)</f>
        <v>2</v>
      </c>
      <c r="O36" s="14">
        <f>MIN(2,(ROUND((VLOOKUP($E35,RLS!$C$32:$BK$36,MATCH(O$2,RLS!$C$25:$BK$25,0),FALSE)-O$40)*'Unit Distribution'!$B$4,0))-O35)</f>
        <v>2</v>
      </c>
      <c r="P36" s="14">
        <f>MIN(2,(ROUND((VLOOKUP($E35,RLS!$C$32:$BK$36,MATCH(P$2,RLS!$C$25:$BK$25,0),FALSE)-P$40)*'Unit Distribution'!$B$4,0))-P35)</f>
        <v>2</v>
      </c>
      <c r="Q36" s="14">
        <f>MIN(2,(ROUND((VLOOKUP($E35,RLS!$C$32:$BK$36,MATCH(Q$2,RLS!$C$25:$BK$25,0),FALSE)-Q$40)*'Unit Distribution'!$B$4,0))-Q35)</f>
        <v>2</v>
      </c>
      <c r="R36" s="14">
        <f>MIN(2,(ROUND((VLOOKUP($E35,RLS!$C$32:$BK$36,MATCH(R$2,RLS!$C$25:$BK$25,0),FALSE)-R$40)*'Unit Distribution'!$B$4,0))-R35)</f>
        <v>2</v>
      </c>
      <c r="S36" s="14">
        <f>MIN(2,(ROUND((VLOOKUP($E35,RLS!$C$32:$BK$36,MATCH(S$2,RLS!$C$25:$BK$25,0),FALSE)-S$40)*'Unit Distribution'!$C$4,0))-S35)</f>
        <v>2</v>
      </c>
      <c r="T36" s="14">
        <f>MIN(2,(ROUND((VLOOKUP($E35,RLS!$C$32:$BK$36,MATCH(T$2,RLS!$C$25:$BK$25,0),FALSE)-T$40)*'Unit Distribution'!$C$4,0))-T35)</f>
        <v>2</v>
      </c>
      <c r="U36" s="14">
        <f>MIN(2,(ROUND((VLOOKUP($E35,RLS!$C$32:$BK$36,MATCH(U$2,RLS!$C$25:$BK$25,0),FALSE)-U$40)*'Unit Distribution'!$C$4,0))-U35)</f>
        <v>2</v>
      </c>
      <c r="V36" s="14">
        <f>MIN(2,(ROUND((VLOOKUP($E35,RLS!$C$32:$BK$36,MATCH(V$2,RLS!$C$25:$BK$25,0),FALSE)-V$40)*'Unit Distribution'!$C$4,0))-V35)</f>
        <v>2</v>
      </c>
      <c r="W36" s="14">
        <f>MIN(2,(ROUND((VLOOKUP($E35,RLS!$C$32:$BK$36,MATCH(W$2,RLS!$C$25:$BK$25,0),FALSE)-W$40)*'Unit Distribution'!$C$4,0))-W35)</f>
        <v>2</v>
      </c>
      <c r="X36" s="14">
        <f>MIN(2,(ROUND((VLOOKUP($E35,RLS!$C$32:$BK$36,MATCH(X$2,RLS!$C$25:$BK$25,0),FALSE)-X$40)*'Unit Distribution'!$C$4,0))-X35)</f>
        <v>2</v>
      </c>
      <c r="Y36" s="14">
        <f>MIN(2,(ROUND((VLOOKUP($E35,RLS!$C$32:$BK$36,MATCH(Y$2,RLS!$C$25:$BK$25,0),FALSE)-Y$40)*'Unit Distribution'!$C$4,0))-Y35)</f>
        <v>2</v>
      </c>
      <c r="Z36" s="14">
        <f>MIN(2,(ROUND((VLOOKUP($E35,RLS!$C$32:$BK$36,MATCH(Z$2,RLS!$C$25:$BK$25,0),FALSE)-Z$40)*'Unit Distribution'!$C$4,0))-Z35)</f>
        <v>2</v>
      </c>
      <c r="AA36" s="14">
        <f>MIN(2,(ROUND((VLOOKUP($E35,RLS!$C$32:$BK$36,MATCH(AA$2,RLS!$C$25:$BK$25,0),FALSE)-AA$40)*'Unit Distribution'!$C$4,0))-AA35)</f>
        <v>2</v>
      </c>
      <c r="AB36" s="14">
        <f>MIN(2,(ROUND((VLOOKUP($E35,RLS!$C$32:$BK$36,MATCH(AB$2,RLS!$C$25:$BK$25,0),FALSE)-AB$40)*'Unit Distribution'!$C$4,0))-AB35)</f>
        <v>2</v>
      </c>
      <c r="AC36" s="14">
        <f>MIN(2,(ROUND((VLOOKUP($E35,RLS!$C$32:$BK$36,MATCH(AC$2,RLS!$C$25:$BK$25,0),FALSE)-AC$40)*'Unit Distribution'!$C$4,0))-AC35)</f>
        <v>2</v>
      </c>
      <c r="AD36" s="14">
        <f>MIN(2,(ROUND((VLOOKUP($E35,RLS!$C$32:$BK$36,MATCH(AD$2,RLS!$C$25:$BK$25,0),FALSE)-AD$40)*'Unit Distribution'!$C$4,0))-AD35)</f>
        <v>2</v>
      </c>
      <c r="AE36" s="14">
        <f>MIN(0,(ROUND((VLOOKUP($E35,RLS!$C$32:$BK$36,MATCH(AE$2,RLS!$C$25:$BK$25,0),FALSE)-AE$40)*'Unit Distribution'!$D$4,0))-AE35)</f>
        <v>0</v>
      </c>
      <c r="AF36" s="14">
        <f>MIN(0,(ROUND((VLOOKUP($E35,RLS!$C$32:$BK$36,MATCH(AF$2,RLS!$C$25:$BK$25,0),FALSE)-AF$40)*'Unit Distribution'!$D$4,0))-AF35)</f>
        <v>0</v>
      </c>
      <c r="AG36" s="14">
        <f>MIN(0,(ROUND((VLOOKUP($E35,RLS!$C$32:$BK$36,MATCH(AG$2,RLS!$C$25:$BK$25,0),FALSE)-AG$40)*'Unit Distribution'!$D$4,0))-AG35)</f>
        <v>0</v>
      </c>
      <c r="AH36" s="14">
        <f>MIN(0,(ROUND((VLOOKUP($E35,RLS!$C$32:$BK$36,MATCH(AH$2,RLS!$C$25:$BK$25,0),FALSE)-AH$40)*'Unit Distribution'!$D$4,0))-AH35)</f>
        <v>0</v>
      </c>
      <c r="AI36" s="14">
        <f>MIN(0,(ROUND((VLOOKUP($E35,RLS!$C$32:$BK$36,MATCH(AI$2,RLS!$C$25:$BK$25,0),FALSE)-AI$40)*'Unit Distribution'!$D$4,0))-AI35)</f>
        <v>0</v>
      </c>
      <c r="AJ36" s="14">
        <f>MIN(0,(ROUND((VLOOKUP($E35,RLS!$C$32:$BK$36,MATCH(AJ$2,RLS!$C$25:$BK$25,0),FALSE)-AJ$40)*'Unit Distribution'!$D$4,0))-AJ35)</f>
        <v>0</v>
      </c>
      <c r="AK36" s="14">
        <f>MIN(0,(ROUND((VLOOKUP($E35,RLS!$C$32:$BK$36,MATCH(AK$2,RLS!$C$25:$BK$25,0),FALSE)-AK$40)*'Unit Distribution'!$D$4,0))-AK35)</f>
        <v>0</v>
      </c>
      <c r="AL36" s="14">
        <f>MIN(0,(ROUND((VLOOKUP($E35,RLS!$C$32:$BK$36,MATCH(AL$2,RLS!$C$25:$BK$25,0),FALSE)-AL$40)*'Unit Distribution'!$D$4,0))-AL35)</f>
        <v>0</v>
      </c>
      <c r="AM36" s="14">
        <f>MIN(0,(ROUND((VLOOKUP($E35,RLS!$C$32:$BK$36,MATCH(AM$2,RLS!$C$25:$BK$25,0),FALSE)-AM$40)*'Unit Distribution'!$D$4,0))-AM35)</f>
        <v>0</v>
      </c>
      <c r="AN36" s="14">
        <f>MIN(0,(ROUND((VLOOKUP($E35,RLS!$C$32:$BK$36,MATCH(AN$2,RLS!$C$25:$BK$25,0),FALSE)-AN$40)*'Unit Distribution'!$D$4,0))-AN35)</f>
        <v>0</v>
      </c>
      <c r="AO36" s="14">
        <f>MIN(0,(ROUND((VLOOKUP($E35,RLS!$C$32:$BK$36,MATCH(AO$2,RLS!$C$25:$BK$25,0),FALSE)-AO$40)*'Unit Distribution'!$D$4,0))-AO35)</f>
        <v>0</v>
      </c>
      <c r="AP36" s="14">
        <f>MIN(0,(ROUND((VLOOKUP($E35,RLS!$C$32:$BK$36,MATCH(AP$2,RLS!$C$25:$BK$25,0),FALSE)-AP$40)*'Unit Distribution'!$D$4,0))-AP35)</f>
        <v>0</v>
      </c>
      <c r="AQ36">
        <f>MIN(0,(ROUND((VLOOKUP($E35,RLS!$C$32:$BK$36,MATCH(AQ$2,RLS!$C$25:$BK$25,0),FALSE)-AQ$40)*'Unit Distribution'!$E$4,0))-AQ35)</f>
        <v>0</v>
      </c>
      <c r="AR36">
        <f>MIN(0,(ROUND((VLOOKUP($E35,RLS!$C$32:$BK$36,MATCH(AR$2,RLS!$C$25:$BK$25,0),FALSE)-AR$40)*'Unit Distribution'!$E$4,0))-AR35)</f>
        <v>0</v>
      </c>
      <c r="AS36">
        <f>MIN(0,(ROUND((VLOOKUP($E35,RLS!$C$32:$BK$36,MATCH(AS$2,RLS!$C$25:$BK$25,0),FALSE)-AS$40)*'Unit Distribution'!$E$4,0))-AS35)</f>
        <v>0</v>
      </c>
      <c r="AT36">
        <f>MIN(0,(ROUND((VLOOKUP($E35,RLS!$C$32:$BK$36,MATCH(AT$2,RLS!$C$25:$BK$25,0),FALSE)-AT$40)*'Unit Distribution'!$E$4,0))-AT35)</f>
        <v>0</v>
      </c>
      <c r="AU36">
        <f>MIN(0,(ROUND((VLOOKUP($E35,RLS!$C$32:$BK$36,MATCH(AU$2,RLS!$C$25:$BK$25,0),FALSE)-AU$40)*'Unit Distribution'!$E$4,0))-AU35)</f>
        <v>0</v>
      </c>
      <c r="AV36">
        <f>MIN(0,(ROUND((VLOOKUP($E35,RLS!$C$32:$BK$36,MATCH(AV$2,RLS!$C$25:$BK$25,0),FALSE)-AV$40)*'Unit Distribution'!$E$4,0))-AV35)</f>
        <v>0</v>
      </c>
      <c r="AW36">
        <f>MIN(0,(ROUND((VLOOKUP($E35,RLS!$C$32:$BK$36,MATCH(AW$2,RLS!$C$25:$BK$25,0),FALSE)-AW$40)*'Unit Distribution'!$E$4,0))-AW35)</f>
        <v>0</v>
      </c>
      <c r="AX36">
        <f>MIN(0,(ROUND((VLOOKUP($E35,RLS!$C$32:$BK$36,MATCH(AX$2,RLS!$C$25:$BK$25,0),FALSE)-AX$40)*'Unit Distribution'!$E$4,0))-AX35)</f>
        <v>0</v>
      </c>
      <c r="AY36">
        <f>MIN(0,(ROUND((VLOOKUP($E35,RLS!$C$32:$BK$36,MATCH(AY$2,RLS!$C$25:$BK$25,0),FALSE)-AY$40)*'Unit Distribution'!$E$4,0))-AY35)</f>
        <v>0</v>
      </c>
      <c r="AZ36">
        <f>MIN(0,(ROUND((VLOOKUP($E35,RLS!$C$32:$BK$36,MATCH(AZ$2,RLS!$C$25:$BK$25,0),FALSE)-AZ$40)*'Unit Distribution'!$E$4,0))-AZ35)</f>
        <v>0</v>
      </c>
      <c r="BA36">
        <f>MIN(0,(ROUND((VLOOKUP($E35,RLS!$C$32:$BK$36,MATCH(BA$2,RLS!$C$25:$BK$25,0),FALSE)-BA$40)*'Unit Distribution'!$E$4,0))-BA35)</f>
        <v>0</v>
      </c>
      <c r="BB36">
        <f>MIN(0,(ROUND((VLOOKUP($E35,RLS!$C$32:$BK$36,MATCH(BB$2,RLS!$C$25:$BK$25,0),FALSE)-BB$40)*'Unit Distribution'!$E$4,0))-BB35)</f>
        <v>0</v>
      </c>
      <c r="BC36">
        <f>MIN(0,(ROUND((VLOOKUP($E35,RLS!$C$32:$BK$36,MATCH(BC$2,RLS!$C$25:$BK$25,0),FALSE)-BC$40)*'Unit Distribution'!$F$4,0))-BC35)</f>
        <v>0</v>
      </c>
      <c r="BD36">
        <f>MIN(0,(ROUND((VLOOKUP($E35,RLS!$C$32:$BK$36,MATCH(BD$2,RLS!$C$25:$BK$25,0),FALSE)-BD$40)*'Unit Distribution'!$F$4,0))-BD35)</f>
        <v>0</v>
      </c>
      <c r="BE36">
        <f>MIN(0,(ROUND((VLOOKUP($E35,RLS!$C$32:$BK$36,MATCH(BE$2,RLS!$C$25:$BK$25,0),FALSE)-BE$40)*'Unit Distribution'!$F$4,0))-BE35)</f>
        <v>0</v>
      </c>
      <c r="BF36">
        <f>MIN(0,(ROUND((VLOOKUP($E35,RLS!$C$32:$BK$36,MATCH(BF$2,RLS!$C$25:$BK$25,0),FALSE)-BF$40)*'Unit Distribution'!$F$4,0))-BF35)</f>
        <v>0</v>
      </c>
      <c r="BG36">
        <f>MIN(0,(ROUND((VLOOKUP($E35,RLS!$C$32:$BK$36,MATCH(BG$2,RLS!$C$25:$BK$25,0),FALSE)-BG$40)*'Unit Distribution'!$F$4,0))-BG35)</f>
        <v>0</v>
      </c>
      <c r="BH36">
        <f>MIN(0,(ROUND((VLOOKUP($E35,RLS!$C$32:$BK$36,MATCH(BH$2,RLS!$C$25:$BK$25,0),FALSE)-BH$40)*'Unit Distribution'!$F$4,0))-BH35)</f>
        <v>0</v>
      </c>
      <c r="BI36">
        <f>MIN(0,(ROUND((VLOOKUP($E35,RLS!$C$32:$BK$36,MATCH(BI$2,RLS!$C$25:$BK$25,0),FALSE)-BI$40)*'Unit Distribution'!$F$4,0))-BI35)</f>
        <v>0</v>
      </c>
      <c r="BJ36">
        <f>MIN(0,(ROUND((VLOOKUP($E35,RLS!$C$32:$BK$36,MATCH(BJ$2,RLS!$C$25:$BK$25,0),FALSE)-BJ$40)*'Unit Distribution'!$F$4,0))-BJ35)</f>
        <v>0</v>
      </c>
      <c r="BK36">
        <f>MIN(0,(ROUND((VLOOKUP($E35,RLS!$C$32:$BK$36,MATCH(BK$2,RLS!$C$25:$BK$25,0),FALSE)-BK$40)*'Unit Distribution'!$F$4,0))-BK35)</f>
        <v>0</v>
      </c>
      <c r="BL36">
        <f>MIN(0,(ROUND((VLOOKUP($E35,RLS!$C$32:$BK$36,MATCH(BL$2,RLS!$C$25:$BK$25,0),FALSE)-BL$40)*'Unit Distribution'!$F$4,0))-BL35)</f>
        <v>0</v>
      </c>
      <c r="BM36">
        <f>MIN(0,(ROUND((VLOOKUP($E35,RLS!$C$32:$BK$36,MATCH(BM$2,RLS!$C$25:$BK$25,0),FALSE)-BM$40)*'Unit Distribution'!$F$4,0))-BM35)</f>
        <v>0</v>
      </c>
      <c r="BN36">
        <f>MIN(0,(ROUND((VLOOKUP($E35,RLS!$C$32:$BK$36,MATCH(BN$2,RLS!$C$25:$BK$25,0),FALSE)-BN$40)*'Unit Distribution'!$F$4,0))-BN35)</f>
        <v>0</v>
      </c>
    </row>
    <row r="37" spans="1:66" x14ac:dyDescent="0.35">
      <c r="A37" t="s">
        <v>72</v>
      </c>
      <c r="B37" t="s">
        <v>81</v>
      </c>
      <c r="C37" t="s">
        <v>112</v>
      </c>
      <c r="D37" t="s">
        <v>80</v>
      </c>
      <c r="E37" t="str">
        <f t="shared" si="1"/>
        <v>TesterOnsite</v>
      </c>
      <c r="F37" t="s">
        <v>70</v>
      </c>
      <c r="G37" s="14">
        <f>(ROUND((VLOOKUP($E35,RLS!$C$32:$BK$36,MATCH(G$2,RLS!$C$25:$BK$25,0),FALSE)-G$40)*'Unit Distribution'!$B$4,0))-G35-G36</f>
        <v>1</v>
      </c>
      <c r="H37" s="14">
        <f>(ROUND((VLOOKUP($E35,RLS!$C$32:$BK$36,MATCH(H$2,RLS!$C$25:$BK$25,0),FALSE)-H$40)*'Unit Distribution'!$B$4,0))-H35-H36</f>
        <v>1</v>
      </c>
      <c r="I37" s="14">
        <f>(ROUND((VLOOKUP($E35,RLS!$C$32:$BK$36,MATCH(I$2,RLS!$C$25:$BK$25,0),FALSE)-I$40)*'Unit Distribution'!$B$4,0))-I35-I36</f>
        <v>1</v>
      </c>
      <c r="J37" s="14">
        <f>(ROUND((VLOOKUP($E35,RLS!$C$32:$BK$36,MATCH(J$2,RLS!$C$25:$BK$25,0),FALSE)-J$40)*'Unit Distribution'!$B$4,0))-J35-J36</f>
        <v>1</v>
      </c>
      <c r="K37" s="14">
        <f>(ROUND((VLOOKUP($E35,RLS!$C$32:$BK$36,MATCH(K$2,RLS!$C$25:$BK$25,0),FALSE)-K$40)*'Unit Distribution'!$B$4,0))-K35-K36</f>
        <v>1</v>
      </c>
      <c r="L37" s="14">
        <f>(ROUND((VLOOKUP($E35,RLS!$C$32:$BK$36,MATCH(L$2,RLS!$C$25:$BK$25,0),FALSE)-L$40)*'Unit Distribution'!$B$4,0))-L35-L36</f>
        <v>1</v>
      </c>
      <c r="M37" s="14">
        <f>(ROUND((VLOOKUP($E35,RLS!$C$32:$BK$36,MATCH(M$2,RLS!$C$25:$BK$25,0),FALSE)-M$40)*'Unit Distribution'!$B$4,0))-M35-M36</f>
        <v>1</v>
      </c>
      <c r="N37" s="14">
        <f>(ROUND((VLOOKUP($E35,RLS!$C$32:$BK$36,MATCH(N$2,RLS!$C$25:$BK$25,0),FALSE)-N$40)*'Unit Distribution'!$B$4,0))-N35-N36</f>
        <v>1</v>
      </c>
      <c r="O37" s="14">
        <f>(ROUND((VLOOKUP($E35,RLS!$C$32:$BK$36,MATCH(O$2,RLS!$C$25:$BK$25,0),FALSE)-O$40)*'Unit Distribution'!$B$4,0))-O35-O36</f>
        <v>1</v>
      </c>
      <c r="P37" s="14">
        <f>(ROUND((VLOOKUP($E35,RLS!$C$32:$BK$36,MATCH(P$2,RLS!$C$25:$BK$25,0),FALSE)-P$40)*'Unit Distribution'!$B$4,0))-P35-P36</f>
        <v>1</v>
      </c>
      <c r="Q37" s="14">
        <f>(ROUND((VLOOKUP($E35,RLS!$C$32:$BK$36,MATCH(Q$2,RLS!$C$25:$BK$25,0),FALSE)-Q$40)*'Unit Distribution'!$B$4,0))-Q35-Q36</f>
        <v>1</v>
      </c>
      <c r="R37" s="14">
        <f>(ROUND((VLOOKUP($E35,RLS!$C$32:$BK$36,MATCH(R$2,RLS!$C$25:$BK$25,0),FALSE)-R$40)*'Unit Distribution'!$B$4,0))-R35-R36</f>
        <v>1</v>
      </c>
      <c r="S37" s="14">
        <f>(ROUND((VLOOKUP($E35,RLS!$C$32:$BK$36,MATCH(S$2,RLS!$C$25:$BK$25,0),FALSE)-S$40)*'Unit Distribution'!$C$4,0))-S35-S36</f>
        <v>1</v>
      </c>
      <c r="T37" s="14">
        <f>(ROUND((VLOOKUP($E35,RLS!$C$32:$BK$36,MATCH(T$2,RLS!$C$25:$BK$25,0),FALSE)-T$40)*'Unit Distribution'!$C$4,0))-T35-T36</f>
        <v>1</v>
      </c>
      <c r="U37" s="14">
        <f>(ROUND((VLOOKUP($E35,RLS!$C$32:$BK$36,MATCH(U$2,RLS!$C$25:$BK$25,0),FALSE)-U$40)*'Unit Distribution'!$C$4,0))-U35-U36</f>
        <v>1</v>
      </c>
      <c r="V37" s="14">
        <f>(ROUND((VLOOKUP($E35,RLS!$C$32:$BK$36,MATCH(V$2,RLS!$C$25:$BK$25,0),FALSE)-V$40)*'Unit Distribution'!$C$4,0))-V35-V36</f>
        <v>1</v>
      </c>
      <c r="W37" s="14">
        <f>(ROUND((VLOOKUP($E35,RLS!$C$32:$BK$36,MATCH(W$2,RLS!$C$25:$BK$25,0),FALSE)-W$40)*'Unit Distribution'!$C$4,0))-W35-W36</f>
        <v>1</v>
      </c>
      <c r="X37" s="14">
        <f>(ROUND((VLOOKUP($E35,RLS!$C$32:$BK$36,MATCH(X$2,RLS!$C$25:$BK$25,0),FALSE)-X$40)*'Unit Distribution'!$C$4,0))-X35-X36</f>
        <v>1</v>
      </c>
      <c r="Y37" s="14">
        <f>(ROUND((VLOOKUP($E35,RLS!$C$32:$BK$36,MATCH(Y$2,RLS!$C$25:$BK$25,0),FALSE)-Y$40)*'Unit Distribution'!$C$4,0))-Y35-Y36</f>
        <v>1</v>
      </c>
      <c r="Z37" s="14">
        <f>(ROUND((VLOOKUP($E35,RLS!$C$32:$BK$36,MATCH(Z$2,RLS!$C$25:$BK$25,0),FALSE)-Z$40)*'Unit Distribution'!$C$4,0))-Z35-Z36</f>
        <v>1</v>
      </c>
      <c r="AA37" s="14">
        <f>(ROUND((VLOOKUP($E35,RLS!$C$32:$BK$36,MATCH(AA$2,RLS!$C$25:$BK$25,0),FALSE)-AA$40)*'Unit Distribution'!$C$4,0))-AA35-AA36</f>
        <v>1</v>
      </c>
      <c r="AB37" s="14">
        <f>(ROUND((VLOOKUP($E35,RLS!$C$32:$BK$36,MATCH(AB$2,RLS!$C$25:$BK$25,0),FALSE)-AB$40)*'Unit Distribution'!$C$4,0))-AB35-AB36</f>
        <v>1</v>
      </c>
      <c r="AC37" s="14">
        <f>(ROUND((VLOOKUP($E35,RLS!$C$32:$BK$36,MATCH(AC$2,RLS!$C$25:$BK$25,0),FALSE)-AC$40)*'Unit Distribution'!$C$4,0))-AC35-AC36</f>
        <v>1</v>
      </c>
      <c r="AD37" s="14">
        <f>(ROUND((VLOOKUP($E35,RLS!$C$32:$BK$36,MATCH(AD$2,RLS!$C$25:$BK$25,0),FALSE)-AD$40)*'Unit Distribution'!$C$4,0))-AD35-AD36</f>
        <v>1</v>
      </c>
      <c r="AE37" s="14">
        <f>(ROUND((VLOOKUP($E35,RLS!$C$32:$BK$36,MATCH(AE$2,RLS!$C$25:$BK$25,0),FALSE)-AE$40)*'Unit Distribution'!$D$4,0))-AE35-AE36</f>
        <v>1</v>
      </c>
      <c r="AF37" s="14">
        <f>(ROUND((VLOOKUP($E35,RLS!$C$32:$BK$36,MATCH(AF$2,RLS!$C$25:$BK$25,0),FALSE)-AF$40)*'Unit Distribution'!$D$4,0))-AF35-AF36</f>
        <v>1</v>
      </c>
      <c r="AG37" s="14">
        <f>(ROUND((VLOOKUP($E35,RLS!$C$32:$BK$36,MATCH(AG$2,RLS!$C$25:$BK$25,0),FALSE)-AG$40)*'Unit Distribution'!$D$4,0))-AG35-AG36</f>
        <v>1</v>
      </c>
      <c r="AH37" s="14">
        <f>(ROUND((VLOOKUP($E35,RLS!$C$32:$BK$36,MATCH(AH$2,RLS!$C$25:$BK$25,0),FALSE)-AH$40)*'Unit Distribution'!$D$4,0))-AH35-AH36</f>
        <v>1</v>
      </c>
      <c r="AI37" s="14">
        <f>(ROUND((VLOOKUP($E35,RLS!$C$32:$BK$36,MATCH(AI$2,RLS!$C$25:$BK$25,0),FALSE)-AI$40)*'Unit Distribution'!$D$4,0))-AI35-AI36</f>
        <v>1</v>
      </c>
      <c r="AJ37" s="14">
        <f>(ROUND((VLOOKUP($E35,RLS!$C$32:$BK$36,MATCH(AJ$2,RLS!$C$25:$BK$25,0),FALSE)-AJ$40)*'Unit Distribution'!$D$4,0))-AJ35-AJ36</f>
        <v>1</v>
      </c>
      <c r="AK37" s="14">
        <f>(ROUND((VLOOKUP($E35,RLS!$C$32:$BK$36,MATCH(AK$2,RLS!$C$25:$BK$25,0),FALSE)-AK$40)*'Unit Distribution'!$D$4,0))-AK35-AK36</f>
        <v>1</v>
      </c>
      <c r="AL37" s="14">
        <f>(ROUND((VLOOKUP($E35,RLS!$C$32:$BK$36,MATCH(AL$2,RLS!$C$25:$BK$25,0),FALSE)-AL$40)*'Unit Distribution'!$D$4,0))-AL35-AL36</f>
        <v>1</v>
      </c>
      <c r="AM37" s="14">
        <f>(ROUND((VLOOKUP($E35,RLS!$C$32:$BK$36,MATCH(AM$2,RLS!$C$25:$BK$25,0),FALSE)-AM$40)*'Unit Distribution'!$D$4,0))-AM35-AM36</f>
        <v>1</v>
      </c>
      <c r="AN37" s="14">
        <f>(ROUND((VLOOKUP($E35,RLS!$C$32:$BK$36,MATCH(AN$2,RLS!$C$25:$BK$25,0),FALSE)-AN$40)*'Unit Distribution'!$D$4,0))-AN35-AN36</f>
        <v>1</v>
      </c>
      <c r="AO37" s="14">
        <f>(ROUND((VLOOKUP($E35,RLS!$C$32:$BK$36,MATCH(AO$2,RLS!$C$25:$BK$25,0),FALSE)-AO$40)*'Unit Distribution'!$D$4,0))-AO35-AO36</f>
        <v>1</v>
      </c>
      <c r="AP37" s="14">
        <f>(ROUND((VLOOKUP($E35,RLS!$C$32:$BK$36,MATCH(AP$2,RLS!$C$25:$BK$25,0),FALSE)-AP$40)*'Unit Distribution'!$D$4,0))-AP35-AP36</f>
        <v>1</v>
      </c>
      <c r="AQ37">
        <f>(ROUND((VLOOKUP($E35,RLS!$C$32:$BK$36,MATCH(AQ$2,RLS!$C$25:$BK$25,0),FALSE)-AQ$40)*'Unit Distribution'!$E$4,0))-AQ35-AQ36</f>
        <v>0</v>
      </c>
      <c r="AR37">
        <f>(ROUND((VLOOKUP($E35,RLS!$C$32:$BK$36,MATCH(AR$2,RLS!$C$25:$BK$25,0),FALSE)-AR$40)*'Unit Distribution'!$E$4,0))-AR35-AR36</f>
        <v>0</v>
      </c>
      <c r="AS37">
        <f>(ROUND((VLOOKUP($E35,RLS!$C$32:$BK$36,MATCH(AS$2,RLS!$C$25:$BK$25,0),FALSE)-AS$40)*'Unit Distribution'!$E$4,0))-AS35-AS36</f>
        <v>0</v>
      </c>
      <c r="AT37">
        <f>(ROUND((VLOOKUP($E35,RLS!$C$32:$BK$36,MATCH(AT$2,RLS!$C$25:$BK$25,0),FALSE)-AT$40)*'Unit Distribution'!$E$4,0))-AT35-AT36</f>
        <v>0</v>
      </c>
      <c r="AU37">
        <f>(ROUND((VLOOKUP($E35,RLS!$C$32:$BK$36,MATCH(AU$2,RLS!$C$25:$BK$25,0),FALSE)-AU$40)*'Unit Distribution'!$E$4,0))-AU35-AU36</f>
        <v>0</v>
      </c>
      <c r="AV37">
        <f>(ROUND((VLOOKUP($E35,RLS!$C$32:$BK$36,MATCH(AV$2,RLS!$C$25:$BK$25,0),FALSE)-AV$40)*'Unit Distribution'!$E$4,0))-AV35-AV36</f>
        <v>0</v>
      </c>
      <c r="AW37">
        <f>(ROUND((VLOOKUP($E35,RLS!$C$32:$BK$36,MATCH(AW$2,RLS!$C$25:$BK$25,0),FALSE)-AW$40)*'Unit Distribution'!$E$4,0))-AW35-AW36</f>
        <v>0</v>
      </c>
      <c r="AX37">
        <f>(ROUND((VLOOKUP($E35,RLS!$C$32:$BK$36,MATCH(AX$2,RLS!$C$25:$BK$25,0),FALSE)-AX$40)*'Unit Distribution'!$E$4,0))-AX35-AX36</f>
        <v>0</v>
      </c>
      <c r="AY37">
        <f>(ROUND((VLOOKUP($E35,RLS!$C$32:$BK$36,MATCH(AY$2,RLS!$C$25:$BK$25,0),FALSE)-AY$40)*'Unit Distribution'!$E$4,0))-AY35-AY36</f>
        <v>0</v>
      </c>
      <c r="AZ37">
        <f>(ROUND((VLOOKUP($E35,RLS!$C$32:$BK$36,MATCH(AZ$2,RLS!$C$25:$BK$25,0),FALSE)-AZ$40)*'Unit Distribution'!$E$4,0))-AZ35-AZ36</f>
        <v>0</v>
      </c>
      <c r="BA37">
        <f>(ROUND((VLOOKUP($E35,RLS!$C$32:$BK$36,MATCH(BA$2,RLS!$C$25:$BK$25,0),FALSE)-BA$40)*'Unit Distribution'!$E$4,0))-BA35-BA36</f>
        <v>0</v>
      </c>
      <c r="BB37">
        <f>(ROUND((VLOOKUP($E35,RLS!$C$32:$BK$36,MATCH(BB$2,RLS!$C$25:$BK$25,0),FALSE)-BB$40)*'Unit Distribution'!$E$4,0))-BB35-BB36</f>
        <v>0</v>
      </c>
      <c r="BC37">
        <f>(ROUND((VLOOKUP($E35,RLS!$C$32:$BK$36,MATCH(BC$2,RLS!$C$25:$BK$25,0),FALSE)-BC$40)*'Unit Distribution'!$F$4,0))-BC35-BC36</f>
        <v>0</v>
      </c>
      <c r="BD37">
        <f>(ROUND((VLOOKUP($E35,RLS!$C$32:$BK$36,MATCH(BD$2,RLS!$C$25:$BK$25,0),FALSE)-BD$40)*'Unit Distribution'!$F$4,0))-BD35-BD36</f>
        <v>0</v>
      </c>
      <c r="BE37">
        <f>(ROUND((VLOOKUP($E35,RLS!$C$32:$BK$36,MATCH(BE$2,RLS!$C$25:$BK$25,0),FALSE)-BE$40)*'Unit Distribution'!$F$4,0))-BE35-BE36</f>
        <v>0</v>
      </c>
      <c r="BF37">
        <f>(ROUND((VLOOKUP($E35,RLS!$C$32:$BK$36,MATCH(BF$2,RLS!$C$25:$BK$25,0),FALSE)-BF$40)*'Unit Distribution'!$F$4,0))-BF35-BF36</f>
        <v>0</v>
      </c>
      <c r="BG37">
        <f>(ROUND((VLOOKUP($E35,RLS!$C$32:$BK$36,MATCH(BG$2,RLS!$C$25:$BK$25,0),FALSE)-BG$40)*'Unit Distribution'!$F$4,0))-BG35-BG36</f>
        <v>0</v>
      </c>
      <c r="BH37">
        <f>(ROUND((VLOOKUP($E35,RLS!$C$32:$BK$36,MATCH(BH$2,RLS!$C$25:$BK$25,0),FALSE)-BH$40)*'Unit Distribution'!$F$4,0))-BH35-BH36</f>
        <v>0</v>
      </c>
      <c r="BI37">
        <f>(ROUND((VLOOKUP($E35,RLS!$C$32:$BK$36,MATCH(BI$2,RLS!$C$25:$BK$25,0),FALSE)-BI$40)*'Unit Distribution'!$F$4,0))-BI35-BI36</f>
        <v>0</v>
      </c>
      <c r="BJ37">
        <f>(ROUND((VLOOKUP($E35,RLS!$C$32:$BK$36,MATCH(BJ$2,RLS!$C$25:$BK$25,0),FALSE)-BJ$40)*'Unit Distribution'!$F$4,0))-BJ35-BJ36</f>
        <v>0</v>
      </c>
      <c r="BK37">
        <f>(ROUND((VLOOKUP($E35,RLS!$C$32:$BK$36,MATCH(BK$2,RLS!$C$25:$BK$25,0),FALSE)-BK$40)*'Unit Distribution'!$F$4,0))-BK35-BK36</f>
        <v>0</v>
      </c>
      <c r="BL37">
        <f>(ROUND((VLOOKUP($E35,RLS!$C$32:$BK$36,MATCH(BL$2,RLS!$C$25:$BK$25,0),FALSE)-BL$40)*'Unit Distribution'!$F$4,0))-BL35-BL36</f>
        <v>0</v>
      </c>
      <c r="BM37">
        <f>(ROUND((VLOOKUP($E35,RLS!$C$32:$BK$36,MATCH(BM$2,RLS!$C$25:$BK$25,0),FALSE)-BM$40)*'Unit Distribution'!$F$4,0))-BM35-BM36</f>
        <v>0</v>
      </c>
      <c r="BN37">
        <f>(ROUND((VLOOKUP($E35,RLS!$C$32:$BK$36,MATCH(BN$2,RLS!$C$25:$BK$25,0),FALSE)-BN$40)*'Unit Distribution'!$F$4,0))-BN35-BN36</f>
        <v>0</v>
      </c>
    </row>
    <row r="38" spans="1:66" x14ac:dyDescent="0.35">
      <c r="A38" t="s">
        <v>72</v>
      </c>
      <c r="B38" t="s">
        <v>66</v>
      </c>
      <c r="C38" t="s">
        <v>112</v>
      </c>
      <c r="D38" t="s">
        <v>80</v>
      </c>
      <c r="E38" t="str">
        <f t="shared" si="1"/>
        <v>TesterOnsite</v>
      </c>
      <c r="F38" t="s">
        <v>70</v>
      </c>
      <c r="G38" s="14">
        <f>MIN(2,((VLOOKUP($E38,RLS!$C$32:$BK$36,MATCH(G$2,RLS!$C$25:$BK$25,0),FALSE)-G$40)-(G32+G33)-G34-(G35+G36+G37)))</f>
        <v>2</v>
      </c>
      <c r="H38" s="14">
        <f>MIN(2,((VLOOKUP($E38,RLS!$C$32:$BK$36,MATCH(H$2,RLS!$C$25:$BK$25,0),FALSE)-H$40)-(H32+H33)-H34-(H35+H36+H37)))</f>
        <v>2</v>
      </c>
      <c r="I38" s="14">
        <f>MIN(2,((VLOOKUP($E38,RLS!$C$32:$BK$36,MATCH(I$2,RLS!$C$25:$BK$25,0),FALSE)-I$40)-(I32+I33)-I34-(I35+I36+I37)))</f>
        <v>2</v>
      </c>
      <c r="J38" s="14">
        <f>MIN(2,((VLOOKUP($E38,RLS!$C$32:$BK$36,MATCH(J$2,RLS!$C$25:$BK$25,0),FALSE)-J$40)-(J32+J33)-J34-(J35+J36+J37)))</f>
        <v>2</v>
      </c>
      <c r="K38" s="14">
        <f>MIN(2,((VLOOKUP($E38,RLS!$C$32:$BK$36,MATCH(K$2,RLS!$C$25:$BK$25,0),FALSE)-K$40)-(K32+K33)-K34-(K35+K36+K37)))</f>
        <v>2</v>
      </c>
      <c r="L38" s="14">
        <f>MIN(2,((VLOOKUP($E38,RLS!$C$32:$BK$36,MATCH(L$2,RLS!$C$25:$BK$25,0),FALSE)-L$40)-(L32+L33)-L34-(L35+L36+L37)))</f>
        <v>2</v>
      </c>
      <c r="M38" s="14">
        <f>MIN(2,((VLOOKUP($E38,RLS!$C$32:$BK$36,MATCH(M$2,RLS!$C$25:$BK$25,0),FALSE)-M$40)-(M32+M33)-M34-(M35+M36+M37)))</f>
        <v>2</v>
      </c>
      <c r="N38" s="14">
        <f>MIN(2,((VLOOKUP($E38,RLS!$C$32:$BK$36,MATCH(N$2,RLS!$C$25:$BK$25,0),FALSE)-N$40)-(N32+N33)-N34-(N35+N36+N37)))</f>
        <v>2</v>
      </c>
      <c r="O38" s="14">
        <f>MIN(2,((VLOOKUP($E38,RLS!$C$32:$BK$36,MATCH(O$2,RLS!$C$25:$BK$25,0),FALSE)-O$40)-(O32+O33)-O34-(O35+O36+O37)))</f>
        <v>2</v>
      </c>
      <c r="P38" s="14">
        <f>MIN(2,((VLOOKUP($E38,RLS!$C$32:$BK$36,MATCH(P$2,RLS!$C$25:$BK$25,0),FALSE)-P$40)-(P32+P33)-P34-(P35+P36+P37)))</f>
        <v>2</v>
      </c>
      <c r="Q38" s="14">
        <f>MIN(2,((VLOOKUP($E38,RLS!$C$32:$BK$36,MATCH(Q$2,RLS!$C$25:$BK$25,0),FALSE)-Q$40)-(Q32+Q33)-Q34-(Q35+Q36+Q37)))</f>
        <v>2</v>
      </c>
      <c r="R38" s="14">
        <f>MIN(2,((VLOOKUP($E38,RLS!$C$32:$BK$36,MATCH(R$2,RLS!$C$25:$BK$25,0),FALSE)-R$40)-(R32+R33)-R34-(R35+R36+R37)))</f>
        <v>2</v>
      </c>
      <c r="S38" s="14">
        <f>MIN(1,((VLOOKUP($E38,RLS!$C$32:$BK$36,MATCH(S$2,RLS!$C$25:$BK$25,0),FALSE)-S$40)-(S32+S33)-S34-(S35+S36+S37)))</f>
        <v>1</v>
      </c>
      <c r="T38" s="14">
        <f>MIN(1,((VLOOKUP($E38,RLS!$C$32:$BK$36,MATCH(T$2,RLS!$C$25:$BK$25,0),FALSE)-T$40)-(T32+T33)-T34-(T35+T36+T37)))</f>
        <v>1</v>
      </c>
      <c r="U38" s="14">
        <f>MIN(1,((VLOOKUP($E38,RLS!$C$32:$BK$36,MATCH(U$2,RLS!$C$25:$BK$25,0),FALSE)-U$40)-(U32+U33)-U34-(U35+U36+U37)))</f>
        <v>1</v>
      </c>
      <c r="V38" s="14">
        <f>MIN(1,((VLOOKUP($E38,RLS!$C$32:$BK$36,MATCH(V$2,RLS!$C$25:$BK$25,0),FALSE)-V$40)-(V32+V33)-V34-(V35+V36+V37)))</f>
        <v>1</v>
      </c>
      <c r="W38" s="14">
        <f>MIN(1,((VLOOKUP($E38,RLS!$C$32:$BK$36,MATCH(W$2,RLS!$C$25:$BK$25,0),FALSE)-W$40)-(W32+W33)-W34-(W35+W36+W37)))</f>
        <v>1</v>
      </c>
      <c r="X38" s="14">
        <f>MIN(1,((VLOOKUP($E38,RLS!$C$32:$BK$36,MATCH(X$2,RLS!$C$25:$BK$25,0),FALSE)-X$40)-(X32+X33)-X34-(X35+X36+X37)))</f>
        <v>1</v>
      </c>
      <c r="Y38" s="14">
        <f>MIN(1,((VLOOKUP($E38,RLS!$C$32:$BK$36,MATCH(Y$2,RLS!$C$25:$BK$25,0),FALSE)-Y$40)-(Y32+Y33)-Y34-(Y35+Y36+Y37)))</f>
        <v>1</v>
      </c>
      <c r="Z38" s="14">
        <f>MIN(1,((VLOOKUP($E38,RLS!$C$32:$BK$36,MATCH(Z$2,RLS!$C$25:$BK$25,0),FALSE)-Z$40)-(Z32+Z33)-Z34-(Z35+Z36+Z37)))</f>
        <v>1</v>
      </c>
      <c r="AA38" s="14">
        <f>MIN(1,((VLOOKUP($E38,RLS!$C$32:$BK$36,MATCH(AA$2,RLS!$C$25:$BK$25,0),FALSE)-AA$40)-(AA32+AA33)-AA34-(AA35+AA36+AA37)))</f>
        <v>1</v>
      </c>
      <c r="AB38" s="14">
        <f>MIN(1,((VLOOKUP($E38,RLS!$C$32:$BK$36,MATCH(AB$2,RLS!$C$25:$BK$25,0),FALSE)-AB$40)-(AB32+AB33)-AB34-(AB35+AB36+AB37)))</f>
        <v>1</v>
      </c>
      <c r="AC38" s="14">
        <f>MIN(1,((VLOOKUP($E38,RLS!$C$32:$BK$36,MATCH(AC$2,RLS!$C$25:$BK$25,0),FALSE)-AC$40)-(AC32+AC33)-AC34-(AC35+AC36+AC37)))</f>
        <v>1</v>
      </c>
      <c r="AD38" s="14">
        <f>MIN(1,((VLOOKUP($E38,RLS!$C$32:$BK$36,MATCH(AD$2,RLS!$C$25:$BK$25,0),FALSE)-AD$40)-(AD32+AD33)-AD34-(AD35+AD36+AD37)))</f>
        <v>1</v>
      </c>
      <c r="AE38" s="14">
        <f>MIN(0,((VLOOKUP($E38,RLS!$C$32:$BK$36,MATCH(AE$2,RLS!$C$25:$BK$25,0),FALSE)-AE$40)-(AE32+AE33)-AE34-(AE35+AE36+AE37)))</f>
        <v>0</v>
      </c>
      <c r="AF38" s="14">
        <f>MIN(0,((VLOOKUP($E38,RLS!$C$32:$BK$36,MATCH(AF$2,RLS!$C$25:$BK$25,0),FALSE)-AF$40)-(AF32+AF33)-AF34-(AF35+AF36+AF37)))</f>
        <v>0</v>
      </c>
      <c r="AG38" s="14">
        <f>MIN(0,((VLOOKUP($E38,RLS!$C$32:$BK$36,MATCH(AG$2,RLS!$C$25:$BK$25,0),FALSE)-AG$40)-(AG32+AG33)-AG34-(AG35+AG36+AG37)))</f>
        <v>0</v>
      </c>
      <c r="AH38" s="14">
        <f>MIN(0,((VLOOKUP($E38,RLS!$C$32:$BK$36,MATCH(AH$2,RLS!$C$25:$BK$25,0),FALSE)-AH$40)-(AH32+AH33)-AH34-(AH35+AH36+AH37)))</f>
        <v>0</v>
      </c>
      <c r="AI38" s="14">
        <f>MIN(0,((VLOOKUP($E38,RLS!$C$32:$BK$36,MATCH(AI$2,RLS!$C$25:$BK$25,0),FALSE)-AI$40)-(AI32+AI33)-AI34-(AI35+AI36+AI37)))</f>
        <v>0</v>
      </c>
      <c r="AJ38" s="14">
        <f>MIN(0,((VLOOKUP($E38,RLS!$C$32:$BK$36,MATCH(AJ$2,RLS!$C$25:$BK$25,0),FALSE)-AJ$40)-(AJ32+AJ33)-AJ34-(AJ35+AJ36+AJ37)))</f>
        <v>0</v>
      </c>
      <c r="AK38" s="14">
        <f>MIN(0,((VLOOKUP($E38,RLS!$C$32:$BK$36,MATCH(AK$2,RLS!$C$25:$BK$25,0),FALSE)-AK$40)-(AK32+AK33)-AK34-(AK35+AK36+AK37)))</f>
        <v>0</v>
      </c>
      <c r="AL38" s="14">
        <f>MIN(0,((VLOOKUP($E38,RLS!$C$32:$BK$36,MATCH(AL$2,RLS!$C$25:$BK$25,0),FALSE)-AL$40)-(AL32+AL33)-AL34-(AL35+AL36+AL37)))</f>
        <v>0</v>
      </c>
      <c r="AM38" s="14">
        <f>MIN(0,((VLOOKUP($E38,RLS!$C$32:$BK$36,MATCH(AM$2,RLS!$C$25:$BK$25,0),FALSE)-AM$40)-(AM32+AM33)-AM34-(AM35+AM36+AM37)))</f>
        <v>0</v>
      </c>
      <c r="AN38" s="14">
        <f>MIN(0,((VLOOKUP($E38,RLS!$C$32:$BK$36,MATCH(AN$2,RLS!$C$25:$BK$25,0),FALSE)-AN$40)-(AN32+AN33)-AN34-(AN35+AN36+AN37)))</f>
        <v>0</v>
      </c>
      <c r="AO38" s="14">
        <f>MIN(0,((VLOOKUP($E38,RLS!$C$32:$BK$36,MATCH(AO$2,RLS!$C$25:$BK$25,0),FALSE)-AO$40)-(AO32+AO33)-AO34-(AO35+AO36+AO37)))</f>
        <v>0</v>
      </c>
      <c r="AP38" s="14">
        <f>MIN(0,((VLOOKUP($E38,RLS!$C$32:$BK$36,MATCH(AP$2,RLS!$C$25:$BK$25,0),FALSE)-AP$40)-(AP32+AP33)-AP34-(AP35+AP36+AP37)))</f>
        <v>0</v>
      </c>
      <c r="AQ38">
        <f>MIN(0,(ROUND((VLOOKUP($E38,RLS!$C$32:$BK$36,MATCH(AQ$2,RLS!$C$25:$BK$25,0),FALSE)-AQ$40)*'Unit Distribution'!$E$5,0)))</f>
        <v>0</v>
      </c>
      <c r="AR38">
        <f>MIN(0,(ROUND((VLOOKUP($E38,RLS!$C$32:$BK$36,MATCH(AR$2,RLS!$C$25:$BK$25,0),FALSE)-AR$40)*'Unit Distribution'!$E$5,0)))</f>
        <v>0</v>
      </c>
      <c r="AS38">
        <f>MIN(0,(ROUND((VLOOKUP($E38,RLS!$C$32:$BK$36,MATCH(AS$2,RLS!$C$25:$BK$25,0),FALSE)-AS$40)*'Unit Distribution'!$E$5,0)))</f>
        <v>0</v>
      </c>
      <c r="AT38">
        <f>MIN(0,(ROUND((VLOOKUP($E38,RLS!$C$32:$BK$36,MATCH(AT$2,RLS!$C$25:$BK$25,0),FALSE)-AT$40)*'Unit Distribution'!$E$5,0)))</f>
        <v>0</v>
      </c>
      <c r="AU38">
        <f>MIN(0,(ROUND((VLOOKUP($E38,RLS!$C$32:$BK$36,MATCH(AU$2,RLS!$C$25:$BK$25,0),FALSE)-AU$40)*'Unit Distribution'!$E$5,0)))</f>
        <v>0</v>
      </c>
      <c r="AV38">
        <f>MIN(0,(ROUND((VLOOKUP($E38,RLS!$C$32:$BK$36,MATCH(AV$2,RLS!$C$25:$BK$25,0),FALSE)-AV$40)*'Unit Distribution'!$E$5,0)))</f>
        <v>0</v>
      </c>
      <c r="AW38">
        <f>MIN(0,(ROUND((VLOOKUP($E38,RLS!$C$32:$BK$36,MATCH(AW$2,RLS!$C$25:$BK$25,0),FALSE)-AW$40)*'Unit Distribution'!$E$5,0)))</f>
        <v>0</v>
      </c>
      <c r="AX38">
        <f>MIN(0,(ROUND((VLOOKUP($E38,RLS!$C$32:$BK$36,MATCH(AX$2,RLS!$C$25:$BK$25,0),FALSE)-AX$40)*'Unit Distribution'!$E$5,0)))</f>
        <v>0</v>
      </c>
      <c r="AY38">
        <f>MIN(0,(ROUND((VLOOKUP($E38,RLS!$C$32:$BK$36,MATCH(AY$2,RLS!$C$25:$BK$25,0),FALSE)-AY$40)*'Unit Distribution'!$E$5,0)))</f>
        <v>0</v>
      </c>
      <c r="AZ38">
        <f>MIN(0,(ROUND((VLOOKUP($E38,RLS!$C$32:$BK$36,MATCH(AZ$2,RLS!$C$25:$BK$25,0),FALSE)-AZ$40)*'Unit Distribution'!$E$5,0)))</f>
        <v>0</v>
      </c>
      <c r="BA38">
        <f>MIN(0,(ROUND((VLOOKUP($E38,RLS!$C$32:$BK$36,MATCH(BA$2,RLS!$C$25:$BK$25,0),FALSE)-BA$40)*'Unit Distribution'!$E$5,0)))</f>
        <v>0</v>
      </c>
      <c r="BB38">
        <f>MIN(0,(ROUND((VLOOKUP($E38,RLS!$C$32:$BK$36,MATCH(BB$2,RLS!$C$25:$BK$25,0),FALSE)-BB$40)*'Unit Distribution'!$E$5,0)))</f>
        <v>0</v>
      </c>
      <c r="BC38">
        <f>MIN(0,(ROUND((VLOOKUP($E38,RLS!$C$32:$BK$36,MATCH(BC$2,RLS!$C$25:$BK$25,0),FALSE)-BC$40)*'Unit Distribution'!$F$5,0)))</f>
        <v>0</v>
      </c>
      <c r="BD38">
        <f>MIN(0,(ROUND((VLOOKUP($E38,RLS!$C$32:$BK$36,MATCH(BD$2,RLS!$C$25:$BK$25,0),FALSE)-BD$40)*'Unit Distribution'!$F$5,0)))</f>
        <v>0</v>
      </c>
      <c r="BE38">
        <f>MIN(0,(ROUND((VLOOKUP($E38,RLS!$C$32:$BK$36,MATCH(BE$2,RLS!$C$25:$BK$25,0),FALSE)-BE$40)*'Unit Distribution'!$F$5,0)))</f>
        <v>0</v>
      </c>
      <c r="BF38">
        <f>MIN(0,(ROUND((VLOOKUP($E38,RLS!$C$32:$BK$36,MATCH(BF$2,RLS!$C$25:$BK$25,0),FALSE)-BF$40)*'Unit Distribution'!$F$5,0)))</f>
        <v>0</v>
      </c>
      <c r="BG38">
        <f>MIN(0,(ROUND((VLOOKUP($E38,RLS!$C$32:$BK$36,MATCH(BG$2,RLS!$C$25:$BK$25,0),FALSE)-BG$40)*'Unit Distribution'!$F$5,0)))</f>
        <v>0</v>
      </c>
      <c r="BH38">
        <f>MIN(0,(ROUND((VLOOKUP($E38,RLS!$C$32:$BK$36,MATCH(BH$2,RLS!$C$25:$BK$25,0),FALSE)-BH$40)*'Unit Distribution'!$F$5,0)))</f>
        <v>0</v>
      </c>
      <c r="BI38">
        <f>MIN(0,(ROUND((VLOOKUP($E38,RLS!$C$32:$BK$36,MATCH(BI$2,RLS!$C$25:$BK$25,0),FALSE)-BI$40)*'Unit Distribution'!$F$5,0)))</f>
        <v>0</v>
      </c>
      <c r="BJ38">
        <f>MIN(0,(ROUND((VLOOKUP($E38,RLS!$C$32:$BK$36,MATCH(BJ$2,RLS!$C$25:$BK$25,0),FALSE)-BJ$40)*'Unit Distribution'!$F$5,0)))</f>
        <v>0</v>
      </c>
      <c r="BK38">
        <f>MIN(0,(ROUND((VLOOKUP($E38,RLS!$C$32:$BK$36,MATCH(BK$2,RLS!$C$25:$BK$25,0),FALSE)-BK$40)*'Unit Distribution'!$F$5,0)))</f>
        <v>0</v>
      </c>
      <c r="BL38">
        <f>MIN(0,(ROUND((VLOOKUP($E38,RLS!$C$32:$BK$36,MATCH(BL$2,RLS!$C$25:$BK$25,0),FALSE)-BL$40)*'Unit Distribution'!$F$5,0)))</f>
        <v>0</v>
      </c>
      <c r="BM38">
        <f>MIN(0,(ROUND((VLOOKUP($E38,RLS!$C$32:$BK$36,MATCH(BM$2,RLS!$C$25:$BK$25,0),FALSE)-BM$40)*'Unit Distribution'!$F$5,0)))</f>
        <v>0</v>
      </c>
      <c r="BN38">
        <f>MIN(0,(ROUND((VLOOKUP($E38,RLS!$C$32:$BK$36,MATCH(BN$2,RLS!$C$25:$BK$25,0),FALSE)-BN$40)*'Unit Distribution'!$F$5,0)))</f>
        <v>0</v>
      </c>
    </row>
    <row r="39" spans="1:66" x14ac:dyDescent="0.35">
      <c r="A39" t="s">
        <v>72</v>
      </c>
      <c r="B39" t="s">
        <v>81</v>
      </c>
      <c r="C39" t="s">
        <v>112</v>
      </c>
      <c r="D39" t="s">
        <v>80</v>
      </c>
      <c r="E39" t="str">
        <f t="shared" si="1"/>
        <v>TesterOnsite</v>
      </c>
      <c r="F39" t="s">
        <v>70</v>
      </c>
      <c r="G39" s="14">
        <f>((VLOOKUP($E38,RLS!$C$32:$BK$36,MATCH(G$2,RLS!$C$25:$BK$25,0),FALSE)-G$40)-(G32+G33)-G34-(G35+G36+G37))-G38</f>
        <v>2</v>
      </c>
      <c r="H39" s="14">
        <f>((VLOOKUP($E38,RLS!$C$32:$BK$36,MATCH(H$2,RLS!$C$25:$BK$25,0),FALSE)-H$40)-(H32+H33)-H34-(H35+H36+H37))-H38</f>
        <v>2</v>
      </c>
      <c r="I39" s="14">
        <f>((VLOOKUP($E38,RLS!$C$32:$BK$36,MATCH(I$2,RLS!$C$25:$BK$25,0),FALSE)-I$40)-(I32+I33)-I34-(I35+I36+I37))-I38</f>
        <v>2</v>
      </c>
      <c r="J39" s="14">
        <f>((VLOOKUP($E38,RLS!$C$32:$BK$36,MATCH(J$2,RLS!$C$25:$BK$25,0),FALSE)-J$40)-(J32+J33)-J34-(J35+J36+J37))-J38</f>
        <v>2</v>
      </c>
      <c r="K39" s="14">
        <f>((VLOOKUP($E38,RLS!$C$32:$BK$36,MATCH(K$2,RLS!$C$25:$BK$25,0),FALSE)-K$40)-(K32+K33)-K34-(K35+K36+K37))-K38</f>
        <v>2</v>
      </c>
      <c r="L39" s="14">
        <f>((VLOOKUP($E38,RLS!$C$32:$BK$36,MATCH(L$2,RLS!$C$25:$BK$25,0),FALSE)-L$40)-(L32+L33)-L34-(L35+L36+L37))-L38</f>
        <v>2</v>
      </c>
      <c r="M39" s="14">
        <f>((VLOOKUP($E38,RLS!$C$32:$BK$36,MATCH(M$2,RLS!$C$25:$BK$25,0),FALSE)-M$40)-(M32+M33)-M34-(M35+M36+M37))-M38</f>
        <v>2</v>
      </c>
      <c r="N39" s="14">
        <f>((VLOOKUP($E38,RLS!$C$32:$BK$36,MATCH(N$2,RLS!$C$25:$BK$25,0),FALSE)-N$40)-(N32+N33)-N34-(N35+N36+N37))-N38</f>
        <v>2</v>
      </c>
      <c r="O39" s="14">
        <f>((VLOOKUP($E38,RLS!$C$32:$BK$36,MATCH(O$2,RLS!$C$25:$BK$25,0),FALSE)-O$40)-(O32+O33)-O34-(O35+O36+O37))-O38</f>
        <v>2</v>
      </c>
      <c r="P39" s="14">
        <f>((VLOOKUP($E38,RLS!$C$32:$BK$36,MATCH(P$2,RLS!$C$25:$BK$25,0),FALSE)-P$40)-(P32+P33)-P34-(P35+P36+P37))-P38</f>
        <v>2</v>
      </c>
      <c r="Q39" s="14">
        <f>((VLOOKUP($E38,RLS!$C$32:$BK$36,MATCH(Q$2,RLS!$C$25:$BK$25,0),FALSE)-Q$40)-(Q32+Q33)-Q34-(Q35+Q36+Q37))-Q38</f>
        <v>2</v>
      </c>
      <c r="R39" s="14">
        <f>((VLOOKUP($E38,RLS!$C$32:$BK$36,MATCH(R$2,RLS!$C$25:$BK$25,0),FALSE)-R$40)-(R32+R33)-R34-(R35+R36+R37))-R38</f>
        <v>2</v>
      </c>
      <c r="S39" s="14">
        <f>((VLOOKUP($E38,RLS!$C$32:$BK$36,MATCH(S$2,RLS!$C$25:$BK$25,0),FALSE)-S$40)-(S32+S33)-S34-(S35+S36+S37))-S38</f>
        <v>1</v>
      </c>
      <c r="T39" s="14">
        <f>((VLOOKUP($E38,RLS!$C$32:$BK$36,MATCH(T$2,RLS!$C$25:$BK$25,0),FALSE)-T$40)-(T32+T33)-T34-(T35+T36+T37))-T38</f>
        <v>1</v>
      </c>
      <c r="U39" s="14">
        <f>((VLOOKUP($E38,RLS!$C$32:$BK$36,MATCH(U$2,RLS!$C$25:$BK$25,0),FALSE)-U$40)-(U32+U33)-U34-(U35+U36+U37))-U38</f>
        <v>1</v>
      </c>
      <c r="V39" s="14">
        <f>((VLOOKUP($E38,RLS!$C$32:$BK$36,MATCH(V$2,RLS!$C$25:$BK$25,0),FALSE)-V$40)-(V32+V33)-V34-(V35+V36+V37))-V38</f>
        <v>1</v>
      </c>
      <c r="W39" s="14">
        <f>((VLOOKUP($E38,RLS!$C$32:$BK$36,MATCH(W$2,RLS!$C$25:$BK$25,0),FALSE)-W$40)-(W32+W33)-W34-(W35+W36+W37))-W38</f>
        <v>1</v>
      </c>
      <c r="X39" s="14">
        <f>((VLOOKUP($E38,RLS!$C$32:$BK$36,MATCH(X$2,RLS!$C$25:$BK$25,0),FALSE)-X$40)-(X32+X33)-X34-(X35+X36+X37))-X38</f>
        <v>1</v>
      </c>
      <c r="Y39" s="14">
        <f>((VLOOKUP($E38,RLS!$C$32:$BK$36,MATCH(Y$2,RLS!$C$25:$BK$25,0),FALSE)-Y$40)-(Y32+Y33)-Y34-(Y35+Y36+Y37))-Y38</f>
        <v>1</v>
      </c>
      <c r="Z39" s="14">
        <f>((VLOOKUP($E38,RLS!$C$32:$BK$36,MATCH(Z$2,RLS!$C$25:$BK$25,0),FALSE)-Z$40)-(Z32+Z33)-Z34-(Z35+Z36+Z37))-Z38</f>
        <v>1</v>
      </c>
      <c r="AA39" s="14">
        <f>((VLOOKUP($E38,RLS!$C$32:$BK$36,MATCH(AA$2,RLS!$C$25:$BK$25,0),FALSE)-AA$40)-(AA32+AA33)-AA34-(AA35+AA36+AA37))-AA38</f>
        <v>1</v>
      </c>
      <c r="AB39" s="14">
        <f>((VLOOKUP($E38,RLS!$C$32:$BK$36,MATCH(AB$2,RLS!$C$25:$BK$25,0),FALSE)-AB$40)-(AB32+AB33)-AB34-(AB35+AB36+AB37))-AB38</f>
        <v>1</v>
      </c>
      <c r="AC39" s="14">
        <f>((VLOOKUP($E38,RLS!$C$32:$BK$36,MATCH(AC$2,RLS!$C$25:$BK$25,0),FALSE)-AC$40)-(AC32+AC33)-AC34-(AC35+AC36+AC37))-AC38</f>
        <v>1</v>
      </c>
      <c r="AD39" s="14">
        <f>((VLOOKUP($E38,RLS!$C$32:$BK$36,MATCH(AD$2,RLS!$C$25:$BK$25,0),FALSE)-AD$40)-(AD32+AD33)-AD34-(AD35+AD36+AD37))-AD38</f>
        <v>1</v>
      </c>
      <c r="AE39" s="14">
        <f>((VLOOKUP($E38,RLS!$C$32:$BK$36,MATCH(AE$2,RLS!$C$25:$BK$25,0),FALSE)-AE$40)-(AE32+AE33)-AE34-(AE35+AE36+AE37))-AE38</f>
        <v>1</v>
      </c>
      <c r="AF39" s="14">
        <f>((VLOOKUP($E38,RLS!$C$32:$BK$36,MATCH(AF$2,RLS!$C$25:$BK$25,0),FALSE)-AF$40)-(AF32+AF33)-AF34-(AF35+AF36+AF37))-AF38</f>
        <v>1</v>
      </c>
      <c r="AG39" s="14">
        <f>((VLOOKUP($E38,RLS!$C$32:$BK$36,MATCH(AG$2,RLS!$C$25:$BK$25,0),FALSE)-AG$40)-(AG32+AG33)-AG34-(AG35+AG36+AG37))-AG38</f>
        <v>1</v>
      </c>
      <c r="AH39" s="14">
        <f>((VLOOKUP($E38,RLS!$C$32:$BK$36,MATCH(AH$2,RLS!$C$25:$BK$25,0),FALSE)-AH$40)-(AH32+AH33)-AH34-(AH35+AH36+AH37))-AH38</f>
        <v>1</v>
      </c>
      <c r="AI39" s="14">
        <f>((VLOOKUP($E38,RLS!$C$32:$BK$36,MATCH(AI$2,RLS!$C$25:$BK$25,0),FALSE)-AI$40)-(AI32+AI33)-AI34-(AI35+AI36+AI37))-AI38</f>
        <v>1</v>
      </c>
      <c r="AJ39" s="14">
        <f>((VLOOKUP($E38,RLS!$C$32:$BK$36,MATCH(AJ$2,RLS!$C$25:$BK$25,0),FALSE)-AJ$40)-(AJ32+AJ33)-AJ34-(AJ35+AJ36+AJ37))-AJ38</f>
        <v>1</v>
      </c>
      <c r="AK39" s="14">
        <f>((VLOOKUP($E38,RLS!$C$32:$BK$36,MATCH(AK$2,RLS!$C$25:$BK$25,0),FALSE)-AK$40)-(AK32+AK33)-AK34-(AK35+AK36+AK37))-AK38</f>
        <v>1</v>
      </c>
      <c r="AL39" s="14">
        <f>((VLOOKUP($E38,RLS!$C$32:$BK$36,MATCH(AL$2,RLS!$C$25:$BK$25,0),FALSE)-AL$40)-(AL32+AL33)-AL34-(AL35+AL36+AL37))-AL38</f>
        <v>1</v>
      </c>
      <c r="AM39" s="14">
        <f>((VLOOKUP($E38,RLS!$C$32:$BK$36,MATCH(AM$2,RLS!$C$25:$BK$25,0),FALSE)-AM$40)-(AM32+AM33)-AM34-(AM35+AM36+AM37))-AM38</f>
        <v>1</v>
      </c>
      <c r="AN39" s="14">
        <f>((VLOOKUP($E38,RLS!$C$32:$BK$36,MATCH(AN$2,RLS!$C$25:$BK$25,0),FALSE)-AN$40)-(AN32+AN33)-AN34-(AN35+AN36+AN37))-AN38</f>
        <v>1</v>
      </c>
      <c r="AO39" s="14">
        <f>((VLOOKUP($E38,RLS!$C$32:$BK$36,MATCH(AO$2,RLS!$C$25:$BK$25,0),FALSE)-AO$40)-(AO32+AO33)-AO34-(AO35+AO36+AO37))-AO38</f>
        <v>1</v>
      </c>
      <c r="AP39" s="14">
        <f>((VLOOKUP($E38,RLS!$C$32:$BK$36,MATCH(AP$2,RLS!$C$25:$BK$25,0),FALSE)-AP$40)-(AP32+AP33)-AP34-(AP35+AP36+AP37))-AP38</f>
        <v>1</v>
      </c>
      <c r="AQ39">
        <f>(ROUND((VLOOKUP($E38,RLS!$C$32:$BK$36,MATCH(AQ$2,RLS!$C$25:$BK$25,0),FALSE)-AQ$40)*'Unit Distribution'!$E$5,0))-AQ38</f>
        <v>0</v>
      </c>
      <c r="AR39">
        <f>(ROUND((VLOOKUP($E38,RLS!$C$32:$BK$36,MATCH(AR$2,RLS!$C$25:$BK$25,0),FALSE)-AR$40)*'Unit Distribution'!$E$5,0))-AR38</f>
        <v>0</v>
      </c>
      <c r="AS39">
        <f>(ROUND((VLOOKUP($E38,RLS!$C$32:$BK$36,MATCH(AS$2,RLS!$C$25:$BK$25,0),FALSE)-AS$40)*'Unit Distribution'!$E$5,0))-AS38</f>
        <v>0</v>
      </c>
      <c r="AT39">
        <f>(ROUND((VLOOKUP($E38,RLS!$C$32:$BK$36,MATCH(AT$2,RLS!$C$25:$BK$25,0),FALSE)-AT$40)*'Unit Distribution'!$E$5,0))-AT38</f>
        <v>0</v>
      </c>
      <c r="AU39">
        <f>(ROUND((VLOOKUP($E38,RLS!$C$32:$BK$36,MATCH(AU$2,RLS!$C$25:$BK$25,0),FALSE)-AU$40)*'Unit Distribution'!$E$5,0))-AU38</f>
        <v>0</v>
      </c>
      <c r="AV39">
        <f>(ROUND((VLOOKUP($E38,RLS!$C$32:$BK$36,MATCH(AV$2,RLS!$C$25:$BK$25,0),FALSE)-AV$40)*'Unit Distribution'!$E$5,0))-AV38</f>
        <v>0</v>
      </c>
      <c r="AW39">
        <f>(ROUND((VLOOKUP($E38,RLS!$C$32:$BK$36,MATCH(AW$2,RLS!$C$25:$BK$25,0),FALSE)-AW$40)*'Unit Distribution'!$E$5,0))-AW38</f>
        <v>0</v>
      </c>
      <c r="AX39">
        <f>(ROUND((VLOOKUP($E38,RLS!$C$32:$BK$36,MATCH(AX$2,RLS!$C$25:$BK$25,0),FALSE)-AX$40)*'Unit Distribution'!$E$5,0))-AX38</f>
        <v>0</v>
      </c>
      <c r="AY39">
        <f>(ROUND((VLOOKUP($E38,RLS!$C$32:$BK$36,MATCH(AY$2,RLS!$C$25:$BK$25,0),FALSE)-AY$40)*'Unit Distribution'!$E$5,0))-AY38</f>
        <v>0</v>
      </c>
      <c r="AZ39">
        <f>(ROUND((VLOOKUP($E38,RLS!$C$32:$BK$36,MATCH(AZ$2,RLS!$C$25:$BK$25,0),FALSE)-AZ$40)*'Unit Distribution'!$E$5,0))-AZ38</f>
        <v>0</v>
      </c>
      <c r="BA39">
        <f>(ROUND((VLOOKUP($E38,RLS!$C$32:$BK$36,MATCH(BA$2,RLS!$C$25:$BK$25,0),FALSE)-BA$40)*'Unit Distribution'!$E$5,0))-BA38</f>
        <v>0</v>
      </c>
      <c r="BB39">
        <f>(ROUND((VLOOKUP($E38,RLS!$C$32:$BK$36,MATCH(BB$2,RLS!$C$25:$BK$25,0),FALSE)-BB$40)*'Unit Distribution'!$E$5,0))-BB38</f>
        <v>0</v>
      </c>
      <c r="BC39">
        <f>(ROUND((VLOOKUP($E38,RLS!$C$32:$BK$36,MATCH(BC$2,RLS!$C$25:$BK$25,0),FALSE)-BC$40)*'Unit Distribution'!$F$5,0))-BC38</f>
        <v>0</v>
      </c>
      <c r="BD39">
        <f>(ROUND((VLOOKUP($E38,RLS!$C$32:$BK$36,MATCH(BD$2,RLS!$C$25:$BK$25,0),FALSE)-BD$40)*'Unit Distribution'!$F$5,0))-BD38</f>
        <v>0</v>
      </c>
      <c r="BE39">
        <f>(ROUND((VLOOKUP($E38,RLS!$C$32:$BK$36,MATCH(BE$2,RLS!$C$25:$BK$25,0),FALSE)-BE$40)*'Unit Distribution'!$F$5,0))-BE38</f>
        <v>0</v>
      </c>
      <c r="BF39">
        <f>(ROUND((VLOOKUP($E38,RLS!$C$32:$BK$36,MATCH(BF$2,RLS!$C$25:$BK$25,0),FALSE)-BF$40)*'Unit Distribution'!$F$5,0))-BF38</f>
        <v>0</v>
      </c>
      <c r="BG39">
        <f>(ROUND((VLOOKUP($E38,RLS!$C$32:$BK$36,MATCH(BG$2,RLS!$C$25:$BK$25,0),FALSE)-BG$40)*'Unit Distribution'!$F$5,0))-BG38</f>
        <v>0</v>
      </c>
      <c r="BH39">
        <f>(ROUND((VLOOKUP($E38,RLS!$C$32:$BK$36,MATCH(BH$2,RLS!$C$25:$BK$25,0),FALSE)-BH$40)*'Unit Distribution'!$F$5,0))-BH38</f>
        <v>0</v>
      </c>
      <c r="BI39">
        <f>(ROUND((VLOOKUP($E38,RLS!$C$32:$BK$36,MATCH(BI$2,RLS!$C$25:$BK$25,0),FALSE)-BI$40)*'Unit Distribution'!$F$5,0))-BI38</f>
        <v>0</v>
      </c>
      <c r="BJ39">
        <f>(ROUND((VLOOKUP($E38,RLS!$C$32:$BK$36,MATCH(BJ$2,RLS!$C$25:$BK$25,0),FALSE)-BJ$40)*'Unit Distribution'!$F$5,0))-BJ38</f>
        <v>0</v>
      </c>
      <c r="BK39">
        <f>(ROUND((VLOOKUP($E38,RLS!$C$32:$BK$36,MATCH(BK$2,RLS!$C$25:$BK$25,0),FALSE)-BK$40)*'Unit Distribution'!$F$5,0))-BK38</f>
        <v>0</v>
      </c>
      <c r="BL39">
        <f>(ROUND((VLOOKUP($E38,RLS!$C$32:$BK$36,MATCH(BL$2,RLS!$C$25:$BK$25,0),FALSE)-BL$40)*'Unit Distribution'!$F$5,0))-BL38</f>
        <v>0</v>
      </c>
      <c r="BM39">
        <f>(ROUND((VLOOKUP($E38,RLS!$C$32:$BK$36,MATCH(BM$2,RLS!$C$25:$BK$25,0),FALSE)-BM$40)*'Unit Distribution'!$F$5,0))-BM38</f>
        <v>0</v>
      </c>
      <c r="BN39">
        <f>(ROUND((VLOOKUP($E38,RLS!$C$32:$BK$36,MATCH(BN$2,RLS!$C$25:$BK$25,0),FALSE)-BN$40)*'Unit Distribution'!$F$5,0))-BN38</f>
        <v>0</v>
      </c>
    </row>
    <row r="40" spans="1:66" ht="15" customHeight="1" x14ac:dyDescent="0.35">
      <c r="A40" t="s">
        <v>82</v>
      </c>
      <c r="B40" t="s">
        <v>78</v>
      </c>
      <c r="C40" t="s">
        <v>112</v>
      </c>
      <c r="D40" t="s">
        <v>80</v>
      </c>
      <c r="E40" t="str">
        <f t="shared" si="1"/>
        <v>Test LeadOnsite</v>
      </c>
      <c r="F40" t="s">
        <v>75</v>
      </c>
      <c r="G40" s="14">
        <f>MIN(1,VLOOKUP("TesterOnsite",RLS!$C$32:$BK$36,MATCH(G$2,RLS!$C$25:$BK$25,0),FALSE))</f>
        <v>1</v>
      </c>
      <c r="H40" s="14">
        <f>MIN(1,VLOOKUP("TesterOnsite",RLS!$C$32:$BK$36,MATCH(H$2,RLS!$C$25:$BK$25,0),FALSE))</f>
        <v>1</v>
      </c>
      <c r="I40" s="14">
        <f>MIN(1,VLOOKUP("TesterOnsite",RLS!$C$32:$BK$36,MATCH(I$2,RLS!$C$25:$BK$25,0),FALSE))</f>
        <v>1</v>
      </c>
      <c r="J40" s="14">
        <f>MIN(1,VLOOKUP("TesterOnsite",RLS!$C$32:$BK$36,MATCH(J$2,RLS!$C$25:$BK$25,0),FALSE))</f>
        <v>1</v>
      </c>
      <c r="K40" s="14">
        <f>MIN(1,VLOOKUP("TesterOnsite",RLS!$C$32:$BK$36,MATCH(K$2,RLS!$C$25:$BK$25,0),FALSE))</f>
        <v>1</v>
      </c>
      <c r="L40" s="14">
        <f>MIN(1,VLOOKUP("TesterOnsite",RLS!$C$32:$BK$36,MATCH(L$2,RLS!$C$25:$BK$25,0),FALSE))</f>
        <v>1</v>
      </c>
      <c r="M40" s="14">
        <f>MIN(1,VLOOKUP("TesterOnsite",RLS!$C$32:$BK$36,MATCH(M$2,RLS!$C$25:$BK$25,0),FALSE))</f>
        <v>1</v>
      </c>
      <c r="N40" s="14">
        <f>MIN(1,VLOOKUP("TesterOnsite",RLS!$C$32:$BK$36,MATCH(N$2,RLS!$C$25:$BK$25,0),FALSE))</f>
        <v>1</v>
      </c>
      <c r="O40" s="14">
        <f>MIN(1,VLOOKUP("TesterOnsite",RLS!$C$32:$BK$36,MATCH(O$2,RLS!$C$25:$BK$25,0),FALSE))</f>
        <v>1</v>
      </c>
      <c r="P40" s="14">
        <f>MIN(1,VLOOKUP("TesterOnsite",RLS!$C$32:$BK$36,MATCH(P$2,RLS!$C$25:$BK$25,0),FALSE))</f>
        <v>1</v>
      </c>
      <c r="Q40" s="14">
        <f>MIN(1,VLOOKUP("TesterOnsite",RLS!$C$32:$BK$36,MATCH(Q$2,RLS!$C$25:$BK$25,0),FALSE))</f>
        <v>1</v>
      </c>
      <c r="R40" s="14">
        <f>MIN(1,VLOOKUP("TesterOnsite",RLS!$C$32:$BK$36,MATCH(R$2,RLS!$C$25:$BK$25,0),FALSE))</f>
        <v>1</v>
      </c>
      <c r="S40" s="14">
        <f>MIN(1,VLOOKUP("TesterOnsite",RLS!$C$32:$BK$36,MATCH(S$2,RLS!$C$25:$BK$25,0),FALSE))</f>
        <v>1</v>
      </c>
      <c r="T40" s="14">
        <f>MIN(1,VLOOKUP("TesterOnsite",RLS!$C$32:$BK$36,MATCH(T$2,RLS!$C$25:$BK$25,0),FALSE))</f>
        <v>1</v>
      </c>
      <c r="U40" s="14">
        <f>MIN(1,VLOOKUP("TesterOnsite",RLS!$C$32:$BK$36,MATCH(U$2,RLS!$C$25:$BK$25,0),FALSE))</f>
        <v>1</v>
      </c>
      <c r="V40" s="14">
        <f>MIN(1,VLOOKUP("TesterOnsite",RLS!$C$32:$BK$36,MATCH(V$2,RLS!$C$25:$BK$25,0),FALSE))</f>
        <v>1</v>
      </c>
      <c r="W40" s="14">
        <f>MIN(1,VLOOKUP("TesterOnsite",RLS!$C$32:$BK$36,MATCH(W$2,RLS!$C$25:$BK$25,0),FALSE))</f>
        <v>1</v>
      </c>
      <c r="X40" s="14">
        <f>MIN(1,VLOOKUP("TesterOnsite",RLS!$C$32:$BK$36,MATCH(X$2,RLS!$C$25:$BK$25,0),FALSE))</f>
        <v>1</v>
      </c>
      <c r="Y40" s="14">
        <f>MIN(1,VLOOKUP("TesterOnsite",RLS!$C$32:$BK$36,MATCH(Y$2,RLS!$C$25:$BK$25,0),FALSE))</f>
        <v>1</v>
      </c>
      <c r="Z40" s="14">
        <f>MIN(1,VLOOKUP("TesterOnsite",RLS!$C$32:$BK$36,MATCH(Z$2,RLS!$C$25:$BK$25,0),FALSE))</f>
        <v>1</v>
      </c>
      <c r="AA40" s="14">
        <f>MIN(1,VLOOKUP("TesterOnsite",RLS!$C$32:$BK$36,MATCH(AA$2,RLS!$C$25:$BK$25,0),FALSE))</f>
        <v>1</v>
      </c>
      <c r="AB40" s="14">
        <f>MIN(1,VLOOKUP("TesterOnsite",RLS!$C$32:$BK$36,MATCH(AB$2,RLS!$C$25:$BK$25,0),FALSE))</f>
        <v>1</v>
      </c>
      <c r="AC40" s="14">
        <f>MIN(1,VLOOKUP("TesterOnsite",RLS!$C$32:$BK$36,MATCH(AC$2,RLS!$C$25:$BK$25,0),FALSE))</f>
        <v>1</v>
      </c>
      <c r="AD40" s="14">
        <f>MIN(1,VLOOKUP("TesterOnsite",RLS!$C$32:$BK$36,MATCH(AD$2,RLS!$C$25:$BK$25,0),FALSE))</f>
        <v>1</v>
      </c>
      <c r="AE40" s="14">
        <f>MIN(1,VLOOKUP("TesterOnsite",RLS!$C$32:$BK$36,MATCH(AE$2,RLS!$C$25:$BK$25,0),FALSE))</f>
        <v>1</v>
      </c>
      <c r="AF40" s="14">
        <f>MIN(1,VLOOKUP("TesterOnsite",RLS!$C$32:$BK$36,MATCH(AF$2,RLS!$C$25:$BK$25,0),FALSE))</f>
        <v>1</v>
      </c>
      <c r="AG40" s="14">
        <f>MIN(1,VLOOKUP("TesterOnsite",RLS!$C$32:$BK$36,MATCH(AG$2,RLS!$C$25:$BK$25,0),FALSE))</f>
        <v>1</v>
      </c>
      <c r="AH40" s="14">
        <f>MIN(1,VLOOKUP("TesterOnsite",RLS!$C$32:$BK$36,MATCH(AH$2,RLS!$C$25:$BK$25,0),FALSE))</f>
        <v>1</v>
      </c>
      <c r="AI40" s="14">
        <f>MIN(1,VLOOKUP("TesterOnsite",RLS!$C$32:$BK$36,MATCH(AI$2,RLS!$C$25:$BK$25,0),FALSE))</f>
        <v>1</v>
      </c>
      <c r="AJ40" s="14">
        <f>MIN(1,VLOOKUP("TesterOnsite",RLS!$C$32:$BK$36,MATCH(AJ$2,RLS!$C$25:$BK$25,0),FALSE))</f>
        <v>1</v>
      </c>
      <c r="AK40" s="14">
        <f>MIN(1,VLOOKUP("TesterOnsite",RLS!$C$32:$BK$36,MATCH(AK$2,RLS!$C$25:$BK$25,0),FALSE))</f>
        <v>1</v>
      </c>
      <c r="AL40" s="14">
        <f>MIN(1,VLOOKUP("TesterOnsite",RLS!$C$32:$BK$36,MATCH(AL$2,RLS!$C$25:$BK$25,0),FALSE))</f>
        <v>1</v>
      </c>
      <c r="AM40" s="14">
        <f>MIN(1,VLOOKUP("TesterOnsite",RLS!$C$32:$BK$36,MATCH(AM$2,RLS!$C$25:$BK$25,0),FALSE))</f>
        <v>1</v>
      </c>
      <c r="AN40" s="14">
        <f>MIN(1,VLOOKUP("TesterOnsite",RLS!$C$32:$BK$36,MATCH(AN$2,RLS!$C$25:$BK$25,0),FALSE))</f>
        <v>1</v>
      </c>
      <c r="AO40" s="14">
        <f>MIN(1,VLOOKUP("TesterOnsite",RLS!$C$32:$BK$36,MATCH(AO$2,RLS!$C$25:$BK$25,0),FALSE))</f>
        <v>1</v>
      </c>
      <c r="AP40" s="14">
        <f>MIN(1,VLOOKUP("TesterOnsite",RLS!$C$32:$BK$36,MATCH(AP$2,RLS!$C$25:$BK$25,0),FALSE))</f>
        <v>1</v>
      </c>
      <c r="AQ40">
        <f>MIN(1,VLOOKUP("TesterOnsite",RLS!$C$32:$BK$36,MATCH(AQ$2,RLS!$C$25:$BK$25,0),FALSE))</f>
        <v>1</v>
      </c>
      <c r="AR40">
        <f>MIN(1,VLOOKUP("TesterOnsite",RLS!$C$32:$BK$36,MATCH(AR$2,RLS!$C$25:$BK$25,0),FALSE))</f>
        <v>1</v>
      </c>
      <c r="AS40">
        <f>MIN(1,VLOOKUP("TesterOnsite",RLS!$C$32:$BK$36,MATCH(AS$2,RLS!$C$25:$BK$25,0),FALSE))</f>
        <v>1</v>
      </c>
      <c r="AT40">
        <f>MIN(1,VLOOKUP("TesterOnsite",RLS!$C$32:$BK$36,MATCH(AT$2,RLS!$C$25:$BK$25,0),FALSE))</f>
        <v>1</v>
      </c>
      <c r="AU40">
        <f>MIN(1,VLOOKUP("TesterOnsite",RLS!$C$32:$BK$36,MATCH(AU$2,RLS!$C$25:$BK$25,0),FALSE))</f>
        <v>1</v>
      </c>
      <c r="AV40">
        <f>MIN(1,VLOOKUP("TesterOnsite",RLS!$C$32:$BK$36,MATCH(AV$2,RLS!$C$25:$BK$25,0),FALSE))</f>
        <v>1</v>
      </c>
      <c r="AW40">
        <f>MIN(1,VLOOKUP("TesterOnsite",RLS!$C$32:$BK$36,MATCH(AW$2,RLS!$C$25:$BK$25,0),FALSE))</f>
        <v>1</v>
      </c>
      <c r="AX40">
        <f>MIN(1,VLOOKUP("TesterOnsite",RLS!$C$32:$BK$36,MATCH(AX$2,RLS!$C$25:$BK$25,0),FALSE))</f>
        <v>1</v>
      </c>
      <c r="AY40">
        <f>MIN(1,VLOOKUP("TesterOnsite",RLS!$C$32:$BK$36,MATCH(AY$2,RLS!$C$25:$BK$25,0),FALSE))</f>
        <v>1</v>
      </c>
      <c r="AZ40">
        <f>MIN(1,VLOOKUP("TesterOnsite",RLS!$C$32:$BK$36,MATCH(AZ$2,RLS!$C$25:$BK$25,0),FALSE))</f>
        <v>1</v>
      </c>
      <c r="BA40">
        <f>MIN(1,VLOOKUP("TesterOnsite",RLS!$C$32:$BK$36,MATCH(BA$2,RLS!$C$25:$BK$25,0),FALSE))</f>
        <v>1</v>
      </c>
      <c r="BB40">
        <f>MIN(1,VLOOKUP("TesterOnsite",RLS!$C$32:$BK$36,MATCH(BB$2,RLS!$C$25:$BK$25,0),FALSE))</f>
        <v>1</v>
      </c>
      <c r="BC40">
        <f>MIN(1,VLOOKUP("TesterOnsite",RLS!$C$32:$BK$36,MATCH(BC$2,RLS!$C$25:$BK$25,0),FALSE))</f>
        <v>0</v>
      </c>
      <c r="BD40">
        <f>MIN(1,VLOOKUP("TesterOnsite",RLS!$C$32:$BK$36,MATCH(BD$2,RLS!$C$25:$BK$25,0),FALSE))</f>
        <v>0</v>
      </c>
      <c r="BE40">
        <f>MIN(1,VLOOKUP("TesterOnsite",RLS!$C$32:$BK$36,MATCH(BE$2,RLS!$C$25:$BK$25,0),FALSE))</f>
        <v>0</v>
      </c>
      <c r="BF40">
        <f>MIN(1,VLOOKUP("TesterOnsite",RLS!$C$32:$BK$36,MATCH(BF$2,RLS!$C$25:$BK$25,0),FALSE))</f>
        <v>0</v>
      </c>
      <c r="BG40">
        <f>MIN(1,VLOOKUP("TesterOnsite",RLS!$C$32:$BK$36,MATCH(BG$2,RLS!$C$25:$BK$25,0),FALSE))</f>
        <v>0</v>
      </c>
      <c r="BH40">
        <f>MIN(1,VLOOKUP("TesterOnsite",RLS!$C$32:$BK$36,MATCH(BH$2,RLS!$C$25:$BK$25,0),FALSE))</f>
        <v>0</v>
      </c>
      <c r="BI40">
        <f>MIN(1,VLOOKUP("TesterOnsite",RLS!$C$32:$BK$36,MATCH(BI$2,RLS!$C$25:$BK$25,0),FALSE))</f>
        <v>0</v>
      </c>
      <c r="BJ40">
        <f>MIN(1,VLOOKUP("TesterOnsite",RLS!$C$32:$BK$36,MATCH(BJ$2,RLS!$C$25:$BK$25,0),FALSE))</f>
        <v>0</v>
      </c>
      <c r="BK40">
        <f>MIN(1,VLOOKUP("TesterOnsite",RLS!$C$32:$BK$36,MATCH(BK$2,RLS!$C$25:$BK$25,0),FALSE))</f>
        <v>0</v>
      </c>
      <c r="BL40">
        <f>MIN(1,VLOOKUP("TesterOnsite",RLS!$C$32:$BK$36,MATCH(BL$2,RLS!$C$25:$BK$25,0),FALSE))</f>
        <v>0</v>
      </c>
      <c r="BM40">
        <f>MIN(1,VLOOKUP("TesterOnsite",RLS!$C$32:$BK$36,MATCH(BM$2,RLS!$C$25:$BK$25,0),FALSE))</f>
        <v>0</v>
      </c>
      <c r="BN40">
        <f>MIN(1,VLOOKUP("TesterOnsite",RLS!$C$32:$BK$36,MATCH(BN$2,RLS!$C$25:$BK$25,0),FALSE))</f>
        <v>0</v>
      </c>
    </row>
    <row r="41" spans="1:66" hidden="1" x14ac:dyDescent="0.35">
      <c r="A41" t="s">
        <v>77</v>
      </c>
      <c r="B41" t="s">
        <v>78</v>
      </c>
      <c r="C41" t="s">
        <v>112</v>
      </c>
      <c r="D41" t="s">
        <v>80</v>
      </c>
      <c r="E41" t="str">
        <f t="shared" si="1"/>
        <v>PMOnsite</v>
      </c>
      <c r="F41" t="s">
        <v>75</v>
      </c>
      <c r="G41" s="14">
        <f>VLOOKUP($E41,RLS!$C$32:$BK$36,MATCH(G$2,RLS!$C$25:$BK$25,0),FALSE)</f>
        <v>0</v>
      </c>
      <c r="H41" s="14">
        <f>VLOOKUP($E41,RLS!$C$32:$BK$36,MATCH(H$2,RLS!$C$25:$BK$25,0),FALSE)</f>
        <v>0</v>
      </c>
      <c r="I41" s="14">
        <f>VLOOKUP($E41,RLS!$C$32:$BK$36,MATCH(I$2,RLS!$C$25:$BK$25,0),FALSE)</f>
        <v>0</v>
      </c>
      <c r="J41" s="14">
        <f>VLOOKUP($E41,RLS!$C$32:$BK$36,MATCH(J$2,RLS!$C$25:$BK$25,0),FALSE)</f>
        <v>0</v>
      </c>
      <c r="K41" s="14">
        <f>VLOOKUP($E41,RLS!$C$32:$BK$36,MATCH(K$2,RLS!$C$25:$BK$25,0),FALSE)</f>
        <v>0</v>
      </c>
      <c r="L41" s="14">
        <f>VLOOKUP($E41,RLS!$C$32:$BK$36,MATCH(L$2,RLS!$C$25:$BK$25,0),FALSE)</f>
        <v>0</v>
      </c>
      <c r="M41" s="14">
        <f>VLOOKUP($E41,RLS!$C$32:$BK$36,MATCH(M$2,RLS!$C$25:$BK$25,0),FALSE)</f>
        <v>0</v>
      </c>
      <c r="N41" s="14">
        <f>VLOOKUP($E41,RLS!$C$32:$BK$36,MATCH(N$2,RLS!$C$25:$BK$25,0),FALSE)</f>
        <v>0</v>
      </c>
      <c r="O41" s="14">
        <f>VLOOKUP($E41,RLS!$C$32:$BK$36,MATCH(O$2,RLS!$C$25:$BK$25,0),FALSE)</f>
        <v>0</v>
      </c>
      <c r="P41" s="14">
        <f>VLOOKUP($E41,RLS!$C$32:$BK$36,MATCH(P$2,RLS!$C$25:$BK$25,0),FALSE)</f>
        <v>0</v>
      </c>
      <c r="Q41" s="14">
        <f>VLOOKUP($E41,RLS!$C$32:$BK$36,MATCH(Q$2,RLS!$C$25:$BK$25,0),FALSE)</f>
        <v>0</v>
      </c>
      <c r="R41" s="14">
        <f>VLOOKUP($E41,RLS!$C$32:$BK$36,MATCH(R$2,RLS!$C$25:$BK$25,0),FALSE)</f>
        <v>0</v>
      </c>
      <c r="S41" s="14">
        <f>VLOOKUP($E41,RLS!$C$32:$BK$36,MATCH(S$2,RLS!$C$25:$BK$25,0),FALSE)</f>
        <v>0</v>
      </c>
      <c r="T41" s="14">
        <f>VLOOKUP($E41,RLS!$C$32:$BK$36,MATCH(T$2,RLS!$C$25:$BK$25,0),FALSE)</f>
        <v>0</v>
      </c>
      <c r="U41" s="14">
        <f>VLOOKUP($E41,RLS!$C$32:$BK$36,MATCH(U$2,RLS!$C$25:$BK$25,0),FALSE)</f>
        <v>0</v>
      </c>
      <c r="V41" s="14">
        <f>VLOOKUP($E41,RLS!$C$32:$BK$36,MATCH(V$2,RLS!$C$25:$BK$25,0),FALSE)</f>
        <v>0</v>
      </c>
      <c r="W41" s="14">
        <f>VLOOKUP($E41,RLS!$C$32:$BK$36,MATCH(W$2,RLS!$C$25:$BK$25,0),FALSE)</f>
        <v>0</v>
      </c>
      <c r="X41" s="14">
        <f>VLOOKUP($E41,RLS!$C$32:$BK$36,MATCH(X$2,RLS!$C$25:$BK$25,0),FALSE)</f>
        <v>0</v>
      </c>
      <c r="Y41" s="14">
        <f>VLOOKUP($E41,RLS!$C$32:$BK$36,MATCH(Y$2,RLS!$C$25:$BK$25,0),FALSE)</f>
        <v>0</v>
      </c>
      <c r="Z41" s="14">
        <f>VLOOKUP($E41,RLS!$C$32:$BK$36,MATCH(Z$2,RLS!$C$25:$BK$25,0),FALSE)</f>
        <v>0</v>
      </c>
      <c r="AA41" s="14">
        <f>VLOOKUP($E41,RLS!$C$32:$BK$36,MATCH(AA$2,RLS!$C$25:$BK$25,0),FALSE)</f>
        <v>0</v>
      </c>
      <c r="AB41" s="14">
        <f>VLOOKUP($E41,RLS!$C$32:$BK$36,MATCH(AB$2,RLS!$C$25:$BK$25,0),FALSE)</f>
        <v>0</v>
      </c>
      <c r="AC41" s="14">
        <f>VLOOKUP($E41,RLS!$C$32:$BK$36,MATCH(AC$2,RLS!$C$25:$BK$25,0),FALSE)</f>
        <v>0</v>
      </c>
      <c r="AD41" s="14">
        <f>VLOOKUP($E41,RLS!$C$32:$BK$36,MATCH(AD$2,RLS!$C$25:$BK$25,0),FALSE)</f>
        <v>0</v>
      </c>
      <c r="AE41" s="14">
        <f>VLOOKUP($E41,RLS!$C$32:$BK$36,MATCH(AE$2,RLS!$C$25:$BK$25,0),FALSE)</f>
        <v>0</v>
      </c>
      <c r="AF41" s="14">
        <f>VLOOKUP($E41,RLS!$C$32:$BK$36,MATCH(AF$2,RLS!$C$25:$BK$25,0),FALSE)</f>
        <v>0</v>
      </c>
      <c r="AG41" s="14">
        <f>VLOOKUP($E41,RLS!$C$32:$BK$36,MATCH(AG$2,RLS!$C$25:$BK$25,0),FALSE)</f>
        <v>0</v>
      </c>
      <c r="AH41" s="14">
        <f>VLOOKUP($E41,RLS!$C$32:$BK$36,MATCH(AH$2,RLS!$C$25:$BK$25,0),FALSE)</f>
        <v>0</v>
      </c>
      <c r="AI41" s="14">
        <f>VLOOKUP($E41,RLS!$C$32:$BK$36,MATCH(AI$2,RLS!$C$25:$BK$25,0),FALSE)</f>
        <v>0</v>
      </c>
      <c r="AJ41" s="14">
        <f>VLOOKUP($E41,RLS!$C$32:$BK$36,MATCH(AJ$2,RLS!$C$25:$BK$25,0),FALSE)</f>
        <v>0</v>
      </c>
      <c r="AK41" s="14">
        <f>VLOOKUP($E41,RLS!$C$32:$BK$36,MATCH(AK$2,RLS!$C$25:$BK$25,0),FALSE)</f>
        <v>0</v>
      </c>
      <c r="AL41" s="14">
        <f>VLOOKUP($E41,RLS!$C$32:$BK$36,MATCH(AL$2,RLS!$C$25:$BK$25,0),FALSE)</f>
        <v>0</v>
      </c>
      <c r="AM41" s="14">
        <f>VLOOKUP($E41,RLS!$C$32:$BK$36,MATCH(AM$2,RLS!$C$25:$BK$25,0),FALSE)</f>
        <v>0</v>
      </c>
      <c r="AN41" s="14">
        <f>VLOOKUP($E41,RLS!$C$32:$BK$36,MATCH(AN$2,RLS!$C$25:$BK$25,0),FALSE)</f>
        <v>0</v>
      </c>
      <c r="AO41" s="14">
        <f>VLOOKUP($E41,RLS!$C$32:$BK$36,MATCH(AO$2,RLS!$C$25:$BK$25,0),FALSE)</f>
        <v>0</v>
      </c>
      <c r="AP41" s="14">
        <f>VLOOKUP($E41,RLS!$C$32:$BK$36,MATCH(AP$2,RLS!$C$25:$BK$25,0),FALSE)</f>
        <v>0</v>
      </c>
      <c r="AQ41">
        <f>VLOOKUP($E41,RLS!$C$32:$BK$36,MATCH(AQ$2,RLS!$C$25:$BK$25,0),FALSE)</f>
        <v>0</v>
      </c>
      <c r="AR41">
        <f>VLOOKUP($E41,RLS!$C$32:$BK$36,MATCH(AR$2,RLS!$C$25:$BK$25,0),FALSE)</f>
        <v>0</v>
      </c>
      <c r="AS41">
        <f>VLOOKUP($E41,RLS!$C$32:$BK$36,MATCH(AS$2,RLS!$C$25:$BK$25,0),FALSE)</f>
        <v>0</v>
      </c>
      <c r="AT41">
        <f>VLOOKUP($E41,RLS!$C$32:$BK$36,MATCH(AT$2,RLS!$C$25:$BK$25,0),FALSE)</f>
        <v>0</v>
      </c>
      <c r="AU41">
        <f>VLOOKUP($E41,RLS!$C$32:$BK$36,MATCH(AU$2,RLS!$C$25:$BK$25,0),FALSE)</f>
        <v>0</v>
      </c>
      <c r="AV41">
        <f>VLOOKUP($E41,RLS!$C$32:$BK$36,MATCH(AV$2,RLS!$C$25:$BK$25,0),FALSE)</f>
        <v>0</v>
      </c>
      <c r="AW41">
        <f>VLOOKUP($E41,RLS!$C$32:$BK$36,MATCH(AW$2,RLS!$C$25:$BK$25,0),FALSE)</f>
        <v>0</v>
      </c>
      <c r="AX41">
        <f>VLOOKUP($E41,RLS!$C$32:$BK$36,MATCH(AX$2,RLS!$C$25:$BK$25,0),FALSE)</f>
        <v>0</v>
      </c>
      <c r="AY41">
        <f>VLOOKUP($E41,RLS!$C$32:$BK$36,MATCH(AY$2,RLS!$C$25:$BK$25,0),FALSE)</f>
        <v>0</v>
      </c>
      <c r="AZ41">
        <f>VLOOKUP($E41,RLS!$C$32:$BK$36,MATCH(AZ$2,RLS!$C$25:$BK$25,0),FALSE)</f>
        <v>0</v>
      </c>
      <c r="BA41">
        <f>VLOOKUP($E41,RLS!$C$32:$BK$36,MATCH(BA$2,RLS!$C$25:$BK$25,0),FALSE)</f>
        <v>0</v>
      </c>
      <c r="BB41">
        <f>VLOOKUP($E41,RLS!$C$32:$BK$36,MATCH(BB$2,RLS!$C$25:$BK$25,0),FALSE)</f>
        <v>0</v>
      </c>
      <c r="BC41">
        <f>VLOOKUP($E41,RLS!$C$32:$BK$36,MATCH(BC$2,RLS!$C$25:$BK$25,0),FALSE)</f>
        <v>0</v>
      </c>
      <c r="BD41">
        <f>VLOOKUP($E41,RLS!$C$32:$BK$36,MATCH(BD$2,RLS!$C$25:$BK$25,0),FALSE)</f>
        <v>0</v>
      </c>
      <c r="BE41">
        <f>VLOOKUP($E41,RLS!$C$32:$BK$36,MATCH(BE$2,RLS!$C$25:$BK$25,0),FALSE)</f>
        <v>0</v>
      </c>
      <c r="BF41">
        <f>VLOOKUP($E41,RLS!$C$32:$BK$36,MATCH(BF$2,RLS!$C$25:$BK$25,0),FALSE)</f>
        <v>0</v>
      </c>
      <c r="BG41">
        <f>VLOOKUP($E41,RLS!$C$32:$BK$36,MATCH(BG$2,RLS!$C$25:$BK$25,0),FALSE)</f>
        <v>0</v>
      </c>
      <c r="BH41">
        <f>VLOOKUP($E41,RLS!$C$32:$BK$36,MATCH(BH$2,RLS!$C$25:$BK$25,0),FALSE)</f>
        <v>0</v>
      </c>
      <c r="BI41">
        <f>VLOOKUP($E41,RLS!$C$32:$BK$36,MATCH(BI$2,RLS!$C$25:$BK$25,0),FALSE)</f>
        <v>0</v>
      </c>
      <c r="BJ41">
        <f>VLOOKUP($E41,RLS!$C$32:$BK$36,MATCH(BJ$2,RLS!$C$25:$BK$25,0),FALSE)</f>
        <v>0</v>
      </c>
      <c r="BK41">
        <f>VLOOKUP($E41,RLS!$C$32:$BK$36,MATCH(BK$2,RLS!$C$25:$BK$25,0),FALSE)</f>
        <v>0</v>
      </c>
      <c r="BL41">
        <f>VLOOKUP($E41,RLS!$C$32:$BK$36,MATCH(BL$2,RLS!$C$25:$BK$25,0),FALSE)</f>
        <v>0</v>
      </c>
      <c r="BM41">
        <f>VLOOKUP($E41,RLS!$C$32:$BK$36,MATCH(BM$2,RLS!$C$25:$BK$25,0),FALSE)</f>
        <v>0</v>
      </c>
      <c r="BN41">
        <f>VLOOKUP($E41,RLS!$C$32:$BK$36,MATCH(BN$2,RLS!$C$25:$BK$25,0),FALSE)</f>
        <v>0</v>
      </c>
    </row>
    <row r="42" spans="1:66" x14ac:dyDescent="0.35">
      <c r="A42" t="s">
        <v>79</v>
      </c>
      <c r="B42" t="s">
        <v>83</v>
      </c>
      <c r="C42" t="s">
        <v>112</v>
      </c>
      <c r="D42" t="s">
        <v>80</v>
      </c>
      <c r="E42" t="str">
        <f t="shared" si="1"/>
        <v>LeadOnsite</v>
      </c>
      <c r="F42" t="s">
        <v>70</v>
      </c>
      <c r="G42" s="14">
        <f>VLOOKUP($E42,RLS!$C$32:$BK$36,MATCH(G$2,RLS!$C$25:$BK$25,0),FALSE)*('Unit Distribution'!$B$4&gt;0)</f>
        <v>1</v>
      </c>
      <c r="H42" s="14">
        <f>VLOOKUP($E42,RLS!$C$32:$BK$36,MATCH(H$2,RLS!$C$25:$BK$25,0),FALSE)*('Unit Distribution'!$B$4&gt;0)</f>
        <v>1</v>
      </c>
      <c r="I42" s="14">
        <f>VLOOKUP($E42,RLS!$C$32:$BK$36,MATCH(I$2,RLS!$C$25:$BK$25,0),FALSE)*('Unit Distribution'!$B$4&gt;0)</f>
        <v>1</v>
      </c>
      <c r="J42" s="14">
        <f>VLOOKUP($E42,RLS!$C$32:$BK$36,MATCH(J$2,RLS!$C$25:$BK$25,0),FALSE)*('Unit Distribution'!$B$4&gt;0)</f>
        <v>1</v>
      </c>
      <c r="K42" s="14">
        <f>VLOOKUP($E42,RLS!$C$32:$BK$36,MATCH(K$2,RLS!$C$25:$BK$25,0),FALSE)*('Unit Distribution'!$B$4&gt;0)</f>
        <v>1</v>
      </c>
      <c r="L42" s="14">
        <f>VLOOKUP($E42,RLS!$C$32:$BK$36,MATCH(L$2,RLS!$C$25:$BK$25,0),FALSE)*('Unit Distribution'!$B$4&gt;0)</f>
        <v>1</v>
      </c>
      <c r="M42" s="14">
        <f>VLOOKUP($E42,RLS!$C$32:$BK$36,MATCH(M$2,RLS!$C$25:$BK$25,0),FALSE)*('Unit Distribution'!$B$4&gt;0)</f>
        <v>1</v>
      </c>
      <c r="N42" s="14">
        <f>VLOOKUP($E42,RLS!$C$32:$BK$36,MATCH(N$2,RLS!$C$25:$BK$25,0),FALSE)*('Unit Distribution'!$B$4&gt;0)</f>
        <v>1</v>
      </c>
      <c r="O42" s="14">
        <f>VLOOKUP($E42,RLS!$C$32:$BK$36,MATCH(O$2,RLS!$C$25:$BK$25,0),FALSE)*('Unit Distribution'!$B$4&gt;0)</f>
        <v>1</v>
      </c>
      <c r="P42" s="14">
        <f>VLOOKUP($E42,RLS!$C$32:$BK$36,MATCH(P$2,RLS!$C$25:$BK$25,0),FALSE)*('Unit Distribution'!$B$4&gt;0)</f>
        <v>1</v>
      </c>
      <c r="Q42" s="14">
        <f>VLOOKUP($E42,RLS!$C$32:$BK$36,MATCH(Q$2,RLS!$C$25:$BK$25,0),FALSE)*('Unit Distribution'!$B$4&gt;0)</f>
        <v>1</v>
      </c>
      <c r="R42" s="14">
        <f>VLOOKUP($E42,RLS!$C$32:$BK$36,MATCH(R$2,RLS!$C$25:$BK$25,0),FALSE)*('Unit Distribution'!$B$4&gt;0)</f>
        <v>1</v>
      </c>
      <c r="S42" s="14">
        <f>VLOOKUP($E42,RLS!$C$32:$BK$36,MATCH(S$2,RLS!$C$25:$BK$25,0),FALSE)*('Unit Distribution'!$C$4&gt;0)</f>
        <v>1</v>
      </c>
      <c r="T42" s="14">
        <f>VLOOKUP($E42,RLS!$C$32:$BK$36,MATCH(T$2,RLS!$C$25:$BK$25,0),FALSE)*('Unit Distribution'!$C$4&gt;0)</f>
        <v>1</v>
      </c>
      <c r="U42" s="14">
        <f>VLOOKUP($E42,RLS!$C$32:$BK$36,MATCH(U$2,RLS!$C$25:$BK$25,0),FALSE)*('Unit Distribution'!$C$4&gt;0)</f>
        <v>1</v>
      </c>
      <c r="V42" s="14">
        <f>VLOOKUP($E42,RLS!$C$32:$BK$36,MATCH(V$2,RLS!$C$25:$BK$25,0),FALSE)*('Unit Distribution'!$C$4&gt;0)</f>
        <v>1</v>
      </c>
      <c r="W42" s="14">
        <f>VLOOKUP($E42,RLS!$C$32:$BK$36,MATCH(W$2,RLS!$C$25:$BK$25,0),FALSE)*('Unit Distribution'!$C$4&gt;0)</f>
        <v>1</v>
      </c>
      <c r="X42" s="14">
        <f>VLOOKUP($E42,RLS!$C$32:$BK$36,MATCH(X$2,RLS!$C$25:$BK$25,0),FALSE)*('Unit Distribution'!$C$4&gt;0)</f>
        <v>1</v>
      </c>
      <c r="Y42" s="14">
        <f>VLOOKUP($E42,RLS!$C$32:$BK$36,MATCH(Y$2,RLS!$C$25:$BK$25,0),FALSE)*('Unit Distribution'!$C$4&gt;0)</f>
        <v>1</v>
      </c>
      <c r="Z42" s="14">
        <f>VLOOKUP($E42,RLS!$C$32:$BK$36,MATCH(Z$2,RLS!$C$25:$BK$25,0),FALSE)*('Unit Distribution'!$C$4&gt;0)</f>
        <v>1</v>
      </c>
      <c r="AA42" s="14">
        <f>VLOOKUP($E42,RLS!$C$32:$BK$36,MATCH(AA$2,RLS!$C$25:$BK$25,0),FALSE)*('Unit Distribution'!$C$4&gt;0)</f>
        <v>1</v>
      </c>
      <c r="AB42" s="14">
        <f>VLOOKUP($E42,RLS!$C$32:$BK$36,MATCH(AB$2,RLS!$C$25:$BK$25,0),FALSE)*('Unit Distribution'!$C$4&gt;0)</f>
        <v>1</v>
      </c>
      <c r="AC42" s="14">
        <f>VLOOKUP($E42,RLS!$C$32:$BK$36,MATCH(AC$2,RLS!$C$25:$BK$25,0),FALSE)*('Unit Distribution'!$C$4&gt;0)</f>
        <v>1</v>
      </c>
      <c r="AD42" s="14">
        <f>VLOOKUP($E42,RLS!$C$32:$BK$36,MATCH(AD$2,RLS!$C$25:$BK$25,0),FALSE)*('Unit Distribution'!$C$4&gt;0)</f>
        <v>1</v>
      </c>
      <c r="AE42" s="14">
        <f>VLOOKUP($E42,RLS!$C$32:$BK$36,MATCH(AE$2,RLS!$C$25:$BK$25,0),FALSE)*('Unit Distribution'!$D$4&gt;0)</f>
        <v>1</v>
      </c>
      <c r="AF42" s="14">
        <f>VLOOKUP($E42,RLS!$C$32:$BK$36,MATCH(AF$2,RLS!$C$25:$BK$25,0),FALSE)*('Unit Distribution'!$D$4&gt;0)</f>
        <v>1</v>
      </c>
      <c r="AG42" s="14">
        <f>VLOOKUP($E42,RLS!$C$32:$BK$36,MATCH(AG$2,RLS!$C$25:$BK$25,0),FALSE)*('Unit Distribution'!$D$4&gt;0)</f>
        <v>1</v>
      </c>
      <c r="AH42" s="14">
        <f>VLOOKUP($E42,RLS!$C$32:$BK$36,MATCH(AH$2,RLS!$C$25:$BK$25,0),FALSE)*('Unit Distribution'!$D$4&gt;0)</f>
        <v>1</v>
      </c>
      <c r="AI42" s="14">
        <f>VLOOKUP($E42,RLS!$C$32:$BK$36,MATCH(AI$2,RLS!$C$25:$BK$25,0),FALSE)*('Unit Distribution'!$D$4&gt;0)</f>
        <v>1</v>
      </c>
      <c r="AJ42" s="14">
        <f>VLOOKUP($E42,RLS!$C$32:$BK$36,MATCH(AJ$2,RLS!$C$25:$BK$25,0),FALSE)*('Unit Distribution'!$D$4&gt;0)</f>
        <v>1</v>
      </c>
      <c r="AK42" s="14">
        <f>VLOOKUP($E42,RLS!$C$32:$BK$36,MATCH(AK$2,RLS!$C$25:$BK$25,0),FALSE)*('Unit Distribution'!$D$4&gt;0)</f>
        <v>1</v>
      </c>
      <c r="AL42" s="14">
        <f>VLOOKUP($E42,RLS!$C$32:$BK$36,MATCH(AL$2,RLS!$C$25:$BK$25,0),FALSE)*('Unit Distribution'!$D$4&gt;0)</f>
        <v>1</v>
      </c>
      <c r="AM42" s="14">
        <f>VLOOKUP($E42,RLS!$C$32:$BK$36,MATCH(AM$2,RLS!$C$25:$BK$25,0),FALSE)*('Unit Distribution'!$D$4&gt;0)</f>
        <v>1</v>
      </c>
      <c r="AN42" s="14">
        <f>VLOOKUP($E42,RLS!$C$32:$BK$36,MATCH(AN$2,RLS!$C$25:$BK$25,0),FALSE)*('Unit Distribution'!$D$4&gt;0)</f>
        <v>1</v>
      </c>
      <c r="AO42" s="14">
        <f>VLOOKUP($E42,RLS!$C$32:$BK$36,MATCH(AO$2,RLS!$C$25:$BK$25,0),FALSE)*('Unit Distribution'!$D$4&gt;0)</f>
        <v>1</v>
      </c>
      <c r="AP42" s="14">
        <f>VLOOKUP($E42,RLS!$C$32:$BK$36,MATCH(AP$2,RLS!$C$25:$BK$25,0),FALSE)*('Unit Distribution'!$D$4&gt;0)</f>
        <v>1</v>
      </c>
      <c r="AQ42">
        <f>VLOOKUP($E42,RLS!$C$32:$BK$36,MATCH(AQ$2,RLS!$C$25:$BK$25,0),FALSE)*('Unit Distribution'!$E$4&gt;0)</f>
        <v>0</v>
      </c>
      <c r="AR42">
        <f>VLOOKUP($E42,RLS!$C$32:$BK$36,MATCH(AR$2,RLS!$C$25:$BK$25,0),FALSE)*('Unit Distribution'!$E$4&gt;0)</f>
        <v>0</v>
      </c>
      <c r="AS42">
        <f>VLOOKUP($E42,RLS!$C$32:$BK$36,MATCH(AS$2,RLS!$C$25:$BK$25,0),FALSE)*('Unit Distribution'!$E$4&gt;0)</f>
        <v>0</v>
      </c>
      <c r="AT42">
        <f>VLOOKUP($E42,RLS!$C$32:$BK$36,MATCH(AT$2,RLS!$C$25:$BK$25,0),FALSE)*('Unit Distribution'!$E$4&gt;0)</f>
        <v>0</v>
      </c>
      <c r="AU42">
        <f>VLOOKUP($E42,RLS!$C$32:$BK$36,MATCH(AU$2,RLS!$C$25:$BK$25,0),FALSE)*('Unit Distribution'!$E$4&gt;0)</f>
        <v>0</v>
      </c>
      <c r="AV42">
        <f>VLOOKUP($E42,RLS!$C$32:$BK$36,MATCH(AV$2,RLS!$C$25:$BK$25,0),FALSE)*('Unit Distribution'!$E$4&gt;0)</f>
        <v>0</v>
      </c>
      <c r="AW42">
        <f>VLOOKUP($E42,RLS!$C$32:$BK$36,MATCH(AW$2,RLS!$C$25:$BK$25,0),FALSE)*('Unit Distribution'!$E$4&gt;0)</f>
        <v>0</v>
      </c>
      <c r="AX42">
        <f>VLOOKUP($E42,RLS!$C$32:$BK$36,MATCH(AX$2,RLS!$C$25:$BK$25,0),FALSE)*('Unit Distribution'!$E$4&gt;0)</f>
        <v>0</v>
      </c>
      <c r="AY42">
        <f>VLOOKUP($E42,RLS!$C$32:$BK$36,MATCH(AY$2,RLS!$C$25:$BK$25,0),FALSE)*('Unit Distribution'!$E$4&gt;0)</f>
        <v>0</v>
      </c>
      <c r="AZ42">
        <f>VLOOKUP($E42,RLS!$C$32:$BK$36,MATCH(AZ$2,RLS!$C$25:$BK$25,0),FALSE)*('Unit Distribution'!$E$4&gt;0)</f>
        <v>0</v>
      </c>
      <c r="BA42">
        <f>VLOOKUP($E42,RLS!$C$32:$BK$36,MATCH(BA$2,RLS!$C$25:$BK$25,0),FALSE)*('Unit Distribution'!$E$4&gt;0)</f>
        <v>0</v>
      </c>
      <c r="BB42">
        <f>VLOOKUP($E42,RLS!$C$32:$BK$36,MATCH(BB$2,RLS!$C$25:$BK$25,0),FALSE)*('Unit Distribution'!$E$4&gt;0)</f>
        <v>0</v>
      </c>
      <c r="BC42">
        <f>VLOOKUP($E42,RLS!$C$32:$BK$36,MATCH(BC$2,RLS!$C$25:$BK$25,0),FALSE)*('Unit Distribution'!$F$4&gt;0)</f>
        <v>0</v>
      </c>
      <c r="BD42">
        <f>VLOOKUP($E42,RLS!$C$32:$BK$36,MATCH(BD$2,RLS!$C$25:$BK$25,0),FALSE)*('Unit Distribution'!$F$4&gt;0)</f>
        <v>0</v>
      </c>
      <c r="BE42">
        <f>VLOOKUP($E42,RLS!$C$32:$BK$36,MATCH(BE$2,RLS!$C$25:$BK$25,0),FALSE)*('Unit Distribution'!$F$4&gt;0)</f>
        <v>0</v>
      </c>
      <c r="BF42">
        <f>VLOOKUP($E42,RLS!$C$32:$BK$36,MATCH(BF$2,RLS!$C$25:$BK$25,0),FALSE)*('Unit Distribution'!$F$4&gt;0)</f>
        <v>0</v>
      </c>
      <c r="BG42">
        <f>VLOOKUP($E42,RLS!$C$32:$BK$36,MATCH(BG$2,RLS!$C$25:$BK$25,0),FALSE)*('Unit Distribution'!$F$4&gt;0)</f>
        <v>0</v>
      </c>
      <c r="BH42">
        <f>VLOOKUP($E42,RLS!$C$32:$BK$36,MATCH(BH$2,RLS!$C$25:$BK$25,0),FALSE)*('Unit Distribution'!$F$4&gt;0)</f>
        <v>0</v>
      </c>
      <c r="BI42">
        <f>VLOOKUP($E42,RLS!$C$32:$BK$36,MATCH(BI$2,RLS!$C$25:$BK$25,0),FALSE)*('Unit Distribution'!$F$4&gt;0)</f>
        <v>0</v>
      </c>
      <c r="BJ42">
        <f>VLOOKUP($E42,RLS!$C$32:$BK$36,MATCH(BJ$2,RLS!$C$25:$BK$25,0),FALSE)*('Unit Distribution'!$F$4&gt;0)</f>
        <v>0</v>
      </c>
      <c r="BK42">
        <f>VLOOKUP($E42,RLS!$C$32:$BK$36,MATCH(BK$2,RLS!$C$25:$BK$25,0),FALSE)*('Unit Distribution'!$F$4&gt;0)</f>
        <v>0</v>
      </c>
      <c r="BL42">
        <f>VLOOKUP($E42,RLS!$C$32:$BK$36,MATCH(BL$2,RLS!$C$25:$BK$25,0),FALSE)*('Unit Distribution'!$F$4&gt;0)</f>
        <v>0</v>
      </c>
      <c r="BM42">
        <f>VLOOKUP($E42,RLS!$C$32:$BK$36,MATCH(BM$2,RLS!$C$25:$BK$25,0),FALSE)*('Unit Distribution'!$F$4&gt;0)</f>
        <v>0</v>
      </c>
      <c r="BN42">
        <f>VLOOKUP($E42,RLS!$C$32:$BK$36,MATCH(BN$2,RLS!$C$25:$BK$25,0),FALSE)*('Unit Distribution'!$F$4&gt;0)</f>
        <v>0</v>
      </c>
    </row>
    <row r="43" spans="1:66" x14ac:dyDescent="0.35">
      <c r="A43" t="s">
        <v>79</v>
      </c>
      <c r="B43" t="s">
        <v>78</v>
      </c>
      <c r="C43" t="s">
        <v>112</v>
      </c>
      <c r="D43" t="s">
        <v>80</v>
      </c>
      <c r="E43" t="str">
        <f t="shared" si="1"/>
        <v>LeadOnsite</v>
      </c>
      <c r="F43" t="s">
        <v>68</v>
      </c>
      <c r="G43" s="14">
        <f>VLOOKUP($E43,RLS!$C$32:$BK$36,MATCH(G$2,RLS!$C$25:$BK$25,0),FALSE)-G42</f>
        <v>0</v>
      </c>
      <c r="H43" s="14">
        <f>VLOOKUP($E43,RLS!$C$32:$BK$36,MATCH(H$2,RLS!$C$25:$BK$25,0),FALSE)-H42</f>
        <v>0</v>
      </c>
      <c r="I43" s="14">
        <f>VLOOKUP($E43,RLS!$C$32:$BK$36,MATCH(I$2,RLS!$C$25:$BK$25,0),FALSE)-I42</f>
        <v>0</v>
      </c>
      <c r="J43" s="14">
        <f>VLOOKUP($E43,RLS!$C$32:$BK$36,MATCH(J$2,RLS!$C$25:$BK$25,0),FALSE)-J42</f>
        <v>0</v>
      </c>
      <c r="K43" s="14">
        <f>VLOOKUP($E43,RLS!$C$32:$BK$36,MATCH(K$2,RLS!$C$25:$BK$25,0),FALSE)-K42</f>
        <v>0</v>
      </c>
      <c r="L43" s="14">
        <f>VLOOKUP($E43,RLS!$C$32:$BK$36,MATCH(L$2,RLS!$C$25:$BK$25,0),FALSE)-L42</f>
        <v>0</v>
      </c>
      <c r="M43" s="14">
        <f>VLOOKUP($E43,RLS!$C$32:$BK$36,MATCH(M$2,RLS!$C$25:$BK$25,0),FALSE)-M42</f>
        <v>0</v>
      </c>
      <c r="N43" s="14">
        <f>VLOOKUP($E43,RLS!$C$32:$BK$36,MATCH(N$2,RLS!$C$25:$BK$25,0),FALSE)-N42</f>
        <v>0</v>
      </c>
      <c r="O43" s="14">
        <f>VLOOKUP($E43,RLS!$C$32:$BK$36,MATCH(O$2,RLS!$C$25:$BK$25,0),FALSE)-O42</f>
        <v>0</v>
      </c>
      <c r="P43" s="14">
        <f>VLOOKUP($E43,RLS!$C$32:$BK$36,MATCH(P$2,RLS!$C$25:$BK$25,0),FALSE)-P42</f>
        <v>0</v>
      </c>
      <c r="Q43" s="14">
        <f>VLOOKUP($E43,RLS!$C$32:$BK$36,MATCH(Q$2,RLS!$C$25:$BK$25,0),FALSE)-Q42</f>
        <v>0</v>
      </c>
      <c r="R43" s="14">
        <f>VLOOKUP($E43,RLS!$C$32:$BK$36,MATCH(R$2,RLS!$C$25:$BK$25,0),FALSE)-R42</f>
        <v>0</v>
      </c>
      <c r="S43" s="14">
        <f>VLOOKUP($E43,RLS!$C$32:$BK$36,MATCH(S$2,RLS!$C$25:$BK$25,0),FALSE)-S42</f>
        <v>0</v>
      </c>
      <c r="T43" s="14">
        <f>VLOOKUP($E43,RLS!$C$32:$BK$36,MATCH(T$2,RLS!$C$25:$BK$25,0),FALSE)-T42</f>
        <v>0</v>
      </c>
      <c r="U43" s="14">
        <f>VLOOKUP($E43,RLS!$C$32:$BK$36,MATCH(U$2,RLS!$C$25:$BK$25,0),FALSE)-U42</f>
        <v>0</v>
      </c>
      <c r="V43" s="14">
        <f>VLOOKUP($E43,RLS!$C$32:$BK$36,MATCH(V$2,RLS!$C$25:$BK$25,0),FALSE)-V42</f>
        <v>0</v>
      </c>
      <c r="W43" s="14">
        <f>VLOOKUP($E43,RLS!$C$32:$BK$36,MATCH(W$2,RLS!$C$25:$BK$25,0),FALSE)-W42</f>
        <v>0</v>
      </c>
      <c r="X43" s="14">
        <f>VLOOKUP($E43,RLS!$C$32:$BK$36,MATCH(X$2,RLS!$C$25:$BK$25,0),FALSE)-X42</f>
        <v>0</v>
      </c>
      <c r="Y43" s="14">
        <f>VLOOKUP($E43,RLS!$C$32:$BK$36,MATCH(Y$2,RLS!$C$25:$BK$25,0),FALSE)-Y42</f>
        <v>0</v>
      </c>
      <c r="Z43" s="14">
        <f>VLOOKUP($E43,RLS!$C$32:$BK$36,MATCH(Z$2,RLS!$C$25:$BK$25,0),FALSE)-Z42</f>
        <v>0</v>
      </c>
      <c r="AA43" s="14">
        <f>VLOOKUP($E43,RLS!$C$32:$BK$36,MATCH(AA$2,RLS!$C$25:$BK$25,0),FALSE)-AA42</f>
        <v>0</v>
      </c>
      <c r="AB43" s="14">
        <f>VLOOKUP($E43,RLS!$C$32:$BK$36,MATCH(AB$2,RLS!$C$25:$BK$25,0),FALSE)-AB42</f>
        <v>0</v>
      </c>
      <c r="AC43" s="14">
        <f>VLOOKUP($E43,RLS!$C$32:$BK$36,MATCH(AC$2,RLS!$C$25:$BK$25,0),FALSE)-AC42</f>
        <v>0</v>
      </c>
      <c r="AD43" s="14">
        <f>VLOOKUP($E43,RLS!$C$32:$BK$36,MATCH(AD$2,RLS!$C$25:$BK$25,0),FALSE)-AD42</f>
        <v>0</v>
      </c>
      <c r="AE43" s="14">
        <f>VLOOKUP($E43,RLS!$C$32:$BK$36,MATCH(AE$2,RLS!$C$25:$BK$25,0),FALSE)-AE42</f>
        <v>0</v>
      </c>
      <c r="AF43" s="14">
        <f>VLOOKUP($E43,RLS!$C$32:$BK$36,MATCH(AF$2,RLS!$C$25:$BK$25,0),FALSE)-AF42</f>
        <v>0</v>
      </c>
      <c r="AG43" s="14">
        <f>VLOOKUP($E43,RLS!$C$32:$BK$36,MATCH(AG$2,RLS!$C$25:$BK$25,0),FALSE)-AG42</f>
        <v>0</v>
      </c>
      <c r="AH43" s="14">
        <f>VLOOKUP($E43,RLS!$C$32:$BK$36,MATCH(AH$2,RLS!$C$25:$BK$25,0),FALSE)-AH42</f>
        <v>0</v>
      </c>
      <c r="AI43" s="14">
        <f>VLOOKUP($E43,RLS!$C$32:$BK$36,MATCH(AI$2,RLS!$C$25:$BK$25,0),FALSE)-AI42</f>
        <v>0</v>
      </c>
      <c r="AJ43" s="14">
        <f>VLOOKUP($E43,RLS!$C$32:$BK$36,MATCH(AJ$2,RLS!$C$25:$BK$25,0),FALSE)-AJ42</f>
        <v>0</v>
      </c>
      <c r="AK43" s="14">
        <f>VLOOKUP($E43,RLS!$C$32:$BK$36,MATCH(AK$2,RLS!$C$25:$BK$25,0),FALSE)-AK42</f>
        <v>0</v>
      </c>
      <c r="AL43" s="14">
        <f>VLOOKUP($E43,RLS!$C$32:$BK$36,MATCH(AL$2,RLS!$C$25:$BK$25,0),FALSE)-AL42</f>
        <v>0</v>
      </c>
      <c r="AM43" s="14">
        <f>VLOOKUP($E43,RLS!$C$32:$BK$36,MATCH(AM$2,RLS!$C$25:$BK$25,0),FALSE)-AM42</f>
        <v>0</v>
      </c>
      <c r="AN43" s="14">
        <f>VLOOKUP($E43,RLS!$C$32:$BK$36,MATCH(AN$2,RLS!$C$25:$BK$25,0),FALSE)-AN42</f>
        <v>0</v>
      </c>
      <c r="AO43" s="14">
        <f>VLOOKUP($E43,RLS!$C$32:$BK$36,MATCH(AO$2,RLS!$C$25:$BK$25,0),FALSE)-AO42</f>
        <v>0</v>
      </c>
      <c r="AP43" s="14">
        <f>VLOOKUP($E43,RLS!$C$32:$BK$36,MATCH(AP$2,RLS!$C$25:$BK$25,0),FALSE)-AP42</f>
        <v>0</v>
      </c>
      <c r="AQ43">
        <f>VLOOKUP($E43,RLS!$C$32:$BK$36,MATCH(AQ$2,RLS!$C$25:$BK$25,0),FALSE)-AQ42</f>
        <v>1</v>
      </c>
      <c r="AR43">
        <f>VLOOKUP($E43,RLS!$C$32:$BK$36,MATCH(AR$2,RLS!$C$25:$BK$25,0),FALSE)-AR42</f>
        <v>1</v>
      </c>
      <c r="AS43">
        <f>VLOOKUP($E43,RLS!$C$32:$BK$36,MATCH(AS$2,RLS!$C$25:$BK$25,0),FALSE)-AS42</f>
        <v>1</v>
      </c>
      <c r="AT43">
        <f>VLOOKUP($E43,RLS!$C$32:$BK$36,MATCH(AT$2,RLS!$C$25:$BK$25,0),FALSE)-AT42</f>
        <v>1</v>
      </c>
      <c r="AU43">
        <f>VLOOKUP($E43,RLS!$C$32:$BK$36,MATCH(AU$2,RLS!$C$25:$BK$25,0),FALSE)-AU42</f>
        <v>1</v>
      </c>
      <c r="AV43">
        <f>VLOOKUP($E43,RLS!$C$32:$BK$36,MATCH(AV$2,RLS!$C$25:$BK$25,0),FALSE)-AV42</f>
        <v>1</v>
      </c>
      <c r="AW43">
        <f>VLOOKUP($E43,RLS!$C$32:$BK$36,MATCH(AW$2,RLS!$C$25:$BK$25,0),FALSE)-AW42</f>
        <v>1</v>
      </c>
      <c r="AX43">
        <f>VLOOKUP($E43,RLS!$C$32:$BK$36,MATCH(AX$2,RLS!$C$25:$BK$25,0),FALSE)-AX42</f>
        <v>1</v>
      </c>
      <c r="AY43">
        <f>VLOOKUP($E43,RLS!$C$32:$BK$36,MATCH(AY$2,RLS!$C$25:$BK$25,0),FALSE)-AY42</f>
        <v>1</v>
      </c>
      <c r="AZ43">
        <f>VLOOKUP($E43,RLS!$C$32:$BK$36,MATCH(AZ$2,RLS!$C$25:$BK$25,0),FALSE)-AZ42</f>
        <v>1</v>
      </c>
      <c r="BA43">
        <f>VLOOKUP($E43,RLS!$C$32:$BK$36,MATCH(BA$2,RLS!$C$25:$BK$25,0),FALSE)-BA42</f>
        <v>1</v>
      </c>
      <c r="BB43">
        <f>VLOOKUP($E43,RLS!$C$32:$BK$36,MATCH(BB$2,RLS!$C$25:$BK$25,0),FALSE)-BB42</f>
        <v>1</v>
      </c>
      <c r="BC43">
        <f>VLOOKUP($E43,RLS!$C$32:$BK$36,MATCH(BC$2,RLS!$C$25:$BK$25,0),FALSE)-BC42</f>
        <v>1</v>
      </c>
      <c r="BD43">
        <f>VLOOKUP($E43,RLS!$C$32:$BK$36,MATCH(BD$2,RLS!$C$25:$BK$25,0),FALSE)-BD42</f>
        <v>1</v>
      </c>
      <c r="BE43">
        <f>VLOOKUP($E43,RLS!$C$32:$BK$36,MATCH(BE$2,RLS!$C$25:$BK$25,0),FALSE)-BE42</f>
        <v>1</v>
      </c>
      <c r="BF43">
        <f>VLOOKUP($E43,RLS!$C$32:$BK$36,MATCH(BF$2,RLS!$C$25:$BK$25,0),FALSE)-BF42</f>
        <v>1</v>
      </c>
      <c r="BG43">
        <f>VLOOKUP($E43,RLS!$C$32:$BK$36,MATCH(BG$2,RLS!$C$25:$BK$25,0),FALSE)-BG42</f>
        <v>1</v>
      </c>
      <c r="BH43">
        <f>VLOOKUP($E43,RLS!$C$32:$BK$36,MATCH(BH$2,RLS!$C$25:$BK$25,0),FALSE)-BH42</f>
        <v>1</v>
      </c>
      <c r="BI43">
        <f>VLOOKUP($E43,RLS!$C$32:$BK$36,MATCH(BI$2,RLS!$C$25:$BK$25,0),FALSE)-BI42</f>
        <v>1</v>
      </c>
      <c r="BJ43">
        <f>VLOOKUP($E43,RLS!$C$32:$BK$36,MATCH(BJ$2,RLS!$C$25:$BK$25,0),FALSE)-BJ42</f>
        <v>1</v>
      </c>
      <c r="BK43">
        <f>VLOOKUP($E43,RLS!$C$32:$BK$36,MATCH(BK$2,RLS!$C$25:$BK$25,0),FALSE)-BK42</f>
        <v>1</v>
      </c>
      <c r="BL43">
        <f>VLOOKUP($E43,RLS!$C$32:$BK$36,MATCH(BL$2,RLS!$C$25:$BK$25,0),FALSE)-BL42</f>
        <v>1</v>
      </c>
      <c r="BM43">
        <f>VLOOKUP($E43,RLS!$C$32:$BK$36,MATCH(BM$2,RLS!$C$25:$BK$25,0),FALSE)-BM42</f>
        <v>1</v>
      </c>
      <c r="BN43">
        <f>VLOOKUP($E43,RLS!$C$32:$BK$36,MATCH(BN$2,RLS!$C$25:$BK$25,0),FALSE)-BN42</f>
        <v>1</v>
      </c>
    </row>
    <row r="44" spans="1:66" x14ac:dyDescent="0.35">
      <c r="A44" t="s">
        <v>79</v>
      </c>
      <c r="B44" t="s">
        <v>78</v>
      </c>
      <c r="C44" t="s">
        <v>112</v>
      </c>
      <c r="D44" t="s">
        <v>80</v>
      </c>
      <c r="E44" t="str">
        <f t="shared" si="1"/>
        <v>LeadOnsite</v>
      </c>
      <c r="F44" t="s">
        <v>70</v>
      </c>
      <c r="G44" s="14">
        <f>MIN(1,VLOOKUP("BSAOnsite",RLS!$C$32:$BK$36,MATCH(G$2,RLS!$C$25:$BK$25,0),FALSE))*('Unit Distribution'!$B$5&gt;0)</f>
        <v>1</v>
      </c>
      <c r="H44" s="14">
        <f>MIN(1,VLOOKUP("BSAOnsite",RLS!$C$32:$BK$36,MATCH(H$2,RLS!$C$25:$BK$25,0),FALSE))*('Unit Distribution'!$B$5&gt;0)</f>
        <v>1</v>
      </c>
      <c r="I44" s="14">
        <f>MIN(1,VLOOKUP("BSAOnsite",RLS!$C$32:$BK$36,MATCH(I$2,RLS!$C$25:$BK$25,0),FALSE))*('Unit Distribution'!$B$5&gt;0)</f>
        <v>1</v>
      </c>
      <c r="J44" s="14">
        <f>MIN(1,VLOOKUP("BSAOnsite",RLS!$C$32:$BK$36,MATCH(J$2,RLS!$C$25:$BK$25,0),FALSE))*('Unit Distribution'!$B$5&gt;0)</f>
        <v>1</v>
      </c>
      <c r="K44" s="14">
        <f>MIN(1,VLOOKUP("BSAOnsite",RLS!$C$32:$BK$36,MATCH(K$2,RLS!$C$25:$BK$25,0),FALSE))*('Unit Distribution'!$B$5&gt;0)</f>
        <v>1</v>
      </c>
      <c r="L44" s="14">
        <f>MIN(1,VLOOKUP("BSAOnsite",RLS!$C$32:$BK$36,MATCH(L$2,RLS!$C$25:$BK$25,0),FALSE))*('Unit Distribution'!$B$5&gt;0)</f>
        <v>1</v>
      </c>
      <c r="M44" s="14">
        <f>MIN(1,VLOOKUP("BSAOnsite",RLS!$C$32:$BK$36,MATCH(M$2,RLS!$C$25:$BK$25,0),FALSE))*('Unit Distribution'!$B$5&gt;0)</f>
        <v>1</v>
      </c>
      <c r="N44" s="14">
        <f>MIN(1,VLOOKUP("BSAOnsite",RLS!$C$32:$BK$36,MATCH(N$2,RLS!$C$25:$BK$25,0),FALSE))*('Unit Distribution'!$B$5&gt;0)</f>
        <v>1</v>
      </c>
      <c r="O44" s="14">
        <f>MIN(1,VLOOKUP("BSAOnsite",RLS!$C$32:$BK$36,MATCH(O$2,RLS!$C$25:$BK$25,0),FALSE))*('Unit Distribution'!$B$5&gt;0)</f>
        <v>1</v>
      </c>
      <c r="P44" s="14">
        <f>MIN(1,VLOOKUP("BSAOnsite",RLS!$C$32:$BK$36,MATCH(P$2,RLS!$C$25:$BK$25,0),FALSE))*('Unit Distribution'!$B$5&gt;0)</f>
        <v>1</v>
      </c>
      <c r="Q44" s="14">
        <f>MIN(1,VLOOKUP("BSAOnsite",RLS!$C$32:$BK$36,MATCH(Q$2,RLS!$C$25:$BK$25,0),FALSE))*('Unit Distribution'!$B$5&gt;0)</f>
        <v>1</v>
      </c>
      <c r="R44" s="14">
        <f>MIN(1,VLOOKUP("BSAOnsite",RLS!$C$32:$BK$36,MATCH(R$2,RLS!$C$25:$BK$25,0),FALSE))*('Unit Distribution'!$B$5&gt;0)</f>
        <v>1</v>
      </c>
      <c r="S44" s="14">
        <f>MIN(1,VLOOKUP("BSAOnsite",RLS!$C$32:$BK$36,MATCH(S$2,RLS!$C$25:$BK$25,0),FALSE))*('Unit Distribution'!$C$5&gt;0)</f>
        <v>1</v>
      </c>
      <c r="T44" s="14">
        <f>MIN(1,VLOOKUP("BSAOnsite",RLS!$C$32:$BK$36,MATCH(T$2,RLS!$C$25:$BK$25,0),FALSE))*('Unit Distribution'!$C$5&gt;0)</f>
        <v>1</v>
      </c>
      <c r="U44" s="14">
        <f>MIN(1,VLOOKUP("BSAOnsite",RLS!$C$32:$BK$36,MATCH(U$2,RLS!$C$25:$BK$25,0),FALSE))*('Unit Distribution'!$C$5&gt;0)</f>
        <v>1</v>
      </c>
      <c r="V44" s="14">
        <f>MIN(1,VLOOKUP("BSAOnsite",RLS!$C$32:$BK$36,MATCH(V$2,RLS!$C$25:$BK$25,0),FALSE))*('Unit Distribution'!$C$5&gt;0)</f>
        <v>1</v>
      </c>
      <c r="W44" s="14">
        <f>MIN(1,VLOOKUP("BSAOnsite",RLS!$C$32:$BK$36,MATCH(W$2,RLS!$C$25:$BK$25,0),FALSE))*('Unit Distribution'!$C$5&gt;0)</f>
        <v>1</v>
      </c>
      <c r="X44" s="14">
        <f>MIN(1,VLOOKUP("BSAOnsite",RLS!$C$32:$BK$36,MATCH(X$2,RLS!$C$25:$BK$25,0),FALSE))*('Unit Distribution'!$C$5&gt;0)</f>
        <v>1</v>
      </c>
      <c r="Y44" s="14">
        <f>MIN(1,VLOOKUP("BSAOnsite",RLS!$C$32:$BK$36,MATCH(Y$2,RLS!$C$25:$BK$25,0),FALSE))*('Unit Distribution'!$C$5&gt;0)</f>
        <v>1</v>
      </c>
      <c r="Z44" s="14">
        <f>MIN(1,VLOOKUP("BSAOnsite",RLS!$C$32:$BK$36,MATCH(Z$2,RLS!$C$25:$BK$25,0),FALSE))*('Unit Distribution'!$C$5&gt;0)</f>
        <v>1</v>
      </c>
      <c r="AA44" s="14">
        <f>MIN(1,VLOOKUP("BSAOnsite",RLS!$C$32:$BK$36,MATCH(AA$2,RLS!$C$25:$BK$25,0),FALSE))*('Unit Distribution'!$C$5&gt;0)</f>
        <v>1</v>
      </c>
      <c r="AB44" s="14">
        <f>MIN(1,VLOOKUP("BSAOnsite",RLS!$C$32:$BK$36,MATCH(AB$2,RLS!$C$25:$BK$25,0),FALSE))*('Unit Distribution'!$C$5&gt;0)</f>
        <v>1</v>
      </c>
      <c r="AC44" s="14">
        <f>MIN(1,VLOOKUP("BSAOnsite",RLS!$C$32:$BK$36,MATCH(AC$2,RLS!$C$25:$BK$25,0),FALSE))*('Unit Distribution'!$C$5&gt;0)</f>
        <v>1</v>
      </c>
      <c r="AD44" s="14">
        <f>MIN(1,VLOOKUP("BSAOnsite",RLS!$C$32:$BK$36,MATCH(AD$2,RLS!$C$25:$BK$25,0),FALSE))*('Unit Distribution'!$C$5&gt;0)</f>
        <v>1</v>
      </c>
      <c r="AE44" s="14">
        <f>MIN(1,VLOOKUP("BSAOnsite",RLS!$C$32:$BK$36,MATCH(AE$2,RLS!$C$25:$BK$25,0),FALSE))*('Unit Distribution'!$D$5&gt;0)</f>
        <v>1</v>
      </c>
      <c r="AF44" s="14">
        <f>MIN(1,VLOOKUP("BSAOnsite",RLS!$C$32:$BK$36,MATCH(AF$2,RLS!$C$25:$BK$25,0),FALSE))*('Unit Distribution'!$D$5&gt;0)</f>
        <v>1</v>
      </c>
      <c r="AG44" s="14">
        <f>MIN(1,VLOOKUP("BSAOnsite",RLS!$C$32:$BK$36,MATCH(AG$2,RLS!$C$25:$BK$25,0),FALSE))*('Unit Distribution'!$D$5&gt;0)</f>
        <v>1</v>
      </c>
      <c r="AH44" s="14">
        <f>MIN(1,VLOOKUP("BSAOnsite",RLS!$C$32:$BK$36,MATCH(AH$2,RLS!$C$25:$BK$25,0),FALSE))*('Unit Distribution'!$D$5&gt;0)</f>
        <v>1</v>
      </c>
      <c r="AI44" s="14">
        <f>MIN(1,VLOOKUP("BSAOnsite",RLS!$C$32:$BK$36,MATCH(AI$2,RLS!$C$25:$BK$25,0),FALSE))*('Unit Distribution'!$D$5&gt;0)</f>
        <v>1</v>
      </c>
      <c r="AJ44" s="14">
        <f>MIN(1,VLOOKUP("BSAOnsite",RLS!$C$32:$BK$36,MATCH(AJ$2,RLS!$C$25:$BK$25,0),FALSE))*('Unit Distribution'!$D$5&gt;0)</f>
        <v>1</v>
      </c>
      <c r="AK44" s="14">
        <f>MIN(1,VLOOKUP("BSAOnsite",RLS!$C$32:$BK$36,MATCH(AK$2,RLS!$C$25:$BK$25,0),FALSE))*('Unit Distribution'!$D$5&gt;0)</f>
        <v>1</v>
      </c>
      <c r="AL44" s="14">
        <f>MIN(1,VLOOKUP("BSAOnsite",RLS!$C$32:$BK$36,MATCH(AL$2,RLS!$C$25:$BK$25,0),FALSE))*('Unit Distribution'!$D$5&gt;0)</f>
        <v>1</v>
      </c>
      <c r="AM44" s="14">
        <f>MIN(1,VLOOKUP("BSAOnsite",RLS!$C$32:$BK$36,MATCH(AM$2,RLS!$C$25:$BK$25,0),FALSE))*('Unit Distribution'!$D$5&gt;0)</f>
        <v>1</v>
      </c>
      <c r="AN44" s="14">
        <f>MIN(1,VLOOKUP("BSAOnsite",RLS!$C$32:$BK$36,MATCH(AN$2,RLS!$C$25:$BK$25,0),FALSE))*('Unit Distribution'!$D$5&gt;0)</f>
        <v>1</v>
      </c>
      <c r="AO44" s="14">
        <f>MIN(1,VLOOKUP("BSAOnsite",RLS!$C$32:$BK$36,MATCH(AO$2,RLS!$C$25:$BK$25,0),FALSE))*('Unit Distribution'!$D$5&gt;0)</f>
        <v>1</v>
      </c>
      <c r="AP44" s="14">
        <f>MIN(1,VLOOKUP("BSAOnsite",RLS!$C$32:$BK$36,MATCH(AP$2,RLS!$C$25:$BK$25,0),FALSE))*('Unit Distribution'!$D$5&gt;0)</f>
        <v>1</v>
      </c>
      <c r="AQ44">
        <f>MIN(1,VLOOKUP("BSAOnsite",RLS!$C$32:$BK$36,MATCH(AQ$2,RLS!$C$25:$BK$25,0),FALSE))*('Unit Distribution'!$E$5&gt;0)</f>
        <v>0</v>
      </c>
      <c r="AR44">
        <f>MIN(1,VLOOKUP("BSAOnsite",RLS!$C$32:$BK$36,MATCH(AR$2,RLS!$C$25:$BK$25,0),FALSE))*('Unit Distribution'!$E$5&gt;0)</f>
        <v>0</v>
      </c>
      <c r="AS44">
        <f>MIN(1,VLOOKUP("BSAOnsite",RLS!$C$32:$BK$36,MATCH(AS$2,RLS!$C$25:$BK$25,0),FALSE))*('Unit Distribution'!$E$5&gt;0)</f>
        <v>0</v>
      </c>
      <c r="AT44">
        <f>MIN(1,VLOOKUP("BSAOnsite",RLS!$C$32:$BK$36,MATCH(AT$2,RLS!$C$25:$BK$25,0),FALSE))*('Unit Distribution'!$E$5&gt;0)</f>
        <v>0</v>
      </c>
      <c r="AU44">
        <f>MIN(1,VLOOKUP("BSAOnsite",RLS!$C$32:$BK$36,MATCH(AU$2,RLS!$C$25:$BK$25,0),FALSE))*('Unit Distribution'!$E$5&gt;0)</f>
        <v>0</v>
      </c>
      <c r="AV44">
        <f>MIN(1,VLOOKUP("BSAOnsite",RLS!$C$32:$BK$36,MATCH(AV$2,RLS!$C$25:$BK$25,0),FALSE))*('Unit Distribution'!$E$5&gt;0)</f>
        <v>0</v>
      </c>
      <c r="AW44">
        <f>MIN(1,VLOOKUP("BSAOnsite",RLS!$C$32:$BK$36,MATCH(AW$2,RLS!$C$25:$BK$25,0),FALSE))*('Unit Distribution'!$E$5&gt;0)</f>
        <v>0</v>
      </c>
      <c r="AX44">
        <f>MIN(1,VLOOKUP("BSAOnsite",RLS!$C$32:$BK$36,MATCH(AX$2,RLS!$C$25:$BK$25,0),FALSE))*('Unit Distribution'!$E$5&gt;0)</f>
        <v>0</v>
      </c>
      <c r="AY44">
        <f>MIN(1,VLOOKUP("BSAOnsite",RLS!$C$32:$BK$36,MATCH(AY$2,RLS!$C$25:$BK$25,0),FALSE))*('Unit Distribution'!$E$5&gt;0)</f>
        <v>0</v>
      </c>
      <c r="AZ44">
        <f>MIN(1,VLOOKUP("BSAOnsite",RLS!$C$32:$BK$36,MATCH(AZ$2,RLS!$C$25:$BK$25,0),FALSE))*('Unit Distribution'!$E$5&gt;0)</f>
        <v>0</v>
      </c>
      <c r="BA44">
        <f>MIN(1,VLOOKUP("BSAOnsite",RLS!$C$32:$BK$36,MATCH(BA$2,RLS!$C$25:$BK$25,0),FALSE))*('Unit Distribution'!$E$5&gt;0)</f>
        <v>0</v>
      </c>
      <c r="BB44">
        <f>MIN(1,VLOOKUP("BSAOnsite",RLS!$C$32:$BK$36,MATCH(BB$2,RLS!$C$25:$BK$25,0),FALSE))*('Unit Distribution'!$E$5&gt;0)</f>
        <v>0</v>
      </c>
      <c r="BC44">
        <f>MIN(1,VLOOKUP("BSAOnsite",RLS!$C$32:$BK$36,MATCH(BC$2,RLS!$C$25:$BK$25,0),FALSE))*('Unit Distribution'!$F$5&gt;0)</f>
        <v>0</v>
      </c>
      <c r="BD44">
        <f>MIN(1,VLOOKUP("BSAOnsite",RLS!$C$32:$BK$36,MATCH(BD$2,RLS!$C$25:$BK$25,0),FALSE))*('Unit Distribution'!$F$5&gt;0)</f>
        <v>0</v>
      </c>
      <c r="BE44">
        <f>MIN(1,VLOOKUP("BSAOnsite",RLS!$C$32:$BK$36,MATCH(BE$2,RLS!$C$25:$BK$25,0),FALSE))*('Unit Distribution'!$F$5&gt;0)</f>
        <v>0</v>
      </c>
      <c r="BF44">
        <f>MIN(1,VLOOKUP("BSAOnsite",RLS!$C$32:$BK$36,MATCH(BF$2,RLS!$C$25:$BK$25,0),FALSE))*('Unit Distribution'!$F$5&gt;0)</f>
        <v>0</v>
      </c>
      <c r="BG44">
        <f>MIN(1,VLOOKUP("BSAOnsite",RLS!$C$32:$BK$36,MATCH(BG$2,RLS!$C$25:$BK$25,0),FALSE))*('Unit Distribution'!$F$5&gt;0)</f>
        <v>0</v>
      </c>
      <c r="BH44">
        <f>MIN(1,VLOOKUP("BSAOnsite",RLS!$C$32:$BK$36,MATCH(BH$2,RLS!$C$25:$BK$25,0),FALSE))*('Unit Distribution'!$F$5&gt;0)</f>
        <v>0</v>
      </c>
      <c r="BI44">
        <f>MIN(1,VLOOKUP("BSAOnsite",RLS!$C$32:$BK$36,MATCH(BI$2,RLS!$C$25:$BK$25,0),FALSE))*('Unit Distribution'!$F$5&gt;0)</f>
        <v>0</v>
      </c>
      <c r="BJ44">
        <f>MIN(1,VLOOKUP("BSAOnsite",RLS!$C$32:$BK$36,MATCH(BJ$2,RLS!$C$25:$BK$25,0),FALSE))*('Unit Distribution'!$F$5&gt;0)</f>
        <v>0</v>
      </c>
      <c r="BK44">
        <f>MIN(1,VLOOKUP("BSAOnsite",RLS!$C$32:$BK$36,MATCH(BK$2,RLS!$C$25:$BK$25,0),FALSE))*('Unit Distribution'!$F$5&gt;0)</f>
        <v>0</v>
      </c>
      <c r="BL44">
        <f>MIN(1,VLOOKUP("BSAOnsite",RLS!$C$32:$BK$36,MATCH(BL$2,RLS!$C$25:$BK$25,0),FALSE))*('Unit Distribution'!$F$5&gt;0)</f>
        <v>0</v>
      </c>
      <c r="BM44">
        <f>MIN(1,VLOOKUP("BSAOnsite",RLS!$C$32:$BK$36,MATCH(BM$2,RLS!$C$25:$BK$25,0),FALSE))*('Unit Distribution'!$F$5&gt;0)</f>
        <v>0</v>
      </c>
      <c r="BN44">
        <f>MIN(1,VLOOKUP("BSAOnsite",RLS!$C$32:$BK$36,MATCH(BN$2,RLS!$C$25:$BK$25,0),FALSE))*('Unit Distribution'!$F$5&gt;0)</f>
        <v>0</v>
      </c>
    </row>
    <row r="45" spans="1:66" hidden="1" x14ac:dyDescent="0.35">
      <c r="A45" t="s">
        <v>65</v>
      </c>
      <c r="B45" t="s">
        <v>66</v>
      </c>
      <c r="D45" t="s">
        <v>84</v>
      </c>
      <c r="E45" t="str">
        <f t="shared" si="1"/>
        <v>BSAOnsite-Landed</v>
      </c>
      <c r="F45" t="s">
        <v>68</v>
      </c>
      <c r="G45" s="14">
        <f>ROUND((VLOOKUP($E45,RLS!$C$37:$BK$41,MATCH(G$2,RLS!$C$25:$BK$25,0),FALSE))*'Unit Distribution'!$B$3,0)</f>
        <v>0</v>
      </c>
      <c r="H45" s="14">
        <f>ROUND((VLOOKUP($E45,RLS!$C$37:$BK$41,MATCH(H$2,RLS!$C$25:$BK$25,0),FALSE))*'Unit Distribution'!$B$3,0)</f>
        <v>0</v>
      </c>
      <c r="I45" s="14">
        <f>ROUND((VLOOKUP($E45,RLS!$C$37:$BK$41,MATCH(I$2,RLS!$C$25:$BK$25,0),FALSE))*'Unit Distribution'!$B$3,0)</f>
        <v>0</v>
      </c>
      <c r="J45" s="14">
        <f>ROUND((VLOOKUP($E45,RLS!$C$37:$BK$41,MATCH(J$2,RLS!$C$25:$BK$25,0),FALSE))*'Unit Distribution'!$B$3,0)</f>
        <v>0</v>
      </c>
      <c r="K45" s="14">
        <f>ROUND((VLOOKUP($E45,RLS!$C$37:$BK$41,MATCH(K$2,RLS!$C$25:$BK$25,0),FALSE))*'Unit Distribution'!$B$3,0)</f>
        <v>0</v>
      </c>
      <c r="L45" s="14">
        <f>ROUND((VLOOKUP($E45,RLS!$C$37:$BK$41,MATCH(L$2,RLS!$C$25:$BK$25,0),FALSE))*'Unit Distribution'!$B$3,0)</f>
        <v>0</v>
      </c>
      <c r="M45" s="14">
        <f>ROUND((VLOOKUP($E45,RLS!$C$37:$BK$41,MATCH(M$2,RLS!$C$25:$BK$25,0),FALSE))*'Unit Distribution'!$B$3,0)</f>
        <v>0</v>
      </c>
      <c r="N45" s="14">
        <f>ROUND((VLOOKUP($E45,RLS!$C$37:$BK$41,MATCH(N$2,RLS!$C$25:$BK$25,0),FALSE))*'Unit Distribution'!$B$3,0)</f>
        <v>0</v>
      </c>
      <c r="O45" s="14">
        <f>ROUND((VLOOKUP($E45,RLS!$C$37:$BK$41,MATCH(O$2,RLS!$C$25:$BK$25,0),FALSE))*'Unit Distribution'!$B$3,0)</f>
        <v>0</v>
      </c>
      <c r="P45" s="14">
        <f>ROUND((VLOOKUP($E45,RLS!$C$37:$BK$41,MATCH(P$2,RLS!$C$25:$BK$25,0),FALSE))*'Unit Distribution'!$B$3,0)</f>
        <v>0</v>
      </c>
      <c r="Q45" s="14">
        <f>ROUND((VLOOKUP($E45,RLS!$C$37:$BK$41,MATCH(Q$2,RLS!$C$25:$BK$25,0),FALSE))*'Unit Distribution'!$B$3,0)</f>
        <v>0</v>
      </c>
      <c r="R45" s="14">
        <f>ROUND((VLOOKUP($E45,RLS!$C$37:$BK$41,MATCH(R$2,RLS!$C$25:$BK$25,0),FALSE))*'Unit Distribution'!$B$3,0)</f>
        <v>0</v>
      </c>
      <c r="S45" s="14">
        <f>ROUND((VLOOKUP($E45,RLS!$C$37:$BK$41,MATCH(S$2,RLS!$C$25:$BK$25,0),FALSE))*'Unit Distribution'!$C$3,0)</f>
        <v>0</v>
      </c>
      <c r="T45" s="14">
        <f>ROUND((VLOOKUP($E45,RLS!$C$37:$BK$41,MATCH(T$2,RLS!$C$25:$BK$25,0),FALSE))*'Unit Distribution'!$C$3,0)</f>
        <v>0</v>
      </c>
      <c r="U45" s="14">
        <f>ROUND((VLOOKUP($E45,RLS!$C$37:$BK$41,MATCH(U$2,RLS!$C$25:$BK$25,0),FALSE))*'Unit Distribution'!$C$3,0)</f>
        <v>0</v>
      </c>
      <c r="V45" s="14">
        <f>ROUND((VLOOKUP($E45,RLS!$C$37:$BK$41,MATCH(V$2,RLS!$C$25:$BK$25,0),FALSE))*'Unit Distribution'!$C$3,0)</f>
        <v>0</v>
      </c>
      <c r="W45" s="14">
        <f>ROUND((VLOOKUP($E45,RLS!$C$37:$BK$41,MATCH(W$2,RLS!$C$25:$BK$25,0),FALSE))*'Unit Distribution'!$C$3,0)</f>
        <v>0</v>
      </c>
      <c r="X45" s="14">
        <f>ROUND((VLOOKUP($E45,RLS!$C$37:$BK$41,MATCH(X$2,RLS!$C$25:$BK$25,0),FALSE))*'Unit Distribution'!$C$3,0)</f>
        <v>0</v>
      </c>
      <c r="Y45" s="14">
        <f>ROUND((VLOOKUP($E45,RLS!$C$37:$BK$41,MATCH(Y$2,RLS!$C$25:$BK$25,0),FALSE))*'Unit Distribution'!$C$3,0)</f>
        <v>0</v>
      </c>
      <c r="Z45" s="14">
        <f>ROUND((VLOOKUP($E45,RLS!$C$37:$BK$41,MATCH(Z$2,RLS!$C$25:$BK$25,0),FALSE))*'Unit Distribution'!$C$3,0)</f>
        <v>0</v>
      </c>
      <c r="AA45" s="14">
        <f>ROUND((VLOOKUP($E45,RLS!$C$37:$BK$41,MATCH(AA$2,RLS!$C$25:$BK$25,0),FALSE))*'Unit Distribution'!$C$3,0)</f>
        <v>0</v>
      </c>
      <c r="AB45" s="14">
        <f>ROUND((VLOOKUP($E45,RLS!$C$37:$BK$41,MATCH(AB$2,RLS!$C$25:$BK$25,0),FALSE))*'Unit Distribution'!$C$3,0)</f>
        <v>0</v>
      </c>
      <c r="AC45" s="14">
        <f>ROUND((VLOOKUP($E45,RLS!$C$37:$BK$41,MATCH(AC$2,RLS!$C$25:$BK$25,0),FALSE))*'Unit Distribution'!$C$3,0)</f>
        <v>0</v>
      </c>
      <c r="AD45" s="14">
        <f>ROUND((VLOOKUP($E45,RLS!$C$37:$BK$41,MATCH(AD$2,RLS!$C$25:$BK$25,0),FALSE))*'Unit Distribution'!$C$3,0)</f>
        <v>0</v>
      </c>
      <c r="AE45" s="14">
        <f>ROUND((VLOOKUP($E45,RLS!$C$37:$BK$41,MATCH(AE$2,RLS!$C$25:$BK$25,0),FALSE))*'Unit Distribution'!$D$3,0)</f>
        <v>0</v>
      </c>
      <c r="AF45" s="14">
        <f>ROUND((VLOOKUP($E45,RLS!$C$37:$BK$41,MATCH(AF$2,RLS!$C$25:$BK$25,0),FALSE))*'Unit Distribution'!$D$3,0)</f>
        <v>0</v>
      </c>
      <c r="AG45" s="14">
        <f>ROUND((VLOOKUP($E45,RLS!$C$37:$BK$41,MATCH(AG$2,RLS!$C$25:$BK$25,0),FALSE))*'Unit Distribution'!$D$3,0)</f>
        <v>0</v>
      </c>
      <c r="AH45" s="14">
        <f>ROUND((VLOOKUP($E45,RLS!$C$37:$BK$41,MATCH(AH$2,RLS!$C$25:$BK$25,0),FALSE))*'Unit Distribution'!$D$3,0)</f>
        <v>0</v>
      </c>
      <c r="AI45" s="14">
        <f>ROUND((VLOOKUP($E45,RLS!$C$37:$BK$41,MATCH(AI$2,RLS!$C$25:$BK$25,0),FALSE))*'Unit Distribution'!$D$3,0)</f>
        <v>0</v>
      </c>
      <c r="AJ45" s="14">
        <f>ROUND((VLOOKUP($E45,RLS!$C$37:$BK$41,MATCH(AJ$2,RLS!$C$25:$BK$25,0),FALSE))*'Unit Distribution'!$D$3,0)</f>
        <v>0</v>
      </c>
      <c r="AK45" s="14">
        <f>ROUND((VLOOKUP($E45,RLS!$C$37:$BK$41,MATCH(AK$2,RLS!$C$25:$BK$25,0),FALSE))*'Unit Distribution'!$D$3,0)</f>
        <v>0</v>
      </c>
      <c r="AL45" s="14">
        <f>ROUND((VLOOKUP($E45,RLS!$C$37:$BK$41,MATCH(AL$2,RLS!$C$25:$BK$25,0),FALSE))*'Unit Distribution'!$D$3,0)</f>
        <v>0</v>
      </c>
      <c r="AM45" s="14">
        <f>ROUND((VLOOKUP($E45,RLS!$C$37:$BK$41,MATCH(AM$2,RLS!$C$25:$BK$25,0),FALSE))*'Unit Distribution'!$D$3,0)</f>
        <v>0</v>
      </c>
      <c r="AN45" s="14">
        <f>ROUND((VLOOKUP($E45,RLS!$C$37:$BK$41,MATCH(AN$2,RLS!$C$25:$BK$25,0),FALSE))*'Unit Distribution'!$D$3,0)</f>
        <v>0</v>
      </c>
      <c r="AO45" s="14">
        <f>ROUND((VLOOKUP($E45,RLS!$C$37:$BK$41,MATCH(AO$2,RLS!$C$25:$BK$25,0),FALSE))*'Unit Distribution'!$D$3,0)</f>
        <v>0</v>
      </c>
      <c r="AP45" s="14">
        <f>ROUND((VLOOKUP($E45,RLS!$C$37:$BK$41,MATCH(AP$2,RLS!$C$25:$BK$25,0),FALSE))*'Unit Distribution'!$D$3,0)</f>
        <v>0</v>
      </c>
      <c r="AQ45">
        <f>ROUND((VLOOKUP($E45,RLS!$C$37:$BK$41,MATCH(AQ$2,RLS!$C$25:$BK$25,0),FALSE))*'Unit Distribution'!$E$3,0)</f>
        <v>0</v>
      </c>
      <c r="AR45">
        <f>ROUND((VLOOKUP($E45,RLS!$C$37:$BK$41,MATCH(AR$2,RLS!$C$25:$BK$25,0),FALSE))*'Unit Distribution'!$E$3,0)</f>
        <v>0</v>
      </c>
      <c r="AS45">
        <f>ROUND((VLOOKUP($E45,RLS!$C$37:$BK$41,MATCH(AS$2,RLS!$C$25:$BK$25,0),FALSE))*'Unit Distribution'!$E$3,0)</f>
        <v>0</v>
      </c>
      <c r="AT45">
        <f>ROUND((VLOOKUP($E45,RLS!$C$37:$BK$41,MATCH(AT$2,RLS!$C$25:$BK$25,0),FALSE))*'Unit Distribution'!$E$3,0)</f>
        <v>0</v>
      </c>
      <c r="AU45">
        <f>ROUND((VLOOKUP($E45,RLS!$C$37:$BK$41,MATCH(AU$2,RLS!$C$25:$BK$25,0),FALSE))*'Unit Distribution'!$E$3,0)</f>
        <v>0</v>
      </c>
      <c r="AV45">
        <f>ROUND((VLOOKUP($E45,RLS!$C$37:$BK$41,MATCH(AV$2,RLS!$C$25:$BK$25,0),FALSE))*'Unit Distribution'!$E$3,0)</f>
        <v>0</v>
      </c>
      <c r="AW45">
        <f>ROUND((VLOOKUP($E45,RLS!$C$37:$BK$41,MATCH(AW$2,RLS!$C$25:$BK$25,0),FALSE))*'Unit Distribution'!$E$3,0)</f>
        <v>0</v>
      </c>
      <c r="AX45">
        <f>ROUND((VLOOKUP($E45,RLS!$C$37:$BK$41,MATCH(AX$2,RLS!$C$25:$BK$25,0),FALSE))*'Unit Distribution'!$E$3,0)</f>
        <v>0</v>
      </c>
      <c r="AY45">
        <f>ROUND((VLOOKUP($E45,RLS!$C$37:$BK$41,MATCH(AY$2,RLS!$C$25:$BK$25,0),FALSE))*'Unit Distribution'!$E$3,0)</f>
        <v>0</v>
      </c>
      <c r="AZ45">
        <f>ROUND((VLOOKUP($E45,RLS!$C$37:$BK$41,MATCH(AZ$2,RLS!$C$25:$BK$25,0),FALSE))*'Unit Distribution'!$E$3,0)</f>
        <v>0</v>
      </c>
      <c r="BA45">
        <f>ROUND((VLOOKUP($E45,RLS!$C$37:$BK$41,MATCH(BA$2,RLS!$C$25:$BK$25,0),FALSE))*'Unit Distribution'!$E$3,0)</f>
        <v>0</v>
      </c>
      <c r="BB45">
        <f>ROUND((VLOOKUP($E45,RLS!$C$37:$BK$41,MATCH(BB$2,RLS!$C$25:$BK$25,0),FALSE))*'Unit Distribution'!$E$3,0)</f>
        <v>0</v>
      </c>
      <c r="BC45">
        <f>ROUND((VLOOKUP($E45,RLS!$C$37:$BK$41,MATCH(BC$2,RLS!$C$25:$BK$25,0),FALSE))*'Unit Distribution'!$F$3,0)</f>
        <v>0</v>
      </c>
      <c r="BD45">
        <f>ROUND((VLOOKUP($E45,RLS!$C$37:$BK$41,MATCH(BD$2,RLS!$C$25:$BK$25,0),FALSE))*'Unit Distribution'!$F$3,0)</f>
        <v>0</v>
      </c>
      <c r="BE45">
        <f>ROUND((VLOOKUP($E45,RLS!$C$37:$BK$41,MATCH(BE$2,RLS!$C$25:$BK$25,0),FALSE))*'Unit Distribution'!$F$3,0)</f>
        <v>0</v>
      </c>
      <c r="BF45">
        <f>ROUND((VLOOKUP($E45,RLS!$C$37:$BK$41,MATCH(BF$2,RLS!$C$25:$BK$25,0),FALSE))*'Unit Distribution'!$F$3,0)</f>
        <v>0</v>
      </c>
      <c r="BG45">
        <f>ROUND((VLOOKUP($E45,RLS!$C$37:$BK$41,MATCH(BG$2,RLS!$C$25:$BK$25,0),FALSE))*'Unit Distribution'!$F$3,0)</f>
        <v>0</v>
      </c>
      <c r="BH45">
        <f>ROUND((VLOOKUP($E45,RLS!$C$37:$BK$41,MATCH(BH$2,RLS!$C$25:$BK$25,0),FALSE))*'Unit Distribution'!$F$3,0)</f>
        <v>0</v>
      </c>
      <c r="BI45">
        <f>ROUND((VLOOKUP($E45,RLS!$C$37:$BK$41,MATCH(BI$2,RLS!$C$25:$BK$25,0),FALSE))*'Unit Distribution'!$F$3,0)</f>
        <v>0</v>
      </c>
      <c r="BJ45">
        <f>ROUND((VLOOKUP($E45,RLS!$C$37:$BK$41,MATCH(BJ$2,RLS!$C$25:$BK$25,0),FALSE))*'Unit Distribution'!$F$3,0)</f>
        <v>0</v>
      </c>
      <c r="BK45">
        <f>ROUND((VLOOKUP($E45,RLS!$C$37:$BK$41,MATCH(BK$2,RLS!$C$25:$BK$25,0),FALSE))*'Unit Distribution'!$F$3,0)</f>
        <v>0</v>
      </c>
      <c r="BL45">
        <f>ROUND((VLOOKUP($E45,RLS!$C$37:$BK$41,MATCH(BL$2,RLS!$C$25:$BK$25,0),FALSE))*'Unit Distribution'!$F$3,0)</f>
        <v>0</v>
      </c>
      <c r="BM45">
        <f>ROUND((VLOOKUP($E45,RLS!$C$37:$BK$41,MATCH(BM$2,RLS!$C$25:$BK$25,0),FALSE))*'Unit Distribution'!$F$3,0)</f>
        <v>0</v>
      </c>
      <c r="BN45">
        <f>ROUND((VLOOKUP($E45,RLS!$C$37:$BK$41,MATCH(BN$2,RLS!$C$25:$BK$25,0),FALSE))*'Unit Distribution'!$F$3,0)</f>
        <v>0</v>
      </c>
    </row>
    <row r="46" spans="1:66" hidden="1" x14ac:dyDescent="0.35">
      <c r="A46" t="s">
        <v>65</v>
      </c>
      <c r="B46" t="s">
        <v>66</v>
      </c>
      <c r="D46" t="s">
        <v>84</v>
      </c>
      <c r="E46" t="str">
        <f t="shared" si="1"/>
        <v>BSAOnsite-Landed</v>
      </c>
      <c r="F46" t="s">
        <v>68</v>
      </c>
      <c r="G46" s="14">
        <f>ROUND((VLOOKUP($E46,RLS!$C$37:$BK$41,MATCH(G$2,RLS!$C$25:$BK$25,0),FALSE))*'Unit Distribution'!$B$6,0)</f>
        <v>0</v>
      </c>
      <c r="H46" s="14">
        <f>ROUND((VLOOKUP($E46,RLS!$C$37:$BK$41,MATCH(H$2,RLS!$C$25:$BK$25,0),FALSE))*'Unit Distribution'!$B$6,0)</f>
        <v>0</v>
      </c>
      <c r="I46" s="14">
        <f>ROUND((VLOOKUP($E46,RLS!$C$37:$BK$41,MATCH(I$2,RLS!$C$25:$BK$25,0),FALSE))*'Unit Distribution'!$B$6,0)</f>
        <v>0</v>
      </c>
      <c r="J46" s="14">
        <f>ROUND((VLOOKUP($E46,RLS!$C$37:$BK$41,MATCH(J$2,RLS!$C$25:$BK$25,0),FALSE))*'Unit Distribution'!$B$6,0)</f>
        <v>0</v>
      </c>
      <c r="K46" s="14">
        <f>ROUND((VLOOKUP($E46,RLS!$C$37:$BK$41,MATCH(K$2,RLS!$C$25:$BK$25,0),FALSE))*'Unit Distribution'!$B$6,0)</f>
        <v>0</v>
      </c>
      <c r="L46" s="14">
        <f>ROUND((VLOOKUP($E46,RLS!$C$37:$BK$41,MATCH(L$2,RLS!$C$25:$BK$25,0),FALSE))*'Unit Distribution'!$B$6,0)</f>
        <v>0</v>
      </c>
      <c r="M46" s="14">
        <f>ROUND((VLOOKUP($E46,RLS!$C$37:$BK$41,MATCH(M$2,RLS!$C$25:$BK$25,0),FALSE))*'Unit Distribution'!$B$6,0)</f>
        <v>0</v>
      </c>
      <c r="N46" s="14">
        <f>ROUND((VLOOKUP($E46,RLS!$C$37:$BK$41,MATCH(N$2,RLS!$C$25:$BK$25,0),FALSE))*'Unit Distribution'!$B$6,0)</f>
        <v>0</v>
      </c>
      <c r="O46" s="14">
        <f>ROUND((VLOOKUP($E46,RLS!$C$37:$BK$41,MATCH(O$2,RLS!$C$25:$BK$25,0),FALSE))*'Unit Distribution'!$B$6,0)</f>
        <v>0</v>
      </c>
      <c r="P46" s="14">
        <f>ROUND((VLOOKUP($E46,RLS!$C$37:$BK$41,MATCH(P$2,RLS!$C$25:$BK$25,0),FALSE))*'Unit Distribution'!$B$6,0)</f>
        <v>0</v>
      </c>
      <c r="Q46" s="14">
        <f>ROUND((VLOOKUP($E46,RLS!$C$37:$BK$41,MATCH(Q$2,RLS!$C$25:$BK$25,0),FALSE))*'Unit Distribution'!$B$6,0)</f>
        <v>0</v>
      </c>
      <c r="R46" s="14">
        <f>ROUND((VLOOKUP($E46,RLS!$C$37:$BK$41,MATCH(R$2,RLS!$C$25:$BK$25,0),FALSE))*'Unit Distribution'!$B$6,0)</f>
        <v>0</v>
      </c>
      <c r="S46" s="14">
        <f>ROUND((VLOOKUP($E46,RLS!$C$37:$BK$41,MATCH(S$2,RLS!$C$25:$BK$25,0),FALSE))*'Unit Distribution'!$C$6,0)</f>
        <v>0</v>
      </c>
      <c r="T46" s="14">
        <f>ROUND((VLOOKUP($E46,RLS!$C$37:$BK$41,MATCH(T$2,RLS!$C$25:$BK$25,0),FALSE))*'Unit Distribution'!$C$6,0)</f>
        <v>0</v>
      </c>
      <c r="U46" s="14">
        <f>ROUND((VLOOKUP($E46,RLS!$C$37:$BK$41,MATCH(U$2,RLS!$C$25:$BK$25,0),FALSE))*'Unit Distribution'!$C$6,0)</f>
        <v>0</v>
      </c>
      <c r="V46" s="14">
        <f>ROUND((VLOOKUP($E46,RLS!$C$37:$BK$41,MATCH(V$2,RLS!$C$25:$BK$25,0),FALSE))*'Unit Distribution'!$C$6,0)</f>
        <v>0</v>
      </c>
      <c r="W46" s="14">
        <f>ROUND((VLOOKUP($E46,RLS!$C$37:$BK$41,MATCH(W$2,RLS!$C$25:$BK$25,0),FALSE))*'Unit Distribution'!$C$6,0)</f>
        <v>0</v>
      </c>
      <c r="X46" s="14">
        <f>ROUND((VLOOKUP($E46,RLS!$C$37:$BK$41,MATCH(X$2,RLS!$C$25:$BK$25,0),FALSE))*'Unit Distribution'!$C$6,0)</f>
        <v>0</v>
      </c>
      <c r="Y46" s="14">
        <f>ROUND((VLOOKUP($E46,RLS!$C$37:$BK$41,MATCH(Y$2,RLS!$C$25:$BK$25,0),FALSE))*'Unit Distribution'!$C$6,0)</f>
        <v>0</v>
      </c>
      <c r="Z46" s="14">
        <f>ROUND((VLOOKUP($E46,RLS!$C$37:$BK$41,MATCH(Z$2,RLS!$C$25:$BK$25,0),FALSE))*'Unit Distribution'!$C$6,0)</f>
        <v>0</v>
      </c>
      <c r="AA46" s="14">
        <f>ROUND((VLOOKUP($E46,RLS!$C$37:$BK$41,MATCH(AA$2,RLS!$C$25:$BK$25,0),FALSE))*'Unit Distribution'!$C$6,0)</f>
        <v>0</v>
      </c>
      <c r="AB46" s="14">
        <f>ROUND((VLOOKUP($E46,RLS!$C$37:$BK$41,MATCH(AB$2,RLS!$C$25:$BK$25,0),FALSE))*'Unit Distribution'!$C$6,0)</f>
        <v>0</v>
      </c>
      <c r="AC46" s="14">
        <f>ROUND((VLOOKUP($E46,RLS!$C$37:$BK$41,MATCH(AC$2,RLS!$C$25:$BK$25,0),FALSE))*'Unit Distribution'!$C$6,0)</f>
        <v>0</v>
      </c>
      <c r="AD46" s="14">
        <f>ROUND((VLOOKUP($E46,RLS!$C$37:$BK$41,MATCH(AD$2,RLS!$C$25:$BK$25,0),FALSE))*'Unit Distribution'!$C$6,0)</f>
        <v>0</v>
      </c>
      <c r="AE46" s="14">
        <f>ROUND((VLOOKUP($E46,RLS!$C$37:$BK$41,MATCH(AE$2,RLS!$C$25:$BK$25,0),FALSE))*'Unit Distribution'!$D$6,0)</f>
        <v>0</v>
      </c>
      <c r="AF46" s="14">
        <f>ROUND((VLOOKUP($E46,RLS!$C$37:$BK$41,MATCH(AF$2,RLS!$C$25:$BK$25,0),FALSE))*'Unit Distribution'!$D$6,0)</f>
        <v>0</v>
      </c>
      <c r="AG46" s="14">
        <f>ROUND((VLOOKUP($E46,RLS!$C$37:$BK$41,MATCH(AG$2,RLS!$C$25:$BK$25,0),FALSE))*'Unit Distribution'!$D$6,0)</f>
        <v>0</v>
      </c>
      <c r="AH46" s="14">
        <f>ROUND((VLOOKUP($E46,RLS!$C$37:$BK$41,MATCH(AH$2,RLS!$C$25:$BK$25,0),FALSE))*'Unit Distribution'!$D$6,0)</f>
        <v>0</v>
      </c>
      <c r="AI46" s="14">
        <f>ROUND((VLOOKUP($E46,RLS!$C$37:$BK$41,MATCH(AI$2,RLS!$C$25:$BK$25,0),FALSE))*'Unit Distribution'!$D$6,0)</f>
        <v>0</v>
      </c>
      <c r="AJ46" s="14">
        <f>ROUND((VLOOKUP($E46,RLS!$C$37:$BK$41,MATCH(AJ$2,RLS!$C$25:$BK$25,0),FALSE))*'Unit Distribution'!$D$6,0)</f>
        <v>0</v>
      </c>
      <c r="AK46" s="14">
        <f>ROUND((VLOOKUP($E46,RLS!$C$37:$BK$41,MATCH(AK$2,RLS!$C$25:$BK$25,0),FALSE))*'Unit Distribution'!$D$6,0)</f>
        <v>0</v>
      </c>
      <c r="AL46" s="14">
        <f>ROUND((VLOOKUP($E46,RLS!$C$37:$BK$41,MATCH(AL$2,RLS!$C$25:$BK$25,0),FALSE))*'Unit Distribution'!$D$6,0)</f>
        <v>0</v>
      </c>
      <c r="AM46" s="14">
        <f>ROUND((VLOOKUP($E46,RLS!$C$37:$BK$41,MATCH(AM$2,RLS!$C$25:$BK$25,0),FALSE))*'Unit Distribution'!$D$6,0)</f>
        <v>0</v>
      </c>
      <c r="AN46" s="14">
        <f>ROUND((VLOOKUP($E46,RLS!$C$37:$BK$41,MATCH(AN$2,RLS!$C$25:$BK$25,0),FALSE))*'Unit Distribution'!$D$6,0)</f>
        <v>0</v>
      </c>
      <c r="AO46" s="14">
        <f>ROUND((VLOOKUP($E46,RLS!$C$37:$BK$41,MATCH(AO$2,RLS!$C$25:$BK$25,0),FALSE))*'Unit Distribution'!$D$6,0)</f>
        <v>0</v>
      </c>
      <c r="AP46" s="14">
        <f>ROUND((VLOOKUP($E46,RLS!$C$37:$BK$41,MATCH(AP$2,RLS!$C$25:$BK$25,0),FALSE))*'Unit Distribution'!$D$6,0)</f>
        <v>0</v>
      </c>
      <c r="AQ46">
        <f>(VLOOKUP($E46,RLS!$C$37:$BK$41,MATCH(AQ$2,RLS!$C$25:$BK$25,0),FALSE))-AQ45-AQ47-AQ48</f>
        <v>0</v>
      </c>
      <c r="AR46">
        <f>(VLOOKUP($E46,RLS!$C$37:$BK$41,MATCH(AR$2,RLS!$C$25:$BK$25,0),FALSE))-AR45-AR47-AR48</f>
        <v>0</v>
      </c>
      <c r="AS46">
        <f>(VLOOKUP($E46,RLS!$C$37:$BK$41,MATCH(AS$2,RLS!$C$25:$BK$25,0),FALSE))-AS45-AS47-AS48</f>
        <v>0</v>
      </c>
      <c r="AT46">
        <f>(VLOOKUP($E46,RLS!$C$37:$BK$41,MATCH(AT$2,RLS!$C$25:$BK$25,0),FALSE))-AT45-AT47-AT48</f>
        <v>0</v>
      </c>
      <c r="AU46">
        <f>(VLOOKUP($E46,RLS!$C$37:$BK$41,MATCH(AU$2,RLS!$C$25:$BK$25,0),FALSE))-AU45-AU47-AU48</f>
        <v>0</v>
      </c>
      <c r="AV46">
        <f>(VLOOKUP($E46,RLS!$C$37:$BK$41,MATCH(AV$2,RLS!$C$25:$BK$25,0),FALSE))-AV45-AV47-AV48</f>
        <v>0</v>
      </c>
      <c r="AW46">
        <f>(VLOOKUP($E46,RLS!$C$37:$BK$41,MATCH(AW$2,RLS!$C$25:$BK$25,0),FALSE))-AW45-AW47-AW48</f>
        <v>0</v>
      </c>
      <c r="AX46">
        <f>(VLOOKUP($E46,RLS!$C$37:$BK$41,MATCH(AX$2,RLS!$C$25:$BK$25,0),FALSE))-AX45-AX47-AX48</f>
        <v>0</v>
      </c>
      <c r="AY46">
        <f>(VLOOKUP($E46,RLS!$C$37:$BK$41,MATCH(AY$2,RLS!$C$25:$BK$25,0),FALSE))-AY45-AY47-AY48</f>
        <v>0</v>
      </c>
      <c r="AZ46">
        <f>(VLOOKUP($E46,RLS!$C$37:$BK$41,MATCH(AZ$2,RLS!$C$25:$BK$25,0),FALSE))-AZ45-AZ47-AZ48</f>
        <v>0</v>
      </c>
      <c r="BA46">
        <f>(VLOOKUP($E46,RLS!$C$37:$BK$41,MATCH(BA$2,RLS!$C$25:$BK$25,0),FALSE))-BA45-BA47-BA48</f>
        <v>0</v>
      </c>
      <c r="BB46">
        <f>(VLOOKUP($E46,RLS!$C$37:$BK$41,MATCH(BB$2,RLS!$C$25:$BK$25,0),FALSE))-BB45-BB47-BB48</f>
        <v>0</v>
      </c>
      <c r="BC46">
        <f>(VLOOKUP($E46,RLS!$C$37:$BK$41,MATCH(BC$2,RLS!$C$25:$BK$25,0),FALSE))-BC45-BC47-BC48</f>
        <v>0</v>
      </c>
      <c r="BD46">
        <f>(VLOOKUP($E46,RLS!$C$37:$BK$41,MATCH(BD$2,RLS!$C$25:$BK$25,0),FALSE))-BD45-BD47-BD48</f>
        <v>0</v>
      </c>
      <c r="BE46">
        <f>(VLOOKUP($E46,RLS!$C$37:$BK$41,MATCH(BE$2,RLS!$C$25:$BK$25,0),FALSE))-BE45-BE47-BE48</f>
        <v>0</v>
      </c>
      <c r="BF46">
        <f>(VLOOKUP($E46,RLS!$C$37:$BK$41,MATCH(BF$2,RLS!$C$25:$BK$25,0),FALSE))-BF45-BF47-BF48</f>
        <v>0</v>
      </c>
      <c r="BG46">
        <f>(VLOOKUP($E46,RLS!$C$37:$BK$41,MATCH(BG$2,RLS!$C$25:$BK$25,0),FALSE))-BG45-BG47-BG48</f>
        <v>0</v>
      </c>
      <c r="BH46">
        <f>(VLOOKUP($E46,RLS!$C$37:$BK$41,MATCH(BH$2,RLS!$C$25:$BK$25,0),FALSE))-BH45-BH47-BH48</f>
        <v>0</v>
      </c>
      <c r="BI46">
        <f>(VLOOKUP($E46,RLS!$C$37:$BK$41,MATCH(BI$2,RLS!$C$25:$BK$25,0),FALSE))-BI45-BI47-BI48</f>
        <v>0</v>
      </c>
      <c r="BJ46">
        <f>(VLOOKUP($E46,RLS!$C$37:$BK$41,MATCH(BJ$2,RLS!$C$25:$BK$25,0),FALSE))-BJ45-BJ47-BJ48</f>
        <v>0</v>
      </c>
      <c r="BK46">
        <f>(VLOOKUP($E46,RLS!$C$37:$BK$41,MATCH(BK$2,RLS!$C$25:$BK$25,0),FALSE))-BK45-BK47-BK48</f>
        <v>0</v>
      </c>
      <c r="BL46">
        <f>(VLOOKUP($E46,RLS!$C$37:$BK$41,MATCH(BL$2,RLS!$C$25:$BK$25,0),FALSE))-BL45-BL47-BL48</f>
        <v>0</v>
      </c>
      <c r="BM46">
        <f>(VLOOKUP($E46,RLS!$C$37:$BK$41,MATCH(BM$2,RLS!$C$25:$BK$25,0),FALSE))-BM45-BM47-BM48</f>
        <v>0</v>
      </c>
      <c r="BN46">
        <f>(VLOOKUP($E46,RLS!$C$37:$BK$41,MATCH(BN$2,RLS!$C$25:$BK$25,0),FALSE))-BN45-BN47-BN48</f>
        <v>0</v>
      </c>
    </row>
    <row r="47" spans="1:66" hidden="1" x14ac:dyDescent="0.35">
      <c r="A47" t="s">
        <v>65</v>
      </c>
      <c r="B47" t="s">
        <v>81</v>
      </c>
      <c r="D47" t="s">
        <v>84</v>
      </c>
      <c r="E47" t="str">
        <f t="shared" si="1"/>
        <v>BSAOnsite-Landed</v>
      </c>
      <c r="F47" t="s">
        <v>70</v>
      </c>
      <c r="G47" s="14">
        <f>ROUND((VLOOKUP($E47,RLS!$C$37:$BK$41,MATCH(G$2,RLS!$C$25:$BK$25,0),FALSE))*'Unit Distribution'!$B$4,0)</f>
        <v>0</v>
      </c>
      <c r="H47" s="14">
        <f>ROUND((VLOOKUP($E47,RLS!$C$37:$BK$41,MATCH(H$2,RLS!$C$25:$BK$25,0),FALSE))*'Unit Distribution'!$B$4,0)</f>
        <v>0</v>
      </c>
      <c r="I47" s="14">
        <f>ROUND((VLOOKUP($E47,RLS!$C$37:$BK$41,MATCH(I$2,RLS!$C$25:$BK$25,0),FALSE))*'Unit Distribution'!$B$4,0)</f>
        <v>0</v>
      </c>
      <c r="J47" s="14">
        <f>ROUND((VLOOKUP($E47,RLS!$C$37:$BK$41,MATCH(J$2,RLS!$C$25:$BK$25,0),FALSE))*'Unit Distribution'!$B$4,0)</f>
        <v>0</v>
      </c>
      <c r="K47" s="14">
        <f>ROUND((VLOOKUP($E47,RLS!$C$37:$BK$41,MATCH(K$2,RLS!$C$25:$BK$25,0),FALSE))*'Unit Distribution'!$B$4,0)</f>
        <v>0</v>
      </c>
      <c r="L47" s="14">
        <f>ROUND((VLOOKUP($E47,RLS!$C$37:$BK$41,MATCH(L$2,RLS!$C$25:$BK$25,0),FALSE))*'Unit Distribution'!$B$4,0)</f>
        <v>0</v>
      </c>
      <c r="M47" s="14">
        <f>ROUND((VLOOKUP($E47,RLS!$C$37:$BK$41,MATCH(M$2,RLS!$C$25:$BK$25,0),FALSE))*'Unit Distribution'!$B$4,0)</f>
        <v>0</v>
      </c>
      <c r="N47" s="14">
        <f>ROUND((VLOOKUP($E47,RLS!$C$37:$BK$41,MATCH(N$2,RLS!$C$25:$BK$25,0),FALSE))*'Unit Distribution'!$B$4,0)</f>
        <v>0</v>
      </c>
      <c r="O47" s="14">
        <f>ROUND((VLOOKUP($E47,RLS!$C$37:$BK$41,MATCH(O$2,RLS!$C$25:$BK$25,0),FALSE))*'Unit Distribution'!$B$4,0)</f>
        <v>0</v>
      </c>
      <c r="P47" s="14">
        <f>ROUND((VLOOKUP($E47,RLS!$C$37:$BK$41,MATCH(P$2,RLS!$C$25:$BK$25,0),FALSE))*'Unit Distribution'!$B$4,0)</f>
        <v>0</v>
      </c>
      <c r="Q47" s="14">
        <f>ROUND((VLOOKUP($E47,RLS!$C$37:$BK$41,MATCH(Q$2,RLS!$C$25:$BK$25,0),FALSE))*'Unit Distribution'!$B$4,0)</f>
        <v>0</v>
      </c>
      <c r="R47" s="14">
        <f>ROUND((VLOOKUP($E47,RLS!$C$37:$BK$41,MATCH(R$2,RLS!$C$25:$BK$25,0),FALSE))*'Unit Distribution'!$B$4,0)</f>
        <v>0</v>
      </c>
      <c r="S47" s="14">
        <f>ROUND((VLOOKUP($E47,RLS!$C$37:$BK$41,MATCH(S$2,RLS!$C$25:$BK$25,0),FALSE))*'Unit Distribution'!$C$4,0)</f>
        <v>0</v>
      </c>
      <c r="T47" s="14">
        <f>ROUND((VLOOKUP($E47,RLS!$C$37:$BK$41,MATCH(T$2,RLS!$C$25:$BK$25,0),FALSE))*'Unit Distribution'!$C$4,0)</f>
        <v>0</v>
      </c>
      <c r="U47" s="14">
        <f>ROUND((VLOOKUP($E47,RLS!$C$37:$BK$41,MATCH(U$2,RLS!$C$25:$BK$25,0),FALSE))*'Unit Distribution'!$C$4,0)</f>
        <v>0</v>
      </c>
      <c r="V47" s="14">
        <f>ROUND((VLOOKUP($E47,RLS!$C$37:$BK$41,MATCH(V$2,RLS!$C$25:$BK$25,0),FALSE))*'Unit Distribution'!$C$4,0)</f>
        <v>0</v>
      </c>
      <c r="W47" s="14">
        <f>ROUND((VLOOKUP($E47,RLS!$C$37:$BK$41,MATCH(W$2,RLS!$C$25:$BK$25,0),FALSE))*'Unit Distribution'!$C$4,0)</f>
        <v>0</v>
      </c>
      <c r="X47" s="14">
        <f>ROUND((VLOOKUP($E47,RLS!$C$37:$BK$41,MATCH(X$2,RLS!$C$25:$BK$25,0),FALSE))*'Unit Distribution'!$C$4,0)</f>
        <v>0</v>
      </c>
      <c r="Y47" s="14">
        <f>ROUND((VLOOKUP($E47,RLS!$C$37:$BK$41,MATCH(Y$2,RLS!$C$25:$BK$25,0),FALSE))*'Unit Distribution'!$C$4,0)</f>
        <v>0</v>
      </c>
      <c r="Z47" s="14">
        <f>ROUND((VLOOKUP($E47,RLS!$C$37:$BK$41,MATCH(Z$2,RLS!$C$25:$BK$25,0),FALSE))*'Unit Distribution'!$C$4,0)</f>
        <v>0</v>
      </c>
      <c r="AA47" s="14">
        <f>ROUND((VLOOKUP($E47,RLS!$C$37:$BK$41,MATCH(AA$2,RLS!$C$25:$BK$25,0),FALSE))*'Unit Distribution'!$C$4,0)</f>
        <v>0</v>
      </c>
      <c r="AB47" s="14">
        <f>ROUND((VLOOKUP($E47,RLS!$C$37:$BK$41,MATCH(AB$2,RLS!$C$25:$BK$25,0),FALSE))*'Unit Distribution'!$C$4,0)</f>
        <v>0</v>
      </c>
      <c r="AC47" s="14">
        <f>ROUND((VLOOKUP($E47,RLS!$C$37:$BK$41,MATCH(AC$2,RLS!$C$25:$BK$25,0),FALSE))*'Unit Distribution'!$C$4,0)</f>
        <v>0</v>
      </c>
      <c r="AD47" s="14">
        <f>ROUND((VLOOKUP($E47,RLS!$C$37:$BK$41,MATCH(AD$2,RLS!$C$25:$BK$25,0),FALSE))*'Unit Distribution'!$C$4,0)</f>
        <v>0</v>
      </c>
      <c r="AE47" s="14">
        <f>ROUND((VLOOKUP($E47,RLS!$C$37:$BK$41,MATCH(AE$2,RLS!$C$25:$BK$25,0),FALSE))*'Unit Distribution'!$D$4,0)</f>
        <v>0</v>
      </c>
      <c r="AF47" s="14">
        <f>ROUND((VLOOKUP($E47,RLS!$C$37:$BK$41,MATCH(AF$2,RLS!$C$25:$BK$25,0),FALSE))*'Unit Distribution'!$D$4,0)</f>
        <v>0</v>
      </c>
      <c r="AG47" s="14">
        <f>ROUND((VLOOKUP($E47,RLS!$C$37:$BK$41,MATCH(AG$2,RLS!$C$25:$BK$25,0),FALSE))*'Unit Distribution'!$D$4,0)</f>
        <v>0</v>
      </c>
      <c r="AH47" s="14">
        <f>ROUND((VLOOKUP($E47,RLS!$C$37:$BK$41,MATCH(AH$2,RLS!$C$25:$BK$25,0),FALSE))*'Unit Distribution'!$D$4,0)</f>
        <v>0</v>
      </c>
      <c r="AI47" s="14">
        <f>ROUND((VLOOKUP($E47,RLS!$C$37:$BK$41,MATCH(AI$2,RLS!$C$25:$BK$25,0),FALSE))*'Unit Distribution'!$D$4,0)</f>
        <v>0</v>
      </c>
      <c r="AJ47" s="14">
        <f>ROUND((VLOOKUP($E47,RLS!$C$37:$BK$41,MATCH(AJ$2,RLS!$C$25:$BK$25,0),FALSE))*'Unit Distribution'!$D$4,0)</f>
        <v>0</v>
      </c>
      <c r="AK47" s="14">
        <f>ROUND((VLOOKUP($E47,RLS!$C$37:$BK$41,MATCH(AK$2,RLS!$C$25:$BK$25,0),FALSE))*'Unit Distribution'!$D$4,0)</f>
        <v>0</v>
      </c>
      <c r="AL47" s="14">
        <f>ROUND((VLOOKUP($E47,RLS!$C$37:$BK$41,MATCH(AL$2,RLS!$C$25:$BK$25,0),FALSE))*'Unit Distribution'!$D$4,0)</f>
        <v>0</v>
      </c>
      <c r="AM47" s="14">
        <f>ROUND((VLOOKUP($E47,RLS!$C$37:$BK$41,MATCH(AM$2,RLS!$C$25:$BK$25,0),FALSE))*'Unit Distribution'!$D$4,0)</f>
        <v>0</v>
      </c>
      <c r="AN47" s="14">
        <f>ROUND((VLOOKUP($E47,RLS!$C$37:$BK$41,MATCH(AN$2,RLS!$C$25:$BK$25,0),FALSE))*'Unit Distribution'!$D$4,0)</f>
        <v>0</v>
      </c>
      <c r="AO47" s="14">
        <f>ROUND((VLOOKUP($E47,RLS!$C$37:$BK$41,MATCH(AO$2,RLS!$C$25:$BK$25,0),FALSE))*'Unit Distribution'!$D$4,0)</f>
        <v>0</v>
      </c>
      <c r="AP47" s="14">
        <f>ROUND((VLOOKUP($E47,RLS!$C$37:$BK$41,MATCH(AP$2,RLS!$C$25:$BK$25,0),FALSE))*'Unit Distribution'!$D$4,0)</f>
        <v>0</v>
      </c>
      <c r="AQ47">
        <f>ROUND((VLOOKUP($E47,RLS!$C$37:$BK$41,MATCH(AQ$2,RLS!$C$25:$BK$25,0),FALSE))*'Unit Distribution'!$E$4,0)</f>
        <v>0</v>
      </c>
      <c r="AR47">
        <f>ROUND((VLOOKUP($E47,RLS!$C$37:$BK$41,MATCH(AR$2,RLS!$C$25:$BK$25,0),FALSE))*'Unit Distribution'!$E$4,0)</f>
        <v>0</v>
      </c>
      <c r="AS47">
        <f>ROUND((VLOOKUP($E47,RLS!$C$37:$BK$41,MATCH(AS$2,RLS!$C$25:$BK$25,0),FALSE))*'Unit Distribution'!$E$4,0)</f>
        <v>0</v>
      </c>
      <c r="AT47">
        <f>ROUND((VLOOKUP($E47,RLS!$C$37:$BK$41,MATCH(AT$2,RLS!$C$25:$BK$25,0),FALSE))*'Unit Distribution'!$E$4,0)</f>
        <v>0</v>
      </c>
      <c r="AU47">
        <f>ROUND((VLOOKUP($E47,RLS!$C$37:$BK$41,MATCH(AU$2,RLS!$C$25:$BK$25,0),FALSE))*'Unit Distribution'!$E$4,0)</f>
        <v>0</v>
      </c>
      <c r="AV47">
        <f>ROUND((VLOOKUP($E47,RLS!$C$37:$BK$41,MATCH(AV$2,RLS!$C$25:$BK$25,0),FALSE))*'Unit Distribution'!$E$4,0)</f>
        <v>0</v>
      </c>
      <c r="AW47">
        <f>ROUND((VLOOKUP($E47,RLS!$C$37:$BK$41,MATCH(AW$2,RLS!$C$25:$BK$25,0),FALSE))*'Unit Distribution'!$E$4,0)</f>
        <v>0</v>
      </c>
      <c r="AX47">
        <f>ROUND((VLOOKUP($E47,RLS!$C$37:$BK$41,MATCH(AX$2,RLS!$C$25:$BK$25,0),FALSE))*'Unit Distribution'!$E$4,0)</f>
        <v>0</v>
      </c>
      <c r="AY47">
        <f>ROUND((VLOOKUP($E47,RLS!$C$37:$BK$41,MATCH(AY$2,RLS!$C$25:$BK$25,0),FALSE))*'Unit Distribution'!$E$4,0)</f>
        <v>0</v>
      </c>
      <c r="AZ47">
        <f>ROUND((VLOOKUP($E47,RLS!$C$37:$BK$41,MATCH(AZ$2,RLS!$C$25:$BK$25,0),FALSE))*'Unit Distribution'!$E$4,0)</f>
        <v>0</v>
      </c>
      <c r="BA47">
        <f>ROUND((VLOOKUP($E47,RLS!$C$37:$BK$41,MATCH(BA$2,RLS!$C$25:$BK$25,0),FALSE))*'Unit Distribution'!$E$4,0)</f>
        <v>0</v>
      </c>
      <c r="BB47">
        <f>ROUND((VLOOKUP($E47,RLS!$C$37:$BK$41,MATCH(BB$2,RLS!$C$25:$BK$25,0),FALSE))*'Unit Distribution'!$E$4,0)</f>
        <v>0</v>
      </c>
      <c r="BC47">
        <f>ROUND((VLOOKUP($E47,RLS!$C$37:$BK$41,MATCH(BC$2,RLS!$C$25:$BK$25,0),FALSE))*'Unit Distribution'!$F$4,0)</f>
        <v>0</v>
      </c>
      <c r="BD47">
        <f>ROUND((VLOOKUP($E47,RLS!$C$37:$BK$41,MATCH(BD$2,RLS!$C$25:$BK$25,0),FALSE))*'Unit Distribution'!$F$4,0)</f>
        <v>0</v>
      </c>
      <c r="BE47">
        <f>ROUND((VLOOKUP($E47,RLS!$C$37:$BK$41,MATCH(BE$2,RLS!$C$25:$BK$25,0),FALSE))*'Unit Distribution'!$F$4,0)</f>
        <v>0</v>
      </c>
      <c r="BF47">
        <f>ROUND((VLOOKUP($E47,RLS!$C$37:$BK$41,MATCH(BF$2,RLS!$C$25:$BK$25,0),FALSE))*'Unit Distribution'!$F$4,0)</f>
        <v>0</v>
      </c>
      <c r="BG47">
        <f>ROUND((VLOOKUP($E47,RLS!$C$37:$BK$41,MATCH(BG$2,RLS!$C$25:$BK$25,0),FALSE))*'Unit Distribution'!$F$4,0)</f>
        <v>0</v>
      </c>
      <c r="BH47">
        <f>ROUND((VLOOKUP($E47,RLS!$C$37:$BK$41,MATCH(BH$2,RLS!$C$25:$BK$25,0),FALSE))*'Unit Distribution'!$F$4,0)</f>
        <v>0</v>
      </c>
      <c r="BI47">
        <f>ROUND((VLOOKUP($E47,RLS!$C$37:$BK$41,MATCH(BI$2,RLS!$C$25:$BK$25,0),FALSE))*'Unit Distribution'!$F$4,0)</f>
        <v>0</v>
      </c>
      <c r="BJ47">
        <f>ROUND((VLOOKUP($E47,RLS!$C$37:$BK$41,MATCH(BJ$2,RLS!$C$25:$BK$25,0),FALSE))*'Unit Distribution'!$F$4,0)</f>
        <v>0</v>
      </c>
      <c r="BK47">
        <f>ROUND((VLOOKUP($E47,RLS!$C$37:$BK$41,MATCH(BK$2,RLS!$C$25:$BK$25,0),FALSE))*'Unit Distribution'!$F$4,0)</f>
        <v>0</v>
      </c>
      <c r="BL47">
        <f>ROUND((VLOOKUP($E47,RLS!$C$37:$BK$41,MATCH(BL$2,RLS!$C$25:$BK$25,0),FALSE))*'Unit Distribution'!$F$4,0)</f>
        <v>0</v>
      </c>
      <c r="BM47">
        <f>ROUND((VLOOKUP($E47,RLS!$C$37:$BK$41,MATCH(BM$2,RLS!$C$25:$BK$25,0),FALSE))*'Unit Distribution'!$F$4,0)</f>
        <v>0</v>
      </c>
      <c r="BN47">
        <f>ROUND((VLOOKUP($E47,RLS!$C$37:$BK$41,MATCH(BN$2,RLS!$C$25:$BK$25,0),FALSE))*'Unit Distribution'!$F$4,0)</f>
        <v>0</v>
      </c>
    </row>
    <row r="48" spans="1:66" hidden="1" x14ac:dyDescent="0.35">
      <c r="A48" t="s">
        <v>65</v>
      </c>
      <c r="B48" t="s">
        <v>81</v>
      </c>
      <c r="D48" t="s">
        <v>84</v>
      </c>
      <c r="E48" t="str">
        <f t="shared" si="1"/>
        <v>BSAOnsite-Landed</v>
      </c>
      <c r="F48" t="s">
        <v>70</v>
      </c>
      <c r="G48" s="14">
        <f>(VLOOKUP($E48,RLS!$C$37:$BK$41,MATCH(G$2,RLS!$C$25:$BK$25,0),FALSE))-G45-G46-G47</f>
        <v>0</v>
      </c>
      <c r="H48" s="14">
        <f>(VLOOKUP($E48,RLS!$C$37:$BK$41,MATCH(H$2,RLS!$C$25:$BK$25,0),FALSE))-H45-H46-H47</f>
        <v>0</v>
      </c>
      <c r="I48" s="14">
        <f>(VLOOKUP($E48,RLS!$C$37:$BK$41,MATCH(I$2,RLS!$C$25:$BK$25,0),FALSE))-I45-I46-I47</f>
        <v>0</v>
      </c>
      <c r="J48" s="14">
        <f>(VLOOKUP($E48,RLS!$C$37:$BK$41,MATCH(J$2,RLS!$C$25:$BK$25,0),FALSE))-J45-J46-J47</f>
        <v>0</v>
      </c>
      <c r="K48" s="14">
        <f>(VLOOKUP($E48,RLS!$C$37:$BK$41,MATCH(K$2,RLS!$C$25:$BK$25,0),FALSE))-K45-K46-K47</f>
        <v>0</v>
      </c>
      <c r="L48" s="14">
        <f>(VLOOKUP($E48,RLS!$C$37:$BK$41,MATCH(L$2,RLS!$C$25:$BK$25,0),FALSE))-L45-L46-L47</f>
        <v>0</v>
      </c>
      <c r="M48" s="14">
        <f>(VLOOKUP($E48,RLS!$C$37:$BK$41,MATCH(M$2,RLS!$C$25:$BK$25,0),FALSE))-M45-M46-M47</f>
        <v>0</v>
      </c>
      <c r="N48" s="14">
        <f>(VLOOKUP($E48,RLS!$C$37:$BK$41,MATCH(N$2,RLS!$C$25:$BK$25,0),FALSE))-N45-N46-N47</f>
        <v>0</v>
      </c>
      <c r="O48" s="14">
        <f>(VLOOKUP($E48,RLS!$C$37:$BK$41,MATCH(O$2,RLS!$C$25:$BK$25,0),FALSE))-O45-O46-O47</f>
        <v>0</v>
      </c>
      <c r="P48" s="14">
        <f>(VLOOKUP($E48,RLS!$C$37:$BK$41,MATCH(P$2,RLS!$C$25:$BK$25,0),FALSE))-P45-P46-P47</f>
        <v>0</v>
      </c>
      <c r="Q48" s="14">
        <f>(VLOOKUP($E48,RLS!$C$37:$BK$41,MATCH(Q$2,RLS!$C$25:$BK$25,0),FALSE))-Q45-Q46-Q47</f>
        <v>0</v>
      </c>
      <c r="R48" s="14">
        <f>(VLOOKUP($E48,RLS!$C$37:$BK$41,MATCH(R$2,RLS!$C$25:$BK$25,0),FALSE))-R45-R46-R47</f>
        <v>0</v>
      </c>
      <c r="S48" s="14">
        <f>(VLOOKUP($E48,RLS!$C$37:$BK$41,MATCH(S$2,RLS!$C$25:$BK$25,0),FALSE))-S45-S46-S47</f>
        <v>0</v>
      </c>
      <c r="T48" s="14">
        <f>(VLOOKUP($E48,RLS!$C$37:$BK$41,MATCH(T$2,RLS!$C$25:$BK$25,0),FALSE))-T45-T46-T47</f>
        <v>0</v>
      </c>
      <c r="U48" s="14">
        <f>(VLOOKUP($E48,RLS!$C$37:$BK$41,MATCH(U$2,RLS!$C$25:$BK$25,0),FALSE))-U45-U46-U47</f>
        <v>0</v>
      </c>
      <c r="V48" s="14">
        <f>(VLOOKUP($E48,RLS!$C$37:$BK$41,MATCH(V$2,RLS!$C$25:$BK$25,0),FALSE))-V45-V46-V47</f>
        <v>0</v>
      </c>
      <c r="W48" s="14">
        <f>(VLOOKUP($E48,RLS!$C$37:$BK$41,MATCH(W$2,RLS!$C$25:$BK$25,0),FALSE))-W45-W46-W47</f>
        <v>0</v>
      </c>
      <c r="X48" s="14">
        <f>(VLOOKUP($E48,RLS!$C$37:$BK$41,MATCH(X$2,RLS!$C$25:$BK$25,0),FALSE))-X45-X46-X47</f>
        <v>0</v>
      </c>
      <c r="Y48" s="14">
        <f>(VLOOKUP($E48,RLS!$C$37:$BK$41,MATCH(Y$2,RLS!$C$25:$BK$25,0),FALSE))-Y45-Y46-Y47</f>
        <v>0</v>
      </c>
      <c r="Z48" s="14">
        <f>(VLOOKUP($E48,RLS!$C$37:$BK$41,MATCH(Z$2,RLS!$C$25:$BK$25,0),FALSE))-Z45-Z46-Z47</f>
        <v>0</v>
      </c>
      <c r="AA48" s="14">
        <f>(VLOOKUP($E48,RLS!$C$37:$BK$41,MATCH(AA$2,RLS!$C$25:$BK$25,0),FALSE))-AA45-AA46-AA47</f>
        <v>0</v>
      </c>
      <c r="AB48" s="14">
        <f>(VLOOKUP($E48,RLS!$C$37:$BK$41,MATCH(AB$2,RLS!$C$25:$BK$25,0),FALSE))-AB45-AB46-AB47</f>
        <v>0</v>
      </c>
      <c r="AC48" s="14">
        <f>(VLOOKUP($E48,RLS!$C$37:$BK$41,MATCH(AC$2,RLS!$C$25:$BK$25,0),FALSE))-AC45-AC46-AC47</f>
        <v>0</v>
      </c>
      <c r="AD48" s="14">
        <f>(VLOOKUP($E48,RLS!$C$37:$BK$41,MATCH(AD$2,RLS!$C$25:$BK$25,0),FALSE))-AD45-AD46-AD47</f>
        <v>0</v>
      </c>
      <c r="AE48" s="14">
        <f>(VLOOKUP($E48,RLS!$C$37:$BK$41,MATCH(AE$2,RLS!$C$25:$BK$25,0),FALSE))-AE45-AE46-AE47</f>
        <v>0</v>
      </c>
      <c r="AF48" s="14">
        <f>(VLOOKUP($E48,RLS!$C$37:$BK$41,MATCH(AF$2,RLS!$C$25:$BK$25,0),FALSE))-AF45-AF46-AF47</f>
        <v>0</v>
      </c>
      <c r="AG48" s="14">
        <f>(VLOOKUP($E48,RLS!$C$37:$BK$41,MATCH(AG$2,RLS!$C$25:$BK$25,0),FALSE))-AG45-AG46-AG47</f>
        <v>0</v>
      </c>
      <c r="AH48" s="14">
        <f>(VLOOKUP($E48,RLS!$C$37:$BK$41,MATCH(AH$2,RLS!$C$25:$BK$25,0),FALSE))-AH45-AH46-AH47</f>
        <v>0</v>
      </c>
      <c r="AI48" s="14">
        <f>(VLOOKUP($E48,RLS!$C$37:$BK$41,MATCH(AI$2,RLS!$C$25:$BK$25,0),FALSE))-AI45-AI46-AI47</f>
        <v>0</v>
      </c>
      <c r="AJ48" s="14">
        <f>(VLOOKUP($E48,RLS!$C$37:$BK$41,MATCH(AJ$2,RLS!$C$25:$BK$25,0),FALSE))-AJ45-AJ46-AJ47</f>
        <v>0</v>
      </c>
      <c r="AK48" s="14">
        <f>(VLOOKUP($E48,RLS!$C$37:$BK$41,MATCH(AK$2,RLS!$C$25:$BK$25,0),FALSE))-AK45-AK46-AK47</f>
        <v>0</v>
      </c>
      <c r="AL48" s="14">
        <f>(VLOOKUP($E48,RLS!$C$37:$BK$41,MATCH(AL$2,RLS!$C$25:$BK$25,0),FALSE))-AL45-AL46-AL47</f>
        <v>0</v>
      </c>
      <c r="AM48" s="14">
        <f>(VLOOKUP($E48,RLS!$C$37:$BK$41,MATCH(AM$2,RLS!$C$25:$BK$25,0),FALSE))-AM45-AM46-AM47</f>
        <v>0</v>
      </c>
      <c r="AN48" s="14">
        <f>(VLOOKUP($E48,RLS!$C$37:$BK$41,MATCH(AN$2,RLS!$C$25:$BK$25,0),FALSE))-AN45-AN46-AN47</f>
        <v>0</v>
      </c>
      <c r="AO48" s="14">
        <f>(VLOOKUP($E48,RLS!$C$37:$BK$41,MATCH(AO$2,RLS!$C$25:$BK$25,0),FALSE))-AO45-AO46-AO47</f>
        <v>0</v>
      </c>
      <c r="AP48" s="14">
        <f>(VLOOKUP($E48,RLS!$C$37:$BK$41,MATCH(AP$2,RLS!$C$25:$BK$25,0),FALSE))-AP45-AP46-AP47</f>
        <v>0</v>
      </c>
      <c r="AQ48">
        <f>ROUND((VLOOKUP($E48,RLS!$C$37:$BK$41,MATCH(AQ$2,RLS!$C$25:$BK$25,0),FALSE))*'Unit Distribution'!$E$5,0)</f>
        <v>0</v>
      </c>
      <c r="AR48">
        <f>ROUND((VLOOKUP($E48,RLS!$C$37:$BK$41,MATCH(AR$2,RLS!$C$25:$BK$25,0),FALSE))*'Unit Distribution'!$E$5,0)</f>
        <v>0</v>
      </c>
      <c r="AS48">
        <f>ROUND((VLOOKUP($E48,RLS!$C$37:$BK$41,MATCH(AS$2,RLS!$C$25:$BK$25,0),FALSE))*'Unit Distribution'!$E$5,0)</f>
        <v>0</v>
      </c>
      <c r="AT48">
        <f>ROUND((VLOOKUP($E48,RLS!$C$37:$BK$41,MATCH(AT$2,RLS!$C$25:$BK$25,0),FALSE))*'Unit Distribution'!$E$5,0)</f>
        <v>0</v>
      </c>
      <c r="AU48">
        <f>ROUND((VLOOKUP($E48,RLS!$C$37:$BK$41,MATCH(AU$2,RLS!$C$25:$BK$25,0),FALSE))*'Unit Distribution'!$E$5,0)</f>
        <v>0</v>
      </c>
      <c r="AV48">
        <f>ROUND((VLOOKUP($E48,RLS!$C$37:$BK$41,MATCH(AV$2,RLS!$C$25:$BK$25,0),FALSE))*'Unit Distribution'!$E$5,0)</f>
        <v>0</v>
      </c>
      <c r="AW48">
        <f>ROUND((VLOOKUP($E48,RLS!$C$37:$BK$41,MATCH(AW$2,RLS!$C$25:$BK$25,0),FALSE))*'Unit Distribution'!$E$5,0)</f>
        <v>0</v>
      </c>
      <c r="AX48">
        <f>ROUND((VLOOKUP($E48,RLS!$C$37:$BK$41,MATCH(AX$2,RLS!$C$25:$BK$25,0),FALSE))*'Unit Distribution'!$E$5,0)</f>
        <v>0</v>
      </c>
      <c r="AY48">
        <f>ROUND((VLOOKUP($E48,RLS!$C$37:$BK$41,MATCH(AY$2,RLS!$C$25:$BK$25,0),FALSE))*'Unit Distribution'!$E$5,0)</f>
        <v>0</v>
      </c>
      <c r="AZ48">
        <f>ROUND((VLOOKUP($E48,RLS!$C$37:$BK$41,MATCH(AZ$2,RLS!$C$25:$BK$25,0),FALSE))*'Unit Distribution'!$E$5,0)</f>
        <v>0</v>
      </c>
      <c r="BA48">
        <f>ROUND((VLOOKUP($E48,RLS!$C$37:$BK$41,MATCH(BA$2,RLS!$C$25:$BK$25,0),FALSE))*'Unit Distribution'!$E$5,0)</f>
        <v>0</v>
      </c>
      <c r="BB48">
        <f>ROUND((VLOOKUP($E48,RLS!$C$37:$BK$41,MATCH(BB$2,RLS!$C$25:$BK$25,0),FALSE))*'Unit Distribution'!$E$5,0)</f>
        <v>0</v>
      </c>
      <c r="BC48">
        <f>ROUND((VLOOKUP($E48,RLS!$C$37:$BK$41,MATCH(BC$2,RLS!$C$25:$BK$25,0),FALSE))*'Unit Distribution'!$F$5,0)</f>
        <v>0</v>
      </c>
      <c r="BD48">
        <f>ROUND((VLOOKUP($E48,RLS!$C$37:$BK$41,MATCH(BD$2,RLS!$C$25:$BK$25,0),FALSE))*'Unit Distribution'!$F$5,0)</f>
        <v>0</v>
      </c>
      <c r="BE48">
        <f>ROUND((VLOOKUP($E48,RLS!$C$37:$BK$41,MATCH(BE$2,RLS!$C$25:$BK$25,0),FALSE))*'Unit Distribution'!$F$5,0)</f>
        <v>0</v>
      </c>
      <c r="BF48">
        <f>ROUND((VLOOKUP($E48,RLS!$C$37:$BK$41,MATCH(BF$2,RLS!$C$25:$BK$25,0),FALSE))*'Unit Distribution'!$F$5,0)</f>
        <v>0</v>
      </c>
      <c r="BG48">
        <f>ROUND((VLOOKUP($E48,RLS!$C$37:$BK$41,MATCH(BG$2,RLS!$C$25:$BK$25,0),FALSE))*'Unit Distribution'!$F$5,0)</f>
        <v>0</v>
      </c>
      <c r="BH48">
        <f>ROUND((VLOOKUP($E48,RLS!$C$37:$BK$41,MATCH(BH$2,RLS!$C$25:$BK$25,0),FALSE))*'Unit Distribution'!$F$5,0)</f>
        <v>0</v>
      </c>
      <c r="BI48">
        <f>ROUND((VLOOKUP($E48,RLS!$C$37:$BK$41,MATCH(BI$2,RLS!$C$25:$BK$25,0),FALSE))*'Unit Distribution'!$F$5,0)</f>
        <v>0</v>
      </c>
      <c r="BJ48">
        <f>ROUND((VLOOKUP($E48,RLS!$C$37:$BK$41,MATCH(BJ$2,RLS!$C$25:$BK$25,0),FALSE))*'Unit Distribution'!$F$5,0)</f>
        <v>0</v>
      </c>
      <c r="BK48">
        <f>ROUND((VLOOKUP($E48,RLS!$C$37:$BK$41,MATCH(BK$2,RLS!$C$25:$BK$25,0),FALSE))*'Unit Distribution'!$F$5,0)</f>
        <v>0</v>
      </c>
      <c r="BL48">
        <f>ROUND((VLOOKUP($E48,RLS!$C$37:$BK$41,MATCH(BL$2,RLS!$C$25:$BK$25,0),FALSE))*'Unit Distribution'!$F$5,0)</f>
        <v>0</v>
      </c>
      <c r="BM48">
        <f>ROUND((VLOOKUP($E48,RLS!$C$37:$BK$41,MATCH(BM$2,RLS!$C$25:$BK$25,0),FALSE))*'Unit Distribution'!$F$5,0)</f>
        <v>0</v>
      </c>
      <c r="BN48">
        <f>ROUND((VLOOKUP($E48,RLS!$C$37:$BK$41,MATCH(BN$2,RLS!$C$25:$BK$25,0),FALSE))*'Unit Distribution'!$F$5,0)</f>
        <v>0</v>
      </c>
    </row>
    <row r="49" spans="1:66" x14ac:dyDescent="0.35">
      <c r="A49" t="s">
        <v>71</v>
      </c>
      <c r="B49" t="s">
        <v>69</v>
      </c>
      <c r="C49" t="s">
        <v>111</v>
      </c>
      <c r="D49" t="s">
        <v>84</v>
      </c>
      <c r="E49" t="str">
        <f t="shared" si="1"/>
        <v>DevOnsite-Landed</v>
      </c>
      <c r="F49" t="s">
        <v>68</v>
      </c>
      <c r="G49" s="14">
        <f>ROUND((VLOOKUP($E49,RLS!$C$37:$BK$41,MATCH(G$2,RLS!$C$25:$BK$25,0),FALSE))*'Unit Distribution'!$B$3,0)</f>
        <v>1</v>
      </c>
      <c r="H49" s="14">
        <f>ROUND((VLOOKUP($E49,RLS!$C$37:$BK$41,MATCH(H$2,RLS!$C$25:$BK$25,0),FALSE))*'Unit Distribution'!$B$3,0)</f>
        <v>1</v>
      </c>
      <c r="I49" s="14">
        <f>ROUND((VLOOKUP($E49,RLS!$C$37:$BK$41,MATCH(I$2,RLS!$C$25:$BK$25,0),FALSE))*'Unit Distribution'!$B$3,0)</f>
        <v>1</v>
      </c>
      <c r="J49" s="14">
        <f>ROUND((VLOOKUP($E49,RLS!$C$37:$BK$41,MATCH(J$2,RLS!$C$25:$BK$25,0),FALSE))*'Unit Distribution'!$B$3,0)</f>
        <v>1</v>
      </c>
      <c r="K49" s="14">
        <f>ROUND((VLOOKUP($E49,RLS!$C$37:$BK$41,MATCH(K$2,RLS!$C$25:$BK$25,0),FALSE))*'Unit Distribution'!$B$3,0)</f>
        <v>1</v>
      </c>
      <c r="L49" s="14">
        <f>ROUND((VLOOKUP($E49,RLS!$C$37:$BK$41,MATCH(L$2,RLS!$C$25:$BK$25,0),FALSE))*'Unit Distribution'!$B$3,0)</f>
        <v>1</v>
      </c>
      <c r="M49" s="14">
        <f>ROUND((VLOOKUP($E49,RLS!$C$37:$BK$41,MATCH(M$2,RLS!$C$25:$BK$25,0),FALSE))*'Unit Distribution'!$B$3,0)</f>
        <v>1</v>
      </c>
      <c r="N49" s="14">
        <f>ROUND((VLOOKUP($E49,RLS!$C$37:$BK$41,MATCH(N$2,RLS!$C$25:$BK$25,0),FALSE))*'Unit Distribution'!$B$3,0)</f>
        <v>1</v>
      </c>
      <c r="O49" s="14">
        <f>ROUND((VLOOKUP($E49,RLS!$C$37:$BK$41,MATCH(O$2,RLS!$C$25:$BK$25,0),FALSE))*'Unit Distribution'!$B$3,0)</f>
        <v>1</v>
      </c>
      <c r="P49" s="14">
        <f>ROUND((VLOOKUP($E49,RLS!$C$37:$BK$41,MATCH(P$2,RLS!$C$25:$BK$25,0),FALSE))*'Unit Distribution'!$B$3,0)</f>
        <v>1</v>
      </c>
      <c r="Q49" s="14">
        <f>ROUND((VLOOKUP($E49,RLS!$C$37:$BK$41,MATCH(Q$2,RLS!$C$25:$BK$25,0),FALSE))*'Unit Distribution'!$B$3,0)</f>
        <v>1</v>
      </c>
      <c r="R49" s="14">
        <f>ROUND((VLOOKUP($E49,RLS!$C$37:$BK$41,MATCH(R$2,RLS!$C$25:$BK$25,0),FALSE))*'Unit Distribution'!$B$3,0)</f>
        <v>1</v>
      </c>
      <c r="S49" s="14">
        <f>ROUND((VLOOKUP($E49,RLS!$C$37:$BK$41,MATCH(S$2,RLS!$C$25:$BK$25,0),FALSE))*'Unit Distribution'!$C$3,0)</f>
        <v>1</v>
      </c>
      <c r="T49" s="14">
        <f>ROUND((VLOOKUP($E49,RLS!$C$37:$BK$41,MATCH(T$2,RLS!$C$25:$BK$25,0),FALSE))*'Unit Distribution'!$C$3,0)</f>
        <v>1</v>
      </c>
      <c r="U49" s="14">
        <f>ROUND((VLOOKUP($E49,RLS!$C$37:$BK$41,MATCH(U$2,RLS!$C$25:$BK$25,0),FALSE))*'Unit Distribution'!$C$3,0)</f>
        <v>1</v>
      </c>
      <c r="V49" s="14">
        <f>ROUND((VLOOKUP($E49,RLS!$C$37:$BK$41,MATCH(V$2,RLS!$C$25:$BK$25,0),FALSE))*'Unit Distribution'!$C$3,0)</f>
        <v>1</v>
      </c>
      <c r="W49" s="14">
        <f>ROUND((VLOOKUP($E49,RLS!$C$37:$BK$41,MATCH(W$2,RLS!$C$25:$BK$25,0),FALSE))*'Unit Distribution'!$C$3,0)</f>
        <v>1</v>
      </c>
      <c r="X49" s="14">
        <f>ROUND((VLOOKUP($E49,RLS!$C$37:$BK$41,MATCH(X$2,RLS!$C$25:$BK$25,0),FALSE))*'Unit Distribution'!$C$3,0)</f>
        <v>1</v>
      </c>
      <c r="Y49" s="14">
        <f>ROUND((VLOOKUP($E49,RLS!$C$37:$BK$41,MATCH(Y$2,RLS!$C$25:$BK$25,0),FALSE))*'Unit Distribution'!$C$3,0)</f>
        <v>1</v>
      </c>
      <c r="Z49" s="14">
        <f>ROUND((VLOOKUP($E49,RLS!$C$37:$BK$41,MATCH(Z$2,RLS!$C$25:$BK$25,0),FALSE))*'Unit Distribution'!$C$3,0)</f>
        <v>1</v>
      </c>
      <c r="AA49" s="14">
        <f>ROUND((VLOOKUP($E49,RLS!$C$37:$BK$41,MATCH(AA$2,RLS!$C$25:$BK$25,0),FALSE))*'Unit Distribution'!$C$3,0)</f>
        <v>1</v>
      </c>
      <c r="AB49" s="14">
        <f>ROUND((VLOOKUP($E49,RLS!$C$37:$BK$41,MATCH(AB$2,RLS!$C$25:$BK$25,0),FALSE))*'Unit Distribution'!$C$3,0)</f>
        <v>1</v>
      </c>
      <c r="AC49" s="14">
        <f>ROUND((VLOOKUP($E49,RLS!$C$37:$BK$41,MATCH(AC$2,RLS!$C$25:$BK$25,0),FALSE))*'Unit Distribution'!$C$3,0)</f>
        <v>1</v>
      </c>
      <c r="AD49" s="14">
        <f>ROUND((VLOOKUP($E49,RLS!$C$37:$BK$41,MATCH(AD$2,RLS!$C$25:$BK$25,0),FALSE))*'Unit Distribution'!$C$3,0)</f>
        <v>1</v>
      </c>
      <c r="AE49" s="14">
        <f>ROUND((VLOOKUP($E49,RLS!$C$37:$BK$41,MATCH(AE$2,RLS!$C$25:$BK$25,0),FALSE))*'Unit Distribution'!$D$3,0)</f>
        <v>0</v>
      </c>
      <c r="AF49" s="14">
        <f>ROUND((VLOOKUP($E49,RLS!$C$37:$BK$41,MATCH(AF$2,RLS!$C$25:$BK$25,0),FALSE))*'Unit Distribution'!$D$3,0)</f>
        <v>0</v>
      </c>
      <c r="AG49" s="14">
        <f>ROUND((VLOOKUP($E49,RLS!$C$37:$BK$41,MATCH(AG$2,RLS!$C$25:$BK$25,0),FALSE))*'Unit Distribution'!$D$3,0)</f>
        <v>0</v>
      </c>
      <c r="AH49" s="14">
        <f>ROUND((VLOOKUP($E49,RLS!$C$37:$BK$41,MATCH(AH$2,RLS!$C$25:$BK$25,0),FALSE))*'Unit Distribution'!$D$3,0)</f>
        <v>0</v>
      </c>
      <c r="AI49" s="14">
        <f>ROUND((VLOOKUP($E49,RLS!$C$37:$BK$41,MATCH(AI$2,RLS!$C$25:$BK$25,0),FALSE))*'Unit Distribution'!$D$3,0)</f>
        <v>0</v>
      </c>
      <c r="AJ49" s="14">
        <f>ROUND((VLOOKUP($E49,RLS!$C$37:$BK$41,MATCH(AJ$2,RLS!$C$25:$BK$25,0),FALSE))*'Unit Distribution'!$D$3,0)</f>
        <v>0</v>
      </c>
      <c r="AK49" s="14">
        <f>ROUND((VLOOKUP($E49,RLS!$C$37:$BK$41,MATCH(AK$2,RLS!$C$25:$BK$25,0),FALSE))*'Unit Distribution'!$D$3,0)</f>
        <v>0</v>
      </c>
      <c r="AL49" s="14">
        <f>ROUND((VLOOKUP($E49,RLS!$C$37:$BK$41,MATCH(AL$2,RLS!$C$25:$BK$25,0),FALSE))*'Unit Distribution'!$D$3,0)</f>
        <v>0</v>
      </c>
      <c r="AM49" s="14">
        <f>ROUND((VLOOKUP($E49,RLS!$C$37:$BK$41,MATCH(AM$2,RLS!$C$25:$BK$25,0),FALSE))*'Unit Distribution'!$D$3,0)</f>
        <v>0</v>
      </c>
      <c r="AN49" s="14">
        <f>ROUND((VLOOKUP($E49,RLS!$C$37:$BK$41,MATCH(AN$2,RLS!$C$25:$BK$25,0),FALSE))*'Unit Distribution'!$D$3,0)</f>
        <v>0</v>
      </c>
      <c r="AO49" s="14">
        <f>ROUND((VLOOKUP($E49,RLS!$C$37:$BK$41,MATCH(AO$2,RLS!$C$25:$BK$25,0),FALSE))*'Unit Distribution'!$D$3,0)</f>
        <v>0</v>
      </c>
      <c r="AP49" s="14">
        <f>ROUND((VLOOKUP($E49,RLS!$C$37:$BK$41,MATCH(AP$2,RLS!$C$25:$BK$25,0),FALSE))*'Unit Distribution'!$D$3,0)</f>
        <v>0</v>
      </c>
      <c r="AQ49">
        <f>ROUNDDOWN((VLOOKUP($E49,RLS!$C$37:$BK$41,MATCH(AQ$2,RLS!$C$25:$BK$25,0),FALSE))*'Unit Distribution'!$E$3,0)</f>
        <v>0</v>
      </c>
      <c r="AR49">
        <f>ROUNDDOWN((VLOOKUP($E49,RLS!$C$37:$BK$41,MATCH(AR$2,RLS!$C$25:$BK$25,0),FALSE))*'Unit Distribution'!$E$3,0)</f>
        <v>0</v>
      </c>
      <c r="AS49">
        <f>ROUNDDOWN((VLOOKUP($E49,RLS!$C$37:$BK$41,MATCH(AS$2,RLS!$C$25:$BK$25,0),FALSE))*'Unit Distribution'!$E$3,0)</f>
        <v>0</v>
      </c>
      <c r="AT49">
        <f>ROUNDDOWN((VLOOKUP($E49,RLS!$C$37:$BK$41,MATCH(AT$2,RLS!$C$25:$BK$25,0),FALSE))*'Unit Distribution'!$E$3,0)</f>
        <v>0</v>
      </c>
      <c r="AU49">
        <f>ROUNDDOWN((VLOOKUP($E49,RLS!$C$37:$BK$41,MATCH(AU$2,RLS!$C$25:$BK$25,0),FALSE))*'Unit Distribution'!$E$3,0)</f>
        <v>0</v>
      </c>
      <c r="AV49">
        <f>ROUNDDOWN((VLOOKUP($E49,RLS!$C$37:$BK$41,MATCH(AV$2,RLS!$C$25:$BK$25,0),FALSE))*'Unit Distribution'!$E$3,0)</f>
        <v>0</v>
      </c>
      <c r="AW49">
        <f>ROUNDDOWN((VLOOKUP($E49,RLS!$C$37:$BK$41,MATCH(AW$2,RLS!$C$25:$BK$25,0),FALSE))*'Unit Distribution'!$E$3,0)</f>
        <v>0</v>
      </c>
      <c r="AX49">
        <f>ROUNDDOWN((VLOOKUP($E49,RLS!$C$37:$BK$41,MATCH(AX$2,RLS!$C$25:$BK$25,0),FALSE))*'Unit Distribution'!$E$3,0)</f>
        <v>0</v>
      </c>
      <c r="AY49">
        <f>ROUNDDOWN((VLOOKUP($E49,RLS!$C$37:$BK$41,MATCH(AY$2,RLS!$C$25:$BK$25,0),FALSE))*'Unit Distribution'!$E$3,0)</f>
        <v>0</v>
      </c>
      <c r="AZ49">
        <f>ROUNDDOWN((VLOOKUP($E49,RLS!$C$37:$BK$41,MATCH(AZ$2,RLS!$C$25:$BK$25,0),FALSE))*'Unit Distribution'!$E$3,0)</f>
        <v>0</v>
      </c>
      <c r="BA49">
        <f>ROUNDDOWN((VLOOKUP($E49,RLS!$C$37:$BK$41,MATCH(BA$2,RLS!$C$25:$BK$25,0),FALSE))*'Unit Distribution'!$E$3,0)</f>
        <v>0</v>
      </c>
      <c r="BB49">
        <f>ROUNDDOWN((VLOOKUP($E49,RLS!$C$37:$BK$41,MATCH(BB$2,RLS!$C$25:$BK$25,0),FALSE))*'Unit Distribution'!$E$3,0)</f>
        <v>0</v>
      </c>
      <c r="BC49">
        <f>ROUNDDOWN((VLOOKUP($E49,RLS!$C$37:$BK$41,MATCH(BC$2,RLS!$C$25:$BK$25,0),FALSE))*'Unit Distribution'!$F$3,0)</f>
        <v>0</v>
      </c>
      <c r="BD49">
        <f>ROUNDDOWN((VLOOKUP($E49,RLS!$C$37:$BK$41,MATCH(BD$2,RLS!$C$25:$BK$25,0),FALSE))*'Unit Distribution'!$F$3,0)</f>
        <v>0</v>
      </c>
      <c r="BE49">
        <f>ROUNDDOWN((VLOOKUP($E49,RLS!$C$37:$BK$41,MATCH(BE$2,RLS!$C$25:$BK$25,0),FALSE))*'Unit Distribution'!$F$3,0)</f>
        <v>0</v>
      </c>
      <c r="BF49">
        <f>ROUNDDOWN((VLOOKUP($E49,RLS!$C$37:$BK$41,MATCH(BF$2,RLS!$C$25:$BK$25,0),FALSE))*'Unit Distribution'!$F$3,0)</f>
        <v>0</v>
      </c>
      <c r="BG49">
        <f>ROUNDDOWN((VLOOKUP($E49,RLS!$C$37:$BK$41,MATCH(BG$2,RLS!$C$25:$BK$25,0),FALSE))*'Unit Distribution'!$F$3,0)</f>
        <v>0</v>
      </c>
      <c r="BH49">
        <f>ROUNDDOWN((VLOOKUP($E49,RLS!$C$37:$BK$41,MATCH(BH$2,RLS!$C$25:$BK$25,0),FALSE))*'Unit Distribution'!$F$3,0)</f>
        <v>0</v>
      </c>
      <c r="BI49">
        <f>ROUNDDOWN((VLOOKUP($E49,RLS!$C$37:$BK$41,MATCH(BI$2,RLS!$C$25:$BK$25,0),FALSE))*'Unit Distribution'!$F$3,0)</f>
        <v>0</v>
      </c>
      <c r="BJ49">
        <f>ROUNDDOWN((VLOOKUP($E49,RLS!$C$37:$BK$41,MATCH(BJ$2,RLS!$C$25:$BK$25,0),FALSE))*'Unit Distribution'!$F$3,0)</f>
        <v>0</v>
      </c>
      <c r="BK49">
        <f>ROUNDDOWN((VLOOKUP($E49,RLS!$C$37:$BK$41,MATCH(BK$2,RLS!$C$25:$BK$25,0),FALSE))*'Unit Distribution'!$F$3,0)</f>
        <v>0</v>
      </c>
      <c r="BL49">
        <f>ROUNDDOWN((VLOOKUP($E49,RLS!$C$37:$BK$41,MATCH(BL$2,RLS!$C$25:$BK$25,0),FALSE))*'Unit Distribution'!$F$3,0)</f>
        <v>0</v>
      </c>
      <c r="BM49">
        <f>ROUNDDOWN((VLOOKUP($E49,RLS!$C$37:$BK$41,MATCH(BM$2,RLS!$C$25:$BK$25,0),FALSE))*'Unit Distribution'!$F$3,0)</f>
        <v>0</v>
      </c>
      <c r="BN49">
        <f>ROUNDDOWN((VLOOKUP($E49,RLS!$C$37:$BK$41,MATCH(BN$2,RLS!$C$25:$BK$25,0),FALSE))*'Unit Distribution'!$F$3,0)</f>
        <v>0</v>
      </c>
    </row>
    <row r="50" spans="1:66" x14ac:dyDescent="0.35">
      <c r="A50" t="s">
        <v>71</v>
      </c>
      <c r="B50" t="s">
        <v>69</v>
      </c>
      <c r="C50" t="s">
        <v>111</v>
      </c>
      <c r="D50" t="s">
        <v>84</v>
      </c>
      <c r="E50" t="str">
        <f t="shared" si="1"/>
        <v>DevOnsite-Landed</v>
      </c>
      <c r="F50" t="s">
        <v>68</v>
      </c>
      <c r="G50" s="14">
        <f>ROUND((VLOOKUP($E50,RLS!$C$37:$BK$41,MATCH(G$2,RLS!$C$25:$BK$25,0),FALSE))*'Unit Distribution'!$B$6,0)</f>
        <v>0</v>
      </c>
      <c r="H50" s="14">
        <f>ROUND((VLOOKUP($E50,RLS!$C$37:$BK$41,MATCH(H$2,RLS!$C$25:$BK$25,0),FALSE))*'Unit Distribution'!$B$6,0)</f>
        <v>0</v>
      </c>
      <c r="I50" s="14">
        <f>ROUND((VLOOKUP($E50,RLS!$C$37:$BK$41,MATCH(I$2,RLS!$C$25:$BK$25,0),FALSE))*'Unit Distribution'!$B$6,0)</f>
        <v>0</v>
      </c>
      <c r="J50" s="14">
        <f>ROUND((VLOOKUP($E50,RLS!$C$37:$BK$41,MATCH(J$2,RLS!$C$25:$BK$25,0),FALSE))*'Unit Distribution'!$B$6,0)</f>
        <v>0</v>
      </c>
      <c r="K50" s="14">
        <f>ROUND((VLOOKUP($E50,RLS!$C$37:$BK$41,MATCH(K$2,RLS!$C$25:$BK$25,0),FALSE))*'Unit Distribution'!$B$6,0)</f>
        <v>0</v>
      </c>
      <c r="L50" s="14">
        <f>ROUND((VLOOKUP($E50,RLS!$C$37:$BK$41,MATCH(L$2,RLS!$C$25:$BK$25,0),FALSE))*'Unit Distribution'!$B$6,0)</f>
        <v>0</v>
      </c>
      <c r="M50" s="14">
        <f>ROUND((VLOOKUP($E50,RLS!$C$37:$BK$41,MATCH(M$2,RLS!$C$25:$BK$25,0),FALSE))*'Unit Distribution'!$B$6,0)</f>
        <v>0</v>
      </c>
      <c r="N50" s="14">
        <f>ROUND((VLOOKUP($E50,RLS!$C$37:$BK$41,MATCH(N$2,RLS!$C$25:$BK$25,0),FALSE))*'Unit Distribution'!$B$6,0)</f>
        <v>0</v>
      </c>
      <c r="O50" s="14">
        <f>ROUND((VLOOKUP($E50,RLS!$C$37:$BK$41,MATCH(O$2,RLS!$C$25:$BK$25,0),FALSE))*'Unit Distribution'!$B$6,0)</f>
        <v>0</v>
      </c>
      <c r="P50" s="14">
        <f>ROUND((VLOOKUP($E50,RLS!$C$37:$BK$41,MATCH(P$2,RLS!$C$25:$BK$25,0),FALSE))*'Unit Distribution'!$B$6,0)</f>
        <v>0</v>
      </c>
      <c r="Q50" s="14">
        <f>ROUND((VLOOKUP($E50,RLS!$C$37:$BK$41,MATCH(Q$2,RLS!$C$25:$BK$25,0),FALSE))*'Unit Distribution'!$B$6,0)</f>
        <v>0</v>
      </c>
      <c r="R50" s="14">
        <f>ROUND((VLOOKUP($E50,RLS!$C$37:$BK$41,MATCH(R$2,RLS!$C$25:$BK$25,0),FALSE))*'Unit Distribution'!$B$6,0)</f>
        <v>0</v>
      </c>
      <c r="S50" s="14">
        <f>ROUND((VLOOKUP($E50,RLS!$C$37:$BK$41,MATCH(S$2,RLS!$C$25:$BK$25,0),FALSE))*'Unit Distribution'!$C$6,0)</f>
        <v>0</v>
      </c>
      <c r="T50" s="14">
        <f>ROUND((VLOOKUP($E50,RLS!$C$37:$BK$41,MATCH(T$2,RLS!$C$25:$BK$25,0),FALSE))*'Unit Distribution'!$C$6,0)</f>
        <v>0</v>
      </c>
      <c r="U50" s="14">
        <f>ROUND((VLOOKUP($E50,RLS!$C$37:$BK$41,MATCH(U$2,RLS!$C$25:$BK$25,0),FALSE))*'Unit Distribution'!$C$6,0)</f>
        <v>0</v>
      </c>
      <c r="V50" s="14">
        <f>ROUND((VLOOKUP($E50,RLS!$C$37:$BK$41,MATCH(V$2,RLS!$C$25:$BK$25,0),FALSE))*'Unit Distribution'!$C$6,0)</f>
        <v>0</v>
      </c>
      <c r="W50" s="14">
        <f>ROUND((VLOOKUP($E50,RLS!$C$37:$BK$41,MATCH(W$2,RLS!$C$25:$BK$25,0),FALSE))*'Unit Distribution'!$C$6,0)</f>
        <v>0</v>
      </c>
      <c r="X50" s="14">
        <f>ROUND((VLOOKUP($E50,RLS!$C$37:$BK$41,MATCH(X$2,RLS!$C$25:$BK$25,0),FALSE))*'Unit Distribution'!$C$6,0)</f>
        <v>0</v>
      </c>
      <c r="Y50" s="14">
        <f>ROUND((VLOOKUP($E50,RLS!$C$37:$BK$41,MATCH(Y$2,RLS!$C$25:$BK$25,0),FALSE))*'Unit Distribution'!$C$6,0)</f>
        <v>0</v>
      </c>
      <c r="Z50" s="14">
        <f>ROUND((VLOOKUP($E50,RLS!$C$37:$BK$41,MATCH(Z$2,RLS!$C$25:$BK$25,0),FALSE))*'Unit Distribution'!$C$6,0)</f>
        <v>0</v>
      </c>
      <c r="AA50" s="14">
        <f>ROUND((VLOOKUP($E50,RLS!$C$37:$BK$41,MATCH(AA$2,RLS!$C$25:$BK$25,0),FALSE))*'Unit Distribution'!$C$6,0)</f>
        <v>0</v>
      </c>
      <c r="AB50" s="14">
        <f>ROUND((VLOOKUP($E50,RLS!$C$37:$BK$41,MATCH(AB$2,RLS!$C$25:$BK$25,0),FALSE))*'Unit Distribution'!$C$6,0)</f>
        <v>0</v>
      </c>
      <c r="AC50" s="14">
        <f>ROUND((VLOOKUP($E50,RLS!$C$37:$BK$41,MATCH(AC$2,RLS!$C$25:$BK$25,0),FALSE))*'Unit Distribution'!$C$6,0)</f>
        <v>0</v>
      </c>
      <c r="AD50" s="14">
        <f>ROUND((VLOOKUP($E50,RLS!$C$37:$BK$41,MATCH(AD$2,RLS!$C$25:$BK$25,0),FALSE))*'Unit Distribution'!$C$6,0)</f>
        <v>0</v>
      </c>
      <c r="AE50" s="14">
        <f>ROUND((VLOOKUP($E50,RLS!$C$37:$BK$41,MATCH(AE$2,RLS!$C$25:$BK$25,0),FALSE))*'Unit Distribution'!$D$6,0)</f>
        <v>0</v>
      </c>
      <c r="AF50" s="14">
        <f>ROUND((VLOOKUP($E50,RLS!$C$37:$BK$41,MATCH(AF$2,RLS!$C$25:$BK$25,0),FALSE))*'Unit Distribution'!$D$6,0)</f>
        <v>0</v>
      </c>
      <c r="AG50" s="14">
        <f>ROUND((VLOOKUP($E50,RLS!$C$37:$BK$41,MATCH(AG$2,RLS!$C$25:$BK$25,0),FALSE))*'Unit Distribution'!$D$6,0)</f>
        <v>0</v>
      </c>
      <c r="AH50" s="14">
        <f>ROUND((VLOOKUP($E50,RLS!$C$37:$BK$41,MATCH(AH$2,RLS!$C$25:$BK$25,0),FALSE))*'Unit Distribution'!$D$6,0)</f>
        <v>0</v>
      </c>
      <c r="AI50" s="14">
        <f>ROUND((VLOOKUP($E50,RLS!$C$37:$BK$41,MATCH(AI$2,RLS!$C$25:$BK$25,0),FALSE))*'Unit Distribution'!$D$6,0)</f>
        <v>0</v>
      </c>
      <c r="AJ50" s="14">
        <f>ROUND((VLOOKUP($E50,RLS!$C$37:$BK$41,MATCH(AJ$2,RLS!$C$25:$BK$25,0),FALSE))*'Unit Distribution'!$D$6,0)</f>
        <v>0</v>
      </c>
      <c r="AK50" s="14">
        <f>ROUND((VLOOKUP($E50,RLS!$C$37:$BK$41,MATCH(AK$2,RLS!$C$25:$BK$25,0),FALSE))*'Unit Distribution'!$D$6,0)</f>
        <v>0</v>
      </c>
      <c r="AL50" s="14">
        <f>ROUND((VLOOKUP($E50,RLS!$C$37:$BK$41,MATCH(AL$2,RLS!$C$25:$BK$25,0),FALSE))*'Unit Distribution'!$D$6,0)</f>
        <v>0</v>
      </c>
      <c r="AM50" s="14">
        <f>ROUND((VLOOKUP($E50,RLS!$C$37:$BK$41,MATCH(AM$2,RLS!$C$25:$BK$25,0),FALSE))*'Unit Distribution'!$D$6,0)</f>
        <v>0</v>
      </c>
      <c r="AN50" s="14">
        <f>ROUND((VLOOKUP($E50,RLS!$C$37:$BK$41,MATCH(AN$2,RLS!$C$25:$BK$25,0),FALSE))*'Unit Distribution'!$D$6,0)</f>
        <v>0</v>
      </c>
      <c r="AO50" s="14">
        <f>ROUND((VLOOKUP($E50,RLS!$C$37:$BK$41,MATCH(AO$2,RLS!$C$25:$BK$25,0),FALSE))*'Unit Distribution'!$D$6,0)</f>
        <v>0</v>
      </c>
      <c r="AP50" s="14">
        <f>ROUND((VLOOKUP($E50,RLS!$C$37:$BK$41,MATCH(AP$2,RLS!$C$25:$BK$25,0),FALSE))*'Unit Distribution'!$D$6,0)</f>
        <v>0</v>
      </c>
      <c r="AQ50">
        <f>(VLOOKUP($E50,RLS!$C$37:$BK$41,MATCH(AQ$2,RLS!$C$25:$BK$25,0),FALSE))-AQ49-AQ51-AQ52</f>
        <v>1</v>
      </c>
      <c r="AR50">
        <f>(VLOOKUP($E50,RLS!$C$37:$BK$41,MATCH(AR$2,RLS!$C$25:$BK$25,0),FALSE))-AR49-AR51-AR52</f>
        <v>1</v>
      </c>
      <c r="AS50">
        <f>(VLOOKUP($E50,RLS!$C$37:$BK$41,MATCH(AS$2,RLS!$C$25:$BK$25,0),FALSE))-AS49-AS51-AS52</f>
        <v>1</v>
      </c>
      <c r="AT50">
        <f>(VLOOKUP($E50,RLS!$C$37:$BK$41,MATCH(AT$2,RLS!$C$25:$BK$25,0),FALSE))-AT49-AT51-AT52</f>
        <v>1</v>
      </c>
      <c r="AU50">
        <f>(VLOOKUP($E50,RLS!$C$37:$BK$41,MATCH(AU$2,RLS!$C$25:$BK$25,0),FALSE))-AU49-AU51-AU52</f>
        <v>1</v>
      </c>
      <c r="AV50">
        <f>(VLOOKUP($E50,RLS!$C$37:$BK$41,MATCH(AV$2,RLS!$C$25:$BK$25,0),FALSE))-AV49-AV51-AV52</f>
        <v>1</v>
      </c>
      <c r="AW50">
        <f>(VLOOKUP($E50,RLS!$C$37:$BK$41,MATCH(AW$2,RLS!$C$25:$BK$25,0),FALSE))-AW49-AW51-AW52</f>
        <v>1</v>
      </c>
      <c r="AX50">
        <f>(VLOOKUP($E50,RLS!$C$37:$BK$41,MATCH(AX$2,RLS!$C$25:$BK$25,0),FALSE))-AX49-AX51-AX52</f>
        <v>1</v>
      </c>
      <c r="AY50">
        <f>(VLOOKUP($E50,RLS!$C$37:$BK$41,MATCH(AY$2,RLS!$C$25:$BK$25,0),FALSE))-AY49-AY51-AY52</f>
        <v>1</v>
      </c>
      <c r="AZ50">
        <f>(VLOOKUP($E50,RLS!$C$37:$BK$41,MATCH(AZ$2,RLS!$C$25:$BK$25,0),FALSE))-AZ49-AZ51-AZ52</f>
        <v>1</v>
      </c>
      <c r="BA50">
        <f>(VLOOKUP($E50,RLS!$C$37:$BK$41,MATCH(BA$2,RLS!$C$25:$BK$25,0),FALSE))-BA49-BA51-BA52</f>
        <v>1</v>
      </c>
      <c r="BB50">
        <f>(VLOOKUP($E50,RLS!$C$37:$BK$41,MATCH(BB$2,RLS!$C$25:$BK$25,0),FALSE))-BB49-BB51-BB52</f>
        <v>1</v>
      </c>
      <c r="BC50">
        <f>(VLOOKUP($E50,RLS!$C$37:$BK$41,MATCH(BC$2,RLS!$C$25:$BK$25,0),FALSE))-BC49-BC51-BC52</f>
        <v>1</v>
      </c>
      <c r="BD50">
        <f>(VLOOKUP($E50,RLS!$C$37:$BK$41,MATCH(BD$2,RLS!$C$25:$BK$25,0),FALSE))-BD49-BD51-BD52</f>
        <v>1</v>
      </c>
      <c r="BE50">
        <f>(VLOOKUP($E50,RLS!$C$37:$BK$41,MATCH(BE$2,RLS!$C$25:$BK$25,0),FALSE))-BE49-BE51-BE52</f>
        <v>1</v>
      </c>
      <c r="BF50">
        <f>(VLOOKUP($E50,RLS!$C$37:$BK$41,MATCH(BF$2,RLS!$C$25:$BK$25,0),FALSE))-BF49-BF51-BF52</f>
        <v>1</v>
      </c>
      <c r="BG50">
        <f>(VLOOKUP($E50,RLS!$C$37:$BK$41,MATCH(BG$2,RLS!$C$25:$BK$25,0),FALSE))-BG49-BG51-BG52</f>
        <v>1</v>
      </c>
      <c r="BH50">
        <f>(VLOOKUP($E50,RLS!$C$37:$BK$41,MATCH(BH$2,RLS!$C$25:$BK$25,0),FALSE))-BH49-BH51-BH52</f>
        <v>1</v>
      </c>
      <c r="BI50">
        <f>(VLOOKUP($E50,RLS!$C$37:$BK$41,MATCH(BI$2,RLS!$C$25:$BK$25,0),FALSE))-BI49-BI51-BI52</f>
        <v>1</v>
      </c>
      <c r="BJ50">
        <f>(VLOOKUP($E50,RLS!$C$37:$BK$41,MATCH(BJ$2,RLS!$C$25:$BK$25,0),FALSE))-BJ49-BJ51-BJ52</f>
        <v>1</v>
      </c>
      <c r="BK50">
        <f>(VLOOKUP($E50,RLS!$C$37:$BK$41,MATCH(BK$2,RLS!$C$25:$BK$25,0),FALSE))-BK49-BK51-BK52</f>
        <v>1</v>
      </c>
      <c r="BL50">
        <f>(VLOOKUP($E50,RLS!$C$37:$BK$41,MATCH(BL$2,RLS!$C$25:$BK$25,0),FALSE))-BL49-BL51-BL52</f>
        <v>1</v>
      </c>
      <c r="BM50">
        <f>(VLOOKUP($E50,RLS!$C$37:$BK$41,MATCH(BM$2,RLS!$C$25:$BK$25,0),FALSE))-BM49-BM51-BM52</f>
        <v>1</v>
      </c>
      <c r="BN50">
        <f>(VLOOKUP($E50,RLS!$C$37:$BK$41,MATCH(BN$2,RLS!$C$25:$BK$25,0),FALSE))-BN49-BN51-BN52</f>
        <v>1</v>
      </c>
    </row>
    <row r="51" spans="1:66" x14ac:dyDescent="0.35">
      <c r="A51" t="s">
        <v>71</v>
      </c>
      <c r="B51" t="s">
        <v>81</v>
      </c>
      <c r="C51" t="s">
        <v>109</v>
      </c>
      <c r="D51" t="s">
        <v>84</v>
      </c>
      <c r="E51" t="str">
        <f t="shared" si="1"/>
        <v>DevOnsite-Landed</v>
      </c>
      <c r="F51" t="s">
        <v>70</v>
      </c>
      <c r="G51" s="14">
        <f>ROUND((VLOOKUP($E51,RLS!$C$37:$BK$41,MATCH(G$2,RLS!$C$25:$BK$25,0),FALSE))*'Unit Distribution'!$B$4,0)</f>
        <v>1</v>
      </c>
      <c r="H51" s="14">
        <f>ROUND((VLOOKUP($E51,RLS!$C$37:$BK$41,MATCH(H$2,RLS!$C$25:$BK$25,0),FALSE))*'Unit Distribution'!$B$4,0)</f>
        <v>1</v>
      </c>
      <c r="I51" s="14">
        <f>ROUND((VLOOKUP($E51,RLS!$C$37:$BK$41,MATCH(I$2,RLS!$C$25:$BK$25,0),FALSE))*'Unit Distribution'!$B$4,0)</f>
        <v>1</v>
      </c>
      <c r="J51" s="14">
        <f>ROUND((VLOOKUP($E51,RLS!$C$37:$BK$41,MATCH(J$2,RLS!$C$25:$BK$25,0),FALSE))*'Unit Distribution'!$B$4,0)</f>
        <v>1</v>
      </c>
      <c r="K51" s="14">
        <f>ROUND((VLOOKUP($E51,RLS!$C$37:$BK$41,MATCH(K$2,RLS!$C$25:$BK$25,0),FALSE))*'Unit Distribution'!$B$4,0)</f>
        <v>1</v>
      </c>
      <c r="L51" s="14">
        <f>ROUND((VLOOKUP($E51,RLS!$C$37:$BK$41,MATCH(L$2,RLS!$C$25:$BK$25,0),FALSE))*'Unit Distribution'!$B$4,0)</f>
        <v>1</v>
      </c>
      <c r="M51" s="14">
        <f>ROUND((VLOOKUP($E51,RLS!$C$37:$BK$41,MATCH(M$2,RLS!$C$25:$BK$25,0),FALSE))*'Unit Distribution'!$B$4,0)</f>
        <v>1</v>
      </c>
      <c r="N51" s="14">
        <f>ROUND((VLOOKUP($E51,RLS!$C$37:$BK$41,MATCH(N$2,RLS!$C$25:$BK$25,0),FALSE))*'Unit Distribution'!$B$4,0)</f>
        <v>1</v>
      </c>
      <c r="O51" s="14">
        <f>ROUND((VLOOKUP($E51,RLS!$C$37:$BK$41,MATCH(O$2,RLS!$C$25:$BK$25,0),FALSE))*'Unit Distribution'!$B$4,0)</f>
        <v>1</v>
      </c>
      <c r="P51" s="14">
        <f>ROUND((VLOOKUP($E51,RLS!$C$37:$BK$41,MATCH(P$2,RLS!$C$25:$BK$25,0),FALSE))*'Unit Distribution'!$B$4,0)</f>
        <v>1</v>
      </c>
      <c r="Q51" s="14">
        <f>ROUND((VLOOKUP($E51,RLS!$C$37:$BK$41,MATCH(Q$2,RLS!$C$25:$BK$25,0),FALSE))*'Unit Distribution'!$B$4,0)</f>
        <v>1</v>
      </c>
      <c r="R51" s="14">
        <f>ROUND((VLOOKUP($E51,RLS!$C$37:$BK$41,MATCH(R$2,RLS!$C$25:$BK$25,0),FALSE))*'Unit Distribution'!$B$4,0)</f>
        <v>1</v>
      </c>
      <c r="S51" s="14">
        <f>ROUND((VLOOKUP($E51,RLS!$C$37:$BK$41,MATCH(S$2,RLS!$C$25:$BK$25,0),FALSE))*'Unit Distribution'!$C$4,0)</f>
        <v>1</v>
      </c>
      <c r="T51" s="14">
        <f>ROUND((VLOOKUP($E51,RLS!$C$37:$BK$41,MATCH(T$2,RLS!$C$25:$BK$25,0),FALSE))*'Unit Distribution'!$C$4,0)</f>
        <v>1</v>
      </c>
      <c r="U51" s="14">
        <f>ROUND((VLOOKUP($E51,RLS!$C$37:$BK$41,MATCH(U$2,RLS!$C$25:$BK$25,0),FALSE))*'Unit Distribution'!$C$4,0)</f>
        <v>1</v>
      </c>
      <c r="V51" s="14">
        <f>ROUND((VLOOKUP($E51,RLS!$C$37:$BK$41,MATCH(V$2,RLS!$C$25:$BK$25,0),FALSE))*'Unit Distribution'!$C$4,0)</f>
        <v>1</v>
      </c>
      <c r="W51" s="14">
        <f>ROUND((VLOOKUP($E51,RLS!$C$37:$BK$41,MATCH(W$2,RLS!$C$25:$BK$25,0),FALSE))*'Unit Distribution'!$C$4,0)</f>
        <v>1</v>
      </c>
      <c r="X51" s="14">
        <f>ROUND((VLOOKUP($E51,RLS!$C$37:$BK$41,MATCH(X$2,RLS!$C$25:$BK$25,0),FALSE))*'Unit Distribution'!$C$4,0)</f>
        <v>1</v>
      </c>
      <c r="Y51" s="14">
        <f>ROUND((VLOOKUP($E51,RLS!$C$37:$BK$41,MATCH(Y$2,RLS!$C$25:$BK$25,0),FALSE))*'Unit Distribution'!$C$4,0)</f>
        <v>1</v>
      </c>
      <c r="Z51" s="14">
        <f>ROUND((VLOOKUP($E51,RLS!$C$37:$BK$41,MATCH(Z$2,RLS!$C$25:$BK$25,0),FALSE))*'Unit Distribution'!$C$4,0)</f>
        <v>1</v>
      </c>
      <c r="AA51" s="14">
        <f>ROUND((VLOOKUP($E51,RLS!$C$37:$BK$41,MATCH(AA$2,RLS!$C$25:$BK$25,0),FALSE))*'Unit Distribution'!$C$4,0)</f>
        <v>1</v>
      </c>
      <c r="AB51" s="14">
        <f>ROUND((VLOOKUP($E51,RLS!$C$37:$BK$41,MATCH(AB$2,RLS!$C$25:$BK$25,0),FALSE))*'Unit Distribution'!$C$4,0)</f>
        <v>1</v>
      </c>
      <c r="AC51" s="14">
        <f>ROUND((VLOOKUP($E51,RLS!$C$37:$BK$41,MATCH(AC$2,RLS!$C$25:$BK$25,0),FALSE))*'Unit Distribution'!$C$4,0)</f>
        <v>1</v>
      </c>
      <c r="AD51" s="14">
        <f>ROUND((VLOOKUP($E51,RLS!$C$37:$BK$41,MATCH(AD$2,RLS!$C$25:$BK$25,0),FALSE))*'Unit Distribution'!$C$4,0)</f>
        <v>1</v>
      </c>
      <c r="AE51" s="14">
        <f>ROUND((VLOOKUP($E51,RLS!$C$37:$BK$41,MATCH(AE$2,RLS!$C$25:$BK$25,0),FALSE))*'Unit Distribution'!$D$4,0)</f>
        <v>0</v>
      </c>
      <c r="AF51" s="14">
        <f>ROUND((VLOOKUP($E51,RLS!$C$37:$BK$41,MATCH(AF$2,RLS!$C$25:$BK$25,0),FALSE))*'Unit Distribution'!$D$4,0)</f>
        <v>0</v>
      </c>
      <c r="AG51" s="14">
        <f>ROUND((VLOOKUP($E51,RLS!$C$37:$BK$41,MATCH(AG$2,RLS!$C$25:$BK$25,0),FALSE))*'Unit Distribution'!$D$4,0)</f>
        <v>0</v>
      </c>
      <c r="AH51" s="14">
        <f>ROUND((VLOOKUP($E51,RLS!$C$37:$BK$41,MATCH(AH$2,RLS!$C$25:$BK$25,0),FALSE))*'Unit Distribution'!$D$4,0)</f>
        <v>0</v>
      </c>
      <c r="AI51" s="14">
        <f>ROUND((VLOOKUP($E51,RLS!$C$37:$BK$41,MATCH(AI$2,RLS!$C$25:$BK$25,0),FALSE))*'Unit Distribution'!$D$4,0)</f>
        <v>0</v>
      </c>
      <c r="AJ51" s="14">
        <f>ROUND((VLOOKUP($E51,RLS!$C$37:$BK$41,MATCH(AJ$2,RLS!$C$25:$BK$25,0),FALSE))*'Unit Distribution'!$D$4,0)</f>
        <v>0</v>
      </c>
      <c r="AK51" s="14">
        <f>ROUND((VLOOKUP($E51,RLS!$C$37:$BK$41,MATCH(AK$2,RLS!$C$25:$BK$25,0),FALSE))*'Unit Distribution'!$D$4,0)</f>
        <v>0</v>
      </c>
      <c r="AL51" s="14">
        <f>ROUND((VLOOKUP($E51,RLS!$C$37:$BK$41,MATCH(AL$2,RLS!$C$25:$BK$25,0),FALSE))*'Unit Distribution'!$D$4,0)</f>
        <v>0</v>
      </c>
      <c r="AM51" s="14">
        <f>ROUND((VLOOKUP($E51,RLS!$C$37:$BK$41,MATCH(AM$2,RLS!$C$25:$BK$25,0),FALSE))*'Unit Distribution'!$D$4,0)</f>
        <v>0</v>
      </c>
      <c r="AN51" s="14">
        <f>ROUND((VLOOKUP($E51,RLS!$C$37:$BK$41,MATCH(AN$2,RLS!$C$25:$BK$25,0),FALSE))*'Unit Distribution'!$D$4,0)</f>
        <v>0</v>
      </c>
      <c r="AO51" s="14">
        <f>ROUND((VLOOKUP($E51,RLS!$C$37:$BK$41,MATCH(AO$2,RLS!$C$25:$BK$25,0),FALSE))*'Unit Distribution'!$D$4,0)</f>
        <v>0</v>
      </c>
      <c r="AP51" s="14">
        <f>ROUND((VLOOKUP($E51,RLS!$C$37:$BK$41,MATCH(AP$2,RLS!$C$25:$BK$25,0),FALSE))*'Unit Distribution'!$D$4,0)</f>
        <v>0</v>
      </c>
      <c r="AQ51">
        <f>ROUND((VLOOKUP($E51,RLS!$C$37:$BK$41,MATCH(AQ$2,RLS!$C$25:$BK$25,0),FALSE))*'Unit Distribution'!$E$4,0)</f>
        <v>0</v>
      </c>
      <c r="AR51">
        <f>ROUND((VLOOKUP($E51,RLS!$C$37:$BK$41,MATCH(AR$2,RLS!$C$25:$BK$25,0),FALSE))*'Unit Distribution'!$E$4,0)</f>
        <v>0</v>
      </c>
      <c r="AS51">
        <f>ROUND((VLOOKUP($E51,RLS!$C$37:$BK$41,MATCH(AS$2,RLS!$C$25:$BK$25,0),FALSE))*'Unit Distribution'!$E$4,0)</f>
        <v>0</v>
      </c>
      <c r="AT51">
        <f>ROUND((VLOOKUP($E51,RLS!$C$37:$BK$41,MATCH(AT$2,RLS!$C$25:$BK$25,0),FALSE))*'Unit Distribution'!$E$4,0)</f>
        <v>0</v>
      </c>
      <c r="AU51">
        <f>ROUND((VLOOKUP($E51,RLS!$C$37:$BK$41,MATCH(AU$2,RLS!$C$25:$BK$25,0),FALSE))*'Unit Distribution'!$E$4,0)</f>
        <v>0</v>
      </c>
      <c r="AV51">
        <f>ROUND((VLOOKUP($E51,RLS!$C$37:$BK$41,MATCH(AV$2,RLS!$C$25:$BK$25,0),FALSE))*'Unit Distribution'!$E$4,0)</f>
        <v>0</v>
      </c>
      <c r="AW51">
        <f>ROUND((VLOOKUP($E51,RLS!$C$37:$BK$41,MATCH(AW$2,RLS!$C$25:$BK$25,0),FALSE))*'Unit Distribution'!$E$4,0)</f>
        <v>0</v>
      </c>
      <c r="AX51">
        <f>ROUND((VLOOKUP($E51,RLS!$C$37:$BK$41,MATCH(AX$2,RLS!$C$25:$BK$25,0),FALSE))*'Unit Distribution'!$E$4,0)</f>
        <v>0</v>
      </c>
      <c r="AY51">
        <f>ROUND((VLOOKUP($E51,RLS!$C$37:$BK$41,MATCH(AY$2,RLS!$C$25:$BK$25,0),FALSE))*'Unit Distribution'!$E$4,0)</f>
        <v>0</v>
      </c>
      <c r="AZ51">
        <f>ROUND((VLOOKUP($E51,RLS!$C$37:$BK$41,MATCH(AZ$2,RLS!$C$25:$BK$25,0),FALSE))*'Unit Distribution'!$E$4,0)</f>
        <v>0</v>
      </c>
      <c r="BA51">
        <f>ROUND((VLOOKUP($E51,RLS!$C$37:$BK$41,MATCH(BA$2,RLS!$C$25:$BK$25,0),FALSE))*'Unit Distribution'!$E$4,0)</f>
        <v>0</v>
      </c>
      <c r="BB51">
        <f>ROUND((VLOOKUP($E51,RLS!$C$37:$BK$41,MATCH(BB$2,RLS!$C$25:$BK$25,0),FALSE))*'Unit Distribution'!$E$4,0)</f>
        <v>0</v>
      </c>
      <c r="BC51">
        <f>ROUND((VLOOKUP($E51,RLS!$C$37:$BK$41,MATCH(BC$2,RLS!$C$25:$BK$25,0),FALSE))*'Unit Distribution'!$F$4,0)</f>
        <v>0</v>
      </c>
      <c r="BD51">
        <f>ROUND((VLOOKUP($E51,RLS!$C$37:$BK$41,MATCH(BD$2,RLS!$C$25:$BK$25,0),FALSE))*'Unit Distribution'!$F$4,0)</f>
        <v>0</v>
      </c>
      <c r="BE51">
        <f>ROUND((VLOOKUP($E51,RLS!$C$37:$BK$41,MATCH(BE$2,RLS!$C$25:$BK$25,0),FALSE))*'Unit Distribution'!$F$4,0)</f>
        <v>0</v>
      </c>
      <c r="BF51">
        <f>ROUND((VLOOKUP($E51,RLS!$C$37:$BK$41,MATCH(BF$2,RLS!$C$25:$BK$25,0),FALSE))*'Unit Distribution'!$F$4,0)</f>
        <v>0</v>
      </c>
      <c r="BG51">
        <f>ROUND((VLOOKUP($E51,RLS!$C$37:$BK$41,MATCH(BG$2,RLS!$C$25:$BK$25,0),FALSE))*'Unit Distribution'!$F$4,0)</f>
        <v>0</v>
      </c>
      <c r="BH51">
        <f>ROUND((VLOOKUP($E51,RLS!$C$37:$BK$41,MATCH(BH$2,RLS!$C$25:$BK$25,0),FALSE))*'Unit Distribution'!$F$4,0)</f>
        <v>0</v>
      </c>
      <c r="BI51">
        <f>ROUND((VLOOKUP($E51,RLS!$C$37:$BK$41,MATCH(BI$2,RLS!$C$25:$BK$25,0),FALSE))*'Unit Distribution'!$F$4,0)</f>
        <v>0</v>
      </c>
      <c r="BJ51">
        <f>ROUND((VLOOKUP($E51,RLS!$C$37:$BK$41,MATCH(BJ$2,RLS!$C$25:$BK$25,0),FALSE))*'Unit Distribution'!$F$4,0)</f>
        <v>0</v>
      </c>
      <c r="BK51">
        <f>ROUND((VLOOKUP($E51,RLS!$C$37:$BK$41,MATCH(BK$2,RLS!$C$25:$BK$25,0),FALSE))*'Unit Distribution'!$F$4,0)</f>
        <v>0</v>
      </c>
      <c r="BL51">
        <f>ROUND((VLOOKUP($E51,RLS!$C$37:$BK$41,MATCH(BL$2,RLS!$C$25:$BK$25,0),FALSE))*'Unit Distribution'!$F$4,0)</f>
        <v>0</v>
      </c>
      <c r="BM51">
        <f>ROUND((VLOOKUP($E51,RLS!$C$37:$BK$41,MATCH(BM$2,RLS!$C$25:$BK$25,0),FALSE))*'Unit Distribution'!$F$4,0)</f>
        <v>0</v>
      </c>
      <c r="BN51">
        <f>ROUND((VLOOKUP($E51,RLS!$C$37:$BK$41,MATCH(BN$2,RLS!$C$25:$BK$25,0),FALSE))*'Unit Distribution'!$F$4,0)</f>
        <v>0</v>
      </c>
    </row>
    <row r="52" spans="1:66" x14ac:dyDescent="0.35">
      <c r="A52" t="s">
        <v>71</v>
      </c>
      <c r="B52" t="s">
        <v>73</v>
      </c>
      <c r="C52" t="s">
        <v>110</v>
      </c>
      <c r="D52" t="s">
        <v>84</v>
      </c>
      <c r="E52" t="str">
        <f t="shared" si="1"/>
        <v>DevOnsite-Landed</v>
      </c>
      <c r="F52" t="s">
        <v>70</v>
      </c>
      <c r="G52" s="14">
        <f>(VLOOKUP($E52,RLS!$C$37:$BK$41,MATCH(G$2,RLS!$C$25:$BK$25,0),FALSE))-G49-G50-G51</f>
        <v>1</v>
      </c>
      <c r="H52" s="14">
        <f>(VLOOKUP($E52,RLS!$C$37:$BK$41,MATCH(H$2,RLS!$C$25:$BK$25,0),FALSE))-H49-H50-H51</f>
        <v>1</v>
      </c>
      <c r="I52" s="14">
        <f>(VLOOKUP($E52,RLS!$C$37:$BK$41,MATCH(I$2,RLS!$C$25:$BK$25,0),FALSE))-I49-I50-I51</f>
        <v>1</v>
      </c>
      <c r="J52" s="14">
        <f>(VLOOKUP($E52,RLS!$C$37:$BK$41,MATCH(J$2,RLS!$C$25:$BK$25,0),FALSE))-J49-J50-J51</f>
        <v>1</v>
      </c>
      <c r="K52" s="14">
        <f>(VLOOKUP($E52,RLS!$C$37:$BK$41,MATCH(K$2,RLS!$C$25:$BK$25,0),FALSE))-K49-K50-K51</f>
        <v>1</v>
      </c>
      <c r="L52" s="14">
        <f>(VLOOKUP($E52,RLS!$C$37:$BK$41,MATCH(L$2,RLS!$C$25:$BK$25,0),FALSE))-L49-L50-L51</f>
        <v>1</v>
      </c>
      <c r="M52" s="14">
        <f>(VLOOKUP($E52,RLS!$C$37:$BK$41,MATCH(M$2,RLS!$C$25:$BK$25,0),FALSE))-M49-M50-M51</f>
        <v>1</v>
      </c>
      <c r="N52" s="14">
        <f>(VLOOKUP($E52,RLS!$C$37:$BK$41,MATCH(N$2,RLS!$C$25:$BK$25,0),FALSE))-N49-N50-N51</f>
        <v>1</v>
      </c>
      <c r="O52" s="14">
        <f>(VLOOKUP($E52,RLS!$C$37:$BK$41,MATCH(O$2,RLS!$C$25:$BK$25,0),FALSE))-O49-O50-O51</f>
        <v>1</v>
      </c>
      <c r="P52" s="14">
        <f>(VLOOKUP($E52,RLS!$C$37:$BK$41,MATCH(P$2,RLS!$C$25:$BK$25,0),FALSE))-P49-P50-P51</f>
        <v>1</v>
      </c>
      <c r="Q52" s="14">
        <f>(VLOOKUP($E52,RLS!$C$37:$BK$41,MATCH(Q$2,RLS!$C$25:$BK$25,0),FALSE))-Q49-Q50-Q51</f>
        <v>1</v>
      </c>
      <c r="R52" s="14">
        <f>(VLOOKUP($E52,RLS!$C$37:$BK$41,MATCH(R$2,RLS!$C$25:$BK$25,0),FALSE))-R49-R50-R51</f>
        <v>1</v>
      </c>
      <c r="S52" s="14">
        <f>(VLOOKUP($E52,RLS!$C$37:$BK$41,MATCH(S$2,RLS!$C$25:$BK$25,0),FALSE))-S49-S50-S51</f>
        <v>1</v>
      </c>
      <c r="T52" s="14">
        <f>(VLOOKUP($E52,RLS!$C$37:$BK$41,MATCH(T$2,RLS!$C$25:$BK$25,0),FALSE))-T49-T50-T51</f>
        <v>1</v>
      </c>
      <c r="U52" s="14">
        <f>(VLOOKUP($E52,RLS!$C$37:$BK$41,MATCH(U$2,RLS!$C$25:$BK$25,0),FALSE))-U49-U50-U51</f>
        <v>1</v>
      </c>
      <c r="V52" s="14">
        <f>(VLOOKUP($E52,RLS!$C$37:$BK$41,MATCH(V$2,RLS!$C$25:$BK$25,0),FALSE))-V49-V50-V51</f>
        <v>1</v>
      </c>
      <c r="W52" s="14">
        <f>(VLOOKUP($E52,RLS!$C$37:$BK$41,MATCH(W$2,RLS!$C$25:$BK$25,0),FALSE))-W49-W50-W51</f>
        <v>1</v>
      </c>
      <c r="X52" s="14">
        <f>(VLOOKUP($E52,RLS!$C$37:$BK$41,MATCH(X$2,RLS!$C$25:$BK$25,0),FALSE))-X49-X50-X51</f>
        <v>1</v>
      </c>
      <c r="Y52" s="14">
        <f>(VLOOKUP($E52,RLS!$C$37:$BK$41,MATCH(Y$2,RLS!$C$25:$BK$25,0),FALSE))-Y49-Y50-Y51</f>
        <v>1</v>
      </c>
      <c r="Z52" s="14">
        <f>(VLOOKUP($E52,RLS!$C$37:$BK$41,MATCH(Z$2,RLS!$C$25:$BK$25,0),FALSE))-Z49-Z50-Z51</f>
        <v>1</v>
      </c>
      <c r="AA52" s="14">
        <f>(VLOOKUP($E52,RLS!$C$37:$BK$41,MATCH(AA$2,RLS!$C$25:$BK$25,0),FALSE))-AA49-AA50-AA51</f>
        <v>1</v>
      </c>
      <c r="AB52" s="14">
        <f>(VLOOKUP($E52,RLS!$C$37:$BK$41,MATCH(AB$2,RLS!$C$25:$BK$25,0),FALSE))-AB49-AB50-AB51</f>
        <v>1</v>
      </c>
      <c r="AC52" s="14">
        <f>(VLOOKUP($E52,RLS!$C$37:$BK$41,MATCH(AC$2,RLS!$C$25:$BK$25,0),FALSE))-AC49-AC50-AC51</f>
        <v>1</v>
      </c>
      <c r="AD52" s="14">
        <f>(VLOOKUP($E52,RLS!$C$37:$BK$41,MATCH(AD$2,RLS!$C$25:$BK$25,0),FALSE))-AD49-AD50-AD51</f>
        <v>1</v>
      </c>
      <c r="AE52" s="14">
        <f>(VLOOKUP($E52,RLS!$C$37:$BK$41,MATCH(AE$2,RLS!$C$25:$BK$25,0),FALSE))-AE49-AE50-AE51</f>
        <v>1</v>
      </c>
      <c r="AF52" s="14">
        <f>(VLOOKUP($E52,RLS!$C$37:$BK$41,MATCH(AF$2,RLS!$C$25:$BK$25,0),FALSE))-AF49-AF50-AF51</f>
        <v>1</v>
      </c>
      <c r="AG52" s="14">
        <f>(VLOOKUP($E52,RLS!$C$37:$BK$41,MATCH(AG$2,RLS!$C$25:$BK$25,0),FALSE))-AG49-AG50-AG51</f>
        <v>1</v>
      </c>
      <c r="AH52" s="14">
        <f>(VLOOKUP($E52,RLS!$C$37:$BK$41,MATCH(AH$2,RLS!$C$25:$BK$25,0),FALSE))-AH49-AH50-AH51</f>
        <v>1</v>
      </c>
      <c r="AI52" s="14">
        <f>(VLOOKUP($E52,RLS!$C$37:$BK$41,MATCH(AI$2,RLS!$C$25:$BK$25,0),FALSE))-AI49-AI50-AI51</f>
        <v>1</v>
      </c>
      <c r="AJ52" s="14">
        <f>(VLOOKUP($E52,RLS!$C$37:$BK$41,MATCH(AJ$2,RLS!$C$25:$BK$25,0),FALSE))-AJ49-AJ50-AJ51</f>
        <v>1</v>
      </c>
      <c r="AK52" s="14">
        <f>(VLOOKUP($E52,RLS!$C$37:$BK$41,MATCH(AK$2,RLS!$C$25:$BK$25,0),FALSE))-AK49-AK50-AK51</f>
        <v>1</v>
      </c>
      <c r="AL52" s="14">
        <f>(VLOOKUP($E52,RLS!$C$37:$BK$41,MATCH(AL$2,RLS!$C$25:$BK$25,0),FALSE))-AL49-AL50-AL51</f>
        <v>1</v>
      </c>
      <c r="AM52" s="14">
        <f>(VLOOKUP($E52,RLS!$C$37:$BK$41,MATCH(AM$2,RLS!$C$25:$BK$25,0),FALSE))-AM49-AM50-AM51</f>
        <v>1</v>
      </c>
      <c r="AN52" s="14">
        <f>(VLOOKUP($E52,RLS!$C$37:$BK$41,MATCH(AN$2,RLS!$C$25:$BK$25,0),FALSE))-AN49-AN50-AN51</f>
        <v>1</v>
      </c>
      <c r="AO52" s="14">
        <f>(VLOOKUP($E52,RLS!$C$37:$BK$41,MATCH(AO$2,RLS!$C$25:$BK$25,0),FALSE))-AO49-AO50-AO51</f>
        <v>1</v>
      </c>
      <c r="AP52" s="14">
        <f>(VLOOKUP($E52,RLS!$C$37:$BK$41,MATCH(AP$2,RLS!$C$25:$BK$25,0),FALSE))-AP49-AP50-AP51</f>
        <v>1</v>
      </c>
      <c r="AQ52">
        <f>ROUND((VLOOKUP($E52,RLS!$C$37:$BK$41,MATCH(AQ$2,RLS!$C$25:$BK$25,0),FALSE))*'Unit Distribution'!$E$5,0)</f>
        <v>0</v>
      </c>
      <c r="AR52">
        <f>ROUND((VLOOKUP($E52,RLS!$C$37:$BK$41,MATCH(AR$2,RLS!$C$25:$BK$25,0),FALSE))*'Unit Distribution'!$E$5,0)</f>
        <v>0</v>
      </c>
      <c r="AS52">
        <f>ROUND((VLOOKUP($E52,RLS!$C$37:$BK$41,MATCH(AS$2,RLS!$C$25:$BK$25,0),FALSE))*'Unit Distribution'!$E$5,0)</f>
        <v>0</v>
      </c>
      <c r="AT52">
        <f>ROUND((VLOOKUP($E52,RLS!$C$37:$BK$41,MATCH(AT$2,RLS!$C$25:$BK$25,0),FALSE))*'Unit Distribution'!$E$5,0)</f>
        <v>0</v>
      </c>
      <c r="AU52">
        <f>ROUND((VLOOKUP($E52,RLS!$C$37:$BK$41,MATCH(AU$2,RLS!$C$25:$BK$25,0),FALSE))*'Unit Distribution'!$E$5,0)</f>
        <v>0</v>
      </c>
      <c r="AV52">
        <f>ROUND((VLOOKUP($E52,RLS!$C$37:$BK$41,MATCH(AV$2,RLS!$C$25:$BK$25,0),FALSE))*'Unit Distribution'!$E$5,0)</f>
        <v>0</v>
      </c>
      <c r="AW52">
        <f>ROUND((VLOOKUP($E52,RLS!$C$37:$BK$41,MATCH(AW$2,RLS!$C$25:$BK$25,0),FALSE))*'Unit Distribution'!$E$5,0)</f>
        <v>0</v>
      </c>
      <c r="AX52">
        <f>ROUND((VLOOKUP($E52,RLS!$C$37:$BK$41,MATCH(AX$2,RLS!$C$25:$BK$25,0),FALSE))*'Unit Distribution'!$E$5,0)</f>
        <v>0</v>
      </c>
      <c r="AY52">
        <f>ROUND((VLOOKUP($E52,RLS!$C$37:$BK$41,MATCH(AY$2,RLS!$C$25:$BK$25,0),FALSE))*'Unit Distribution'!$E$5,0)</f>
        <v>0</v>
      </c>
      <c r="AZ52">
        <f>ROUND((VLOOKUP($E52,RLS!$C$37:$BK$41,MATCH(AZ$2,RLS!$C$25:$BK$25,0),FALSE))*'Unit Distribution'!$E$5,0)</f>
        <v>0</v>
      </c>
      <c r="BA52">
        <f>ROUND((VLOOKUP($E52,RLS!$C$37:$BK$41,MATCH(BA$2,RLS!$C$25:$BK$25,0),FALSE))*'Unit Distribution'!$E$5,0)</f>
        <v>0</v>
      </c>
      <c r="BB52">
        <f>ROUND((VLOOKUP($E52,RLS!$C$37:$BK$41,MATCH(BB$2,RLS!$C$25:$BK$25,0),FALSE))*'Unit Distribution'!$E$5,0)</f>
        <v>0</v>
      </c>
      <c r="BC52">
        <f>ROUND((VLOOKUP($E52,RLS!$C$37:$BK$41,MATCH(BC$2,RLS!$C$25:$BK$25,0),FALSE))*'Unit Distribution'!$F$5,0)</f>
        <v>0</v>
      </c>
      <c r="BD52">
        <f>ROUND((VLOOKUP($E52,RLS!$C$37:$BK$41,MATCH(BD$2,RLS!$C$25:$BK$25,0),FALSE))*'Unit Distribution'!$F$5,0)</f>
        <v>0</v>
      </c>
      <c r="BE52">
        <f>ROUND((VLOOKUP($E52,RLS!$C$37:$BK$41,MATCH(BE$2,RLS!$C$25:$BK$25,0),FALSE))*'Unit Distribution'!$F$5,0)</f>
        <v>0</v>
      </c>
      <c r="BF52">
        <f>ROUND((VLOOKUP($E52,RLS!$C$37:$BK$41,MATCH(BF$2,RLS!$C$25:$BK$25,0),FALSE))*'Unit Distribution'!$F$5,0)</f>
        <v>0</v>
      </c>
      <c r="BG52">
        <f>ROUND((VLOOKUP($E52,RLS!$C$37:$BK$41,MATCH(BG$2,RLS!$C$25:$BK$25,0),FALSE))*'Unit Distribution'!$F$5,0)</f>
        <v>0</v>
      </c>
      <c r="BH52">
        <f>ROUND((VLOOKUP($E52,RLS!$C$37:$BK$41,MATCH(BH$2,RLS!$C$25:$BK$25,0),FALSE))*'Unit Distribution'!$F$5,0)</f>
        <v>0</v>
      </c>
      <c r="BI52">
        <f>ROUND((VLOOKUP($E52,RLS!$C$37:$BK$41,MATCH(BI$2,RLS!$C$25:$BK$25,0),FALSE))*'Unit Distribution'!$F$5,0)</f>
        <v>0</v>
      </c>
      <c r="BJ52">
        <f>ROUND((VLOOKUP($E52,RLS!$C$37:$BK$41,MATCH(BJ$2,RLS!$C$25:$BK$25,0),FALSE))*'Unit Distribution'!$F$5,0)</f>
        <v>0</v>
      </c>
      <c r="BK52">
        <f>ROUND((VLOOKUP($E52,RLS!$C$37:$BK$41,MATCH(BK$2,RLS!$C$25:$BK$25,0),FALSE))*'Unit Distribution'!$F$5,0)</f>
        <v>0</v>
      </c>
      <c r="BL52">
        <f>ROUND((VLOOKUP($E52,RLS!$C$37:$BK$41,MATCH(BL$2,RLS!$C$25:$BK$25,0),FALSE))*'Unit Distribution'!$F$5,0)</f>
        <v>0</v>
      </c>
      <c r="BM52">
        <f>ROUND((VLOOKUP($E52,RLS!$C$37:$BK$41,MATCH(BM$2,RLS!$C$25:$BK$25,0),FALSE))*'Unit Distribution'!$F$5,0)</f>
        <v>0</v>
      </c>
      <c r="BN52">
        <f>ROUND((VLOOKUP($E52,RLS!$C$37:$BK$41,MATCH(BN$2,RLS!$C$25:$BK$25,0),FALSE))*'Unit Distribution'!$F$5,0)</f>
        <v>0</v>
      </c>
    </row>
    <row r="53" spans="1:66" hidden="1" x14ac:dyDescent="0.35">
      <c r="A53" t="s">
        <v>72</v>
      </c>
      <c r="B53" t="s">
        <v>73</v>
      </c>
      <c r="D53" t="s">
        <v>84</v>
      </c>
      <c r="E53" t="str">
        <f t="shared" si="1"/>
        <v>TesterOnsite-Landed</v>
      </c>
      <c r="F53" t="s">
        <v>68</v>
      </c>
      <c r="G53" s="14">
        <f>ROUND((VLOOKUP($E53,RLS!$C$37:$BK$41,MATCH(G$2,RLS!$C$25:$BK$25,0),FALSE))*'Unit Distribution'!$B$3,0)</f>
        <v>0</v>
      </c>
      <c r="H53" s="14">
        <f>ROUND((VLOOKUP($E53,RLS!$C$37:$BK$41,MATCH(H$2,RLS!$C$25:$BK$25,0),FALSE))*'Unit Distribution'!$B$3,0)</f>
        <v>0</v>
      </c>
      <c r="I53" s="14">
        <f>ROUND((VLOOKUP($E53,RLS!$C$37:$BK$41,MATCH(I$2,RLS!$C$25:$BK$25,0),FALSE))*'Unit Distribution'!$B$3,0)</f>
        <v>0</v>
      </c>
      <c r="J53" s="14">
        <f>ROUND((VLOOKUP($E53,RLS!$C$37:$BK$41,MATCH(J$2,RLS!$C$25:$BK$25,0),FALSE))*'Unit Distribution'!$B$3,0)</f>
        <v>0</v>
      </c>
      <c r="K53" s="14">
        <f>ROUND((VLOOKUP($E53,RLS!$C$37:$BK$41,MATCH(K$2,RLS!$C$25:$BK$25,0),FALSE))*'Unit Distribution'!$B$3,0)</f>
        <v>0</v>
      </c>
      <c r="L53" s="14">
        <f>ROUND((VLOOKUP($E53,RLS!$C$37:$BK$41,MATCH(L$2,RLS!$C$25:$BK$25,0),FALSE))*'Unit Distribution'!$B$3,0)</f>
        <v>0</v>
      </c>
      <c r="M53" s="14">
        <f>ROUND((VLOOKUP($E53,RLS!$C$37:$BK$41,MATCH(M$2,RLS!$C$25:$BK$25,0),FALSE))*'Unit Distribution'!$B$3,0)</f>
        <v>0</v>
      </c>
      <c r="N53" s="14">
        <f>ROUND((VLOOKUP($E53,RLS!$C$37:$BK$41,MATCH(N$2,RLS!$C$25:$BK$25,0),FALSE))*'Unit Distribution'!$B$3,0)</f>
        <v>0</v>
      </c>
      <c r="O53" s="14">
        <f>ROUND((VLOOKUP($E53,RLS!$C$37:$BK$41,MATCH(O$2,RLS!$C$25:$BK$25,0),FALSE))*'Unit Distribution'!$B$3,0)</f>
        <v>0</v>
      </c>
      <c r="P53" s="14">
        <f>ROUND((VLOOKUP($E53,RLS!$C$37:$BK$41,MATCH(P$2,RLS!$C$25:$BK$25,0),FALSE))*'Unit Distribution'!$B$3,0)</f>
        <v>0</v>
      </c>
      <c r="Q53" s="14">
        <f>ROUND((VLOOKUP($E53,RLS!$C$37:$BK$41,MATCH(Q$2,RLS!$C$25:$BK$25,0),FALSE))*'Unit Distribution'!$B$3,0)</f>
        <v>0</v>
      </c>
      <c r="R53" s="14">
        <f>ROUND((VLOOKUP($E53,RLS!$C$37:$BK$41,MATCH(R$2,RLS!$C$25:$BK$25,0),FALSE))*'Unit Distribution'!$B$3,0)</f>
        <v>0</v>
      </c>
      <c r="S53" s="14">
        <f>ROUND((VLOOKUP($E53,RLS!$C$37:$BK$41,MATCH(S$2,RLS!$C$25:$BK$25,0),FALSE))*'Unit Distribution'!$C$3,0)</f>
        <v>0</v>
      </c>
      <c r="T53" s="14">
        <f>ROUND((VLOOKUP($E53,RLS!$C$37:$BK$41,MATCH(T$2,RLS!$C$25:$BK$25,0),FALSE))*'Unit Distribution'!$C$3,0)</f>
        <v>0</v>
      </c>
      <c r="U53" s="14">
        <f>ROUND((VLOOKUP($E53,RLS!$C$37:$BK$41,MATCH(U$2,RLS!$C$25:$BK$25,0),FALSE))*'Unit Distribution'!$C$3,0)</f>
        <v>0</v>
      </c>
      <c r="V53" s="14">
        <f>ROUND((VLOOKUP($E53,RLS!$C$37:$BK$41,MATCH(V$2,RLS!$C$25:$BK$25,0),FALSE))*'Unit Distribution'!$C$3,0)</f>
        <v>0</v>
      </c>
      <c r="W53" s="14">
        <f>ROUND((VLOOKUP($E53,RLS!$C$37:$BK$41,MATCH(W$2,RLS!$C$25:$BK$25,0),FALSE))*'Unit Distribution'!$C$3,0)</f>
        <v>0</v>
      </c>
      <c r="X53" s="14">
        <f>ROUND((VLOOKUP($E53,RLS!$C$37:$BK$41,MATCH(X$2,RLS!$C$25:$BK$25,0),FALSE))*'Unit Distribution'!$C$3,0)</f>
        <v>0</v>
      </c>
      <c r="Y53" s="14">
        <f>ROUND((VLOOKUP($E53,RLS!$C$37:$BK$41,MATCH(Y$2,RLS!$C$25:$BK$25,0),FALSE))*'Unit Distribution'!$C$3,0)</f>
        <v>0</v>
      </c>
      <c r="Z53" s="14">
        <f>ROUND((VLOOKUP($E53,RLS!$C$37:$BK$41,MATCH(Z$2,RLS!$C$25:$BK$25,0),FALSE))*'Unit Distribution'!$C$3,0)</f>
        <v>0</v>
      </c>
      <c r="AA53" s="14">
        <f>ROUND((VLOOKUP($E53,RLS!$C$37:$BK$41,MATCH(AA$2,RLS!$C$25:$BK$25,0),FALSE))*'Unit Distribution'!$C$3,0)</f>
        <v>0</v>
      </c>
      <c r="AB53" s="14">
        <f>ROUND((VLOOKUP($E53,RLS!$C$37:$BK$41,MATCH(AB$2,RLS!$C$25:$BK$25,0),FALSE))*'Unit Distribution'!$C$3,0)</f>
        <v>0</v>
      </c>
      <c r="AC53" s="14">
        <f>ROUND((VLOOKUP($E53,RLS!$C$37:$BK$41,MATCH(AC$2,RLS!$C$25:$BK$25,0),FALSE))*'Unit Distribution'!$C$3,0)</f>
        <v>0</v>
      </c>
      <c r="AD53" s="14">
        <f>ROUND((VLOOKUP($E53,RLS!$C$37:$BK$41,MATCH(AD$2,RLS!$C$25:$BK$25,0),FALSE))*'Unit Distribution'!$C$3,0)</f>
        <v>0</v>
      </c>
      <c r="AE53" s="14">
        <f>ROUND((VLOOKUP($E53,RLS!$C$37:$BK$41,MATCH(AE$2,RLS!$C$25:$BK$25,0),FALSE))*'Unit Distribution'!$D$3,0)</f>
        <v>0</v>
      </c>
      <c r="AF53" s="14">
        <f>ROUND((VLOOKUP($E53,RLS!$C$37:$BK$41,MATCH(AF$2,RLS!$C$25:$BK$25,0),FALSE))*'Unit Distribution'!$D$3,0)</f>
        <v>0</v>
      </c>
      <c r="AG53" s="14">
        <f>ROUND((VLOOKUP($E53,RLS!$C$37:$BK$41,MATCH(AG$2,RLS!$C$25:$BK$25,0),FALSE))*'Unit Distribution'!$D$3,0)</f>
        <v>0</v>
      </c>
      <c r="AH53" s="14">
        <f>ROUND((VLOOKUP($E53,RLS!$C$37:$BK$41,MATCH(AH$2,RLS!$C$25:$BK$25,0),FALSE))*'Unit Distribution'!$D$3,0)</f>
        <v>0</v>
      </c>
      <c r="AI53" s="14">
        <f>ROUND((VLOOKUP($E53,RLS!$C$37:$BK$41,MATCH(AI$2,RLS!$C$25:$BK$25,0),FALSE))*'Unit Distribution'!$D$3,0)</f>
        <v>0</v>
      </c>
      <c r="AJ53" s="14">
        <f>ROUND((VLOOKUP($E53,RLS!$C$37:$BK$41,MATCH(AJ$2,RLS!$C$25:$BK$25,0),FALSE))*'Unit Distribution'!$D$3,0)</f>
        <v>0</v>
      </c>
      <c r="AK53" s="14">
        <f>ROUND((VLOOKUP($E53,RLS!$C$37:$BK$41,MATCH(AK$2,RLS!$C$25:$BK$25,0),FALSE))*'Unit Distribution'!$D$3,0)</f>
        <v>0</v>
      </c>
      <c r="AL53" s="14">
        <f>ROUND((VLOOKUP($E53,RLS!$C$37:$BK$41,MATCH(AL$2,RLS!$C$25:$BK$25,0),FALSE))*'Unit Distribution'!$D$3,0)</f>
        <v>0</v>
      </c>
      <c r="AM53" s="14">
        <f>ROUND((VLOOKUP($E53,RLS!$C$37:$BK$41,MATCH(AM$2,RLS!$C$25:$BK$25,0),FALSE))*'Unit Distribution'!$D$3,0)</f>
        <v>0</v>
      </c>
      <c r="AN53" s="14">
        <f>ROUND((VLOOKUP($E53,RLS!$C$37:$BK$41,MATCH(AN$2,RLS!$C$25:$BK$25,0),FALSE))*'Unit Distribution'!$D$3,0)</f>
        <v>0</v>
      </c>
      <c r="AO53" s="14">
        <f>ROUND((VLOOKUP($E53,RLS!$C$37:$BK$41,MATCH(AO$2,RLS!$C$25:$BK$25,0),FALSE))*'Unit Distribution'!$D$3,0)</f>
        <v>0</v>
      </c>
      <c r="AP53" s="14">
        <f>ROUND((VLOOKUP($E53,RLS!$C$37:$BK$41,MATCH(AP$2,RLS!$C$25:$BK$25,0),FALSE))*'Unit Distribution'!$D$3,0)</f>
        <v>0</v>
      </c>
      <c r="AQ53">
        <f>ROUND((VLOOKUP($E53,RLS!$C$37:$BK$41,MATCH(AQ$2,RLS!$C$25:$BK$25,0),FALSE))*'Unit Distribution'!$E$3,0)</f>
        <v>0</v>
      </c>
      <c r="AR53">
        <f>ROUND((VLOOKUP($E53,RLS!$C$37:$BK$41,MATCH(AR$2,RLS!$C$25:$BK$25,0),FALSE))*'Unit Distribution'!$E$3,0)</f>
        <v>0</v>
      </c>
      <c r="AS53">
        <f>ROUND((VLOOKUP($E53,RLS!$C$37:$BK$41,MATCH(AS$2,RLS!$C$25:$BK$25,0),FALSE))*'Unit Distribution'!$E$3,0)</f>
        <v>0</v>
      </c>
      <c r="AT53">
        <f>ROUND((VLOOKUP($E53,RLS!$C$37:$BK$41,MATCH(AT$2,RLS!$C$25:$BK$25,0),FALSE))*'Unit Distribution'!$E$3,0)</f>
        <v>0</v>
      </c>
      <c r="AU53">
        <f>ROUND((VLOOKUP($E53,RLS!$C$37:$BK$41,MATCH(AU$2,RLS!$C$25:$BK$25,0),FALSE))*'Unit Distribution'!$E$3,0)</f>
        <v>0</v>
      </c>
      <c r="AV53">
        <f>ROUND((VLOOKUP($E53,RLS!$C$37:$BK$41,MATCH(AV$2,RLS!$C$25:$BK$25,0),FALSE))*'Unit Distribution'!$E$3,0)</f>
        <v>0</v>
      </c>
      <c r="AW53">
        <f>ROUND((VLOOKUP($E53,RLS!$C$37:$BK$41,MATCH(AW$2,RLS!$C$25:$BK$25,0),FALSE))*'Unit Distribution'!$E$3,0)</f>
        <v>0</v>
      </c>
      <c r="AX53">
        <f>ROUND((VLOOKUP($E53,RLS!$C$37:$BK$41,MATCH(AX$2,RLS!$C$25:$BK$25,0),FALSE))*'Unit Distribution'!$E$3,0)</f>
        <v>0</v>
      </c>
      <c r="AY53">
        <f>ROUND((VLOOKUP($E53,RLS!$C$37:$BK$41,MATCH(AY$2,RLS!$C$25:$BK$25,0),FALSE))*'Unit Distribution'!$E$3,0)</f>
        <v>0</v>
      </c>
      <c r="AZ53">
        <f>ROUND((VLOOKUP($E53,RLS!$C$37:$BK$41,MATCH(AZ$2,RLS!$C$25:$BK$25,0),FALSE))*'Unit Distribution'!$E$3,0)</f>
        <v>0</v>
      </c>
      <c r="BA53">
        <f>ROUND((VLOOKUP($E53,RLS!$C$37:$BK$41,MATCH(BA$2,RLS!$C$25:$BK$25,0),FALSE))*'Unit Distribution'!$E$3,0)</f>
        <v>0</v>
      </c>
      <c r="BB53">
        <f>ROUND((VLOOKUP($E53,RLS!$C$37:$BK$41,MATCH(BB$2,RLS!$C$25:$BK$25,0),FALSE))*'Unit Distribution'!$E$3,0)</f>
        <v>0</v>
      </c>
      <c r="BC53">
        <f>ROUND((VLOOKUP($E53,RLS!$C$37:$BK$41,MATCH(BC$2,RLS!$C$25:$BK$25,0),FALSE))*'Unit Distribution'!$F$3,0)</f>
        <v>0</v>
      </c>
      <c r="BD53">
        <f>ROUND((VLOOKUP($E53,RLS!$C$37:$BK$41,MATCH(BD$2,RLS!$C$25:$BK$25,0),FALSE))*'Unit Distribution'!$F$3,0)</f>
        <v>0</v>
      </c>
      <c r="BE53">
        <f>ROUND((VLOOKUP($E53,RLS!$C$37:$BK$41,MATCH(BE$2,RLS!$C$25:$BK$25,0),FALSE))*'Unit Distribution'!$F$3,0)</f>
        <v>0</v>
      </c>
      <c r="BF53">
        <f>ROUND((VLOOKUP($E53,RLS!$C$37:$BK$41,MATCH(BF$2,RLS!$C$25:$BK$25,0),FALSE))*'Unit Distribution'!$F$3,0)</f>
        <v>0</v>
      </c>
      <c r="BG53">
        <f>ROUND((VLOOKUP($E53,RLS!$C$37:$BK$41,MATCH(BG$2,RLS!$C$25:$BK$25,0),FALSE))*'Unit Distribution'!$F$3,0)</f>
        <v>0</v>
      </c>
      <c r="BH53">
        <f>ROUND((VLOOKUP($E53,RLS!$C$37:$BK$41,MATCH(BH$2,RLS!$C$25:$BK$25,0),FALSE))*'Unit Distribution'!$F$3,0)</f>
        <v>0</v>
      </c>
      <c r="BI53">
        <f>ROUND((VLOOKUP($E53,RLS!$C$37:$BK$41,MATCH(BI$2,RLS!$C$25:$BK$25,0),FALSE))*'Unit Distribution'!$F$3,0)</f>
        <v>0</v>
      </c>
      <c r="BJ53">
        <f>ROUND((VLOOKUP($E53,RLS!$C$37:$BK$41,MATCH(BJ$2,RLS!$C$25:$BK$25,0),FALSE))*'Unit Distribution'!$F$3,0)</f>
        <v>0</v>
      </c>
      <c r="BK53">
        <f>ROUND((VLOOKUP($E53,RLS!$C$37:$BK$41,MATCH(BK$2,RLS!$C$25:$BK$25,0),FALSE))*'Unit Distribution'!$F$3,0)</f>
        <v>0</v>
      </c>
      <c r="BL53">
        <f>ROUND((VLOOKUP($E53,RLS!$C$37:$BK$41,MATCH(BL$2,RLS!$C$25:$BK$25,0),FALSE))*'Unit Distribution'!$F$3,0)</f>
        <v>0</v>
      </c>
      <c r="BM53">
        <f>ROUND((VLOOKUP($E53,RLS!$C$37:$BK$41,MATCH(BM$2,RLS!$C$25:$BK$25,0),FALSE))*'Unit Distribution'!$F$3,0)</f>
        <v>0</v>
      </c>
      <c r="BN53">
        <f>ROUND((VLOOKUP($E53,RLS!$C$37:$BK$41,MATCH(BN$2,RLS!$C$25:$BK$25,0),FALSE))*'Unit Distribution'!$F$3,0)</f>
        <v>0</v>
      </c>
    </row>
    <row r="54" spans="1:66" hidden="1" x14ac:dyDescent="0.35">
      <c r="A54" t="s">
        <v>72</v>
      </c>
      <c r="B54" t="s">
        <v>73</v>
      </c>
      <c r="D54" t="s">
        <v>84</v>
      </c>
      <c r="E54" t="str">
        <f t="shared" si="1"/>
        <v>TesterOnsite-Landed</v>
      </c>
      <c r="F54" t="s">
        <v>68</v>
      </c>
      <c r="G54" s="14">
        <f>ROUND((VLOOKUP($E54,RLS!$C$37:$BK$41,MATCH(G$2,RLS!$C$25:$BK$25,0),FALSE))*'Unit Distribution'!$B$6,0)</f>
        <v>0</v>
      </c>
      <c r="H54" s="14">
        <f>ROUND((VLOOKUP($E54,RLS!$C$37:$BK$41,MATCH(H$2,RLS!$C$25:$BK$25,0),FALSE))*'Unit Distribution'!$B$6,0)</f>
        <v>0</v>
      </c>
      <c r="I54" s="14">
        <f>ROUND((VLOOKUP($E54,RLS!$C$37:$BK$41,MATCH(I$2,RLS!$C$25:$BK$25,0),FALSE))*'Unit Distribution'!$B$6,0)</f>
        <v>0</v>
      </c>
      <c r="J54" s="14">
        <f>ROUND((VLOOKUP($E54,RLS!$C$37:$BK$41,MATCH(J$2,RLS!$C$25:$BK$25,0),FALSE))*'Unit Distribution'!$B$6,0)</f>
        <v>0</v>
      </c>
      <c r="K54" s="14">
        <f>ROUND((VLOOKUP($E54,RLS!$C$37:$BK$41,MATCH(K$2,RLS!$C$25:$BK$25,0),FALSE))*'Unit Distribution'!$B$6,0)</f>
        <v>0</v>
      </c>
      <c r="L54" s="14">
        <f>ROUND((VLOOKUP($E54,RLS!$C$37:$BK$41,MATCH(L$2,RLS!$C$25:$BK$25,0),FALSE))*'Unit Distribution'!$B$6,0)</f>
        <v>0</v>
      </c>
      <c r="M54" s="14">
        <f>ROUND((VLOOKUP($E54,RLS!$C$37:$BK$41,MATCH(M$2,RLS!$C$25:$BK$25,0),FALSE))*'Unit Distribution'!$B$6,0)</f>
        <v>0</v>
      </c>
      <c r="N54" s="14">
        <f>ROUND((VLOOKUP($E54,RLS!$C$37:$BK$41,MATCH(N$2,RLS!$C$25:$BK$25,0),FALSE))*'Unit Distribution'!$B$6,0)</f>
        <v>0</v>
      </c>
      <c r="O54" s="14">
        <f>ROUND((VLOOKUP($E54,RLS!$C$37:$BK$41,MATCH(O$2,RLS!$C$25:$BK$25,0),FALSE))*'Unit Distribution'!$B$6,0)</f>
        <v>0</v>
      </c>
      <c r="P54" s="14">
        <f>ROUND((VLOOKUP($E54,RLS!$C$37:$BK$41,MATCH(P$2,RLS!$C$25:$BK$25,0),FALSE))*'Unit Distribution'!$B$6,0)</f>
        <v>0</v>
      </c>
      <c r="Q54" s="14">
        <f>ROUND((VLOOKUP($E54,RLS!$C$37:$BK$41,MATCH(Q$2,RLS!$C$25:$BK$25,0),FALSE))*'Unit Distribution'!$B$6,0)</f>
        <v>0</v>
      </c>
      <c r="R54" s="14">
        <f>ROUND((VLOOKUP($E54,RLS!$C$37:$BK$41,MATCH(R$2,RLS!$C$25:$BK$25,0),FALSE))*'Unit Distribution'!$B$6,0)</f>
        <v>0</v>
      </c>
      <c r="S54" s="14">
        <f>ROUND((VLOOKUP($E54,RLS!$C$37:$BK$41,MATCH(S$2,RLS!$C$25:$BK$25,0),FALSE))*'Unit Distribution'!$C$6,0)</f>
        <v>0</v>
      </c>
      <c r="T54" s="14">
        <f>ROUND((VLOOKUP($E54,RLS!$C$37:$BK$41,MATCH(T$2,RLS!$C$25:$BK$25,0),FALSE))*'Unit Distribution'!$C$6,0)</f>
        <v>0</v>
      </c>
      <c r="U54" s="14">
        <f>ROUND((VLOOKUP($E54,RLS!$C$37:$BK$41,MATCH(U$2,RLS!$C$25:$BK$25,0),FALSE))*'Unit Distribution'!$C$6,0)</f>
        <v>0</v>
      </c>
      <c r="V54" s="14">
        <f>ROUND((VLOOKUP($E54,RLS!$C$37:$BK$41,MATCH(V$2,RLS!$C$25:$BK$25,0),FALSE))*'Unit Distribution'!$C$6,0)</f>
        <v>0</v>
      </c>
      <c r="W54" s="14">
        <f>ROUND((VLOOKUP($E54,RLS!$C$37:$BK$41,MATCH(W$2,RLS!$C$25:$BK$25,0),FALSE))*'Unit Distribution'!$C$6,0)</f>
        <v>0</v>
      </c>
      <c r="X54" s="14">
        <f>ROUND((VLOOKUP($E54,RLS!$C$37:$BK$41,MATCH(X$2,RLS!$C$25:$BK$25,0),FALSE))*'Unit Distribution'!$C$6,0)</f>
        <v>0</v>
      </c>
      <c r="Y54" s="14">
        <f>ROUND((VLOOKUP($E54,RLS!$C$37:$BK$41,MATCH(Y$2,RLS!$C$25:$BK$25,0),FALSE))*'Unit Distribution'!$C$6,0)</f>
        <v>0</v>
      </c>
      <c r="Z54" s="14">
        <f>ROUND((VLOOKUP($E54,RLS!$C$37:$BK$41,MATCH(Z$2,RLS!$C$25:$BK$25,0),FALSE))*'Unit Distribution'!$C$6,0)</f>
        <v>0</v>
      </c>
      <c r="AA54" s="14">
        <f>ROUND((VLOOKUP($E54,RLS!$C$37:$BK$41,MATCH(AA$2,RLS!$C$25:$BK$25,0),FALSE))*'Unit Distribution'!$C$6,0)</f>
        <v>0</v>
      </c>
      <c r="AB54" s="14">
        <f>ROUND((VLOOKUP($E54,RLS!$C$37:$BK$41,MATCH(AB$2,RLS!$C$25:$BK$25,0),FALSE))*'Unit Distribution'!$C$6,0)</f>
        <v>0</v>
      </c>
      <c r="AC54" s="14">
        <f>ROUND((VLOOKUP($E54,RLS!$C$37:$BK$41,MATCH(AC$2,RLS!$C$25:$BK$25,0),FALSE))*'Unit Distribution'!$C$6,0)</f>
        <v>0</v>
      </c>
      <c r="AD54" s="14">
        <f>ROUND((VLOOKUP($E54,RLS!$C$37:$BK$41,MATCH(AD$2,RLS!$C$25:$BK$25,0),FALSE))*'Unit Distribution'!$C$6,0)</f>
        <v>0</v>
      </c>
      <c r="AE54" s="14">
        <f>ROUND((VLOOKUP($E54,RLS!$C$37:$BK$41,MATCH(AE$2,RLS!$C$25:$BK$25,0),FALSE))*'Unit Distribution'!$D$6,0)</f>
        <v>0</v>
      </c>
      <c r="AF54" s="14">
        <f>ROUND((VLOOKUP($E54,RLS!$C$37:$BK$41,MATCH(AF$2,RLS!$C$25:$BK$25,0),FALSE))*'Unit Distribution'!$D$6,0)</f>
        <v>0</v>
      </c>
      <c r="AG54" s="14">
        <f>ROUND((VLOOKUP($E54,RLS!$C$37:$BK$41,MATCH(AG$2,RLS!$C$25:$BK$25,0),FALSE))*'Unit Distribution'!$D$6,0)</f>
        <v>0</v>
      </c>
      <c r="AH54" s="14">
        <f>ROUND((VLOOKUP($E54,RLS!$C$37:$BK$41,MATCH(AH$2,RLS!$C$25:$BK$25,0),FALSE))*'Unit Distribution'!$D$6,0)</f>
        <v>0</v>
      </c>
      <c r="AI54" s="14">
        <f>ROUND((VLOOKUP($E54,RLS!$C$37:$BK$41,MATCH(AI$2,RLS!$C$25:$BK$25,0),FALSE))*'Unit Distribution'!$D$6,0)</f>
        <v>0</v>
      </c>
      <c r="AJ54" s="14">
        <f>ROUND((VLOOKUP($E54,RLS!$C$37:$BK$41,MATCH(AJ$2,RLS!$C$25:$BK$25,0),FALSE))*'Unit Distribution'!$D$6,0)</f>
        <v>0</v>
      </c>
      <c r="AK54" s="14">
        <f>ROUND((VLOOKUP($E54,RLS!$C$37:$BK$41,MATCH(AK$2,RLS!$C$25:$BK$25,0),FALSE))*'Unit Distribution'!$D$6,0)</f>
        <v>0</v>
      </c>
      <c r="AL54" s="14">
        <f>ROUND((VLOOKUP($E54,RLS!$C$37:$BK$41,MATCH(AL$2,RLS!$C$25:$BK$25,0),FALSE))*'Unit Distribution'!$D$6,0)</f>
        <v>0</v>
      </c>
      <c r="AM54" s="14">
        <f>ROUND((VLOOKUP($E54,RLS!$C$37:$BK$41,MATCH(AM$2,RLS!$C$25:$BK$25,0),FALSE))*'Unit Distribution'!$D$6,0)</f>
        <v>0</v>
      </c>
      <c r="AN54" s="14">
        <f>ROUND((VLOOKUP($E54,RLS!$C$37:$BK$41,MATCH(AN$2,RLS!$C$25:$BK$25,0),FALSE))*'Unit Distribution'!$D$6,0)</f>
        <v>0</v>
      </c>
      <c r="AO54" s="14">
        <f>ROUND((VLOOKUP($E54,RLS!$C$37:$BK$41,MATCH(AO$2,RLS!$C$25:$BK$25,0),FALSE))*'Unit Distribution'!$D$6,0)</f>
        <v>0</v>
      </c>
      <c r="AP54" s="14">
        <f>ROUND((VLOOKUP($E54,RLS!$C$37:$BK$41,MATCH(AP$2,RLS!$C$25:$BK$25,0),FALSE))*'Unit Distribution'!$D$6,0)</f>
        <v>0</v>
      </c>
      <c r="AQ54">
        <f>(VLOOKUP($E54,RLS!$C$37:$BK$41,MATCH(AQ$2,RLS!$C$25:$BK$25,0),FALSE))-AQ53-AQ55-AQ56</f>
        <v>0</v>
      </c>
      <c r="AR54">
        <f>(VLOOKUP($E54,RLS!$C$37:$BK$41,MATCH(AR$2,RLS!$C$25:$BK$25,0),FALSE))-AR53-AR55-AR56</f>
        <v>0</v>
      </c>
      <c r="AS54">
        <f>(VLOOKUP($E54,RLS!$C$37:$BK$41,MATCH(AS$2,RLS!$C$25:$BK$25,0),FALSE))-AS53-AS55-AS56</f>
        <v>0</v>
      </c>
      <c r="AT54">
        <f>(VLOOKUP($E54,RLS!$C$37:$BK$41,MATCH(AT$2,RLS!$C$25:$BK$25,0),FALSE))-AT53-AT55-AT56</f>
        <v>0</v>
      </c>
      <c r="AU54">
        <f>(VLOOKUP($E54,RLS!$C$37:$BK$41,MATCH(AU$2,RLS!$C$25:$BK$25,0),FALSE))-AU53-AU55-AU56</f>
        <v>0</v>
      </c>
      <c r="AV54">
        <f>(VLOOKUP($E54,RLS!$C$37:$BK$41,MATCH(AV$2,RLS!$C$25:$BK$25,0),FALSE))-AV53-AV55-AV56</f>
        <v>0</v>
      </c>
      <c r="AW54">
        <f>(VLOOKUP($E54,RLS!$C$37:$BK$41,MATCH(AW$2,RLS!$C$25:$BK$25,0),FALSE))-AW53-AW55-AW56</f>
        <v>0</v>
      </c>
      <c r="AX54">
        <f>(VLOOKUP($E54,RLS!$C$37:$BK$41,MATCH(AX$2,RLS!$C$25:$BK$25,0),FALSE))-AX53-AX55-AX56</f>
        <v>0</v>
      </c>
      <c r="AY54">
        <f>(VLOOKUP($E54,RLS!$C$37:$BK$41,MATCH(AY$2,RLS!$C$25:$BK$25,0),FALSE))-AY53-AY55-AY56</f>
        <v>0</v>
      </c>
      <c r="AZ54">
        <f>(VLOOKUP($E54,RLS!$C$37:$BK$41,MATCH(AZ$2,RLS!$C$25:$BK$25,0),FALSE))-AZ53-AZ55-AZ56</f>
        <v>0</v>
      </c>
      <c r="BA54">
        <f>(VLOOKUP($E54,RLS!$C$37:$BK$41,MATCH(BA$2,RLS!$C$25:$BK$25,0),FALSE))-BA53-BA55-BA56</f>
        <v>0</v>
      </c>
      <c r="BB54">
        <f>(VLOOKUP($E54,RLS!$C$37:$BK$41,MATCH(BB$2,RLS!$C$25:$BK$25,0),FALSE))-BB53-BB55-BB56</f>
        <v>0</v>
      </c>
      <c r="BC54">
        <f>(VLOOKUP($E54,RLS!$C$37:$BK$41,MATCH(BC$2,RLS!$C$25:$BK$25,0),FALSE))-BC53-BC55-BC56</f>
        <v>0</v>
      </c>
      <c r="BD54">
        <f>(VLOOKUP($E54,RLS!$C$37:$BK$41,MATCH(BD$2,RLS!$C$25:$BK$25,0),FALSE))-BD53-BD55-BD56</f>
        <v>0</v>
      </c>
      <c r="BE54">
        <f>(VLOOKUP($E54,RLS!$C$37:$BK$41,MATCH(BE$2,RLS!$C$25:$BK$25,0),FALSE))-BE53-BE55-BE56</f>
        <v>0</v>
      </c>
      <c r="BF54">
        <f>(VLOOKUP($E54,RLS!$C$37:$BK$41,MATCH(BF$2,RLS!$C$25:$BK$25,0),FALSE))-BF53-BF55-BF56</f>
        <v>0</v>
      </c>
      <c r="BG54">
        <f>(VLOOKUP($E54,RLS!$C$37:$BK$41,MATCH(BG$2,RLS!$C$25:$BK$25,0),FALSE))-BG53-BG55-BG56</f>
        <v>0</v>
      </c>
      <c r="BH54">
        <f>(VLOOKUP($E54,RLS!$C$37:$BK$41,MATCH(BH$2,RLS!$C$25:$BK$25,0),FALSE))-BH53-BH55-BH56</f>
        <v>0</v>
      </c>
      <c r="BI54">
        <f>(VLOOKUP($E54,RLS!$C$37:$BK$41,MATCH(BI$2,RLS!$C$25:$BK$25,0),FALSE))-BI53-BI55-BI56</f>
        <v>0</v>
      </c>
      <c r="BJ54">
        <f>(VLOOKUP($E54,RLS!$C$37:$BK$41,MATCH(BJ$2,RLS!$C$25:$BK$25,0),FALSE))-BJ53-BJ55-BJ56</f>
        <v>0</v>
      </c>
      <c r="BK54">
        <f>(VLOOKUP($E54,RLS!$C$37:$BK$41,MATCH(BK$2,RLS!$C$25:$BK$25,0),FALSE))-BK53-BK55-BK56</f>
        <v>0</v>
      </c>
      <c r="BL54">
        <f>(VLOOKUP($E54,RLS!$C$37:$BK$41,MATCH(BL$2,RLS!$C$25:$BK$25,0),FALSE))-BL53-BL55-BL56</f>
        <v>0</v>
      </c>
      <c r="BM54">
        <f>(VLOOKUP($E54,RLS!$C$37:$BK$41,MATCH(BM$2,RLS!$C$25:$BK$25,0),FALSE))-BM53-BM55-BM56</f>
        <v>0</v>
      </c>
      <c r="BN54">
        <f>(VLOOKUP($E54,RLS!$C$37:$BK$41,MATCH(BN$2,RLS!$C$25:$BK$25,0),FALSE))-BN53-BN55-BN56</f>
        <v>0</v>
      </c>
    </row>
    <row r="55" spans="1:66" hidden="1" x14ac:dyDescent="0.35">
      <c r="A55" t="s">
        <v>72</v>
      </c>
      <c r="B55" t="s">
        <v>81</v>
      </c>
      <c r="D55" t="s">
        <v>84</v>
      </c>
      <c r="E55" t="str">
        <f t="shared" si="1"/>
        <v>TesterOnsite-Landed</v>
      </c>
      <c r="F55" t="s">
        <v>70</v>
      </c>
      <c r="G55" s="14">
        <f>ROUND((VLOOKUP($E55,RLS!$C$37:$BK$41,MATCH(G$2,RLS!$C$25:$BK$25,0),FALSE))*'Unit Distribution'!$B$4,0)</f>
        <v>0</v>
      </c>
      <c r="H55" s="14">
        <f>ROUND((VLOOKUP($E55,RLS!$C$37:$BK$41,MATCH(H$2,RLS!$C$25:$BK$25,0),FALSE))*'Unit Distribution'!$B$4,0)</f>
        <v>0</v>
      </c>
      <c r="I55" s="14">
        <f>ROUND((VLOOKUP($E55,RLS!$C$37:$BK$41,MATCH(I$2,RLS!$C$25:$BK$25,0),FALSE))*'Unit Distribution'!$B$4,0)</f>
        <v>0</v>
      </c>
      <c r="J55" s="14">
        <f>ROUND((VLOOKUP($E55,RLS!$C$37:$BK$41,MATCH(J$2,RLS!$C$25:$BK$25,0),FALSE))*'Unit Distribution'!$B$4,0)</f>
        <v>0</v>
      </c>
      <c r="K55" s="14">
        <f>ROUND((VLOOKUP($E55,RLS!$C$37:$BK$41,MATCH(K$2,RLS!$C$25:$BK$25,0),FALSE))*'Unit Distribution'!$B$4,0)</f>
        <v>0</v>
      </c>
      <c r="L55" s="14">
        <f>ROUND((VLOOKUP($E55,RLS!$C$37:$BK$41,MATCH(L$2,RLS!$C$25:$BK$25,0),FALSE))*'Unit Distribution'!$B$4,0)</f>
        <v>0</v>
      </c>
      <c r="M55" s="14">
        <f>ROUND((VLOOKUP($E55,RLS!$C$37:$BK$41,MATCH(M$2,RLS!$C$25:$BK$25,0),FALSE))*'Unit Distribution'!$B$4,0)</f>
        <v>0</v>
      </c>
      <c r="N55" s="14">
        <f>ROUND((VLOOKUP($E55,RLS!$C$37:$BK$41,MATCH(N$2,RLS!$C$25:$BK$25,0),FALSE))*'Unit Distribution'!$B$4,0)</f>
        <v>0</v>
      </c>
      <c r="O55" s="14">
        <f>ROUND((VLOOKUP($E55,RLS!$C$37:$BK$41,MATCH(O$2,RLS!$C$25:$BK$25,0),FALSE))*'Unit Distribution'!$B$4,0)</f>
        <v>0</v>
      </c>
      <c r="P55" s="14">
        <f>ROUND((VLOOKUP($E55,RLS!$C$37:$BK$41,MATCH(P$2,RLS!$C$25:$BK$25,0),FALSE))*'Unit Distribution'!$B$4,0)</f>
        <v>0</v>
      </c>
      <c r="Q55" s="14">
        <f>ROUND((VLOOKUP($E55,RLS!$C$37:$BK$41,MATCH(Q$2,RLS!$C$25:$BK$25,0),FALSE))*'Unit Distribution'!$B$4,0)</f>
        <v>0</v>
      </c>
      <c r="R55" s="14">
        <f>ROUND((VLOOKUP($E55,RLS!$C$37:$BK$41,MATCH(R$2,RLS!$C$25:$BK$25,0),FALSE))*'Unit Distribution'!$B$4,0)</f>
        <v>0</v>
      </c>
      <c r="S55" s="14">
        <f>ROUND((VLOOKUP($E55,RLS!$C$37:$BK$41,MATCH(S$2,RLS!$C$25:$BK$25,0),FALSE))*'Unit Distribution'!$C$4,0)</f>
        <v>0</v>
      </c>
      <c r="T55" s="14">
        <f>ROUND((VLOOKUP($E55,RLS!$C$37:$BK$41,MATCH(T$2,RLS!$C$25:$BK$25,0),FALSE))*'Unit Distribution'!$C$4,0)</f>
        <v>0</v>
      </c>
      <c r="U55" s="14">
        <f>ROUND((VLOOKUP($E55,RLS!$C$37:$BK$41,MATCH(U$2,RLS!$C$25:$BK$25,0),FALSE))*'Unit Distribution'!$C$4,0)</f>
        <v>0</v>
      </c>
      <c r="V55" s="14">
        <f>ROUND((VLOOKUP($E55,RLS!$C$37:$BK$41,MATCH(V$2,RLS!$C$25:$BK$25,0),FALSE))*'Unit Distribution'!$C$4,0)</f>
        <v>0</v>
      </c>
      <c r="W55" s="14">
        <f>ROUND((VLOOKUP($E55,RLS!$C$37:$BK$41,MATCH(W$2,RLS!$C$25:$BK$25,0),FALSE))*'Unit Distribution'!$C$4,0)</f>
        <v>0</v>
      </c>
      <c r="X55" s="14">
        <f>ROUND((VLOOKUP($E55,RLS!$C$37:$BK$41,MATCH(X$2,RLS!$C$25:$BK$25,0),FALSE))*'Unit Distribution'!$C$4,0)</f>
        <v>0</v>
      </c>
      <c r="Y55" s="14">
        <f>ROUND((VLOOKUP($E55,RLS!$C$37:$BK$41,MATCH(Y$2,RLS!$C$25:$BK$25,0),FALSE))*'Unit Distribution'!$C$4,0)</f>
        <v>0</v>
      </c>
      <c r="Z55" s="14">
        <f>ROUND((VLOOKUP($E55,RLS!$C$37:$BK$41,MATCH(Z$2,RLS!$C$25:$BK$25,0),FALSE))*'Unit Distribution'!$C$4,0)</f>
        <v>0</v>
      </c>
      <c r="AA55" s="14">
        <f>ROUND((VLOOKUP($E55,RLS!$C$37:$BK$41,MATCH(AA$2,RLS!$C$25:$BK$25,0),FALSE))*'Unit Distribution'!$C$4,0)</f>
        <v>0</v>
      </c>
      <c r="AB55" s="14">
        <f>ROUND((VLOOKUP($E55,RLS!$C$37:$BK$41,MATCH(AB$2,RLS!$C$25:$BK$25,0),FALSE))*'Unit Distribution'!$C$4,0)</f>
        <v>0</v>
      </c>
      <c r="AC55" s="14">
        <f>ROUND((VLOOKUP($E55,RLS!$C$37:$BK$41,MATCH(AC$2,RLS!$C$25:$BK$25,0),FALSE))*'Unit Distribution'!$C$4,0)</f>
        <v>0</v>
      </c>
      <c r="AD55" s="14">
        <f>ROUND((VLOOKUP($E55,RLS!$C$37:$BK$41,MATCH(AD$2,RLS!$C$25:$BK$25,0),FALSE))*'Unit Distribution'!$C$4,0)</f>
        <v>0</v>
      </c>
      <c r="AE55" s="14">
        <f>ROUND((VLOOKUP($E55,RLS!$C$37:$BK$41,MATCH(AE$2,RLS!$C$25:$BK$25,0),FALSE))*'Unit Distribution'!$D$4,0)</f>
        <v>0</v>
      </c>
      <c r="AF55" s="14">
        <f>ROUND((VLOOKUP($E55,RLS!$C$37:$BK$41,MATCH(AF$2,RLS!$C$25:$BK$25,0),FALSE))*'Unit Distribution'!$D$4,0)</f>
        <v>0</v>
      </c>
      <c r="AG55" s="14">
        <f>ROUND((VLOOKUP($E55,RLS!$C$37:$BK$41,MATCH(AG$2,RLS!$C$25:$BK$25,0),FALSE))*'Unit Distribution'!$D$4,0)</f>
        <v>0</v>
      </c>
      <c r="AH55" s="14">
        <f>ROUND((VLOOKUP($E55,RLS!$C$37:$BK$41,MATCH(AH$2,RLS!$C$25:$BK$25,0),FALSE))*'Unit Distribution'!$D$4,0)</f>
        <v>0</v>
      </c>
      <c r="AI55" s="14">
        <f>ROUND((VLOOKUP($E55,RLS!$C$37:$BK$41,MATCH(AI$2,RLS!$C$25:$BK$25,0),FALSE))*'Unit Distribution'!$D$4,0)</f>
        <v>0</v>
      </c>
      <c r="AJ55" s="14">
        <f>ROUND((VLOOKUP($E55,RLS!$C$37:$BK$41,MATCH(AJ$2,RLS!$C$25:$BK$25,0),FALSE))*'Unit Distribution'!$D$4,0)</f>
        <v>0</v>
      </c>
      <c r="AK55" s="14">
        <f>ROUND((VLOOKUP($E55,RLS!$C$37:$BK$41,MATCH(AK$2,RLS!$C$25:$BK$25,0),FALSE))*'Unit Distribution'!$D$4,0)</f>
        <v>0</v>
      </c>
      <c r="AL55" s="14">
        <f>ROUND((VLOOKUP($E55,RLS!$C$37:$BK$41,MATCH(AL$2,RLS!$C$25:$BK$25,0),FALSE))*'Unit Distribution'!$D$4,0)</f>
        <v>0</v>
      </c>
      <c r="AM55" s="14">
        <f>ROUND((VLOOKUP($E55,RLS!$C$37:$BK$41,MATCH(AM$2,RLS!$C$25:$BK$25,0),FALSE))*'Unit Distribution'!$D$4,0)</f>
        <v>0</v>
      </c>
      <c r="AN55" s="14">
        <f>ROUND((VLOOKUP($E55,RLS!$C$37:$BK$41,MATCH(AN$2,RLS!$C$25:$BK$25,0),FALSE))*'Unit Distribution'!$D$4,0)</f>
        <v>0</v>
      </c>
      <c r="AO55" s="14">
        <f>ROUND((VLOOKUP($E55,RLS!$C$37:$BK$41,MATCH(AO$2,RLS!$C$25:$BK$25,0),FALSE))*'Unit Distribution'!$D$4,0)</f>
        <v>0</v>
      </c>
      <c r="AP55" s="14">
        <f>ROUND((VLOOKUP($E55,RLS!$C$37:$BK$41,MATCH(AP$2,RLS!$C$25:$BK$25,0),FALSE))*'Unit Distribution'!$D$4,0)</f>
        <v>0</v>
      </c>
      <c r="AQ55">
        <f>ROUND((VLOOKUP($E55,RLS!$C$37:$BK$41,MATCH(AQ$2,RLS!$C$25:$BK$25,0),FALSE))*'Unit Distribution'!$E$4,0)</f>
        <v>0</v>
      </c>
      <c r="AR55">
        <f>ROUND((VLOOKUP($E55,RLS!$C$37:$BK$41,MATCH(AR$2,RLS!$C$25:$BK$25,0),FALSE))*'Unit Distribution'!$E$4,0)</f>
        <v>0</v>
      </c>
      <c r="AS55">
        <f>ROUND((VLOOKUP($E55,RLS!$C$37:$BK$41,MATCH(AS$2,RLS!$C$25:$BK$25,0),FALSE))*'Unit Distribution'!$E$4,0)</f>
        <v>0</v>
      </c>
      <c r="AT55">
        <f>ROUND((VLOOKUP($E55,RLS!$C$37:$BK$41,MATCH(AT$2,RLS!$C$25:$BK$25,0),FALSE))*'Unit Distribution'!$E$4,0)</f>
        <v>0</v>
      </c>
      <c r="AU55">
        <f>ROUND((VLOOKUP($E55,RLS!$C$37:$BK$41,MATCH(AU$2,RLS!$C$25:$BK$25,0),FALSE))*'Unit Distribution'!$E$4,0)</f>
        <v>0</v>
      </c>
      <c r="AV55">
        <f>ROUND((VLOOKUP($E55,RLS!$C$37:$BK$41,MATCH(AV$2,RLS!$C$25:$BK$25,0),FALSE))*'Unit Distribution'!$E$4,0)</f>
        <v>0</v>
      </c>
      <c r="AW55">
        <f>ROUND((VLOOKUP($E55,RLS!$C$37:$BK$41,MATCH(AW$2,RLS!$C$25:$BK$25,0),FALSE))*'Unit Distribution'!$E$4,0)</f>
        <v>0</v>
      </c>
      <c r="AX55">
        <f>ROUND((VLOOKUP($E55,RLS!$C$37:$BK$41,MATCH(AX$2,RLS!$C$25:$BK$25,0),FALSE))*'Unit Distribution'!$E$4,0)</f>
        <v>0</v>
      </c>
      <c r="AY55">
        <f>ROUND((VLOOKUP($E55,RLS!$C$37:$BK$41,MATCH(AY$2,RLS!$C$25:$BK$25,0),FALSE))*'Unit Distribution'!$E$4,0)</f>
        <v>0</v>
      </c>
      <c r="AZ55">
        <f>ROUND((VLOOKUP($E55,RLS!$C$37:$BK$41,MATCH(AZ$2,RLS!$C$25:$BK$25,0),FALSE))*'Unit Distribution'!$E$4,0)</f>
        <v>0</v>
      </c>
      <c r="BA55">
        <f>ROUND((VLOOKUP($E55,RLS!$C$37:$BK$41,MATCH(BA$2,RLS!$C$25:$BK$25,0),FALSE))*'Unit Distribution'!$E$4,0)</f>
        <v>0</v>
      </c>
      <c r="BB55">
        <f>ROUND((VLOOKUP($E55,RLS!$C$37:$BK$41,MATCH(BB$2,RLS!$C$25:$BK$25,0),FALSE))*'Unit Distribution'!$E$4,0)</f>
        <v>0</v>
      </c>
      <c r="BC55">
        <f>ROUND((VLOOKUP($E55,RLS!$C$37:$BK$41,MATCH(BC$2,RLS!$C$25:$BK$25,0),FALSE))*'Unit Distribution'!$F$4,0)</f>
        <v>0</v>
      </c>
      <c r="BD55">
        <f>ROUND((VLOOKUP($E55,RLS!$C$37:$BK$41,MATCH(BD$2,RLS!$C$25:$BK$25,0),FALSE))*'Unit Distribution'!$F$4,0)</f>
        <v>0</v>
      </c>
      <c r="BE55">
        <f>ROUND((VLOOKUP($E55,RLS!$C$37:$BK$41,MATCH(BE$2,RLS!$C$25:$BK$25,0),FALSE))*'Unit Distribution'!$F$4,0)</f>
        <v>0</v>
      </c>
      <c r="BF55">
        <f>ROUND((VLOOKUP($E55,RLS!$C$37:$BK$41,MATCH(BF$2,RLS!$C$25:$BK$25,0),FALSE))*'Unit Distribution'!$F$4,0)</f>
        <v>0</v>
      </c>
      <c r="BG55">
        <f>ROUND((VLOOKUP($E55,RLS!$C$37:$BK$41,MATCH(BG$2,RLS!$C$25:$BK$25,0),FALSE))*'Unit Distribution'!$F$4,0)</f>
        <v>0</v>
      </c>
      <c r="BH55">
        <f>ROUND((VLOOKUP($E55,RLS!$C$37:$BK$41,MATCH(BH$2,RLS!$C$25:$BK$25,0),FALSE))*'Unit Distribution'!$F$4,0)</f>
        <v>0</v>
      </c>
      <c r="BI55">
        <f>ROUND((VLOOKUP($E55,RLS!$C$37:$BK$41,MATCH(BI$2,RLS!$C$25:$BK$25,0),FALSE))*'Unit Distribution'!$F$4,0)</f>
        <v>0</v>
      </c>
      <c r="BJ55">
        <f>ROUND((VLOOKUP($E55,RLS!$C$37:$BK$41,MATCH(BJ$2,RLS!$C$25:$BK$25,0),FALSE))*'Unit Distribution'!$F$4,0)</f>
        <v>0</v>
      </c>
      <c r="BK55">
        <f>ROUND((VLOOKUP($E55,RLS!$C$37:$BK$41,MATCH(BK$2,RLS!$C$25:$BK$25,0),FALSE))*'Unit Distribution'!$F$4,0)</f>
        <v>0</v>
      </c>
      <c r="BL55">
        <f>ROUND((VLOOKUP($E55,RLS!$C$37:$BK$41,MATCH(BL$2,RLS!$C$25:$BK$25,0),FALSE))*'Unit Distribution'!$F$4,0)</f>
        <v>0</v>
      </c>
      <c r="BM55">
        <f>ROUND((VLOOKUP($E55,RLS!$C$37:$BK$41,MATCH(BM$2,RLS!$C$25:$BK$25,0),FALSE))*'Unit Distribution'!$F$4,0)</f>
        <v>0</v>
      </c>
      <c r="BN55">
        <f>ROUND((VLOOKUP($E55,RLS!$C$37:$BK$41,MATCH(BN$2,RLS!$C$25:$BK$25,0),FALSE))*'Unit Distribution'!$F$4,0)</f>
        <v>0</v>
      </c>
    </row>
    <row r="56" spans="1:66" hidden="1" x14ac:dyDescent="0.35">
      <c r="A56" t="s">
        <v>72</v>
      </c>
      <c r="B56" t="s">
        <v>81</v>
      </c>
      <c r="D56" t="s">
        <v>84</v>
      </c>
      <c r="E56" t="str">
        <f t="shared" si="1"/>
        <v>TesterOnsite-Landed</v>
      </c>
      <c r="F56" t="s">
        <v>70</v>
      </c>
      <c r="G56" s="14">
        <f>(VLOOKUP($E56,RLS!$C$37:$BK$41,MATCH(G$2,RLS!$C$25:$BK$25,0),FALSE))-G53-G54-G55</f>
        <v>0</v>
      </c>
      <c r="H56" s="14">
        <f>(VLOOKUP($E56,RLS!$C$37:$BK$41,MATCH(H$2,RLS!$C$25:$BK$25,0),FALSE))-H53-H54-H55</f>
        <v>0</v>
      </c>
      <c r="I56" s="14">
        <f>(VLOOKUP($E56,RLS!$C$37:$BK$41,MATCH(I$2,RLS!$C$25:$BK$25,0),FALSE))-I53-I54-I55</f>
        <v>0</v>
      </c>
      <c r="J56" s="14">
        <f>(VLOOKUP($E56,RLS!$C$37:$BK$41,MATCH(J$2,RLS!$C$25:$BK$25,0),FALSE))-J53-J54-J55</f>
        <v>0</v>
      </c>
      <c r="K56" s="14">
        <f>(VLOOKUP($E56,RLS!$C$37:$BK$41,MATCH(K$2,RLS!$C$25:$BK$25,0),FALSE))-K53-K54-K55</f>
        <v>0</v>
      </c>
      <c r="L56" s="14">
        <f>(VLOOKUP($E56,RLS!$C$37:$BK$41,MATCH(L$2,RLS!$C$25:$BK$25,0),FALSE))-L53-L54-L55</f>
        <v>0</v>
      </c>
      <c r="M56" s="14">
        <f>(VLOOKUP($E56,RLS!$C$37:$BK$41,MATCH(M$2,RLS!$C$25:$BK$25,0),FALSE))-M53-M54-M55</f>
        <v>0</v>
      </c>
      <c r="N56" s="14">
        <f>(VLOOKUP($E56,RLS!$C$37:$BK$41,MATCH(N$2,RLS!$C$25:$BK$25,0),FALSE))-N53-N54-N55</f>
        <v>0</v>
      </c>
      <c r="O56" s="14">
        <f>(VLOOKUP($E56,RLS!$C$37:$BK$41,MATCH(O$2,RLS!$C$25:$BK$25,0),FALSE))-O53-O54-O55</f>
        <v>0</v>
      </c>
      <c r="P56" s="14">
        <f>(VLOOKUP($E56,RLS!$C$37:$BK$41,MATCH(P$2,RLS!$C$25:$BK$25,0),FALSE))-P53-P54-P55</f>
        <v>0</v>
      </c>
      <c r="Q56" s="14">
        <f>(VLOOKUP($E56,RLS!$C$37:$BK$41,MATCH(Q$2,RLS!$C$25:$BK$25,0),FALSE))-Q53-Q54-Q55</f>
        <v>0</v>
      </c>
      <c r="R56" s="14">
        <f>(VLOOKUP($E56,RLS!$C$37:$BK$41,MATCH(R$2,RLS!$C$25:$BK$25,0),FALSE))-R53-R54-R55</f>
        <v>0</v>
      </c>
      <c r="S56" s="14">
        <f>(VLOOKUP($E56,RLS!$C$37:$BK$41,MATCH(S$2,RLS!$C$25:$BK$25,0),FALSE))-S53-S54-S55</f>
        <v>0</v>
      </c>
      <c r="T56" s="14">
        <f>(VLOOKUP($E56,RLS!$C$37:$BK$41,MATCH(T$2,RLS!$C$25:$BK$25,0),FALSE))-T53-T54-T55</f>
        <v>0</v>
      </c>
      <c r="U56" s="14">
        <f>(VLOOKUP($E56,RLS!$C$37:$BK$41,MATCH(U$2,RLS!$C$25:$BK$25,0),FALSE))-U53-U54-U55</f>
        <v>0</v>
      </c>
      <c r="V56" s="14">
        <f>(VLOOKUP($E56,RLS!$C$37:$BK$41,MATCH(V$2,RLS!$C$25:$BK$25,0),FALSE))-V53-V54-V55</f>
        <v>0</v>
      </c>
      <c r="W56" s="14">
        <f>(VLOOKUP($E56,RLS!$C$37:$BK$41,MATCH(W$2,RLS!$C$25:$BK$25,0),FALSE))-W53-W54-W55</f>
        <v>0</v>
      </c>
      <c r="X56" s="14">
        <f>(VLOOKUP($E56,RLS!$C$37:$BK$41,MATCH(X$2,RLS!$C$25:$BK$25,0),FALSE))-X53-X54-X55</f>
        <v>0</v>
      </c>
      <c r="Y56" s="14">
        <f>(VLOOKUP($E56,RLS!$C$37:$BK$41,MATCH(Y$2,RLS!$C$25:$BK$25,0),FALSE))-Y53-Y54-Y55</f>
        <v>0</v>
      </c>
      <c r="Z56" s="14">
        <f>(VLOOKUP($E56,RLS!$C$37:$BK$41,MATCH(Z$2,RLS!$C$25:$BK$25,0),FALSE))-Z53-Z54-Z55</f>
        <v>0</v>
      </c>
      <c r="AA56" s="14">
        <f>(VLOOKUP($E56,RLS!$C$37:$BK$41,MATCH(AA$2,RLS!$C$25:$BK$25,0),FALSE))-AA53-AA54-AA55</f>
        <v>0</v>
      </c>
      <c r="AB56" s="14">
        <f>(VLOOKUP($E56,RLS!$C$37:$BK$41,MATCH(AB$2,RLS!$C$25:$BK$25,0),FALSE))-AB53-AB54-AB55</f>
        <v>0</v>
      </c>
      <c r="AC56" s="14">
        <f>(VLOOKUP($E56,RLS!$C$37:$BK$41,MATCH(AC$2,RLS!$C$25:$BK$25,0),FALSE))-AC53-AC54-AC55</f>
        <v>0</v>
      </c>
      <c r="AD56" s="14">
        <f>(VLOOKUP($E56,RLS!$C$37:$BK$41,MATCH(AD$2,RLS!$C$25:$BK$25,0),FALSE))-AD53-AD54-AD55</f>
        <v>0</v>
      </c>
      <c r="AE56" s="14">
        <f>(VLOOKUP($E56,RLS!$C$37:$BK$41,MATCH(AE$2,RLS!$C$25:$BK$25,0),FALSE))-AE53-AE54-AE55</f>
        <v>0</v>
      </c>
      <c r="AF56" s="14">
        <f>(VLOOKUP($E56,RLS!$C$37:$BK$41,MATCH(AF$2,RLS!$C$25:$BK$25,0),FALSE))-AF53-AF54-AF55</f>
        <v>0</v>
      </c>
      <c r="AG56" s="14">
        <f>(VLOOKUP($E56,RLS!$C$37:$BK$41,MATCH(AG$2,RLS!$C$25:$BK$25,0),FALSE))-AG53-AG54-AG55</f>
        <v>0</v>
      </c>
      <c r="AH56" s="14">
        <f>(VLOOKUP($E56,RLS!$C$37:$BK$41,MATCH(AH$2,RLS!$C$25:$BK$25,0),FALSE))-AH53-AH54-AH55</f>
        <v>0</v>
      </c>
      <c r="AI56" s="14">
        <f>(VLOOKUP($E56,RLS!$C$37:$BK$41,MATCH(AI$2,RLS!$C$25:$BK$25,0),FALSE))-AI53-AI54-AI55</f>
        <v>0</v>
      </c>
      <c r="AJ56" s="14">
        <f>(VLOOKUP($E56,RLS!$C$37:$BK$41,MATCH(AJ$2,RLS!$C$25:$BK$25,0),FALSE))-AJ53-AJ54-AJ55</f>
        <v>0</v>
      </c>
      <c r="AK56" s="14">
        <f>(VLOOKUP($E56,RLS!$C$37:$BK$41,MATCH(AK$2,RLS!$C$25:$BK$25,0),FALSE))-AK53-AK54-AK55</f>
        <v>0</v>
      </c>
      <c r="AL56" s="14">
        <f>(VLOOKUP($E56,RLS!$C$37:$BK$41,MATCH(AL$2,RLS!$C$25:$BK$25,0),FALSE))-AL53-AL54-AL55</f>
        <v>0</v>
      </c>
      <c r="AM56" s="14">
        <f>(VLOOKUP($E56,RLS!$C$37:$BK$41,MATCH(AM$2,RLS!$C$25:$BK$25,0),FALSE))-AM53-AM54-AM55</f>
        <v>0</v>
      </c>
      <c r="AN56" s="14">
        <f>(VLOOKUP($E56,RLS!$C$37:$BK$41,MATCH(AN$2,RLS!$C$25:$BK$25,0),FALSE))-AN53-AN54-AN55</f>
        <v>0</v>
      </c>
      <c r="AO56" s="14">
        <f>(VLOOKUP($E56,RLS!$C$37:$BK$41,MATCH(AO$2,RLS!$C$25:$BK$25,0),FALSE))-AO53-AO54-AO55</f>
        <v>0</v>
      </c>
      <c r="AP56" s="14">
        <f>(VLOOKUP($E56,RLS!$C$37:$BK$41,MATCH(AP$2,RLS!$C$25:$BK$25,0),FALSE))-AP53-AP54-AP55</f>
        <v>0</v>
      </c>
      <c r="AQ56">
        <f>ROUND((VLOOKUP($E56,RLS!$C$37:$BK$41,MATCH(AQ$2,RLS!$C$25:$BK$25,0),FALSE))*'Unit Distribution'!$E$5,0)</f>
        <v>0</v>
      </c>
      <c r="AR56">
        <f>ROUND((VLOOKUP($E56,RLS!$C$37:$BK$41,MATCH(AR$2,RLS!$C$25:$BK$25,0),FALSE))*'Unit Distribution'!$E$5,0)</f>
        <v>0</v>
      </c>
      <c r="AS56">
        <f>ROUND((VLOOKUP($E56,RLS!$C$37:$BK$41,MATCH(AS$2,RLS!$C$25:$BK$25,0),FALSE))*'Unit Distribution'!$E$5,0)</f>
        <v>0</v>
      </c>
      <c r="AT56">
        <f>ROUND((VLOOKUP($E56,RLS!$C$37:$BK$41,MATCH(AT$2,RLS!$C$25:$BK$25,0),FALSE))*'Unit Distribution'!$E$5,0)</f>
        <v>0</v>
      </c>
      <c r="AU56">
        <f>ROUND((VLOOKUP($E56,RLS!$C$37:$BK$41,MATCH(AU$2,RLS!$C$25:$BK$25,0),FALSE))*'Unit Distribution'!$E$5,0)</f>
        <v>0</v>
      </c>
      <c r="AV56">
        <f>ROUND((VLOOKUP($E56,RLS!$C$37:$BK$41,MATCH(AV$2,RLS!$C$25:$BK$25,0),FALSE))*'Unit Distribution'!$E$5,0)</f>
        <v>0</v>
      </c>
      <c r="AW56">
        <f>ROUND((VLOOKUP($E56,RLS!$C$37:$BK$41,MATCH(AW$2,RLS!$C$25:$BK$25,0),FALSE))*'Unit Distribution'!$E$5,0)</f>
        <v>0</v>
      </c>
      <c r="AX56">
        <f>ROUND((VLOOKUP($E56,RLS!$C$37:$BK$41,MATCH(AX$2,RLS!$C$25:$BK$25,0),FALSE))*'Unit Distribution'!$E$5,0)</f>
        <v>0</v>
      </c>
      <c r="AY56">
        <f>ROUND((VLOOKUP($E56,RLS!$C$37:$BK$41,MATCH(AY$2,RLS!$C$25:$BK$25,0),FALSE))*'Unit Distribution'!$E$5,0)</f>
        <v>0</v>
      </c>
      <c r="AZ56">
        <f>ROUND((VLOOKUP($E56,RLS!$C$37:$BK$41,MATCH(AZ$2,RLS!$C$25:$BK$25,0),FALSE))*'Unit Distribution'!$E$5,0)</f>
        <v>0</v>
      </c>
      <c r="BA56">
        <f>ROUND((VLOOKUP($E56,RLS!$C$37:$BK$41,MATCH(BA$2,RLS!$C$25:$BK$25,0),FALSE))*'Unit Distribution'!$E$5,0)</f>
        <v>0</v>
      </c>
      <c r="BB56">
        <f>ROUND((VLOOKUP($E56,RLS!$C$37:$BK$41,MATCH(BB$2,RLS!$C$25:$BK$25,0),FALSE))*'Unit Distribution'!$E$5,0)</f>
        <v>0</v>
      </c>
      <c r="BC56">
        <f>ROUND((VLOOKUP($E56,RLS!$C$37:$BK$41,MATCH(BC$2,RLS!$C$25:$BK$25,0),FALSE))*'Unit Distribution'!$F$5,0)</f>
        <v>0</v>
      </c>
      <c r="BD56">
        <f>ROUND((VLOOKUP($E56,RLS!$C$37:$BK$41,MATCH(BD$2,RLS!$C$25:$BK$25,0),FALSE))*'Unit Distribution'!$F$5,0)</f>
        <v>0</v>
      </c>
      <c r="BE56">
        <f>ROUND((VLOOKUP($E56,RLS!$C$37:$BK$41,MATCH(BE$2,RLS!$C$25:$BK$25,0),FALSE))*'Unit Distribution'!$F$5,0)</f>
        <v>0</v>
      </c>
      <c r="BF56">
        <f>ROUND((VLOOKUP($E56,RLS!$C$37:$BK$41,MATCH(BF$2,RLS!$C$25:$BK$25,0),FALSE))*'Unit Distribution'!$F$5,0)</f>
        <v>0</v>
      </c>
      <c r="BG56">
        <f>ROUND((VLOOKUP($E56,RLS!$C$37:$BK$41,MATCH(BG$2,RLS!$C$25:$BK$25,0),FALSE))*'Unit Distribution'!$F$5,0)</f>
        <v>0</v>
      </c>
      <c r="BH56">
        <f>ROUND((VLOOKUP($E56,RLS!$C$37:$BK$41,MATCH(BH$2,RLS!$C$25:$BK$25,0),FALSE))*'Unit Distribution'!$F$5,0)</f>
        <v>0</v>
      </c>
      <c r="BI56">
        <f>ROUND((VLOOKUP($E56,RLS!$C$37:$BK$41,MATCH(BI$2,RLS!$C$25:$BK$25,0),FALSE))*'Unit Distribution'!$F$5,0)</f>
        <v>0</v>
      </c>
      <c r="BJ56">
        <f>ROUND((VLOOKUP($E56,RLS!$C$37:$BK$41,MATCH(BJ$2,RLS!$C$25:$BK$25,0),FALSE))*'Unit Distribution'!$F$5,0)</f>
        <v>0</v>
      </c>
      <c r="BK56">
        <f>ROUND((VLOOKUP($E56,RLS!$C$37:$BK$41,MATCH(BK$2,RLS!$C$25:$BK$25,0),FALSE))*'Unit Distribution'!$F$5,0)</f>
        <v>0</v>
      </c>
      <c r="BL56">
        <f>ROUND((VLOOKUP($E56,RLS!$C$37:$BK$41,MATCH(BL$2,RLS!$C$25:$BK$25,0),FALSE))*'Unit Distribution'!$F$5,0)</f>
        <v>0</v>
      </c>
      <c r="BM56">
        <f>ROUND((VLOOKUP($E56,RLS!$C$37:$BK$41,MATCH(BM$2,RLS!$C$25:$BK$25,0),FALSE))*'Unit Distribution'!$F$5,0)</f>
        <v>0</v>
      </c>
      <c r="BN56">
        <f>ROUND((VLOOKUP($E56,RLS!$C$37:$BK$41,MATCH(BN$2,RLS!$C$25:$BK$25,0),FALSE))*'Unit Distribution'!$F$5,0)</f>
        <v>0</v>
      </c>
    </row>
    <row r="57" spans="1:66" hidden="1" x14ac:dyDescent="0.35">
      <c r="A57" t="s">
        <v>77</v>
      </c>
      <c r="B57" t="s">
        <v>78</v>
      </c>
      <c r="D57" t="s">
        <v>84</v>
      </c>
      <c r="E57" t="str">
        <f t="shared" si="1"/>
        <v>PMOnsite-Landed</v>
      </c>
      <c r="F57" t="s">
        <v>75</v>
      </c>
      <c r="G57" s="14">
        <f>VLOOKUP($E57,RLS!$C$37:$BK$41,MATCH(G$2,RLS!$C$25:$BK$25,0),FALSE)</f>
        <v>0</v>
      </c>
      <c r="H57" s="14">
        <f>VLOOKUP($E57,RLS!$C$37:$BK$41,MATCH(H$2,RLS!$C$25:$BK$25,0),FALSE)</f>
        <v>0</v>
      </c>
      <c r="I57" s="14">
        <f>VLOOKUP($E57,RLS!$C$37:$BK$41,MATCH(I$2,RLS!$C$25:$BK$25,0),FALSE)</f>
        <v>0</v>
      </c>
      <c r="J57" s="14">
        <f>VLOOKUP($E57,RLS!$C$37:$BK$41,MATCH(J$2,RLS!$C$25:$BK$25,0),FALSE)</f>
        <v>0</v>
      </c>
      <c r="K57" s="14">
        <f>VLOOKUP($E57,RLS!$C$37:$BK$41,MATCH(K$2,RLS!$C$25:$BK$25,0),FALSE)</f>
        <v>0</v>
      </c>
      <c r="L57" s="14">
        <f>VLOOKUP($E57,RLS!$C$37:$BK$41,MATCH(L$2,RLS!$C$25:$BK$25,0),FALSE)</f>
        <v>0</v>
      </c>
      <c r="M57" s="14">
        <f>VLOOKUP($E57,RLS!$C$37:$BK$41,MATCH(M$2,RLS!$C$25:$BK$25,0),FALSE)</f>
        <v>0</v>
      </c>
      <c r="N57" s="14">
        <f>VLOOKUP($E57,RLS!$C$37:$BK$41,MATCH(N$2,RLS!$C$25:$BK$25,0),FALSE)</f>
        <v>0</v>
      </c>
      <c r="O57" s="14">
        <f>VLOOKUP($E57,RLS!$C$37:$BK$41,MATCH(O$2,RLS!$C$25:$BK$25,0),FALSE)</f>
        <v>0</v>
      </c>
      <c r="P57" s="14">
        <f>VLOOKUP($E57,RLS!$C$37:$BK$41,MATCH(P$2,RLS!$C$25:$BK$25,0),FALSE)</f>
        <v>0</v>
      </c>
      <c r="Q57" s="14">
        <f>VLOOKUP($E57,RLS!$C$37:$BK$41,MATCH(Q$2,RLS!$C$25:$BK$25,0),FALSE)</f>
        <v>0</v>
      </c>
      <c r="R57" s="14">
        <f>VLOOKUP($E57,RLS!$C$37:$BK$41,MATCH(R$2,RLS!$C$25:$BK$25,0),FALSE)</f>
        <v>0</v>
      </c>
      <c r="S57" s="14">
        <f>VLOOKUP($E57,RLS!$C$37:$BK$41,MATCH(S$2,RLS!$C$25:$BK$25,0),FALSE)</f>
        <v>0</v>
      </c>
      <c r="T57" s="14">
        <f>VLOOKUP($E57,RLS!$C$37:$BK$41,MATCH(T$2,RLS!$C$25:$BK$25,0),FALSE)</f>
        <v>0</v>
      </c>
      <c r="U57" s="14">
        <f>VLOOKUP($E57,RLS!$C$37:$BK$41,MATCH(U$2,RLS!$C$25:$BK$25,0),FALSE)</f>
        <v>0</v>
      </c>
      <c r="V57" s="14">
        <f>VLOOKUP($E57,RLS!$C$37:$BK$41,MATCH(V$2,RLS!$C$25:$BK$25,0),FALSE)</f>
        <v>0</v>
      </c>
      <c r="W57" s="14">
        <f>VLOOKUP($E57,RLS!$C$37:$BK$41,MATCH(W$2,RLS!$C$25:$BK$25,0),FALSE)</f>
        <v>0</v>
      </c>
      <c r="X57" s="14">
        <f>VLOOKUP($E57,RLS!$C$37:$BK$41,MATCH(X$2,RLS!$C$25:$BK$25,0),FALSE)</f>
        <v>0</v>
      </c>
      <c r="Y57" s="14">
        <f>VLOOKUP($E57,RLS!$C$37:$BK$41,MATCH(Y$2,RLS!$C$25:$BK$25,0),FALSE)</f>
        <v>0</v>
      </c>
      <c r="Z57" s="14">
        <f>VLOOKUP($E57,RLS!$C$37:$BK$41,MATCH(Z$2,RLS!$C$25:$BK$25,0),FALSE)</f>
        <v>0</v>
      </c>
      <c r="AA57" s="14">
        <f>VLOOKUP($E57,RLS!$C$37:$BK$41,MATCH(AA$2,RLS!$C$25:$BK$25,0),FALSE)</f>
        <v>0</v>
      </c>
      <c r="AB57" s="14">
        <f>VLOOKUP($E57,RLS!$C$37:$BK$41,MATCH(AB$2,RLS!$C$25:$BK$25,0),FALSE)</f>
        <v>0</v>
      </c>
      <c r="AC57" s="14">
        <f>VLOOKUP($E57,RLS!$C$37:$BK$41,MATCH(AC$2,RLS!$C$25:$BK$25,0),FALSE)</f>
        <v>0</v>
      </c>
      <c r="AD57" s="14">
        <f>VLOOKUP($E57,RLS!$C$37:$BK$41,MATCH(AD$2,RLS!$C$25:$BK$25,0),FALSE)</f>
        <v>0</v>
      </c>
      <c r="AE57" s="14">
        <f>VLOOKUP($E57,RLS!$C$37:$BK$41,MATCH(AE$2,RLS!$C$25:$BK$25,0),FALSE)</f>
        <v>0</v>
      </c>
      <c r="AF57" s="14">
        <f>VLOOKUP($E57,RLS!$C$37:$BK$41,MATCH(AF$2,RLS!$C$25:$BK$25,0),FALSE)</f>
        <v>0</v>
      </c>
      <c r="AG57" s="14">
        <f>VLOOKUP($E57,RLS!$C$37:$BK$41,MATCH(AG$2,RLS!$C$25:$BK$25,0),FALSE)</f>
        <v>0</v>
      </c>
      <c r="AH57" s="14">
        <f>VLOOKUP($E57,RLS!$C$37:$BK$41,MATCH(AH$2,RLS!$C$25:$BK$25,0),FALSE)</f>
        <v>0</v>
      </c>
      <c r="AI57" s="14">
        <f>VLOOKUP($E57,RLS!$C$37:$BK$41,MATCH(AI$2,RLS!$C$25:$BK$25,0),FALSE)</f>
        <v>0</v>
      </c>
      <c r="AJ57" s="14">
        <f>VLOOKUP($E57,RLS!$C$37:$BK$41,MATCH(AJ$2,RLS!$C$25:$BK$25,0),FALSE)</f>
        <v>0</v>
      </c>
      <c r="AK57" s="14">
        <f>VLOOKUP($E57,RLS!$C$37:$BK$41,MATCH(AK$2,RLS!$C$25:$BK$25,0),FALSE)</f>
        <v>0</v>
      </c>
      <c r="AL57" s="14">
        <f>VLOOKUP($E57,RLS!$C$37:$BK$41,MATCH(AL$2,RLS!$C$25:$BK$25,0),FALSE)</f>
        <v>0</v>
      </c>
      <c r="AM57" s="14">
        <f>VLOOKUP($E57,RLS!$C$37:$BK$41,MATCH(AM$2,RLS!$C$25:$BK$25,0),FALSE)</f>
        <v>0</v>
      </c>
      <c r="AN57" s="14">
        <f>VLOOKUP($E57,RLS!$C$37:$BK$41,MATCH(AN$2,RLS!$C$25:$BK$25,0),FALSE)</f>
        <v>0</v>
      </c>
      <c r="AO57" s="14">
        <f>VLOOKUP($E57,RLS!$C$37:$BK$41,MATCH(AO$2,RLS!$C$25:$BK$25,0),FALSE)</f>
        <v>0</v>
      </c>
      <c r="AP57" s="14">
        <f>VLOOKUP($E57,RLS!$C$37:$BK$41,MATCH(AP$2,RLS!$C$25:$BK$25,0),FALSE)</f>
        <v>0</v>
      </c>
      <c r="AQ57">
        <f>VLOOKUP($E57,RLS!$C$37:$BK$41,MATCH(AQ$2,RLS!$C$25:$BK$25,0),FALSE)</f>
        <v>0</v>
      </c>
      <c r="AR57">
        <f>VLOOKUP($E57,RLS!$C$37:$BK$41,MATCH(AR$2,RLS!$C$25:$BK$25,0),FALSE)</f>
        <v>0</v>
      </c>
      <c r="AS57">
        <f>VLOOKUP($E57,RLS!$C$37:$BK$41,MATCH(AS$2,RLS!$C$25:$BK$25,0),FALSE)</f>
        <v>0</v>
      </c>
      <c r="AT57">
        <f>VLOOKUP($E57,RLS!$C$37:$BK$41,MATCH(AT$2,RLS!$C$25:$BK$25,0),FALSE)</f>
        <v>0</v>
      </c>
      <c r="AU57">
        <f>VLOOKUP($E57,RLS!$C$37:$BK$41,MATCH(AU$2,RLS!$C$25:$BK$25,0),FALSE)</f>
        <v>0</v>
      </c>
      <c r="AV57">
        <f>VLOOKUP($E57,RLS!$C$37:$BK$41,MATCH(AV$2,RLS!$C$25:$BK$25,0),FALSE)</f>
        <v>0</v>
      </c>
      <c r="AW57">
        <f>VLOOKUP($E57,RLS!$C$37:$BK$41,MATCH(AW$2,RLS!$C$25:$BK$25,0),FALSE)</f>
        <v>0</v>
      </c>
      <c r="AX57">
        <f>VLOOKUP($E57,RLS!$C$37:$BK$41,MATCH(AX$2,RLS!$C$25:$BK$25,0),FALSE)</f>
        <v>0</v>
      </c>
      <c r="AY57">
        <f>VLOOKUP($E57,RLS!$C$37:$BK$41,MATCH(AY$2,RLS!$C$25:$BK$25,0),FALSE)</f>
        <v>0</v>
      </c>
      <c r="AZ57">
        <f>VLOOKUP($E57,RLS!$C$37:$BK$41,MATCH(AZ$2,RLS!$C$25:$BK$25,0),FALSE)</f>
        <v>0</v>
      </c>
      <c r="BA57">
        <f>VLOOKUP($E57,RLS!$C$37:$BK$41,MATCH(BA$2,RLS!$C$25:$BK$25,0),FALSE)</f>
        <v>0</v>
      </c>
      <c r="BB57">
        <f>VLOOKUP($E57,RLS!$C$37:$BK$41,MATCH(BB$2,RLS!$C$25:$BK$25,0),FALSE)</f>
        <v>0</v>
      </c>
      <c r="BC57">
        <f>VLOOKUP($E57,RLS!$C$37:$BK$41,MATCH(BC$2,RLS!$C$25:$BK$25,0),FALSE)</f>
        <v>0</v>
      </c>
      <c r="BD57">
        <f>VLOOKUP($E57,RLS!$C$37:$BK$41,MATCH(BD$2,RLS!$C$25:$BK$25,0),FALSE)</f>
        <v>0</v>
      </c>
      <c r="BE57">
        <f>VLOOKUP($E57,RLS!$C$37:$BK$41,MATCH(BE$2,RLS!$C$25:$BK$25,0),FALSE)</f>
        <v>0</v>
      </c>
      <c r="BF57">
        <f>VLOOKUP($E57,RLS!$C$37:$BK$41,MATCH(BF$2,RLS!$C$25:$BK$25,0),FALSE)</f>
        <v>0</v>
      </c>
      <c r="BG57">
        <f>VLOOKUP($E57,RLS!$C$37:$BK$41,MATCH(BG$2,RLS!$C$25:$BK$25,0),FALSE)</f>
        <v>0</v>
      </c>
      <c r="BH57">
        <f>VLOOKUP($E57,RLS!$C$37:$BK$41,MATCH(BH$2,RLS!$C$25:$BK$25,0),FALSE)</f>
        <v>0</v>
      </c>
      <c r="BI57">
        <f>VLOOKUP($E57,RLS!$C$37:$BK$41,MATCH(BI$2,RLS!$C$25:$BK$25,0),FALSE)</f>
        <v>0</v>
      </c>
      <c r="BJ57">
        <f>VLOOKUP($E57,RLS!$C$37:$BK$41,MATCH(BJ$2,RLS!$C$25:$BK$25,0),FALSE)</f>
        <v>0</v>
      </c>
      <c r="BK57">
        <f>VLOOKUP($E57,RLS!$C$37:$BK$41,MATCH(BK$2,RLS!$C$25:$BK$25,0),FALSE)</f>
        <v>0</v>
      </c>
      <c r="BL57">
        <f>VLOOKUP($E57,RLS!$C$37:$BK$41,MATCH(BL$2,RLS!$C$25:$BK$25,0),FALSE)</f>
        <v>0</v>
      </c>
      <c r="BM57">
        <f>VLOOKUP($E57,RLS!$C$37:$BK$41,MATCH(BM$2,RLS!$C$25:$BK$25,0),FALSE)</f>
        <v>0</v>
      </c>
      <c r="BN57">
        <f>VLOOKUP($E57,RLS!$C$37:$BK$41,MATCH(BN$2,RLS!$C$25:$BK$25,0),FALSE)</f>
        <v>0</v>
      </c>
    </row>
    <row r="58" spans="1:66" hidden="1" x14ac:dyDescent="0.35">
      <c r="A58" t="s">
        <v>79</v>
      </c>
      <c r="D58" t="s">
        <v>84</v>
      </c>
      <c r="E58" t="str">
        <f t="shared" si="1"/>
        <v>LeadOnsite-Landed</v>
      </c>
      <c r="F58" t="s">
        <v>85</v>
      </c>
      <c r="G58" s="14">
        <f>VLOOKUP($E58,RLS!$C$37:$BK$41,MATCH(G$2,RLS!$C$25:$BK$25,0),FALSE)</f>
        <v>0</v>
      </c>
      <c r="H58" s="14">
        <f>VLOOKUP($E58,RLS!$C$37:$BK$41,MATCH(H$2,RLS!$C$25:$BK$25,0),FALSE)</f>
        <v>0</v>
      </c>
      <c r="I58" s="14">
        <f>VLOOKUP($E58,RLS!$C$37:$BK$41,MATCH(I$2,RLS!$C$25:$BK$25,0),FALSE)</f>
        <v>0</v>
      </c>
      <c r="J58" s="14">
        <f>VLOOKUP($E58,RLS!$C$37:$BK$41,MATCH(J$2,RLS!$C$25:$BK$25,0),FALSE)</f>
        <v>0</v>
      </c>
      <c r="K58" s="14">
        <f>VLOOKUP($E58,RLS!$C$37:$BK$41,MATCH(K$2,RLS!$C$25:$BK$25,0),FALSE)</f>
        <v>0</v>
      </c>
      <c r="L58" s="14">
        <f>VLOOKUP($E58,RLS!$C$37:$BK$41,MATCH(L$2,RLS!$C$25:$BK$25,0),FALSE)</f>
        <v>0</v>
      </c>
      <c r="M58" s="14">
        <f>VLOOKUP($E58,RLS!$C$37:$BK$41,MATCH(M$2,RLS!$C$25:$BK$25,0),FALSE)</f>
        <v>0</v>
      </c>
      <c r="N58" s="14">
        <f>VLOOKUP($E58,RLS!$C$37:$BK$41,MATCH(N$2,RLS!$C$25:$BK$25,0),FALSE)</f>
        <v>0</v>
      </c>
      <c r="O58" s="14">
        <f>VLOOKUP($E58,RLS!$C$37:$BK$41,MATCH(O$2,RLS!$C$25:$BK$25,0),FALSE)</f>
        <v>0</v>
      </c>
      <c r="P58" s="14">
        <f>VLOOKUP($E58,RLS!$C$37:$BK$41,MATCH(P$2,RLS!$C$25:$BK$25,0),FALSE)</f>
        <v>0</v>
      </c>
      <c r="Q58" s="14">
        <f>VLOOKUP($E58,RLS!$C$37:$BK$41,MATCH(Q$2,RLS!$C$25:$BK$25,0),FALSE)</f>
        <v>0</v>
      </c>
      <c r="R58" s="14">
        <f>VLOOKUP($E58,RLS!$C$37:$BK$41,MATCH(R$2,RLS!$C$25:$BK$25,0),FALSE)</f>
        <v>0</v>
      </c>
      <c r="S58" s="14">
        <f>VLOOKUP($E58,RLS!$C$37:$BK$41,MATCH(S$2,RLS!$C$25:$BK$25,0),FALSE)</f>
        <v>0</v>
      </c>
      <c r="T58" s="14">
        <f>VLOOKUP($E58,RLS!$C$37:$BK$41,MATCH(T$2,RLS!$C$25:$BK$25,0),FALSE)</f>
        <v>0</v>
      </c>
      <c r="U58" s="14">
        <f>VLOOKUP($E58,RLS!$C$37:$BK$41,MATCH(U$2,RLS!$C$25:$BK$25,0),FALSE)</f>
        <v>0</v>
      </c>
      <c r="V58" s="14">
        <f>VLOOKUP($E58,RLS!$C$37:$BK$41,MATCH(V$2,RLS!$C$25:$BK$25,0),FALSE)</f>
        <v>0</v>
      </c>
      <c r="W58" s="14">
        <f>VLOOKUP($E58,RLS!$C$37:$BK$41,MATCH(W$2,RLS!$C$25:$BK$25,0),FALSE)</f>
        <v>0</v>
      </c>
      <c r="X58" s="14">
        <f>VLOOKUP($E58,RLS!$C$37:$BK$41,MATCH(X$2,RLS!$C$25:$BK$25,0),FALSE)</f>
        <v>0</v>
      </c>
      <c r="Y58" s="14">
        <f>VLOOKUP($E58,RLS!$C$37:$BK$41,MATCH(Y$2,RLS!$C$25:$BK$25,0),FALSE)</f>
        <v>0</v>
      </c>
      <c r="Z58" s="14">
        <f>VLOOKUP($E58,RLS!$C$37:$BK$41,MATCH(Z$2,RLS!$C$25:$BK$25,0),FALSE)</f>
        <v>0</v>
      </c>
      <c r="AA58" s="14">
        <f>VLOOKUP($E58,RLS!$C$37:$BK$41,MATCH(AA$2,RLS!$C$25:$BK$25,0),FALSE)</f>
        <v>0</v>
      </c>
      <c r="AB58" s="14">
        <f>VLOOKUP($E58,RLS!$C$37:$BK$41,MATCH(AB$2,RLS!$C$25:$BK$25,0),FALSE)</f>
        <v>0</v>
      </c>
      <c r="AC58" s="14">
        <f>VLOOKUP($E58,RLS!$C$37:$BK$41,MATCH(AC$2,RLS!$C$25:$BK$25,0),FALSE)</f>
        <v>0</v>
      </c>
      <c r="AD58" s="14">
        <f>VLOOKUP($E58,RLS!$C$37:$BK$41,MATCH(AD$2,RLS!$C$25:$BK$25,0),FALSE)</f>
        <v>0</v>
      </c>
      <c r="AE58" s="14">
        <f>VLOOKUP($E58,RLS!$C$37:$BK$41,MATCH(AE$2,RLS!$C$25:$BK$25,0),FALSE)</f>
        <v>0</v>
      </c>
      <c r="AF58" s="14">
        <f>VLOOKUP($E58,RLS!$C$37:$BK$41,MATCH(AF$2,RLS!$C$25:$BK$25,0),FALSE)</f>
        <v>0</v>
      </c>
      <c r="AG58" s="14">
        <f>VLOOKUP($E58,RLS!$C$37:$BK$41,MATCH(AG$2,RLS!$C$25:$BK$25,0),FALSE)</f>
        <v>0</v>
      </c>
      <c r="AH58" s="14">
        <f>VLOOKUP($E58,RLS!$C$37:$BK$41,MATCH(AH$2,RLS!$C$25:$BK$25,0),FALSE)</f>
        <v>0</v>
      </c>
      <c r="AI58" s="14">
        <f>VLOOKUP($E58,RLS!$C$37:$BK$41,MATCH(AI$2,RLS!$C$25:$BK$25,0),FALSE)</f>
        <v>0</v>
      </c>
      <c r="AJ58" s="14">
        <f>VLOOKUP($E58,RLS!$C$37:$BK$41,MATCH(AJ$2,RLS!$C$25:$BK$25,0),FALSE)</f>
        <v>0</v>
      </c>
      <c r="AK58" s="14">
        <f>VLOOKUP($E58,RLS!$C$37:$BK$41,MATCH(AK$2,RLS!$C$25:$BK$25,0),FALSE)</f>
        <v>0</v>
      </c>
      <c r="AL58" s="14">
        <f>VLOOKUP($E58,RLS!$C$37:$BK$41,MATCH(AL$2,RLS!$C$25:$BK$25,0),FALSE)</f>
        <v>0</v>
      </c>
      <c r="AM58" s="14">
        <f>VLOOKUP($E58,RLS!$C$37:$BK$41,MATCH(AM$2,RLS!$C$25:$BK$25,0),FALSE)</f>
        <v>0</v>
      </c>
      <c r="AN58" s="14">
        <f>VLOOKUP($E58,RLS!$C$37:$BK$41,MATCH(AN$2,RLS!$C$25:$BK$25,0),FALSE)</f>
        <v>0</v>
      </c>
      <c r="AO58" s="14">
        <f>VLOOKUP($E58,RLS!$C$37:$BK$41,MATCH(AO$2,RLS!$C$25:$BK$25,0),FALSE)</f>
        <v>0</v>
      </c>
      <c r="AP58" s="14">
        <f>VLOOKUP($E58,RLS!$C$37:$BK$41,MATCH(AP$2,RLS!$C$25:$BK$25,0),FALSE)</f>
        <v>0</v>
      </c>
      <c r="AQ58">
        <f>VLOOKUP($E58,RLS!$C$37:$BK$41,MATCH(AQ$2,RLS!$C$25:$BK$25,0),FALSE)</f>
        <v>0</v>
      </c>
      <c r="AR58">
        <f>VLOOKUP($E58,RLS!$C$37:$BK$41,MATCH(AR$2,RLS!$C$25:$BK$25,0),FALSE)</f>
        <v>0</v>
      </c>
      <c r="AS58">
        <f>VLOOKUP($E58,RLS!$C$37:$BK$41,MATCH(AS$2,RLS!$C$25:$BK$25,0),FALSE)</f>
        <v>0</v>
      </c>
      <c r="AT58">
        <f>VLOOKUP($E58,RLS!$C$37:$BK$41,MATCH(AT$2,RLS!$C$25:$BK$25,0),FALSE)</f>
        <v>0</v>
      </c>
      <c r="AU58">
        <f>VLOOKUP($E58,RLS!$C$37:$BK$41,MATCH(AU$2,RLS!$C$25:$BK$25,0),FALSE)</f>
        <v>0</v>
      </c>
      <c r="AV58">
        <f>VLOOKUP($E58,RLS!$C$37:$BK$41,MATCH(AV$2,RLS!$C$25:$BK$25,0),FALSE)</f>
        <v>0</v>
      </c>
      <c r="AW58">
        <f>VLOOKUP($E58,RLS!$C$37:$BK$41,MATCH(AW$2,RLS!$C$25:$BK$25,0),FALSE)</f>
        <v>0</v>
      </c>
      <c r="AX58">
        <f>VLOOKUP($E58,RLS!$C$37:$BK$41,MATCH(AX$2,RLS!$C$25:$BK$25,0),FALSE)</f>
        <v>0</v>
      </c>
      <c r="AY58">
        <f>VLOOKUP($E58,RLS!$C$37:$BK$41,MATCH(AY$2,RLS!$C$25:$BK$25,0),FALSE)</f>
        <v>0</v>
      </c>
      <c r="AZ58">
        <f>VLOOKUP($E58,RLS!$C$37:$BK$41,MATCH(AZ$2,RLS!$C$25:$BK$25,0),FALSE)</f>
        <v>0</v>
      </c>
      <c r="BA58">
        <f>VLOOKUP($E58,RLS!$C$37:$BK$41,MATCH(BA$2,RLS!$C$25:$BK$25,0),FALSE)</f>
        <v>0</v>
      </c>
      <c r="BB58">
        <f>VLOOKUP($E58,RLS!$C$37:$BK$41,MATCH(BB$2,RLS!$C$25:$BK$25,0),FALSE)</f>
        <v>0</v>
      </c>
      <c r="BC58">
        <f>VLOOKUP($E58,RLS!$C$37:$BK$41,MATCH(BC$2,RLS!$C$25:$BK$25,0),FALSE)</f>
        <v>0</v>
      </c>
      <c r="BD58">
        <f>VLOOKUP($E58,RLS!$C$37:$BK$41,MATCH(BD$2,RLS!$C$25:$BK$25,0),FALSE)</f>
        <v>0</v>
      </c>
      <c r="BE58">
        <f>VLOOKUP($E58,RLS!$C$37:$BK$41,MATCH(BE$2,RLS!$C$25:$BK$25,0),FALSE)</f>
        <v>0</v>
      </c>
      <c r="BF58">
        <f>VLOOKUP($E58,RLS!$C$37:$BK$41,MATCH(BF$2,RLS!$C$25:$BK$25,0),FALSE)</f>
        <v>0</v>
      </c>
      <c r="BG58">
        <f>VLOOKUP($E58,RLS!$C$37:$BK$41,MATCH(BG$2,RLS!$C$25:$BK$25,0),FALSE)</f>
        <v>0</v>
      </c>
      <c r="BH58">
        <f>VLOOKUP($E58,RLS!$C$37:$BK$41,MATCH(BH$2,RLS!$C$25:$BK$25,0),FALSE)</f>
        <v>0</v>
      </c>
      <c r="BI58">
        <f>VLOOKUP($E58,RLS!$C$37:$BK$41,MATCH(BI$2,RLS!$C$25:$BK$25,0),FALSE)</f>
        <v>0</v>
      </c>
      <c r="BJ58">
        <f>VLOOKUP($E58,RLS!$C$37:$BK$41,MATCH(BJ$2,RLS!$C$25:$BK$25,0),FALSE)</f>
        <v>0</v>
      </c>
      <c r="BK58">
        <f>VLOOKUP($E58,RLS!$C$37:$BK$41,MATCH(BK$2,RLS!$C$25:$BK$25,0),FALSE)</f>
        <v>0</v>
      </c>
      <c r="BL58">
        <f>VLOOKUP($E58,RLS!$C$37:$BK$41,MATCH(BL$2,RLS!$C$25:$BK$25,0),FALSE)</f>
        <v>0</v>
      </c>
      <c r="BM58">
        <f>VLOOKUP($E58,RLS!$C$37:$BK$41,MATCH(BM$2,RLS!$C$25:$BK$25,0),FALSE)</f>
        <v>0</v>
      </c>
      <c r="BN58">
        <f>VLOOKUP($E58,RLS!$C$37:$BK$41,MATCH(BN$2,RLS!$C$25:$BK$25,0),FALSE)</f>
        <v>0</v>
      </c>
    </row>
    <row r="59" spans="1:66" x14ac:dyDescent="0.35">
      <c r="A59" t="s">
        <v>82</v>
      </c>
      <c r="B59" t="s">
        <v>69</v>
      </c>
      <c r="C59" t="s">
        <v>111</v>
      </c>
      <c r="D59" t="s">
        <v>67</v>
      </c>
      <c r="E59" t="str">
        <f t="shared" si="1"/>
        <v>Test LeadIndia</v>
      </c>
      <c r="F59" t="s">
        <v>75</v>
      </c>
      <c r="G59" s="14">
        <f>IF(VLOOKUP("TesterOnsite",RLS!$C$32:$BK$36,MATCH(G$2,RLS!$C$25:$BK$25,0),FALSE)=0,MIN(1,VLOOKUP("TesterIndia",RLS!$C$26:$BK$31,MATCH(G$2,RLS!$C$25:$BK$25,0),FALSE)),0)</f>
        <v>0</v>
      </c>
      <c r="H59" s="14">
        <f>IF(VLOOKUP("TesterOnsite",RLS!$C$32:$BK$36,MATCH(H$2,RLS!$C$25:$BK$25,0),FALSE)=0,MIN(1,VLOOKUP("TesterIndia",RLS!$C$26:$BK$31,MATCH(H$2,RLS!$C$25:$BK$25,0),FALSE)),0)</f>
        <v>0</v>
      </c>
      <c r="I59" s="14">
        <f>IF(VLOOKUP("TesterOnsite",RLS!$C$32:$BK$36,MATCH(I$2,RLS!$C$25:$BK$25,0),FALSE)=0,MIN(1,VLOOKUP("TesterIndia",RLS!$C$26:$BK$31,MATCH(I$2,RLS!$C$25:$BK$25,0),FALSE)),0)</f>
        <v>0</v>
      </c>
      <c r="J59" s="14">
        <f>IF(VLOOKUP("TesterOnsite",RLS!$C$32:$BK$36,MATCH(J$2,RLS!$C$25:$BK$25,0),FALSE)=0,MIN(1,VLOOKUP("TesterIndia",RLS!$C$26:$BK$31,MATCH(J$2,RLS!$C$25:$BK$25,0),FALSE)),0)</f>
        <v>0</v>
      </c>
      <c r="K59" s="14">
        <f>IF(VLOOKUP("TesterOnsite",RLS!$C$32:$BK$36,MATCH(K$2,RLS!$C$25:$BK$25,0),FALSE)=0,MIN(1,VLOOKUP("TesterIndia",RLS!$C$26:$BK$31,MATCH(K$2,RLS!$C$25:$BK$25,0),FALSE)),0)</f>
        <v>0</v>
      </c>
      <c r="L59" s="14">
        <f>IF(VLOOKUP("TesterOnsite",RLS!$C$32:$BK$36,MATCH(L$2,RLS!$C$25:$BK$25,0),FALSE)=0,MIN(1,VLOOKUP("TesterIndia",RLS!$C$26:$BK$31,MATCH(L$2,RLS!$C$25:$BK$25,0),FALSE)),0)</f>
        <v>0</v>
      </c>
      <c r="M59" s="14">
        <f>IF(VLOOKUP("TesterOnsite",RLS!$C$32:$BK$36,MATCH(M$2,RLS!$C$25:$BK$25,0),FALSE)=0,MIN(1,VLOOKUP("TesterIndia",RLS!$C$26:$BK$31,MATCH(M$2,RLS!$C$25:$BK$25,0),FALSE)),0)</f>
        <v>0</v>
      </c>
      <c r="N59" s="14">
        <f>IF(VLOOKUP("TesterOnsite",RLS!$C$32:$BK$36,MATCH(N$2,RLS!$C$25:$BK$25,0),FALSE)=0,MIN(1,VLOOKUP("TesterIndia",RLS!$C$26:$BK$31,MATCH(N$2,RLS!$C$25:$BK$25,0),FALSE)),0)</f>
        <v>0</v>
      </c>
      <c r="O59" s="14">
        <f>IF(VLOOKUP("TesterOnsite",RLS!$C$32:$BK$36,MATCH(O$2,RLS!$C$25:$BK$25,0),FALSE)=0,MIN(1,VLOOKUP("TesterIndia",RLS!$C$26:$BK$31,MATCH(O$2,RLS!$C$25:$BK$25,0),FALSE)),0)</f>
        <v>0</v>
      </c>
      <c r="P59" s="14">
        <f>IF(VLOOKUP("TesterOnsite",RLS!$C$32:$BK$36,MATCH(P$2,RLS!$C$25:$BK$25,0),FALSE)=0,MIN(1,VLOOKUP("TesterIndia",RLS!$C$26:$BK$31,MATCH(P$2,RLS!$C$25:$BK$25,0),FALSE)),0)</f>
        <v>0</v>
      </c>
      <c r="Q59" s="14">
        <f>IF(VLOOKUP("TesterOnsite",RLS!$C$32:$BK$36,MATCH(Q$2,RLS!$C$25:$BK$25,0),FALSE)=0,MIN(1,VLOOKUP("TesterIndia",RLS!$C$26:$BK$31,MATCH(Q$2,RLS!$C$25:$BK$25,0),FALSE)),0)</f>
        <v>0</v>
      </c>
      <c r="R59" s="14">
        <f>IF(VLOOKUP("TesterOnsite",RLS!$C$32:$BK$36,MATCH(R$2,RLS!$C$25:$BK$25,0),FALSE)=0,MIN(1,VLOOKUP("TesterIndia",RLS!$C$26:$BK$31,MATCH(R$2,RLS!$C$25:$BK$25,0),FALSE)),0)</f>
        <v>0</v>
      </c>
      <c r="S59" s="14">
        <f>IF(VLOOKUP("TesterOnsite",RLS!$C$32:$BK$36,MATCH(S$2,RLS!$C$25:$BK$25,0),FALSE)=0,MIN(1,VLOOKUP("TesterIndia",RLS!$C$26:$BK$31,MATCH(S$2,RLS!$C$25:$BK$25,0),FALSE)),0)</f>
        <v>0</v>
      </c>
      <c r="T59" s="14">
        <f>IF(VLOOKUP("TesterOnsite",RLS!$C$32:$BK$36,MATCH(T$2,RLS!$C$25:$BK$25,0),FALSE)=0,MIN(1,VLOOKUP("TesterIndia",RLS!$C$26:$BK$31,MATCH(T$2,RLS!$C$25:$BK$25,0),FALSE)),0)</f>
        <v>0</v>
      </c>
      <c r="U59" s="14">
        <f>IF(VLOOKUP("TesterOnsite",RLS!$C$32:$BK$36,MATCH(U$2,RLS!$C$25:$BK$25,0),FALSE)=0,MIN(1,VLOOKUP("TesterIndia",RLS!$C$26:$BK$31,MATCH(U$2,RLS!$C$25:$BK$25,0),FALSE)),0)</f>
        <v>0</v>
      </c>
      <c r="V59" s="14">
        <f>IF(VLOOKUP("TesterOnsite",RLS!$C$32:$BK$36,MATCH(V$2,RLS!$C$25:$BK$25,0),FALSE)=0,MIN(1,VLOOKUP("TesterIndia",RLS!$C$26:$BK$31,MATCH(V$2,RLS!$C$25:$BK$25,0),FALSE)),0)</f>
        <v>0</v>
      </c>
      <c r="W59" s="14">
        <f>IF(VLOOKUP("TesterOnsite",RLS!$C$32:$BK$36,MATCH(W$2,RLS!$C$25:$BK$25,0),FALSE)=0,MIN(1,VLOOKUP("TesterIndia",RLS!$C$26:$BK$31,MATCH(W$2,RLS!$C$25:$BK$25,0),FALSE)),0)</f>
        <v>0</v>
      </c>
      <c r="X59" s="14">
        <f>IF(VLOOKUP("TesterOnsite",RLS!$C$32:$BK$36,MATCH(X$2,RLS!$C$25:$BK$25,0),FALSE)=0,MIN(1,VLOOKUP("TesterIndia",RLS!$C$26:$BK$31,MATCH(X$2,RLS!$C$25:$BK$25,0),FALSE)),0)</f>
        <v>0</v>
      </c>
      <c r="Y59" s="14">
        <f>IF(VLOOKUP("TesterOnsite",RLS!$C$32:$BK$36,MATCH(Y$2,RLS!$C$25:$BK$25,0),FALSE)=0,MIN(1,VLOOKUP("TesterIndia",RLS!$C$26:$BK$31,MATCH(Y$2,RLS!$C$25:$BK$25,0),FALSE)),0)</f>
        <v>0</v>
      </c>
      <c r="Z59" s="14">
        <f>IF(VLOOKUP("TesterOnsite",RLS!$C$32:$BK$36,MATCH(Z$2,RLS!$C$25:$BK$25,0),FALSE)=0,MIN(1,VLOOKUP("TesterIndia",RLS!$C$26:$BK$31,MATCH(Z$2,RLS!$C$25:$BK$25,0),FALSE)),0)</f>
        <v>0</v>
      </c>
      <c r="AA59" s="14">
        <f>IF(VLOOKUP("TesterOnsite",RLS!$C$32:$BK$36,MATCH(AA$2,RLS!$C$25:$BK$25,0),FALSE)=0,MIN(1,VLOOKUP("TesterIndia",RLS!$C$26:$BK$31,MATCH(AA$2,RLS!$C$25:$BK$25,0),FALSE)),0)</f>
        <v>0</v>
      </c>
      <c r="AB59" s="14">
        <f>IF(VLOOKUP("TesterOnsite",RLS!$C$32:$BK$36,MATCH(AB$2,RLS!$C$25:$BK$25,0),FALSE)=0,MIN(1,VLOOKUP("TesterIndia",RLS!$C$26:$BK$31,MATCH(AB$2,RLS!$C$25:$BK$25,0),FALSE)),0)</f>
        <v>0</v>
      </c>
      <c r="AC59" s="14">
        <f>IF(VLOOKUP("TesterOnsite",RLS!$C$32:$BK$36,MATCH(AC$2,RLS!$C$25:$BK$25,0),FALSE)=0,MIN(1,VLOOKUP("TesterIndia",RLS!$C$26:$BK$31,MATCH(AC$2,RLS!$C$25:$BK$25,0),FALSE)),0)</f>
        <v>0</v>
      </c>
      <c r="AD59" s="14">
        <f>IF(VLOOKUP("TesterOnsite",RLS!$C$32:$BK$36,MATCH(AD$2,RLS!$C$25:$BK$25,0),FALSE)=0,MIN(1,VLOOKUP("TesterIndia",RLS!$C$26:$BK$31,MATCH(AD$2,RLS!$C$25:$BK$25,0),FALSE)),0)</f>
        <v>0</v>
      </c>
      <c r="AE59" s="14">
        <f>IF(VLOOKUP("TesterOnsite",RLS!$C$32:$BK$36,MATCH(AE$2,RLS!$C$25:$BK$25,0),FALSE)=0,MIN(1,VLOOKUP("TesterIndia",RLS!$C$26:$BK$31,MATCH(AE$2,RLS!$C$25:$BK$25,0),FALSE)),0)</f>
        <v>0</v>
      </c>
      <c r="AF59" s="14">
        <f>IF(VLOOKUP("TesterOnsite",RLS!$C$32:$BK$36,MATCH(AF$2,RLS!$C$25:$BK$25,0),FALSE)=0,MIN(1,VLOOKUP("TesterIndia",RLS!$C$26:$BK$31,MATCH(AF$2,RLS!$C$25:$BK$25,0),FALSE)),0)</f>
        <v>0</v>
      </c>
      <c r="AG59" s="14">
        <f>IF(VLOOKUP("TesterOnsite",RLS!$C$32:$BK$36,MATCH(AG$2,RLS!$C$25:$BK$25,0),FALSE)=0,MIN(1,VLOOKUP("TesterIndia",RLS!$C$26:$BK$31,MATCH(AG$2,RLS!$C$25:$BK$25,0),FALSE)),0)</f>
        <v>0</v>
      </c>
      <c r="AH59" s="14">
        <f>IF(VLOOKUP("TesterOnsite",RLS!$C$32:$BK$36,MATCH(AH$2,RLS!$C$25:$BK$25,0),FALSE)=0,MIN(1,VLOOKUP("TesterIndia",RLS!$C$26:$BK$31,MATCH(AH$2,RLS!$C$25:$BK$25,0),FALSE)),0)</f>
        <v>0</v>
      </c>
      <c r="AI59" s="14">
        <f>IF(VLOOKUP("TesterOnsite",RLS!$C$32:$BK$36,MATCH(AI$2,RLS!$C$25:$BK$25,0),FALSE)=0,MIN(1,VLOOKUP("TesterIndia",RLS!$C$26:$BK$31,MATCH(AI$2,RLS!$C$25:$BK$25,0),FALSE)),0)</f>
        <v>0</v>
      </c>
      <c r="AJ59" s="14">
        <f>IF(VLOOKUP("TesterOnsite",RLS!$C$32:$BK$36,MATCH(AJ$2,RLS!$C$25:$BK$25,0),FALSE)=0,MIN(1,VLOOKUP("TesterIndia",RLS!$C$26:$BK$31,MATCH(AJ$2,RLS!$C$25:$BK$25,0),FALSE)),0)</f>
        <v>0</v>
      </c>
      <c r="AK59" s="14">
        <f>IF(VLOOKUP("TesterOnsite",RLS!$C$32:$BK$36,MATCH(AK$2,RLS!$C$25:$BK$25,0),FALSE)=0,MIN(1,VLOOKUP("TesterIndia",RLS!$C$26:$BK$31,MATCH(AK$2,RLS!$C$25:$BK$25,0),FALSE)),0)</f>
        <v>0</v>
      </c>
      <c r="AL59" s="14">
        <f>IF(VLOOKUP("TesterOnsite",RLS!$C$32:$BK$36,MATCH(AL$2,RLS!$C$25:$BK$25,0),FALSE)=0,MIN(1,VLOOKUP("TesterIndia",RLS!$C$26:$BK$31,MATCH(AL$2,RLS!$C$25:$BK$25,0),FALSE)),0)</f>
        <v>0</v>
      </c>
      <c r="AM59" s="14">
        <f>IF(VLOOKUP("TesterOnsite",RLS!$C$32:$BK$36,MATCH(AM$2,RLS!$C$25:$BK$25,0),FALSE)=0,MIN(1,VLOOKUP("TesterIndia",RLS!$C$26:$BK$31,MATCH(AM$2,RLS!$C$25:$BK$25,0),FALSE)),0)</f>
        <v>0</v>
      </c>
      <c r="AN59" s="14">
        <f>IF(VLOOKUP("TesterOnsite",RLS!$C$32:$BK$36,MATCH(AN$2,RLS!$C$25:$BK$25,0),FALSE)=0,MIN(1,VLOOKUP("TesterIndia",RLS!$C$26:$BK$31,MATCH(AN$2,RLS!$C$25:$BK$25,0),FALSE)),0)</f>
        <v>0</v>
      </c>
      <c r="AO59" s="14">
        <f>IF(VLOOKUP("TesterOnsite",RLS!$C$32:$BK$36,MATCH(AO$2,RLS!$C$25:$BK$25,0),FALSE)=0,MIN(1,VLOOKUP("TesterIndia",RLS!$C$26:$BK$31,MATCH(AO$2,RLS!$C$25:$BK$25,0),FALSE)),0)</f>
        <v>0</v>
      </c>
      <c r="AP59" s="14">
        <f>IF(VLOOKUP("TesterOnsite",RLS!$C$32:$BK$36,MATCH(AP$2,RLS!$C$25:$BK$25,0),FALSE)=0,MIN(1,VLOOKUP("TesterIndia",RLS!$C$26:$BK$31,MATCH(AP$2,RLS!$C$25:$BK$25,0),FALSE)),0)</f>
        <v>0</v>
      </c>
      <c r="AQ59">
        <f>IF(VLOOKUP("TesterOnsite",RLS!$C$32:$BK$36,MATCH(AQ$2,RLS!$C$25:$BK$25,0),FALSE)=0,MIN(1,VLOOKUP("TesterIndia",RLS!$C$26:$BK$31,MATCH(AQ$2,RLS!$C$25:$BK$25,0),FALSE)),0)</f>
        <v>0</v>
      </c>
      <c r="AR59">
        <f>IF(VLOOKUP("TesterOnsite",RLS!$C$32:$BK$36,MATCH(AR$2,RLS!$C$25:$BK$25,0),FALSE)=0,MIN(1,VLOOKUP("TesterIndia",RLS!$C$26:$BK$31,MATCH(AR$2,RLS!$C$25:$BK$25,0),FALSE)),0)</f>
        <v>0</v>
      </c>
      <c r="AS59">
        <f>IF(VLOOKUP("TesterOnsite",RLS!$C$32:$BK$36,MATCH(AS$2,RLS!$C$25:$BK$25,0),FALSE)=0,MIN(1,VLOOKUP("TesterIndia",RLS!$C$26:$BK$31,MATCH(AS$2,RLS!$C$25:$BK$25,0),FALSE)),0)</f>
        <v>0</v>
      </c>
      <c r="AT59">
        <f>IF(VLOOKUP("TesterOnsite",RLS!$C$32:$BK$36,MATCH(AT$2,RLS!$C$25:$BK$25,0),FALSE)=0,MIN(1,VLOOKUP("TesterIndia",RLS!$C$26:$BK$31,MATCH(AT$2,RLS!$C$25:$BK$25,0),FALSE)),0)</f>
        <v>0</v>
      </c>
      <c r="AU59">
        <f>IF(VLOOKUP("TesterOnsite",RLS!$C$32:$BK$36,MATCH(AU$2,RLS!$C$25:$BK$25,0),FALSE)=0,MIN(1,VLOOKUP("TesterIndia",RLS!$C$26:$BK$31,MATCH(AU$2,RLS!$C$25:$BK$25,0),FALSE)),0)</f>
        <v>0</v>
      </c>
      <c r="AV59">
        <f>IF(VLOOKUP("TesterOnsite",RLS!$C$32:$BK$36,MATCH(AV$2,RLS!$C$25:$BK$25,0),FALSE)=0,MIN(1,VLOOKUP("TesterIndia",RLS!$C$26:$BK$31,MATCH(AV$2,RLS!$C$25:$BK$25,0),FALSE)),0)</f>
        <v>0</v>
      </c>
      <c r="AW59">
        <f>IF(VLOOKUP("TesterOnsite",RLS!$C$32:$BK$36,MATCH(AW$2,RLS!$C$25:$BK$25,0),FALSE)=0,MIN(1,VLOOKUP("TesterIndia",RLS!$C$26:$BK$31,MATCH(AW$2,RLS!$C$25:$BK$25,0),FALSE)),0)</f>
        <v>0</v>
      </c>
      <c r="AX59">
        <f>IF(VLOOKUP("TesterOnsite",RLS!$C$32:$BK$36,MATCH(AX$2,RLS!$C$25:$BK$25,0),FALSE)=0,MIN(1,VLOOKUP("TesterIndia",RLS!$C$26:$BK$31,MATCH(AX$2,RLS!$C$25:$BK$25,0),FALSE)),0)</f>
        <v>0</v>
      </c>
      <c r="AY59">
        <f>IF(VLOOKUP("TesterOnsite",RLS!$C$32:$BK$36,MATCH(AY$2,RLS!$C$25:$BK$25,0),FALSE)=0,MIN(1,VLOOKUP("TesterIndia",RLS!$C$26:$BK$31,MATCH(AY$2,RLS!$C$25:$BK$25,0),FALSE)),0)</f>
        <v>0</v>
      </c>
      <c r="AZ59">
        <f>IF(VLOOKUP("TesterOnsite",RLS!$C$32:$BK$36,MATCH(AZ$2,RLS!$C$25:$BK$25,0),FALSE)=0,MIN(1,VLOOKUP("TesterIndia",RLS!$C$26:$BK$31,MATCH(AZ$2,RLS!$C$25:$BK$25,0),FALSE)),0)</f>
        <v>0</v>
      </c>
      <c r="BA59">
        <f>IF(VLOOKUP("TesterOnsite",RLS!$C$32:$BK$36,MATCH(BA$2,RLS!$C$25:$BK$25,0),FALSE)=0,MIN(1,VLOOKUP("TesterIndia",RLS!$C$26:$BK$31,MATCH(BA$2,RLS!$C$25:$BK$25,0),FALSE)),0)</f>
        <v>0</v>
      </c>
      <c r="BB59">
        <f>IF(VLOOKUP("TesterOnsite",RLS!$C$32:$BK$36,MATCH(BB$2,RLS!$C$25:$BK$25,0),FALSE)=0,MIN(1,VLOOKUP("TesterIndia",RLS!$C$26:$BK$31,MATCH(BB$2,RLS!$C$25:$BK$25,0),FALSE)),0)</f>
        <v>0</v>
      </c>
      <c r="BC59">
        <f>IF(VLOOKUP("TesterOnsite",RLS!$C$32:$BK$36,MATCH(BC$2,RLS!$C$25:$BK$25,0),FALSE)=0,MIN(1,VLOOKUP("TesterIndia",RLS!$C$26:$BK$31,MATCH(BC$2,RLS!$C$25:$BK$25,0),FALSE)),0)</f>
        <v>1</v>
      </c>
      <c r="BD59">
        <f>IF(VLOOKUP("TesterOnsite",RLS!$C$32:$BK$36,MATCH(BD$2,RLS!$C$25:$BK$25,0),FALSE)=0,MIN(1,VLOOKUP("TesterIndia",RLS!$C$26:$BK$31,MATCH(BD$2,RLS!$C$25:$BK$25,0),FALSE)),0)</f>
        <v>1</v>
      </c>
      <c r="BE59">
        <f>IF(VLOOKUP("TesterOnsite",RLS!$C$32:$BK$36,MATCH(BE$2,RLS!$C$25:$BK$25,0),FALSE)=0,MIN(1,VLOOKUP("TesterIndia",RLS!$C$26:$BK$31,MATCH(BE$2,RLS!$C$25:$BK$25,0),FALSE)),0)</f>
        <v>1</v>
      </c>
      <c r="BF59">
        <f>IF(VLOOKUP("TesterOnsite",RLS!$C$32:$BK$36,MATCH(BF$2,RLS!$C$25:$BK$25,0),FALSE)=0,MIN(1,VLOOKUP("TesterIndia",RLS!$C$26:$BK$31,MATCH(BF$2,RLS!$C$25:$BK$25,0),FALSE)),0)</f>
        <v>1</v>
      </c>
      <c r="BG59">
        <f>IF(VLOOKUP("TesterOnsite",RLS!$C$32:$BK$36,MATCH(BG$2,RLS!$C$25:$BK$25,0),FALSE)=0,MIN(1,VLOOKUP("TesterIndia",RLS!$C$26:$BK$31,MATCH(BG$2,RLS!$C$25:$BK$25,0),FALSE)),0)</f>
        <v>1</v>
      </c>
      <c r="BH59">
        <f>IF(VLOOKUP("TesterOnsite",RLS!$C$32:$BK$36,MATCH(BH$2,RLS!$C$25:$BK$25,0),FALSE)=0,MIN(1,VLOOKUP("TesterIndia",RLS!$C$26:$BK$31,MATCH(BH$2,RLS!$C$25:$BK$25,0),FALSE)),0)</f>
        <v>1</v>
      </c>
      <c r="BI59">
        <f>IF(VLOOKUP("TesterOnsite",RLS!$C$32:$BK$36,MATCH(BI$2,RLS!$C$25:$BK$25,0),FALSE)=0,MIN(1,VLOOKUP("TesterIndia",RLS!$C$26:$BK$31,MATCH(BI$2,RLS!$C$25:$BK$25,0),FALSE)),0)</f>
        <v>1</v>
      </c>
      <c r="BJ59">
        <f>IF(VLOOKUP("TesterOnsite",RLS!$C$32:$BK$36,MATCH(BJ$2,RLS!$C$25:$BK$25,0),FALSE)=0,MIN(1,VLOOKUP("TesterIndia",RLS!$C$26:$BK$31,MATCH(BJ$2,RLS!$C$25:$BK$25,0),FALSE)),0)</f>
        <v>1</v>
      </c>
      <c r="BK59">
        <f>IF(VLOOKUP("TesterOnsite",RLS!$C$32:$BK$36,MATCH(BK$2,RLS!$C$25:$BK$25,0),FALSE)=0,MIN(1,VLOOKUP("TesterIndia",RLS!$C$26:$BK$31,MATCH(BK$2,RLS!$C$25:$BK$25,0),FALSE)),0)</f>
        <v>1</v>
      </c>
      <c r="BL59">
        <f>IF(VLOOKUP("TesterOnsite",RLS!$C$32:$BK$36,MATCH(BL$2,RLS!$C$25:$BK$25,0),FALSE)=0,MIN(1,VLOOKUP("TesterIndia",RLS!$C$26:$BK$31,MATCH(BL$2,RLS!$C$25:$BK$25,0),FALSE)),0)</f>
        <v>1</v>
      </c>
      <c r="BM59">
        <f>IF(VLOOKUP("TesterOnsite",RLS!$C$32:$BK$36,MATCH(BM$2,RLS!$C$25:$BK$25,0),FALSE)=0,MIN(1,VLOOKUP("TesterIndia",RLS!$C$26:$BK$31,MATCH(BM$2,RLS!$C$25:$BK$25,0),FALSE)),0)</f>
        <v>1</v>
      </c>
      <c r="BN59">
        <f>IF(VLOOKUP("TesterOnsite",RLS!$C$32:$BK$36,MATCH(BN$2,RLS!$C$25:$BK$25,0),FALSE)=0,MIN(1,VLOOKUP("TesterIndia",RLS!$C$26:$BK$31,MATCH(BN$2,RLS!$C$25:$BK$25,0),FALSE)),0)</f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F3"/>
  <sheetViews>
    <sheetView workbookViewId="0">
      <selection activeCell="D14" sqref="D14"/>
    </sheetView>
  </sheetViews>
  <sheetFormatPr defaultRowHeight="14.5" x14ac:dyDescent="0.35"/>
  <cols>
    <col min="1" max="1" width="10.54296875" bestFit="1" customWidth="1"/>
  </cols>
  <sheetData>
    <row r="2" spans="1:6" x14ac:dyDescent="0.35">
      <c r="B2" t="s">
        <v>87</v>
      </c>
      <c r="C2" t="s">
        <v>88</v>
      </c>
      <c r="D2" t="s">
        <v>89</v>
      </c>
      <c r="E2" t="s">
        <v>90</v>
      </c>
      <c r="F2" t="s">
        <v>91</v>
      </c>
    </row>
    <row r="3" spans="1:6" x14ac:dyDescent="0.35">
      <c r="A3" t="s">
        <v>100</v>
      </c>
      <c r="C3" s="1">
        <v>0.15</v>
      </c>
      <c r="D3" s="1">
        <v>0.34</v>
      </c>
      <c r="E3" s="1">
        <v>0.39</v>
      </c>
      <c r="F3" s="1">
        <v>0.44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6"/>
  <sheetViews>
    <sheetView workbookViewId="0">
      <selection activeCell="H10" sqref="H10"/>
    </sheetView>
  </sheetViews>
  <sheetFormatPr defaultRowHeight="14.5" x14ac:dyDescent="0.35"/>
  <sheetData>
    <row r="2" spans="1:6" x14ac:dyDescent="0.35">
      <c r="A2" t="s">
        <v>101</v>
      </c>
      <c r="B2" t="s">
        <v>102</v>
      </c>
      <c r="C2" t="s">
        <v>88</v>
      </c>
      <c r="D2" t="s">
        <v>89</v>
      </c>
      <c r="E2" t="s">
        <v>90</v>
      </c>
      <c r="F2" t="s">
        <v>91</v>
      </c>
    </row>
    <row r="3" spans="1:6" x14ac:dyDescent="0.35">
      <c r="A3" t="s">
        <v>103</v>
      </c>
      <c r="B3" s="2">
        <f>9/31</f>
        <v>0.29032258064516131</v>
      </c>
      <c r="C3" s="2">
        <f>7/25</f>
        <v>0.28000000000000003</v>
      </c>
      <c r="D3" s="2">
        <f>6/20</f>
        <v>0.3</v>
      </c>
      <c r="E3" s="2">
        <f>8/16</f>
        <v>0.5</v>
      </c>
      <c r="F3" s="2">
        <f>7/14</f>
        <v>0.5</v>
      </c>
    </row>
    <row r="4" spans="1:6" x14ac:dyDescent="0.35">
      <c r="A4" t="s">
        <v>104</v>
      </c>
      <c r="B4" s="2">
        <f>11/31</f>
        <v>0.35483870967741937</v>
      </c>
      <c r="C4" s="2">
        <f>9/25</f>
        <v>0.36</v>
      </c>
      <c r="D4" s="2">
        <f>7/20</f>
        <v>0.35</v>
      </c>
      <c r="E4" s="2">
        <v>0</v>
      </c>
      <c r="F4" s="2">
        <v>0</v>
      </c>
    </row>
    <row r="5" spans="1:6" x14ac:dyDescent="0.35">
      <c r="A5" t="s">
        <v>105</v>
      </c>
      <c r="B5" s="2">
        <f>11/31</f>
        <v>0.35483870967741937</v>
      </c>
      <c r="C5" s="2">
        <f>9/25</f>
        <v>0.36</v>
      </c>
      <c r="D5" s="2">
        <f>7/20</f>
        <v>0.35</v>
      </c>
      <c r="E5" s="2">
        <v>0</v>
      </c>
      <c r="F5" s="2">
        <v>0</v>
      </c>
    </row>
    <row r="6" spans="1:6" x14ac:dyDescent="0.35">
      <c r="A6" t="s">
        <v>106</v>
      </c>
      <c r="B6" s="2">
        <v>0</v>
      </c>
      <c r="C6" s="2">
        <v>0</v>
      </c>
      <c r="D6" s="2">
        <v>0</v>
      </c>
      <c r="E6" s="2">
        <f>8/16</f>
        <v>0.5</v>
      </c>
      <c r="F6" s="2">
        <f>7/14</f>
        <v>0.5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3"/>
  <sheetViews>
    <sheetView workbookViewId="0">
      <selection activeCell="C9" sqref="C9"/>
    </sheetView>
  </sheetViews>
  <sheetFormatPr defaultRowHeight="14.5" x14ac:dyDescent="0.35"/>
  <sheetData>
    <row r="2" spans="1:6" x14ac:dyDescent="0.35">
      <c r="B2" t="s">
        <v>87</v>
      </c>
      <c r="C2" t="s">
        <v>88</v>
      </c>
      <c r="D2" t="s">
        <v>89</v>
      </c>
      <c r="E2" t="s">
        <v>90</v>
      </c>
      <c r="F2" t="s">
        <v>91</v>
      </c>
    </row>
    <row r="3" spans="1:6" x14ac:dyDescent="0.35">
      <c r="A3" t="s">
        <v>107</v>
      </c>
      <c r="E3" s="1">
        <v>0.15</v>
      </c>
      <c r="F3" s="1">
        <v>0.15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FTE</vt:lpstr>
      <vt:lpstr>India Role Distribution</vt:lpstr>
      <vt:lpstr>Onsite Role Distribution</vt:lpstr>
      <vt:lpstr>RLS</vt:lpstr>
      <vt:lpstr>RLS Detail</vt:lpstr>
      <vt:lpstr>Productivity</vt:lpstr>
      <vt:lpstr>Unit Distribution</vt:lpstr>
      <vt:lpstr>Transfer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Prasad, Mukesh Kumar</dc:creator>
  <cp:lastModifiedBy>Mukesh Kumar Prasad</cp:lastModifiedBy>
  <dcterms:created xsi:type="dcterms:W3CDTF">2026-09-26T16:21:00Z</dcterms:created>
  <dcterms:modified xsi:type="dcterms:W3CDTF">2026-09-28T07:25:36Z</dcterms:modified>
</cp:coreProperties>
</file>