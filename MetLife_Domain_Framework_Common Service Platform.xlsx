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EADME" sheetId="1" state="visible" r:id="rId3"/>
    <sheet name="Logic Tree" sheetId="2" state="visible" r:id="rId4"/>
    <sheet name="Inventory" sheetId="3" state="visible" r:id="rId5"/>
    <sheet name="Value Streams" sheetId="4" state="visible" r:id="rId6"/>
    <sheet name="Pod Library" sheetId="5" state="visible" r:id="rId7"/>
    <sheet name="Pod Plan" sheetId="6" state="visible" r:id="rId8"/>
    <sheet name="Horizontal Teams" sheetId="7" state="visible" r:id="rId9"/>
    <sheet name="Team Build-Up" sheetId="8" state="visible" r:id="rId10"/>
    <sheet name="Glidepath &amp; 50-50" sheetId="9" state="visible" r:id="rId11"/>
    <sheet name="Cost &amp; Commercial" sheetId="10" state="visible" r:id="rId12"/>
    <sheet name="Seat Ledger" sheetId="11" state="visible" r:id="rId13"/>
  </sheets>
  <definedNames>
    <definedName function="false" hidden="true" localSheetId="2" name="_xlnm._FilterDatabase" vbProcedure="false">Inventory!$A$4:$U$146</definedName>
    <definedName function="false" hidden="true" localSheetId="10" name="_xlnm._FilterDatabase" vbProcedure="false">'Seat Ledger'!$A$4:$M$393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<sst xmlns="http://schemas.openxmlformats.org/spreadsheetml/2006/main" count="3626" uniqueCount="789">
  <si>
    <t xml:space="preserve">MetLife Japan  |  Common Service Platform  —  Operating Model &amp; Pricing Engine</t>
  </si>
  <si>
    <t xml:space="preserve">INTERNAL — Capgemini review copy. Not for issue to MetLife. Domain filtered from Appendix 3 v2 (142 apps / 1,504.0 units); this domain is 10 apps / 198.78 units.</t>
  </si>
  <si>
    <t xml:space="preserve">HOW THIS WORKBOOK IS BUILT</t>
  </si>
  <si>
    <t xml:space="preserve">Direction of travel</t>
  </si>
  <si>
    <t xml:space="preserve">Everything is bottom-up. You define seats in pods; the workbook derives headcount, productivity, offshore share, experience mix and cost. Nothing is asserted.</t>
  </si>
  <si>
    <t xml:space="preserve">The two logic trees</t>
  </si>
  <si>
    <t xml:space="preserve">'Logic Tree' derives a TARGET productivity and offshore % for any domain from its archetype mix. 'Glidepath &amp; 50-50' compares that target against what the pod design actually delivers. The gap is the transition &amp; enablement drag.</t>
  </si>
  <si>
    <t xml:space="preserve">Re-using for another domain</t>
  </si>
  <si>
    <t xml:space="preserve">Change the domain on 'Logic Tree' cell C5. The archetype mix, effort base and target percentages re-derive from 'Inventory'. The pod library and pod plan must then be re-cut for that domain's value streams.</t>
  </si>
  <si>
    <t xml:space="preserve">CELL COLOUR CONVENTION</t>
  </si>
  <si>
    <t xml:space="preserve">Blue text</t>
  </si>
  <si>
    <t xml:space="preserve">Input. Change these.</t>
  </si>
  <si>
    <t xml:space="preserve">Black text</t>
  </si>
  <si>
    <t xml:space="preserve">Formula. Do not overwrite.</t>
  </si>
  <si>
    <t xml:space="preserve">Green text</t>
  </si>
  <si>
    <t xml:space="preserve">Link to another sheet in this workbook.</t>
  </si>
  <si>
    <t xml:space="preserve">Amber fill</t>
  </si>
  <si>
    <t xml:space="preserve">Key assumption requiring sign-off before this model is used to price.</t>
  </si>
  <si>
    <t xml:space="preserve">SHEET MAP</t>
  </si>
  <si>
    <t xml:space="preserve">Logic Tree</t>
  </si>
  <si>
    <t xml:space="preserve">Parametric drivers. Phase effort mix, AI-addressable ceiling per archetype, realisation curve, offshore ceiling, re-badge plan, cost index.</t>
  </si>
  <si>
    <t xml:space="preserve">Inventory</t>
  </si>
  <si>
    <t xml:space="preserve">All 142 applications with derived archetype. Filter to a domain to see its mix.</t>
  </si>
  <si>
    <t xml:space="preserve">Value Streams</t>
  </si>
  <si>
    <t xml:space="preserve">The four functional value streams inside Common Service Platform and the AD / AMS split of each.</t>
  </si>
  <si>
    <t xml:space="preserve">Pod Library</t>
  </si>
  <si>
    <t xml:space="preserve">INPUT. Every seat in every pod archetype, for Y1 / Y2 / Y3. Role, skill family, experience band, location, sourcing.</t>
  </si>
  <si>
    <t xml:space="preserve">Pod Plan</t>
  </si>
  <si>
    <t xml:space="preserve">INPUT. How many co-sourced and fully-sourced pods each value stream runs in each year.</t>
  </si>
  <si>
    <t xml:space="preserve">Horizontal Teams</t>
  </si>
  <si>
    <t xml:space="preserve">INPUT. Seats in the three cross-cutting teams that are not value-stream bounded.</t>
  </si>
  <si>
    <t xml:space="preserve">Seat Ledger</t>
  </si>
  <si>
    <t xml:space="preserve">Computed. Every pod-library line multiplied out by the pod plan, plus the horizontal seats. All roll-ups read from here.</t>
  </si>
  <si>
    <t xml:space="preserve">Team Build-Up</t>
  </si>
  <si>
    <t xml:space="preserve">Computed. Headcount by year, by value stream, by sourcing, by location, by experience band and by skill family.</t>
  </si>
  <si>
    <t xml:space="preserve">Glidepath &amp; 50-50</t>
  </si>
  <si>
    <t xml:space="preserve">Computed. Productivity target vs delivered, offshore target vs delivered, and the re-badge volume needed to reach 50:50.</t>
  </si>
  <si>
    <t xml:space="preserve">Cost &amp; Commercial</t>
  </si>
  <si>
    <t xml:space="preserve">Computed. Cost index, cost per unit of original scope, and the Capgemini billable position after re-badging.</t>
  </si>
  <si>
    <t xml:space="preserve">ASSUMPTIONS THAT NEED SIGN-OFF</t>
  </si>
  <si>
    <t xml:space="preserve">Cost index</t>
  </si>
  <si>
    <t xml:space="preserve">Relative only. Onshore Tokyo E2 = 1.00, offshore at roughly one third at like-for-like band. Replace with the approved rate card before pricing.</t>
  </si>
  <si>
    <t xml:space="preserve">AI-addressable ceilings</t>
  </si>
  <si>
    <t xml:space="preserve">Derived from published evidence, not from a Capgemini delivery baseline. See the sources block on the Logic Tree sheet.</t>
  </si>
  <si>
    <t xml:space="preserve">Re-badge feasibility</t>
  </si>
  <si>
    <r>
      <rPr>
        <sz val="10"/>
        <rFont val="Arial"/>
        <family val="0"/>
        <charset val="1"/>
      </rPr>
      <t xml:space="preserve">Assumes transfer of employment (</t>
    </r>
    <r>
      <rPr>
        <sz val="10"/>
        <rFont val="Noto Sans CJK SC"/>
        <family val="2"/>
      </rPr>
      <t xml:space="preserve">転籍</t>
    </r>
    <r>
      <rPr>
        <sz val="10"/>
        <rFont val="Arial"/>
        <family val="0"/>
        <charset val="1"/>
      </rPr>
      <t xml:space="preserve">) is achievable with individual consent and that MetLife will accept the receiving cost base. Not tested.</t>
    </r>
  </si>
  <si>
    <t xml:space="preserve">Effort unit = one person</t>
  </si>
  <si>
    <t xml:space="preserve">Appendix 3 states effort in FTE-equivalents. One unit is treated as one seat throughout.</t>
  </si>
  <si>
    <t xml:space="preserve">Built</t>
  </si>
  <si>
    <t xml:space="preserve">September 2026 · Capgemini · Common Service Platform domain model v1</t>
  </si>
  <si>
    <t xml:space="preserve">Logic Tree  —  parametric drivers for productivity and offshore share</t>
  </si>
  <si>
    <t xml:space="preserve">Change the blue cells. Every downstream number re-derives. Amber cells need sign-off.</t>
  </si>
  <si>
    <t xml:space="preserve">A.  DOMAIN SELECTION AND EFFORT BASE</t>
  </si>
  <si>
    <t xml:space="preserve">Domain</t>
  </si>
  <si>
    <t xml:space="preserve">common service platform</t>
  </si>
  <si>
    <t xml:space="preserve">Type any domain name from the Inventory sheet, lower case.</t>
  </si>
  <si>
    <t xml:space="preserve">Applications in domain</t>
  </si>
  <si>
    <t xml:space="preserve">Total effort (units)</t>
  </si>
  <si>
    <t xml:space="preserve">Current FTC</t>
  </si>
  <si>
    <t xml:space="preserve">Current FTE</t>
  </si>
  <si>
    <t xml:space="preserve">Current MGCC</t>
  </si>
  <si>
    <t xml:space="preserve">AD effort (%PRJ weighted)</t>
  </si>
  <si>
    <t xml:space="preserve">AMS effort</t>
  </si>
  <si>
    <t xml:space="preserve">AD share of effort</t>
  </si>
  <si>
    <t xml:space="preserve">B.  ARCHETYPE MIX OF THE SELECTED DOMAIN  —  this is what drives the applicable percentages</t>
  </si>
  <si>
    <t xml:space="preserve">Archetype</t>
  </si>
  <si>
    <t xml:space="preserve">Definition</t>
  </si>
  <si>
    <t xml:space="preserve">Apps</t>
  </si>
  <si>
    <t xml:space="preserve">Effort</t>
  </si>
  <si>
    <t xml:space="preserve">Share of effort</t>
  </si>
  <si>
    <t xml:space="preserve">A</t>
  </si>
  <si>
    <t xml:space="preserve">Language-locked — Japanese business content bound to the application</t>
  </si>
  <si>
    <t xml:space="preserve">B</t>
  </si>
  <si>
    <t xml:space="preserve">Offshore-ready — modern stack, documented, no language lock</t>
  </si>
  <si>
    <t xml:space="preserve">C</t>
  </si>
  <si>
    <t xml:space="preserve">MGCC-destined — flagged Priority Transfer Target</t>
  </si>
  <si>
    <t xml:space="preserve">D</t>
  </si>
  <si>
    <t xml:space="preserve">Legacy-coupled core — mainframe / AS400, COBOL / Assembler</t>
  </si>
  <si>
    <t xml:space="preserve">Total</t>
  </si>
  <si>
    <t xml:space="preserve">C.  PRODUCTIVITY TREE  —  LEVEL 1 : where the effort sits across the delivery lifecycle</t>
  </si>
  <si>
    <t xml:space="preserve">Delivery phase</t>
  </si>
  <si>
    <t xml:space="preserve">Requirements &amp; impact analysis</t>
  </si>
  <si>
    <t xml:space="preserve">Design &amp; architecture</t>
  </si>
  <si>
    <t xml:space="preserve">Build &amp; code</t>
  </si>
  <si>
    <t xml:space="preserve">Test &amp; quality assurance</t>
  </si>
  <si>
    <t xml:space="preserve">Release &amp; deploy</t>
  </si>
  <si>
    <t xml:space="preserve">Run, monitor &amp; coordinate</t>
  </si>
  <si>
    <t xml:space="preserve">Total (must equal 100%)</t>
  </si>
  <si>
    <t xml:space="preserve">D.  PRODUCTIVITY TREE  —  LEVEL 2 : how much of each phase AI can address, by archetype</t>
  </si>
  <si>
    <t xml:space="preserve">The ceiling if the capability were fully mature and fully adopted. Not a forecast.</t>
  </si>
  <si>
    <t xml:space="preserve">Weighted AI ceiling by archetype</t>
  </si>
  <si>
    <t xml:space="preserve">Applicable AI ceiling for THIS domain</t>
  </si>
  <si>
    <t xml:space="preserve">E.  PRODUCTIVITY TREE  —  LEVEL 3 : realisation curve, and the two non-AI components</t>
  </si>
  <si>
    <t xml:space="preserve">Driver</t>
  </si>
  <si>
    <t xml:space="preserve">Year 1</t>
  </si>
  <si>
    <t xml:space="preserve">Year 2</t>
  </si>
  <si>
    <t xml:space="preserve">Year 3</t>
  </si>
  <si>
    <t xml:space="preserve">Basis</t>
  </si>
  <si>
    <t xml:space="preserve">AI realisation — share of ceiling captured</t>
  </si>
  <si>
    <t xml:space="preserve">Adoption, guardrails and substrate maturity. Not a tool licence count.</t>
  </si>
  <si>
    <t xml:space="preserve">Classical ADM productivity (cumulative)</t>
  </si>
  <si>
    <t xml:space="preserve">Standardisation, defect reduction, shift-left. Industry contractual norm 4-6% p.a.</t>
  </si>
  <si>
    <t xml:space="preserve">Operating-model productivity (cumulative)</t>
  </si>
  <si>
    <t xml:space="preserve">Pod consolidation, span of control, one release train instead of many.</t>
  </si>
  <si>
    <t xml:space="preserve">AI-attributable productivity</t>
  </si>
  <si>
    <t xml:space="preserve">Gross productivity  =  1 - (1-AI) x (1-classical) x (1-operating model)</t>
  </si>
  <si>
    <t xml:space="preserve">F.  OFFSHORE TREE</t>
  </si>
  <si>
    <t xml:space="preserve">Offshore-able ceiling of the archetype</t>
  </si>
  <si>
    <t xml:space="preserve">Applicable offshore ceiling for THIS domain</t>
  </si>
  <si>
    <t xml:space="preserve">Offshore realisation — share of ceiling reached</t>
  </si>
  <si>
    <t xml:space="preserve">Target offshore share</t>
  </si>
  <si>
    <t xml:space="preserve">Transfer-of-employment schedule zeroed for this domain: at Common Service Platform's scale (~198.78 effort units, ~98.10 baseline Capgemini FTC), the generic 0/6/9 FTE and 0/14/21 MGCC transfer schedule drives Capgemini FTC negative by Year 3 — the same effect seen in Capgemini, Corporate Related, New Contract Related, Customer Care / Call Center Related, Fee Management and Marketing / Direct Business Related. Transfers are held at zero here; a domain-specific 50:50 glidepath should be sized separately once this figure is used for planning.</t>
  </si>
  <si>
    <t xml:space="preserve">Productivity shrinks both sides of the ratio, so it cannot move it. Transfer of employment can.</t>
  </si>
  <si>
    <t xml:space="preserve">Transfer in year</t>
  </si>
  <si>
    <t xml:space="preserve">Capgemini to MetLife Japan (FTE)</t>
  </si>
  <si>
    <t xml:space="preserve">Capgemini to MetLife MGCC Hyderabad</t>
  </si>
  <si>
    <t xml:space="preserve">Cumulative transferred</t>
  </si>
  <si>
    <t xml:space="preserve">H.  COST INDEX  —  relative only, onshore Tokyo band E2 = 1.00</t>
  </si>
  <si>
    <t xml:space="preserve">Location</t>
  </si>
  <si>
    <t xml:space="preserve">E1  0-3y</t>
  </si>
  <si>
    <t xml:space="preserve">E2  3-6y</t>
  </si>
  <si>
    <t xml:space="preserve">E3  6-10y</t>
  </si>
  <si>
    <t xml:space="preserve">E4  10-15y</t>
  </si>
  <si>
    <t xml:space="preserve">E5  15y+</t>
  </si>
  <si>
    <t xml:space="preserve">key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</si>
  <si>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</si>
  <si>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</si>
  <si>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</si>
  <si>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</si>
  <si>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</si>
  <si>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Onshore Tokyo</t>
  </si>
  <si>
    <t xml:space="preserve">ON</t>
  </si>
  <si>
    <t xml:space="preserve">Offshore Hyderabad</t>
  </si>
  <si>
    <t xml:space="preserve">OFF</t>
  </si>
  <si>
    <t xml:space="preserve">Lookup keys for the Seat Ledger. Do not edit — mirrors the block on the left.</t>
  </si>
  <si>
    <t xml:space="preserve">I.  EVIDENCE BASE FOR THE AI CEILINGS</t>
  </si>
  <si>
    <t xml:space="preserve">•</t>
  </si>
  <si>
    <t xml:space="preserve">Bain Technology Report 2025 — team-level productivity gain from AI coding assistants 10-15%, materially below task-level results.</t>
  </si>
  <si>
    <t xml:space="preserve">Randomised field experiment, 4,867 developers at Microsoft, Accenture and a Fortune 100 firm — 26.1% increase in completed tasks.</t>
  </si>
  <si>
    <t xml:space="preserve">METR randomised controlled trial 2025 — experienced developers were 19% SLOWER with AI on large unfamiliar codebases. This is why archetype D build is capped at 20%.</t>
  </si>
  <si>
    <t xml:space="preserve">DORA State of AI-assisted Software Development 2025 — AI improves throughput but degrades stability without automated testing and fast feedback. Drives the QE horizontal.</t>
  </si>
  <si>
    <t xml:space="preserve">Keyhole Software COBOL to Spring Batch migration — 20-30% acceleration on a bounded legacy scope.</t>
  </si>
  <si>
    <t xml:space="preserve">Deloitte 2026 Software Industry Outlook — 30-35% projected across the SDLC. A projection, not a measurement.</t>
  </si>
  <si>
    <t xml:space="preserve">MSP AI benchmarks 2026 — 20-40% MTTR reduction on tier-one categories, 15-25% technician throughput. Drives the run and support ceilings.</t>
  </si>
  <si>
    <t xml:space="preserve">Application inventory  —  Appendix 3 v2, with derived archetype and value stream</t>
  </si>
  <si>
    <t xml:space="preserve">Archetype is DERIVED, not asserted: mainframe language → D; else Priority Transfer Target → C; else SaaS → A; else B.</t>
  </si>
  <si>
    <t xml:space="preserve">#</t>
  </si>
  <si>
    <t xml:space="preserve">EAI ID</t>
  </si>
  <si>
    <t xml:space="preserve">Application</t>
  </si>
  <si>
    <t xml:space="preserve">Long name</t>
  </si>
  <si>
    <t xml:space="preserve">Group</t>
  </si>
  <si>
    <t xml:space="preserve">Team</t>
  </si>
  <si>
    <t xml:space="preserve">Class</t>
  </si>
  <si>
    <t xml:space="preserve">Critical</t>
  </si>
  <si>
    <t xml:space="preserve">Hosting</t>
  </si>
  <si>
    <t xml:space="preserve">Primary code language</t>
  </si>
  <si>
    <t xml:space="preserve">Cloud platform</t>
  </si>
  <si>
    <t xml:space="preserve">Priority transfer</t>
  </si>
  <si>
    <t xml:space="preserve">% of PRJ</t>
  </si>
  <si>
    <t xml:space="preserve">Target FTC</t>
  </si>
  <si>
    <t xml:space="preserve">Target FTE/MGCC</t>
  </si>
  <si>
    <t xml:space="preserve">App count</t>
  </si>
  <si>
    <t xml:space="preserve">FTC</t>
  </si>
  <si>
    <t xml:space="preserve">FTE</t>
  </si>
  <si>
    <t xml:space="preserve">MGCC</t>
  </si>
  <si>
    <t xml:space="preserve">AD share</t>
  </si>
  <si>
    <t xml:space="preserve">AD effort</t>
  </si>
  <si>
    <t xml:space="preserve">Value stream</t>
  </si>
  <si>
    <t xml:space="preserve">Global Sales Comp - Japan</t>
  </si>
  <si>
    <t xml:space="preserve">fee management</t>
  </si>
  <si>
    <t xml:space="preserve">Core Insurance Systems Group 34956</t>
  </si>
  <si>
    <t xml:space="preserve">Commission Systems Team 34958</t>
  </si>
  <si>
    <t xml:space="preserve">Core Business Application</t>
  </si>
  <si>
    <t xml:space="preserve">N</t>
  </si>
  <si>
    <t xml:space="preserve">Yes</t>
  </si>
  <si>
    <t xml:space="preserve">Other#Infomatica workflow Bash shell Dos batch</t>
  </si>
  <si>
    <t xml:space="preserve">Software as a Service (SaaS)</t>
  </si>
  <si>
    <t xml:space="preserve">VS1</t>
  </si>
  <si>
    <t xml:space="preserve">LC POSPMC MF-JPN</t>
  </si>
  <si>
    <t xml:space="preserve">LifeComm POSPMC</t>
  </si>
  <si>
    <t xml:space="preserve">contract management</t>
  </si>
  <si>
    <t xml:space="preserve">Policy Admin Systems Team 34957</t>
  </si>
  <si>
    <t xml:space="preserve">Y</t>
  </si>
  <si>
    <t xml:space="preserve">Assembler, COBOL, MU(EASYPLUS), JCL</t>
  </si>
  <si>
    <t xml:space="preserve">LC Billing MF-JPN</t>
  </si>
  <si>
    <t xml:space="preserve">LifeComm Billing</t>
  </si>
  <si>
    <t xml:space="preserve">COBOL, Assembler, MU(EASYPLUS), JCL</t>
  </si>
  <si>
    <t xml:space="preserve">VS2</t>
  </si>
  <si>
    <t xml:space="preserve">LC Collection MF-JPN</t>
  </si>
  <si>
    <t xml:space="preserve">LifeComm Collection</t>
  </si>
  <si>
    <t xml:space="preserve">LC Corresponding MF-JPN</t>
  </si>
  <si>
    <t xml:space="preserve">LifeComm Corresponding</t>
  </si>
  <si>
    <t xml:space="preserve">VS4</t>
  </si>
  <si>
    <t xml:space="preserve">LC UWI MF-JPN</t>
  </si>
  <si>
    <t xml:space="preserve">LifeComm  UWI</t>
  </si>
  <si>
    <t xml:space="preserve">LC AAPerf MF-JPN</t>
  </si>
  <si>
    <t xml:space="preserve">LifeComm AgentAgencyPerformance</t>
  </si>
  <si>
    <t xml:space="preserve">VS3</t>
  </si>
  <si>
    <t xml:space="preserve">LC Payment MF-JPN</t>
  </si>
  <si>
    <t xml:space="preserve">LifeComm Payment</t>
  </si>
  <si>
    <t xml:space="preserve">LC GL/SC MF-JPN</t>
  </si>
  <si>
    <t xml:space="preserve">LifeComm GL/SC</t>
  </si>
  <si>
    <t xml:space="preserve">VS6</t>
  </si>
  <si>
    <t xml:space="preserve">LC Valuation MF-JPN</t>
  </si>
  <si>
    <t xml:space="preserve">LifeComm Valuation</t>
  </si>
  <si>
    <t xml:space="preserve">LC AACOMP MF-JPN</t>
  </si>
  <si>
    <t xml:space="preserve">LifeComm AgentAgencyComp</t>
  </si>
  <si>
    <t xml:space="preserve">Processor-I MF-JPN</t>
  </si>
  <si>
    <t xml:space="preserve">Claim payment (Processor-I)</t>
  </si>
  <si>
    <t xml:space="preserve">COBOL, MU(EASYPLUS), Assembler, JCL</t>
  </si>
  <si>
    <t xml:space="preserve">LC Submit MF-JPN</t>
  </si>
  <si>
    <t xml:space="preserve">Submit Online</t>
  </si>
  <si>
    <t xml:space="preserve">LC Micro MF-JPN</t>
  </si>
  <si>
    <t xml:space="preserve">Micro-Index</t>
  </si>
  <si>
    <t xml:space="preserve">Foreign MF-JPN</t>
  </si>
  <si>
    <t xml:space="preserve">Foreign</t>
  </si>
  <si>
    <t xml:space="preserve">CT Salary  MF-JPN</t>
  </si>
  <si>
    <t xml:space="preserve">CT Salary System</t>
  </si>
  <si>
    <t xml:space="preserve">TaxCertification MF-JPN</t>
  </si>
  <si>
    <t xml:space="preserve">TaxCertification</t>
  </si>
  <si>
    <t xml:space="preserve">SWINGMANAGER MF-JPN</t>
  </si>
  <si>
    <t xml:space="preserve">SWING MANAGER</t>
  </si>
  <si>
    <t xml:space="preserve">PremCollectDBMF-JPN</t>
  </si>
  <si>
    <t xml:space="preserve">Premium Collection History DB</t>
  </si>
  <si>
    <t xml:space="preserve">MCFA CP DB MF-JPN</t>
  </si>
  <si>
    <t xml:space="preserve">MCFA Coupon DB</t>
  </si>
  <si>
    <t xml:space="preserve">Maturity MF-JPN</t>
  </si>
  <si>
    <t xml:space="preserve">Payment  maturity existing benefit etc</t>
  </si>
  <si>
    <t xml:space="preserve">LC Reins MF-JPN</t>
  </si>
  <si>
    <t xml:space="preserve">Reinsurance</t>
  </si>
  <si>
    <t xml:space="preserve">ASP Bridge(H) MF-JPN</t>
  </si>
  <si>
    <t xml:space="preserve">ASP Bridge (HOST)</t>
  </si>
  <si>
    <t xml:space="preserve">Common Service Business Application</t>
  </si>
  <si>
    <t xml:space="preserve">VS5</t>
  </si>
  <si>
    <t xml:space="preserve">CCA MF-JPN</t>
  </si>
  <si>
    <t xml:space="preserve">Client Contract Administration</t>
  </si>
  <si>
    <t xml:space="preserve">C04NWC-JPN</t>
  </si>
  <si>
    <t xml:space="preserve">CenterServer</t>
  </si>
  <si>
    <t xml:space="preserve">new contract related</t>
  </si>
  <si>
    <t xml:space="preserve">Customer Service and Operations Systems Group 34965</t>
  </si>
  <si>
    <t xml:space="preserve">New Business Team 34966</t>
  </si>
  <si>
    <t xml:space="preserve">C/C++</t>
  </si>
  <si>
    <t xml:space="preserve">C03WRE-JPN</t>
  </si>
  <si>
    <t xml:space="preserve">POS Workflow Payment Workflow (Restoring cancelled</t>
  </si>
  <si>
    <t xml:space="preserve">storage and preservation related</t>
  </si>
  <si>
    <t xml:space="preserve">Policy Servicing Team 34967</t>
  </si>
  <si>
    <t xml:space="preserve">VB.NET</t>
  </si>
  <si>
    <t xml:space="preserve">C12WNC-JPN</t>
  </si>
  <si>
    <t xml:space="preserve">POS Workflow Payment Workflow (Claim Transaction A</t>
  </si>
  <si>
    <t xml:space="preserve">insurance claims and benefits payment related</t>
  </si>
  <si>
    <t xml:space="preserve">Claims Team 34968</t>
  </si>
  <si>
    <t xml:space="preserve">VB.NET; C/C++; JAVA</t>
  </si>
  <si>
    <t xml:space="preserve">C03WRD-JPN</t>
  </si>
  <si>
    <t xml:space="preserve">POS Workflow Payment Workflow (Reduction of paymen</t>
  </si>
  <si>
    <t xml:space="preserve">C03PCA-JPN</t>
  </si>
  <si>
    <t xml:space="preserve">Add Coverage</t>
  </si>
  <si>
    <t xml:space="preserve">VB</t>
  </si>
  <si>
    <t xml:space="preserve">C10CSS-JPN</t>
  </si>
  <si>
    <t xml:space="preserve">FSC Call Support</t>
  </si>
  <si>
    <t xml:space="preserve">customer care / call center related</t>
  </si>
  <si>
    <t xml:space="preserve">Customer Care Team 34969</t>
  </si>
  <si>
    <t xml:space="preserve">C04VAS-JPN</t>
  </si>
  <si>
    <t xml:space="preserve">Voucher Approval System for AS400</t>
  </si>
  <si>
    <t xml:space="preserve">corporate related</t>
  </si>
  <si>
    <t xml:space="preserve">Corporate Systems Team 34959</t>
  </si>
  <si>
    <t xml:space="preserve">C04SYM-JPN</t>
  </si>
  <si>
    <t xml:space="preserve">Renewal symap Business Work Flow</t>
  </si>
  <si>
    <t xml:space="preserve">C03VSV-JPN</t>
  </si>
  <si>
    <t xml:space="preserve">Variable Annuity Sun View</t>
  </si>
  <si>
    <t xml:space="preserve">PinID tool_JPN</t>
  </si>
  <si>
    <t xml:space="preserve">PinID Increase tool</t>
  </si>
  <si>
    <t xml:space="preserve">C11VCM-JPN</t>
  </si>
  <si>
    <t xml:space="preserve">Deposit Control System</t>
  </si>
  <si>
    <t xml:space="preserve">C04OSI-JPN</t>
  </si>
  <si>
    <t xml:space="preserve">S Sum Total System(Open)</t>
  </si>
  <si>
    <t xml:space="preserve">JAVA</t>
  </si>
  <si>
    <t xml:space="preserve">W03FIC-JPN</t>
  </si>
  <si>
    <t xml:space="preserve">Guidance Refusal Information Administration System</t>
  </si>
  <si>
    <t xml:space="preserve">Platform as a Service (PaaS)</t>
  </si>
  <si>
    <t xml:space="preserve">C03APO-JPN</t>
  </si>
  <si>
    <t xml:space="preserve">Apollocs</t>
  </si>
  <si>
    <t xml:space="preserve">Other#APOLLOCS</t>
  </si>
  <si>
    <t xml:space="preserve">Z04IMA-JPN</t>
  </si>
  <si>
    <t xml:space="preserve">Image Search</t>
  </si>
  <si>
    <t xml:space="preserve">CSS; JAVA;HTML; VB.NET</t>
  </si>
  <si>
    <t xml:space="preserve">W05AMS-JPN</t>
  </si>
  <si>
    <t xml:space="preserve">Annuity Information Management System(AIMS)</t>
  </si>
  <si>
    <t xml:space="preserve">W02OPS-JPN</t>
  </si>
  <si>
    <t xml:space="preserve">Insurance Planning for Operator</t>
  </si>
  <si>
    <t xml:space="preserve">marketing/direct business related</t>
  </si>
  <si>
    <t xml:space="preserve">Customer and Channel Engineering 34961</t>
  </si>
  <si>
    <t xml:space="preserve">W04RRE-JPN</t>
  </si>
  <si>
    <t xml:space="preserve">Rule Engine</t>
  </si>
  <si>
    <t xml:space="preserve">W03PIU-JPN</t>
  </si>
  <si>
    <t xml:space="preserve">IS universal life insurance simulation</t>
  </si>
  <si>
    <t xml:space="preserve">W08HTN-JPN</t>
  </si>
  <si>
    <t xml:space="preserve">conservation contact personnel entry system</t>
  </si>
  <si>
    <t xml:space="preserve">W08NAV-JPN</t>
  </si>
  <si>
    <t xml:space="preserve">Branch Marketing Information System</t>
  </si>
  <si>
    <t xml:space="preserve">sales / insurance recruitment</t>
  </si>
  <si>
    <t xml:space="preserve">Distribution F2F Team 34962</t>
  </si>
  <si>
    <t xml:space="preserve">W08SFE-JPN</t>
  </si>
  <si>
    <t xml:space="preserve">commission Inquiry</t>
  </si>
  <si>
    <t xml:space="preserve">W08CIS-JPN</t>
  </si>
  <si>
    <t xml:space="preserve">Career Information System</t>
  </si>
  <si>
    <t xml:space="preserve">W08NAR-JPN</t>
  </si>
  <si>
    <t xml:space="preserve">producers information entry system</t>
  </si>
  <si>
    <t xml:space="preserve">W13WWF-JPN</t>
  </si>
  <si>
    <t xml:space="preserve">Web work flow</t>
  </si>
  <si>
    <t xml:space="preserve">P08MMS-JPN</t>
  </si>
  <si>
    <t xml:space="preserve">Medical Management System</t>
  </si>
  <si>
    <t xml:space="preserve">WPSYEC-JPN</t>
  </si>
  <si>
    <t xml:space="preserve">Direct Marketing Site</t>
  </si>
  <si>
    <t xml:space="preserve">Marketing and Leads Team 34964</t>
  </si>
  <si>
    <t xml:space="preserve">W07IPC-JPN</t>
  </si>
  <si>
    <t xml:space="preserve">Internet Prospective Information</t>
  </si>
  <si>
    <t xml:space="preserve">W01LOI-JPN</t>
  </si>
  <si>
    <t xml:space="preserve">Japan Authorization / login</t>
  </si>
  <si>
    <t xml:space="preserve">Japan Platform Team 35775</t>
  </si>
  <si>
    <t xml:space="preserve">W01MAS-JPN</t>
  </si>
  <si>
    <t xml:space="preserve">Common Framework(Master4)</t>
  </si>
  <si>
    <t xml:space="preserve">A04MMP-JPN</t>
  </si>
  <si>
    <t xml:space="preserve">AS400 Mass Marketing System</t>
  </si>
  <si>
    <t xml:space="preserve">Other#RPG</t>
  </si>
  <si>
    <t xml:space="preserve">P02BKE-JPN</t>
  </si>
  <si>
    <t xml:space="preserve">Sales illustration system (based on EXCEL) for BAN</t>
  </si>
  <si>
    <t xml:space="preserve">Distribution Banca Team 34963</t>
  </si>
  <si>
    <t xml:space="preserve">Other#VBA</t>
  </si>
  <si>
    <t xml:space="preserve">WPSC2S-JPN</t>
  </si>
  <si>
    <t xml:space="preserve">Call Control System</t>
  </si>
  <si>
    <t xml:space="preserve">B13ITS-JPN</t>
  </si>
  <si>
    <t xml:space="preserve">ITS-PCIS(Mutual Fund System(Including Bestway)</t>
  </si>
  <si>
    <t xml:space="preserve">W13WEP-JPN</t>
  </si>
  <si>
    <t xml:space="preserve">Web Payment</t>
  </si>
  <si>
    <t xml:space="preserve">Data Send System for BANC  MF-JP</t>
  </si>
  <si>
    <t xml:space="preserve">Data Send System for BANC</t>
  </si>
  <si>
    <t xml:space="preserve">CCMDNT-JPN</t>
  </si>
  <si>
    <t xml:space="preserve">.NET Common Infrastructure</t>
  </si>
  <si>
    <t xml:space="preserve">VB.NET; C #</t>
  </si>
  <si>
    <t xml:space="preserve">BCMHRP-JPN</t>
  </si>
  <si>
    <t xml:space="preserve">Data cooperation</t>
  </si>
  <si>
    <t xml:space="preserve">data infrastructure</t>
  </si>
  <si>
    <t xml:space="preserve">Data Platforms Team 34980</t>
  </si>
  <si>
    <t xml:space="preserve">Other#MS-DOS ,AWK,VBScript,JAVA</t>
  </si>
  <si>
    <t xml:space="preserve">Running on both on-premises and Azure.  The on-premises version will be decommissioned by the end of 2027.</t>
  </si>
  <si>
    <t xml:space="preserve">WPSCUS-JPN</t>
  </si>
  <si>
    <t xml:space="preserve">Customer Support System</t>
  </si>
  <si>
    <t xml:space="preserve">JavaScript; Other#APEX</t>
  </si>
  <si>
    <t xml:space="preserve">WAANSO-JPN</t>
  </si>
  <si>
    <t xml:space="preserve">New Submit Online System</t>
  </si>
  <si>
    <t xml:space="preserve">WZZHYO-JPN</t>
  </si>
  <si>
    <t xml:space="preserve">Report Template Management System</t>
  </si>
  <si>
    <t xml:space="preserve">EAADRS-JPN</t>
  </si>
  <si>
    <t xml:space="preserve">Dr.SUM</t>
  </si>
  <si>
    <t xml:space="preserve">WPMWCC-JPN</t>
  </si>
  <si>
    <t xml:space="preserve">Web Contact Center</t>
  </si>
  <si>
    <t xml:space="preserve">WGLRPC-JPN</t>
  </si>
  <si>
    <t xml:space="preserve">ReportConnection</t>
  </si>
  <si>
    <t xml:space="preserve">Policy UWIBATCH MF-JPN</t>
  </si>
  <si>
    <t xml:space="preserve">Policy Underwriting and Issue Batch</t>
  </si>
  <si>
    <t xml:space="preserve">Other#ASM; Cobol</t>
  </si>
  <si>
    <t xml:space="preserve">WAAATF-JPN</t>
  </si>
  <si>
    <t xml:space="preserve">Agents Target Following system</t>
  </si>
  <si>
    <t xml:space="preserve">ZGLEST-JPN</t>
  </si>
  <si>
    <t xml:space="preserve">eSTATION</t>
  </si>
  <si>
    <t xml:space="preserve">JavaScript; VB.NET; C#;HTML</t>
  </si>
  <si>
    <t xml:space="preserve">CMESB-JPN</t>
  </si>
  <si>
    <t xml:space="preserve">Enterprise Service Bus</t>
  </si>
  <si>
    <t xml:space="preserve">JAVA; Other#ESQL</t>
  </si>
  <si>
    <t xml:space="preserve">WPMAUD-JPN</t>
  </si>
  <si>
    <t xml:space="preserve">Unknown Address Tracking System</t>
  </si>
  <si>
    <t xml:space="preserve">No</t>
  </si>
  <si>
    <t xml:space="preserve">WCMPXS-JPN</t>
  </si>
  <si>
    <t xml:space="preserve">ProductXpress</t>
  </si>
  <si>
    <t xml:space="preserve">Infrastructure Application</t>
  </si>
  <si>
    <t xml:space="preserve">Other#Peculiar Language, Implemented in PX designer.</t>
  </si>
  <si>
    <t xml:space="preserve">WUIURE-JPN</t>
  </si>
  <si>
    <t xml:space="preserve">Pre-Underwriting</t>
  </si>
  <si>
    <t xml:space="preserve">LINC MF-JPN</t>
  </si>
  <si>
    <t xml:space="preserve">LINC</t>
  </si>
  <si>
    <t xml:space="preserve">A06TOG-JPN</t>
  </si>
  <si>
    <t xml:space="preserve">Group Policy Management System</t>
  </si>
  <si>
    <t xml:space="preserve">Other#RPG; Cobol</t>
  </si>
  <si>
    <t xml:space="preserve">W06TGR-JPN</t>
  </si>
  <si>
    <t xml:space="preserve">Group Policy Inquiry System for Intranet</t>
  </si>
  <si>
    <t xml:space="preserve">VB.NET; JAVA</t>
  </si>
  <si>
    <t xml:space="preserve">WAAICM-JPN</t>
  </si>
  <si>
    <t xml:space="preserve">ICM</t>
  </si>
  <si>
    <t xml:space="preserve">JAVA; C#; Other#ETL JAVA(ADJP) SQL</t>
  </si>
  <si>
    <t xml:space="preserve">WAACPS-JPN</t>
  </si>
  <si>
    <t xml:space="preserve">Commission and Performance System</t>
  </si>
  <si>
    <t xml:space="preserve">OMSIKN-JPN</t>
  </si>
  <si>
    <t xml:space="preserve">Conservation contract transferring system</t>
  </si>
  <si>
    <t xml:space="preserve">OMSTAT-JPN</t>
  </si>
  <si>
    <t xml:space="preserve">Conservation contract allowance system</t>
  </si>
  <si>
    <t xml:space="preserve">ZGLEDQ-JPN</t>
  </si>
  <si>
    <t xml:space="preserve">FATCA Oracle EDQ</t>
  </si>
  <si>
    <t xml:space="preserve">JAVA; C #</t>
  </si>
  <si>
    <t xml:space="preserve">WGLWLF-JPN</t>
  </si>
  <si>
    <t xml:space="preserve">Watch List Filtering system</t>
  </si>
  <si>
    <t xml:space="preserve">WZZMNB-JPN</t>
  </si>
  <si>
    <t xml:space="preserve">My number management system</t>
  </si>
  <si>
    <t xml:space="preserve">BCMETL-JPN</t>
  </si>
  <si>
    <t xml:space="preserve">Informatica Platform</t>
  </si>
  <si>
    <t xml:space="preserve">Other#Used UI for development and stored data as XML</t>
  </si>
  <si>
    <t xml:space="preserve">WPSCFC-JPN</t>
  </si>
  <si>
    <t xml:space="preserve">c-Force</t>
  </si>
  <si>
    <t xml:space="preserve">Other#APEX;HTML; JavaScript</t>
  </si>
  <si>
    <t xml:space="preserve">CGLFJM-JPN</t>
  </si>
  <si>
    <t xml:space="preserve">Misconduct Management system</t>
  </si>
  <si>
    <t xml:space="preserve">WGLBSR-JPN</t>
  </si>
  <si>
    <t xml:space="preserve">BSRec</t>
  </si>
  <si>
    <t xml:space="preserve">JP-RPASS</t>
  </si>
  <si>
    <t xml:space="preserve">JAPAN_BluePrism RPA</t>
  </si>
  <si>
    <t xml:space="preserve">Other#COTS from BluePrism</t>
  </si>
  <si>
    <t xml:space="preserve">W03CCP-JPN</t>
  </si>
  <si>
    <t xml:space="preserve">Customer Communication Preferences</t>
  </si>
  <si>
    <t xml:space="preserve">JP-Banca Report</t>
  </si>
  <si>
    <t xml:space="preserve">Japan Banca Report</t>
  </si>
  <si>
    <t xml:space="preserve">Infrastructure as a Service (IaaS); Platform as a Service (PaaS)</t>
  </si>
  <si>
    <t xml:space="preserve">LPS-JPN(EUC081)</t>
  </si>
  <si>
    <t xml:space="preserve">Life Plan Simulation Japan</t>
  </si>
  <si>
    <t xml:space="preserve">PHP</t>
  </si>
  <si>
    <t xml:space="preserve">CIT-JPN(EUC082)</t>
  </si>
  <si>
    <t xml:space="preserve">Inheritance Tax Simulation</t>
  </si>
  <si>
    <t xml:space="preserve">CMIAPI-JPN</t>
  </si>
  <si>
    <t xml:space="preserve">API Hub</t>
  </si>
  <si>
    <t xml:space="preserve">K2</t>
  </si>
  <si>
    <t xml:space="preserve">Japan K2 - Digital Workflows</t>
  </si>
  <si>
    <t xml:space="preserve">JP-PCI-RPASS</t>
  </si>
  <si>
    <t xml:space="preserve">Japan PCI Robotics Process Automation Service</t>
  </si>
  <si>
    <t xml:space="preserve">Other#This is coded within blueprism</t>
  </si>
  <si>
    <t xml:space="preserve">RBRARS-JPN</t>
  </si>
  <si>
    <t xml:space="preserve">RBWF Report Automatic Recognition System</t>
  </si>
  <si>
    <t xml:space="preserve">CMEAPI-JP</t>
  </si>
  <si>
    <t xml:space="preserve">Japan Partner API</t>
  </si>
  <si>
    <t xml:space="preserve">JP-WCMAUT</t>
  </si>
  <si>
    <t xml:space="preserve">JP Authentication Platform</t>
  </si>
  <si>
    <t xml:space="preserve">Himawari</t>
  </si>
  <si>
    <t xml:space="preserve">Himawari (Call Center Platform)</t>
  </si>
  <si>
    <t xml:space="preserve">JavaScript;HTML; Other#APEX</t>
  </si>
  <si>
    <t xml:space="preserve">JP-QA Shared Service</t>
  </si>
  <si>
    <t xml:space="preserve">Japan QA Shared Service- multiple projects</t>
  </si>
  <si>
    <t xml:space="preserve">Platform</t>
  </si>
  <si>
    <t xml:space="preserve">Other#Selenese, but supports others</t>
  </si>
  <si>
    <t xml:space="preserve">JP-DB2-CONNECT</t>
  </si>
  <si>
    <t xml:space="preserve">Japan DB2 Connect Proxy</t>
  </si>
  <si>
    <t xml:space="preserve">Other#COTS</t>
  </si>
  <si>
    <t xml:space="preserve">JP-Payroll</t>
  </si>
  <si>
    <t xml:space="preserve">Japan Payroll System</t>
  </si>
  <si>
    <t xml:space="preserve">Other# N-A(SaaS)</t>
  </si>
  <si>
    <t xml:space="preserve">JP-OLB Batch</t>
  </si>
  <si>
    <t xml:space="preserve">Japan - Direct Marketing Batch Applications</t>
  </si>
  <si>
    <t xml:space="preserve">ASP B_O-JPN</t>
  </si>
  <si>
    <t xml:space="preserve">ASP Bridge (OPEN)</t>
  </si>
  <si>
    <t xml:space="preserve">JAVA; C#; VB.NET</t>
  </si>
  <si>
    <t xml:space="preserve">WCMCCMJPN</t>
  </si>
  <si>
    <t xml:space="preserve">Inspire - Forms Management</t>
  </si>
  <si>
    <t xml:space="preserve">JavaScript</t>
  </si>
  <si>
    <t xml:space="preserve">Digital Portal</t>
  </si>
  <si>
    <t xml:space="preserve">Digital Portals for Policy Administration</t>
  </si>
  <si>
    <t xml:space="preserve">JAVA; JavaScript</t>
  </si>
  <si>
    <t xml:space="preserve">JP - Remote Closing</t>
  </si>
  <si>
    <t xml:space="preserve">JP - Remote Sales Closing</t>
  </si>
  <si>
    <t xml:space="preserve">PaymentService</t>
  </si>
  <si>
    <t xml:space="preserve">Payment Common Service - JP</t>
  </si>
  <si>
    <t xml:space="preserve">JP-GSSP</t>
  </si>
  <si>
    <t xml:space="preserve">Japan Sales Platform (GSSP)</t>
  </si>
  <si>
    <t xml:space="preserve">Business Content Management</t>
  </si>
  <si>
    <t xml:space="preserve">Other#n/a</t>
  </si>
  <si>
    <t xml:space="preserve">Software as a Service (SaaS); Platform as a Service (PaaS)</t>
  </si>
  <si>
    <t xml:space="preserve">DSP</t>
  </si>
  <si>
    <t xml:space="preserve">Digital Servicing Platform</t>
  </si>
  <si>
    <t xml:space="preserve">PL/SQL</t>
  </si>
  <si>
    <t xml:space="preserve">JDPREP</t>
  </si>
  <si>
    <t xml:space="preserve">Japan Data Platform and Reporting-JP</t>
  </si>
  <si>
    <t xml:space="preserve">Other#Transact SQL</t>
  </si>
  <si>
    <t xml:space="preserve">Kintone-JPN</t>
  </si>
  <si>
    <t xml:space="preserve">kintone and paperlogic electronic contract system</t>
  </si>
  <si>
    <t xml:space="preserve">Other#Vendor Managed</t>
  </si>
  <si>
    <t xml:space="preserve">POS-IMS</t>
  </si>
  <si>
    <t xml:space="preserve">POS - Integrated Management System</t>
  </si>
  <si>
    <t xml:space="preserve">AppsPortal</t>
  </si>
  <si>
    <t xml:space="preserve">Enterprise Apps Portal</t>
  </si>
  <si>
    <t xml:space="preserve">JavaScript; JAVA</t>
  </si>
  <si>
    <t xml:space="preserve">Scan Manager</t>
  </si>
  <si>
    <t xml:space="preserve">Digital Scan Manager</t>
  </si>
  <si>
    <t xml:space="preserve">ODMoC</t>
  </si>
  <si>
    <t xml:space="preserve">IBM Operational Decision Manager on Cloud</t>
  </si>
  <si>
    <t xml:space="preserve">Other#IRL Vendor supported language</t>
  </si>
  <si>
    <t xml:space="preserve">External Portal</t>
  </si>
  <si>
    <t xml:space="preserve">External Apps Portal</t>
  </si>
  <si>
    <t xml:space="preserve">Distribution Systems - Internal</t>
  </si>
  <si>
    <t xml:space="preserve">Corporate Batch</t>
  </si>
  <si>
    <t xml:space="preserve">OpenBatch system for Corporate</t>
  </si>
  <si>
    <t xml:space="preserve">Claim Batch</t>
  </si>
  <si>
    <t xml:space="preserve">OpenBatch system for Claim</t>
  </si>
  <si>
    <t xml:space="preserve">Customer Care Batch</t>
  </si>
  <si>
    <t xml:space="preserve">Open Batch System for Customer Care</t>
  </si>
  <si>
    <t xml:space="preserve">Other#ETL (Infomatica)</t>
  </si>
  <si>
    <t xml:space="preserve">AURA</t>
  </si>
  <si>
    <t xml:space="preserve">AURA Underwriting</t>
  </si>
  <si>
    <t xml:space="preserve">POS Batch</t>
  </si>
  <si>
    <t xml:space="preserve">OpenBatch system for Policy Servicing</t>
  </si>
  <si>
    <t xml:space="preserve">Distribution Marketing batches</t>
  </si>
  <si>
    <t xml:space="preserve">Distribution Marketing related batches</t>
  </si>
  <si>
    <t xml:space="preserve">HIMAWARI backend apps</t>
  </si>
  <si>
    <t xml:space="preserve">HIMAWARI backend applications</t>
  </si>
  <si>
    <t xml:space="preserve">New Business Batch</t>
  </si>
  <si>
    <t xml:space="preserve">OpenBatch system for New Business</t>
  </si>
  <si>
    <t xml:space="preserve">WCC</t>
  </si>
  <si>
    <t xml:space="preserve">Web Credit Card</t>
  </si>
  <si>
    <t xml:space="preserve">JAVA; HTML5; JavaScript</t>
  </si>
  <si>
    <t xml:space="preserve">PDF Auto Loader Batch</t>
  </si>
  <si>
    <t xml:space="preserve">Open Batch System for PDF Auto Loader</t>
  </si>
  <si>
    <t xml:space="preserve">IVR Tekigosei</t>
  </si>
  <si>
    <t xml:space="preserve">Confirming UnitLink product suitability via IVR</t>
  </si>
  <si>
    <t xml:space="preserve">Other# N-A</t>
  </si>
  <si>
    <t xml:space="preserve">W09WSD-JPN BIS</t>
  </si>
  <si>
    <t xml:space="preserve">Call Center WSD BIS</t>
  </si>
  <si>
    <t xml:space="preserve">NBAPPS-JPN</t>
  </si>
  <si>
    <t xml:space="preserve">New Business Operation Apps</t>
  </si>
  <si>
    <t xml:space="preserve">SCS</t>
  </si>
  <si>
    <t xml:space="preserve">Sales Compensation System</t>
  </si>
  <si>
    <t xml:space="preserve">JAVA; Other#SQL</t>
  </si>
  <si>
    <t xml:space="preserve">Pega for Claims</t>
  </si>
  <si>
    <t xml:space="preserve">Pega for Claims - Pega Workflow</t>
  </si>
  <si>
    <t xml:space="preserve">RAPS</t>
  </si>
  <si>
    <t xml:space="preserve">Retirement Allowance Payment System</t>
  </si>
  <si>
    <t xml:space="preserve">Commission System Support Tool</t>
  </si>
  <si>
    <t xml:space="preserve">Support Tool for Commission System</t>
  </si>
  <si>
    <t xml:space="preserve">MDRS</t>
  </si>
  <si>
    <t xml:space="preserve">Maturity and Deferral Related System</t>
  </si>
  <si>
    <t xml:space="preserve">JP-BANCA</t>
  </si>
  <si>
    <t xml:space="preserve">Japan Sales Platform-BANCA</t>
  </si>
  <si>
    <t xml:space="preserve">Commission calculation</t>
  </si>
  <si>
    <t xml:space="preserve">Commission Calculation Service</t>
  </si>
  <si>
    <t xml:space="preserve">Vcalc-JPN</t>
  </si>
  <si>
    <t xml:space="preserve">Variable Insurance Guarantee Calculation System</t>
  </si>
  <si>
    <t xml:space="preserve">Helper columns U..AH are what the Logic Tree reads. Columns B..T are the source pack, unmodified.</t>
  </si>
  <si>
    <t xml:space="preserve">Common service platform  —  four functional value streams</t>
  </si>
  <si>
    <t xml:space="preserve">Reconciles to the domain's 10 applications and 198.78 effort units. Every application sits in one and only one stream. VS1 is isolated because it alone is 62% of the domain; VS4 is isolated because its dominant app (IBM ODM) is Archetype A (language-locked) and needs a different sourcing mix from the rest of the domain.</t>
  </si>
  <si>
    <t xml:space="preserve">Code</t>
  </si>
  <si>
    <t xml:space="preserve">Y1 co-src pods</t>
  </si>
  <si>
    <t xml:space="preserve">Y1 full-src pods</t>
  </si>
  <si>
    <t xml:space="preserve">Y1 people</t>
  </si>
  <si>
    <t xml:space="preserve">Integration &amp; API Services</t>
  </si>
  <si>
    <t xml:space="preserve">Identity &amp; Access Management</t>
  </si>
  <si>
    <t xml:space="preserve">Business Rules &amp; Payment Services</t>
  </si>
  <si>
    <t xml:space="preserve">Application-to-value-stream mapping</t>
  </si>
  <si>
    <t xml:space="preserve">Applications</t>
  </si>
  <si>
    <t xml:space="preserve">ITS-PCIS (Mutual Fund System, incl. Bestway) · FATCA Oracle EDQ · BSRec · Variable Insurance Guarantee Calculation System (Vcalc)</t>
  </si>
  <si>
    <t xml:space="preserve">Report Template Management System · eSTATION · Japan Payroll System · Business Content Management · kintone and paperlogic electronic contract system · Commission System Support Tool</t>
  </si>
  <si>
    <t xml:space="preserve">Guidance Refusal Information Administration System · Watch List Filtering system · Misconduct Management system</t>
  </si>
  <si>
    <t xml:space="preserve">Conservation Contact Personnel Entry System · Commission Inquiry · Career Information System · Producers Information Entry System · Web Work Flow · Call Control System · New Submit Online System · Group Policy Inquiry System for Intranet · Commission and Performance System · Conservation Contract Transferring System</t>
  </si>
  <si>
    <t xml:space="preserve">Apollocs · .NET Common Infrastructure · Dr.SUM · ProductXpress · ASP Bridge (Open) · OpenBatch System for Corporate · Retirement Allowance Payment System</t>
  </si>
  <si>
    <t xml:space="preserve">Voucher Approval System for AS400 · AS400 Mass Marketing System · Group Policy Management System</t>
  </si>
  <si>
    <t xml:space="preserve">Pod library — every seat, by year, value stream and pod type</t>
  </si>
  <si>
    <t xml:space="preserve">INPUT. One shared seat template per value stream per pod type per year; Pod Plan's co-sourced/fully-sourced pod counts multiply it out. VS1 (Enterprise Apps Portal) runs pods that shrink 10→9→8 seats across the three years, holding MGCC at roughly a third of each pod (matching this app's real ~34% MGCC baseline). VS2 (Integration &amp; API Services) uses the standard modern-stack CO/FS templates. VS3 (Identity &amp; Access Management) is a single lean fully-sourced pod given its tiny real footprint. VS4 (Business Rules &amp; Payment Services) runs co-sourced pods only, kept FTC/FTE-heavy with just one MGCC seat per pod — IBM ODM's Archetype-A language-lock means most of this stream cannot be offshored the way the rest of the domain can.</t>
  </si>
  <si>
    <t xml:space="preserve">Year</t>
  </si>
  <si>
    <t xml:space="preserve">VS</t>
  </si>
  <si>
    <t xml:space="preserve">Pod type</t>
  </si>
  <si>
    <t xml:space="preserve">Role</t>
  </si>
  <si>
    <t xml:space="preserve">Skill</t>
  </si>
  <si>
    <t xml:space="preserve">Exp</t>
  </si>
  <si>
    <t xml:space="preserve">Sourcing</t>
  </si>
  <si>
    <t xml:space="preserve">Count</t>
  </si>
  <si>
    <t xml:space="preserve">CO</t>
  </si>
  <si>
    <t xml:space="preserve">Product Owner</t>
  </si>
  <si>
    <t xml:space="preserve">LEAD</t>
  </si>
  <si>
    <t xml:space="preserve">Portal Platform SME</t>
  </si>
  <si>
    <t xml:space="preserve">BA</t>
  </si>
  <si>
    <t xml:space="preserve">Application Owner (Technical)</t>
  </si>
  <si>
    <t xml:space="preserve">ENG</t>
  </si>
  <si>
    <t xml:space="preserve">Pod Delivery Lead</t>
  </si>
  <si>
    <t xml:space="preserve">Senior Developer</t>
  </si>
  <si>
    <t xml:space="preserve">DEV</t>
  </si>
  <si>
    <t xml:space="preserve">QA Engineer</t>
  </si>
  <si>
    <t xml:space="preserve">TEST</t>
  </si>
  <si>
    <t xml:space="preserve">Developer — MGCC Hyderabad</t>
  </si>
  <si>
    <t xml:space="preserve">QA Engineer — MGCC Hyderabad</t>
  </si>
  <si>
    <t xml:space="preserve">Pod size — Year 1 VS1 co-sourced</t>
  </si>
  <si>
    <t xml:space="preserve">FS</t>
  </si>
  <si>
    <t xml:space="preserve">Pod Lead (output owner)</t>
  </si>
  <si>
    <t xml:space="preserve">Solution Architect</t>
  </si>
  <si>
    <t xml:space="preserve">Developer</t>
  </si>
  <si>
    <t xml:space="preserve">Test Lead</t>
  </si>
  <si>
    <t xml:space="preserve">Pod size — Year 1 VS1 fully-sourced</t>
  </si>
  <si>
    <t xml:space="preserve">Integration SME</t>
  </si>
  <si>
    <t xml:space="preserve">Senior Developer — MGCC Hyderabad</t>
  </si>
  <si>
    <t xml:space="preserve">QA / Test Engineer</t>
  </si>
  <si>
    <t xml:space="preserve">Pod size — Year 1 VS2 co-sourced</t>
  </si>
  <si>
    <t xml:space="preserve">Pod size — Year 1 VS2 fully-sourced</t>
  </si>
  <si>
    <t xml:space="preserve">Pod size — Year 1 VS3 fully-sourced</t>
  </si>
  <si>
    <t xml:space="preserve">Business Rules SME</t>
  </si>
  <si>
    <t xml:space="preserve">Senior Business Analyst</t>
  </si>
  <si>
    <t xml:space="preserve">Pod size — Year 1 VS4 co-sourced</t>
  </si>
  <si>
    <t xml:space="preserve">AI-assisted Developer</t>
  </si>
  <si>
    <t xml:space="preserve">Quality Engineer (SDET)</t>
  </si>
  <si>
    <t xml:space="preserve">AI-assisted Developer — MGCC Hyderabad</t>
  </si>
  <si>
    <t xml:space="preserve">Pod size — Year 2 VS1 co-sourced</t>
  </si>
  <si>
    <t xml:space="preserve">Pod Lead / AI Orchestrator</t>
  </si>
  <si>
    <t xml:space="preserve">Pod size — Year 2 VS1 fully-sourced</t>
  </si>
  <si>
    <t xml:space="preserve">Pod size — Year 2 VS2 co-sourced</t>
  </si>
  <si>
    <t xml:space="preserve">Pod size — Year 2 VS2 fully-sourced</t>
  </si>
  <si>
    <t xml:space="preserve">Pod size — Year 2 VS3 fully-sourced</t>
  </si>
  <si>
    <t xml:space="preserve">Pod Lead / Delivery Lead</t>
  </si>
  <si>
    <t xml:space="preserve">Pod size — Year 2 VS4 co-sourced</t>
  </si>
  <si>
    <t xml:space="preserve">AI Orchestrator / Developer</t>
  </si>
  <si>
    <t xml:space="preserve">AI Orchestrator — MGCC Hyderabad</t>
  </si>
  <si>
    <t xml:space="preserve">Pod size — Year 3 VS1 co-sourced</t>
  </si>
  <si>
    <t xml:space="preserve">AI Orchestrator</t>
  </si>
  <si>
    <t xml:space="preserve">Support Engineer</t>
  </si>
  <si>
    <t xml:space="preserve">Pod size — Year 3 VS1 fully-sourced</t>
  </si>
  <si>
    <t xml:space="preserve">Pod size — Year 3 VS2 co-sourced</t>
  </si>
  <si>
    <t xml:space="preserve">Pod size — Year 3 VS2 fully-sourced</t>
  </si>
  <si>
    <t xml:space="preserve">Pod size — Year 3 VS3 fully-sourced</t>
  </si>
  <si>
    <t xml:space="preserve">Pod size — Year 3 VS4 co-sourced</t>
  </si>
  <si>
    <t xml:space="preserve">Pod plan  —  how many pods each value stream runs, each year</t>
  </si>
  <si>
    <t xml:space="preserve">INPUT SHEET. Fewer pods and smaller pods is how productivity shows up in the headcount. Nothing else reduces it.</t>
  </si>
  <si>
    <t xml:space="preserve">Co-sourced pods</t>
  </si>
  <si>
    <t xml:space="preserve">Fully-sourced pods</t>
  </si>
  <si>
    <t xml:space="preserve">Pods</t>
  </si>
  <si>
    <t xml:space="preserve">People</t>
  </si>
  <si>
    <t xml:space="preserve">Year 1 total</t>
  </si>
  <si>
    <t xml:space="preserve">Year 2 total</t>
  </si>
  <si>
    <t xml:space="preserve">Year 3 total</t>
  </si>
  <si>
    <t xml:space="preserve">Horizontal teams — work that is not value-stream bounded</t>
  </si>
  <si>
    <t xml:space="preserve">INPUT. Real cross-stream functions for a shared common-services platform domain: platform operations &amp; monitoring (keeping the shared APIs, portal and batch platforms running), security &amp; compliance governance (IAM, vulnerability management, and audit support across every value stream), and a small architecture &amp; governance core that owns integration standards and the platform's technical roadmap. Sized to reconcile the domain's 195/145/115 target exactly once combined with the value-stream pods.</t>
  </si>
  <si>
    <t xml:space="preserve">H1</t>
  </si>
  <si>
    <t xml:space="preserve">Platform Operations &amp; Monitoring</t>
  </si>
  <si>
    <t xml:space="preserve">Platform Operations Lead</t>
  </si>
  <si>
    <t xml:space="preserve">Monitoring &amp; Observability Engineer</t>
  </si>
  <si>
    <t xml:space="preserve">Incident Manager</t>
  </si>
  <si>
    <t xml:space="preserve">Site Reliability Engineer — MGCC Hyderabad</t>
  </si>
  <si>
    <t xml:space="preserve">Batch &amp; Release Operations Analyst</t>
  </si>
  <si>
    <t xml:space="preserve">H1 total</t>
  </si>
  <si>
    <t xml:space="preserve">H2</t>
  </si>
  <si>
    <t xml:space="preserve">Security &amp; Compliance Governance</t>
  </si>
  <si>
    <t xml:space="preserve">Security &amp; Compliance Lead</t>
  </si>
  <si>
    <t xml:space="preserve">IAM / Security Architect (MetLife)</t>
  </si>
  <si>
    <t xml:space="preserve">Compliance Analyst</t>
  </si>
  <si>
    <t xml:space="preserve">Security Engineer — MGCC Hyderabad</t>
  </si>
  <si>
    <t xml:space="preserve">Vulnerability Analyst</t>
  </si>
  <si>
    <t xml:space="preserve">H2 total</t>
  </si>
  <si>
    <t xml:space="preserve">H3</t>
  </si>
  <si>
    <t xml:space="preserve">Architecture &amp; Governance</t>
  </si>
  <si>
    <t xml:space="preserve">Domain Delivery Head</t>
  </si>
  <si>
    <t xml:space="preserve">Chief Common Services Architect (MetLife)</t>
  </si>
  <si>
    <t xml:space="preserve">API &amp; Integration Standards Architect</t>
  </si>
  <si>
    <t xml:space="preserve">Release Train Engineer</t>
  </si>
  <si>
    <t xml:space="preserve">Governance Analyst — MGCC Hyderabad</t>
  </si>
  <si>
    <t xml:space="preserve">H3 total</t>
  </si>
  <si>
    <t xml:space="preserve">Year 1 horizontal total</t>
  </si>
  <si>
    <t xml:space="preserve">AI-assisted Ops Engineer — MGCC Hyderabad</t>
  </si>
  <si>
    <t xml:space="preserve">Year 2 horizontal total</t>
  </si>
  <si>
    <t xml:space="preserve">AI Orchestrator / Monitoring Engineer</t>
  </si>
  <si>
    <t xml:space="preserve">Year 3 horizontal total</t>
  </si>
  <si>
    <t xml:space="preserve">Team build-up  —  headcount, sourcing, location, experience and skill, all derived from the seat ledger</t>
  </si>
  <si>
    <t xml:space="preserve">Nothing on this sheet is typed. Change a seat on Pod Library or a pod count on Pod Plan and every figure here moves.</t>
  </si>
  <si>
    <t xml:space="preserve">A.  POD SIZES  (read from the Pod Library)</t>
  </si>
  <si>
    <t xml:space="preserve">Pod size (avg across CO VS: VS1,VS4; FS VS: VS1,VS2,VS3)</t>
  </si>
  <si>
    <t xml:space="preserve">Y1 co-src</t>
  </si>
  <si>
    <t xml:space="preserve">Y1 full-src</t>
  </si>
  <si>
    <t xml:space="preserve">Y2 co-src</t>
  </si>
  <si>
    <t xml:space="preserve">Y2 full-src</t>
  </si>
  <si>
    <t xml:space="preserve">Y3 co-src</t>
  </si>
  <si>
    <t xml:space="preserve">Y3 full-src</t>
  </si>
  <si>
    <t xml:space="preserve">Seats per pod</t>
  </si>
  <si>
    <t xml:space="preserve">B.  HEADCOUNT</t>
  </si>
  <si>
    <t xml:space="preserve">Measure</t>
  </si>
  <si>
    <t xml:space="preserve">People in value-stream pods</t>
  </si>
  <si>
    <t xml:space="preserve">People in horizontal teams</t>
  </si>
  <si>
    <t xml:space="preserve">TOTAL PEOPLE</t>
  </si>
  <si>
    <t xml:space="preserve">Number of pods</t>
  </si>
  <si>
    <t xml:space="preserve">Average pod size</t>
  </si>
  <si>
    <t xml:space="preserve">C.  SOURCING  —  before any transfer of employment</t>
  </si>
  <si>
    <t xml:space="preserve">Capgemini (FTC)</t>
  </si>
  <si>
    <t xml:space="preserve">MetLife Japan (FTE)</t>
  </si>
  <si>
    <t xml:space="preserve">MetLife MGCC (Hyderabad)</t>
  </si>
  <si>
    <t xml:space="preserve">Check — sums to total</t>
  </si>
  <si>
    <t xml:space="preserve">D.  LOCATION</t>
  </si>
  <si>
    <t xml:space="preserve">Offshore share  (delivered, bottom-up)</t>
  </si>
  <si>
    <t xml:space="preserve">E.  EXPERIENCE MIX  —  built grounds-up from named seats, not applied as a percentage</t>
  </si>
  <si>
    <t xml:space="preserve">Experience band</t>
  </si>
  <si>
    <t xml:space="preserve">Y1 %</t>
  </si>
  <si>
    <t xml:space="preserve">Y2 %</t>
  </si>
  <si>
    <t xml:space="preserve">Y3 %</t>
  </si>
  <si>
    <t xml:space="preserve">E1  Associate  0-3 years</t>
  </si>
  <si>
    <t xml:space="preserve">E2  Engineer  3-6 years</t>
  </si>
  <si>
    <t xml:space="preserve">E3  Senior  6-10 years</t>
  </si>
  <si>
    <t xml:space="preserve">E4  Lead / specialist  10-15 years</t>
  </si>
  <si>
    <t xml:space="preserve">E5  Principal / architect  15 years+</t>
  </si>
  <si>
    <t xml:space="preserve">Talent shape</t>
  </si>
  <si>
    <t xml:space="preserve">Senior share  (E4 + E5)</t>
  </si>
  <si>
    <t xml:space="preserve">F.  SKILL DISTRIBUTION  —  also grounds-up</t>
  </si>
  <si>
    <t xml:space="preserve">Skill family</t>
  </si>
  <si>
    <t xml:space="preserve">Leadership &amp; delivery management</t>
  </si>
  <si>
    <t xml:space="preserve">Business analysis &amp; domain</t>
  </si>
  <si>
    <t xml:space="preserve">Development</t>
  </si>
  <si>
    <t xml:space="preserve">Engineering, AI &amp; platform</t>
  </si>
  <si>
    <t xml:space="preserve">Test &amp; quality engineering</t>
  </si>
  <si>
    <t xml:space="preserve">Operations &amp; production support</t>
  </si>
  <si>
    <t xml:space="preserve">G.  BY VALUE STREAM AND HORIZONTAL TEAM</t>
  </si>
  <si>
    <t xml:space="preserve">Unit</t>
  </si>
  <si>
    <t xml:space="preserve">Y1 pods</t>
  </si>
  <si>
    <t xml:space="preserve">Y3 pods</t>
  </si>
  <si>
    <t xml:space="preserve">VS1  Policy Administration &amp; Contract Servicing</t>
  </si>
  <si>
    <t xml:space="preserve">VS2  Billing, Collections &amp; Payments</t>
  </si>
  <si>
    <t xml:space="preserve">VS3  Agency &amp; Commission</t>
  </si>
  <si>
    <t xml:space="preserve">VS4  Correspondence, Documents &amp; Tax</t>
  </si>
  <si>
    <t xml:space="preserve">VS5  New Business, Underwriting &amp; Interfaces</t>
  </si>
  <si>
    <t xml:space="preserve">VS6  Finance, Valuation &amp; Reinsurance</t>
  </si>
  <si>
    <t xml:space="preserve">H1  Production &amp; Batch Operations Command</t>
  </si>
  <si>
    <t xml:space="preserve">H2  Quality Engineering &amp; Test Data Factory</t>
  </si>
  <si>
    <t xml:space="preserve">H3  Domain Architecture, Release Train &amp; Governance</t>
  </si>
  <si>
    <t xml:space="preserve">TOTAL</t>
  </si>
  <si>
    <t xml:space="preserve">Glidepath  —  target from the logic tree, delivered from the pod design, and the transfer needed for 50:50</t>
  </si>
  <si>
    <t xml:space="preserve">The tree says what the archetype mix should allow. The pod design says what we have actually staffed to. The gap is transition drag.</t>
  </si>
  <si>
    <t xml:space="preserve">A.  BASELINE  —  MetLife current state for this domain</t>
  </si>
  <si>
    <t xml:space="preserve">Value</t>
  </si>
  <si>
    <t xml:space="preserve">Current Capgemini FTC</t>
  </si>
  <si>
    <t xml:space="preserve">Current MetLife FTE</t>
  </si>
  <si>
    <t xml:space="preserve">Current MetLife MGCC</t>
  </si>
  <si>
    <t xml:space="preserve">MetLife Appendix 3 Year-3 target FTC</t>
  </si>
  <si>
    <t xml:space="preserve">Implied MetLife productivity assumption</t>
  </si>
  <si>
    <t xml:space="preserve">Appendix 3 v2 halves every application and leaves the portfolio unchanged, so it assumes zero productivity.</t>
  </si>
  <si>
    <t xml:space="preserve">B.  PRODUCTIVITY  —  target vs delivered</t>
  </si>
  <si>
    <t xml:space="preserve">Headcount delivered by the pod design</t>
  </si>
  <si>
    <t xml:space="preserve">Year 1 absorbs the whole of the drag: knowledge acquisition, substrate build and dual running are real work that consumes the productivity earned.</t>
  </si>
  <si>
    <t xml:space="preserve">Delivered productivity vs baseline</t>
  </si>
  <si>
    <t xml:space="preserve">Target productivity from the logic tree</t>
  </si>
  <si>
    <t xml:space="preserve">Transition &amp; enablement drag  (target less delivered)</t>
  </si>
  <si>
    <t xml:space="preserve">C.  OFFSHORE  —  target vs delivered</t>
  </si>
  <si>
    <t xml:space="preserve">Delivered offshore share (bottom-up from seats)</t>
  </si>
  <si>
    <t xml:space="preserve">Target offshore share from the logic tree</t>
  </si>
  <si>
    <t xml:space="preserve">Variance</t>
  </si>
  <si>
    <t xml:space="preserve">D.  THE 50:50 SOLVE</t>
  </si>
  <si>
    <t xml:space="preserve">Productivity shrinks the Capgemini side and the MetLife side together, so it cannot move the ratio. Only transfer of employment can.</t>
  </si>
  <si>
    <t xml:space="preserve">Total people</t>
  </si>
  <si>
    <t xml:space="preserve">Capgemini FTC before transfer</t>
  </si>
  <si>
    <t xml:space="preserve">MetLife FTE before transfer</t>
  </si>
  <si>
    <t xml:space="preserve">MetLife MGCC before transfer</t>
  </si>
  <si>
    <t xml:space="preserve">Ratio before transfer  FTC : MetLife</t>
  </si>
  <si>
    <t xml:space="preserve">Transferred to MetLife FTE this year</t>
  </si>
  <si>
    <t xml:space="preserve">Transferred to MetLife MGCC this year</t>
  </si>
  <si>
    <t xml:space="preserve">Capgemini FTC after transfer</t>
  </si>
  <si>
    <t xml:space="preserve">MetLife side after transfer</t>
  </si>
  <si>
    <t xml:space="preserve">RATIO ACHIEVED  —  Capgemini share</t>
  </si>
  <si>
    <t xml:space="preserve">A negative shortfall means the plan transfers more than 50:50 requires.</t>
  </si>
  <si>
    <t xml:space="preserve">Transfer required for exactly 50:50 (cumulative)</t>
  </si>
  <si>
    <t xml:space="preserve">Shortfall against 50:50</t>
  </si>
  <si>
    <t xml:space="preserve">Of the fall in the Capgemini population from Year 1 to Year 3:</t>
  </si>
  <si>
    <t xml:space="preserve">  attributable to productivity and offshore mix</t>
  </si>
  <si>
    <t xml:space="preserve">Transfer moves revenue rather than creating efficiency. It has to be priced separately.</t>
  </si>
  <si>
    <t xml:space="preserve">  attributable to transfer of employment</t>
  </si>
  <si>
    <t xml:space="preserve">  total reduction in Capgemini headcount</t>
  </si>
  <si>
    <t xml:space="preserve">Cost and commercial position  —  relative index only, pending the approved rate card</t>
  </si>
  <si>
    <t xml:space="preserve">Onshore Tokyo band E2 = 1.00. Every figure moves if the cost index on the Logic Tree changes.</t>
  </si>
  <si>
    <t xml:space="preserve">A.  TOTAL COST OF DELIVERING THE DOMAIN  (MetLife view — all three sourcing types)</t>
  </si>
  <si>
    <t xml:space="preserve">Total cost index</t>
  </si>
  <si>
    <t xml:space="preserve">Headcount</t>
  </si>
  <si>
    <t xml:space="preserve">Average cost per head</t>
  </si>
  <si>
    <t xml:space="preserve">Watch this line. Average cost per head falls in Year 2 on offshore leverage, then rises in Year 3 as juniors leave and the shape turns obelisk.</t>
  </si>
  <si>
    <t xml:space="preserve">Cost per unit of original scope</t>
  </si>
  <si>
    <t xml:space="preserve">Unit cost reduction vs Year 1</t>
  </si>
  <si>
    <t xml:space="preserve">This is the number to quote commercially, not the headcount reduction.</t>
  </si>
  <si>
    <t xml:space="preserve">B.  CAPGEMINI BILLABLE POSITION  (after transfer of employment)</t>
  </si>
  <si>
    <t xml:space="preserve">Capgemini heads billed</t>
  </si>
  <si>
    <t xml:space="preserve">Capgemini cost index (approximate — transfers assumed at average band)</t>
  </si>
  <si>
    <t xml:space="preserve">Capgemini position vs Year 1</t>
  </si>
  <si>
    <t xml:space="preserve">The Capgemini revenue base falls far faster than the domain cost base. Productivity plus transfer, compounding in the same direction.</t>
  </si>
  <si>
    <t xml:space="preserve">C.  COST BY LOCATION AND BY EXPERIENCE BAND</t>
  </si>
  <si>
    <t xml:space="preserve">Split</t>
  </si>
  <si>
    <t xml:space="preserve">Onshore Tokyo — cost index</t>
  </si>
  <si>
    <t xml:space="preserve">Offshore Hyderabad — cost index</t>
  </si>
  <si>
    <t xml:space="preserve">Onshore share of cost</t>
  </si>
  <si>
    <t xml:space="preserve">E1 — cost index</t>
  </si>
  <si>
    <t xml:space="preserve">E2 — cost index</t>
  </si>
  <si>
    <t xml:space="preserve">E3 — cost index</t>
  </si>
  <si>
    <t xml:space="preserve">E4 — cost index</t>
  </si>
  <si>
    <t xml:space="preserve">E5 — cost index</t>
  </si>
  <si>
    <t xml:space="preserve">D.  WHAT THIS MEANS FOR THE PRICING SUBMISSION</t>
  </si>
  <si>
    <r>
      <rPr>
        <sz val="10"/>
        <rFont val="Arial"/>
        <family val="0"/>
        <charset val="1"/>
      </rPr>
      <t xml:space="preserve">•  Appendix 5 is priced by </t>
    </r>
    <r>
      <rPr>
        <sz val="10"/>
        <rFont val="Noto Sans CJK SC"/>
        <family val="2"/>
      </rPr>
      <t xml:space="preserve">領域</t>
    </r>
    <r>
      <rPr>
        <sz val="10"/>
        <rFont val="Arial"/>
        <family val="0"/>
        <charset val="1"/>
      </rPr>
      <t xml:space="preserve">. Contract Management is 99.4% archetype D, the hardest archetype in the portfolio.</t>
    </r>
  </si>
  <si>
    <t xml:space="preserve">•  The portfolio-wide productivity commitment cannot be applied uniformly across domains. Applying it here under-prices this domain.</t>
  </si>
  <si>
    <t xml:space="preserve">•  Transfer of employment is a commercial event, not a delivery efficiency. Price the transition and the substrate build in Years 1 and 2, when the revenue is still there.</t>
  </si>
  <si>
    <t xml:space="preserve">•  The Year 3 exit revenue for this domain is roughly a third of Day 1. Everything that has to be recovered must be recovered early.</t>
  </si>
  <si>
    <t xml:space="preserve">POD</t>
  </si>
  <si>
    <t xml:space="preserve">HZ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</si>
</sst>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"/>
    <numFmt numFmtId="167" formatCode="0.0%"/>
    <numFmt numFmtId="168" formatCode="0%"/>
    <numFmt numFmtId="169" formatCode="#,##0.00"/>
    <numFmt numFmtId="170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8.5"/>
      <color rgb="FF595959"/>
      <name val="Arial"/>
      <family val="0"/>
      <charset val="1"/>
    </font>
    <font>
      <b val="true"/>
      <sz val="11"/>
      <color rgb="FF0038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1"/>
      <name val="Calibri"/>
      <family val="0"/>
      <charset val="1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385F"/>
        <bgColor rgb="FF003300"/>
      </patternFill>
    </fill>
    <fill>
      <patternFill patternType="solid">
        <fgColor rgb="FFDCEEF9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0090DA"/>
        <bgColor rgb="FF008080"/>
      </patternFill>
    </fill>
    <fill>
      <patternFill patternType="solid">
        <fgColor rgb="FFF2F2F2"/>
        <bgColor rgb="FFDCEE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090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0DA"/>
      <rgbColor rgb="FFBFBFBF"/>
      <rgbColor rgb="FF808080"/>
      <rgbColor rgb="FF9999FF"/>
      <rgbColor rgb="FF993366"/>
      <rgbColor rgb="FFFFF2CC"/>
      <rgbColor rgb="FFDCEE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8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92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4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8.75" hidden="false" customHeight="true" outlineLevel="0" collapsed="false">
      <c r="A4" s="4" t="s">
        <v>2</v>
      </c>
      <c r="B4" s="4"/>
      <c r="C4" s="4"/>
    </row>
    <row r="5" customFormat="false" ht="25.5" hidden="false" customHeight="true" outlineLevel="0" collapsed="false">
      <c r="B5" s="5" t="s">
        <v>3</v>
      </c>
      <c r="C5" s="6" t="s">
        <v>4</v>
      </c>
    </row>
    <row r="6" customFormat="false" ht="25.5" hidden="false" customHeight="true" outlineLevel="0" collapsed="false">
      <c r="B6" s="5" t="s">
        <v>5</v>
      </c>
      <c r="C6" s="6" t="s">
        <v>6</v>
      </c>
    </row>
    <row r="7" customFormat="false" ht="25.5" hidden="false" customHeight="true" outlineLevel="0" collapsed="false">
      <c r="B7" s="5" t="s">
        <v>7</v>
      </c>
      <c r="C7" s="6" t="s">
        <v>8</v>
      </c>
    </row>
    <row r="8" customFormat="false" ht="18.75" hidden="false" customHeight="true" outlineLevel="0" collapsed="false">
      <c r="A8" s="4" t="s">
        <v>9</v>
      </c>
      <c r="B8" s="4"/>
      <c r="C8" s="4"/>
    </row>
    <row r="9" customFormat="false" ht="25.5" hidden="false" customHeight="true" outlineLevel="0" collapsed="false">
      <c r="B9" s="5" t="s">
        <v>10</v>
      </c>
      <c r="C9" s="6" t="s">
        <v>11</v>
      </c>
    </row>
    <row r="10" customFormat="false" ht="25.5" hidden="false" customHeight="true" outlineLevel="0" collapsed="false">
      <c r="B10" s="5" t="s">
        <v>12</v>
      </c>
      <c r="C10" s="6" t="s">
        <v>13</v>
      </c>
    </row>
    <row r="11" customFormat="false" ht="25.5" hidden="false" customHeight="true" outlineLevel="0" collapsed="false">
      <c r="B11" s="5" t="s">
        <v>14</v>
      </c>
      <c r="C11" s="6" t="s">
        <v>15</v>
      </c>
    </row>
    <row r="12" customFormat="false" ht="25.5" hidden="false" customHeight="true" outlineLevel="0" collapsed="false">
      <c r="B12" s="5" t="s">
        <v>16</v>
      </c>
      <c r="C12" s="6" t="s">
        <v>17</v>
      </c>
    </row>
    <row r="13" customFormat="false" ht="18.75" hidden="false" customHeight="true" outlineLevel="0" collapsed="false">
      <c r="A13" s="4" t="s">
        <v>18</v>
      </c>
      <c r="B13" s="4"/>
      <c r="C13" s="4"/>
    </row>
    <row r="14" customFormat="false" ht="25.5" hidden="false" customHeight="true" outlineLevel="0" collapsed="false">
      <c r="B14" s="5" t="s">
        <v>19</v>
      </c>
      <c r="C14" s="6" t="s">
        <v>20</v>
      </c>
    </row>
    <row r="15" customFormat="false" ht="25.5" hidden="false" customHeight="true" outlineLevel="0" collapsed="false">
      <c r="B15" s="5" t="s">
        <v>21</v>
      </c>
      <c r="C15" s="6" t="s">
        <v>22</v>
      </c>
    </row>
    <row r="16" customFormat="false" ht="25.5" hidden="false" customHeight="true" outlineLevel="0" collapsed="false">
      <c r="B16" s="5" t="s">
        <v>23</v>
      </c>
      <c r="C16" s="6" t="s">
        <v>24</v>
      </c>
    </row>
    <row r="17" customFormat="false" ht="25.5" hidden="false" customHeight="true" outlineLevel="0" collapsed="false">
      <c r="B17" s="5" t="s">
        <v>25</v>
      </c>
      <c r="C17" s="6" t="s">
        <v>26</v>
      </c>
    </row>
    <row r="18" customFormat="false" ht="25.5" hidden="false" customHeight="true" outlineLevel="0" collapsed="false">
      <c r="B18" s="5" t="s">
        <v>27</v>
      </c>
      <c r="C18" s="6" t="s">
        <v>28</v>
      </c>
    </row>
    <row r="19" customFormat="false" ht="25.5" hidden="false" customHeight="true" outlineLevel="0" collapsed="false">
      <c r="B19" s="5" t="s">
        <v>29</v>
      </c>
      <c r="C19" s="6" t="s">
        <v>30</v>
      </c>
    </row>
    <row r="20" customFormat="false" ht="25.5" hidden="false" customHeight="true" outlineLevel="0" collapsed="false">
      <c r="B20" s="5" t="s">
        <v>31</v>
      </c>
      <c r="C20" s="6" t="s">
        <v>32</v>
      </c>
    </row>
    <row r="21" customFormat="false" ht="25.5" hidden="false" customHeight="true" outlineLevel="0" collapsed="false">
      <c r="B21" s="5" t="s">
        <v>33</v>
      </c>
      <c r="C21" s="6" t="s">
        <v>34</v>
      </c>
    </row>
    <row r="22" customFormat="false" ht="25.5" hidden="false" customHeight="true" outlineLevel="0" collapsed="false">
      <c r="B22" s="5" t="s">
        <v>35</v>
      </c>
      <c r="C22" s="6" t="s">
        <v>36</v>
      </c>
    </row>
    <row r="23" customFormat="false" ht="25.5" hidden="false" customHeight="true" outlineLevel="0" collapsed="false">
      <c r="B23" s="5" t="s">
        <v>37</v>
      </c>
      <c r="C23" s="6" t="s">
        <v>38</v>
      </c>
    </row>
    <row r="24" customFormat="false" ht="18.75" hidden="false" customHeight="true" outlineLevel="0" collapsed="false">
      <c r="A24" s="4" t="s">
        <v>39</v>
      </c>
      <c r="B24" s="4"/>
      <c r="C24" s="4"/>
    </row>
    <row r="25" customFormat="false" ht="25.5" hidden="false" customHeight="true" outlineLevel="0" collapsed="false">
      <c r="B25" s="5" t="s">
        <v>40</v>
      </c>
      <c r="C25" s="6" t="s">
        <v>41</v>
      </c>
    </row>
    <row r="26" customFormat="false" ht="25.5" hidden="false" customHeight="true" outlineLevel="0" collapsed="false">
      <c r="B26" s="5" t="s">
        <v>42</v>
      </c>
      <c r="C26" s="6" t="s">
        <v>43</v>
      </c>
    </row>
    <row r="27" customFormat="false" ht="25.5" hidden="false" customHeight="true" outlineLevel="0" collapsed="false">
      <c r="B27" s="5" t="s">
        <v>44</v>
      </c>
      <c r="C27" s="6" t="s">
        <v>45</v>
      </c>
    </row>
    <row r="28" customFormat="false" ht="25.5" hidden="false" customHeight="true" outlineLevel="0" collapsed="false">
      <c r="B28" s="5" t="s">
        <v>46</v>
      </c>
      <c r="C28" s="6" t="s">
        <v>47</v>
      </c>
    </row>
    <row r="30" customFormat="false" ht="14.25" hidden="false" customHeight="true" outlineLevel="0" collapsed="false">
      <c r="B30" s="7" t="s">
        <v>48</v>
      </c>
      <c r="C30" s="8" t="s">
        <v>49</v>
      </c>
    </row>
  </sheetData>
  <mergeCells count="6">
    <mergeCell ref="A1:H1"/>
    <mergeCell ref="A2:H2"/>
    <mergeCell ref="A4:C4"/>
    <mergeCell ref="A8:C8"/>
    <mergeCell ref="A13:C13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9.27"/>
    <col collapsed="false" customWidth="true" hidden="false" outlineLevel="0" max="3" min="3" style="1" width="62"/>
    <col collapsed="false" customWidth="true" hidden="false" outlineLevel="0" max="8" min="4" style="1" width="13"/>
    <col collapsed="false" customWidth="true" hidden="false" outlineLevel="0" max="9" min="9" style="1" width="40"/>
  </cols>
  <sheetData>
    <row r="1" customFormat="false" ht="25.5" hidden="false" customHeight="true" outlineLevel="0" collapsed="false">
      <c r="A1" s="2" t="s">
        <v>50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4.25" hidden="false" customHeight="true" outlineLevel="0" collapsed="false">
      <c r="A2" s="3" t="s">
        <v>51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8.75" hidden="false" customHeight="true" outlineLevel="0" collapsed="false">
      <c r="A4" s="4" t="s">
        <v>52</v>
      </c>
      <c r="B4" s="4"/>
      <c r="C4" s="4"/>
      <c r="D4" s="4"/>
      <c r="E4" s="4"/>
      <c r="F4" s="4"/>
      <c r="G4" s="4"/>
      <c r="H4" s="4"/>
      <c r="I4" s="4"/>
    </row>
    <row r="5" customFormat="false" ht="14.25" hidden="false" customHeight="true" outlineLevel="0" collapsed="false">
      <c r="B5" s="7" t="s">
        <v>53</v>
      </c>
      <c r="C5" s="9" t="s">
        <v>54</v>
      </c>
      <c r="I5" s="10" t="s">
        <v>55</v>
      </c>
    </row>
    <row r="6" customFormat="false" ht="14.25" hidden="false" customHeight="true" outlineLevel="0" collapsed="false">
      <c r="B6" s="11" t="s">
        <v>56</v>
      </c>
      <c r="C6" s="12" t="n">
        <f aca="false">SUMIFS(Inventory!$U:$U,Inventory!$E:$E,$C$5)</f>
        <v>10</v>
      </c>
    </row>
    <row r="7" customFormat="false" ht="14.25" hidden="false" customHeight="true" outlineLevel="0" collapsed="false">
      <c r="B7" s="11" t="s">
        <v>57</v>
      </c>
      <c r="C7" s="13" t="n">
        <f aca="false">SUMIFS(Inventory!$AD:$AD,Inventory!$E:$E,$C$5)</f>
        <v>198.780291666667</v>
      </c>
    </row>
    <row r="8" customFormat="false" ht="14.25" hidden="false" customHeight="true" outlineLevel="0" collapsed="false">
      <c r="B8" s="11" t="s">
        <v>58</v>
      </c>
      <c r="C8" s="13" t="n">
        <f aca="false">SUMIFS(Inventory!$AA:$AA,Inventory!$E:$E,$C$5)</f>
        <v>98.0957083333334</v>
      </c>
    </row>
    <row r="9" customFormat="false" ht="14.25" hidden="false" customHeight="true" outlineLevel="0" collapsed="false">
      <c r="B9" s="11" t="s">
        <v>59</v>
      </c>
      <c r="C9" s="13" t="n">
        <f aca="false">SUMIFS(Inventory!$AB:$AB,Inventory!$E:$E,$C$5)</f>
        <v>35.3145833333333</v>
      </c>
    </row>
    <row r="10" customFormat="false" ht="14.25" hidden="false" customHeight="true" outlineLevel="0" collapsed="false">
      <c r="B10" s="11" t="s">
        <v>60</v>
      </c>
      <c r="C10" s="13" t="n">
        <f aca="false">SUMIFS(Inventory!$AC:$AC,Inventory!$E:$E,$C$5)</f>
        <v>65.3700000000001</v>
      </c>
    </row>
    <row r="11" customFormat="false" ht="14.25" hidden="false" customHeight="true" outlineLevel="0" collapsed="false">
      <c r="B11" s="11" t="s">
        <v>61</v>
      </c>
      <c r="C11" s="13" t="n">
        <f aca="false">SUMIFS(Inventory!$AF:$AF,Inventory!$E:$E,$C$5)</f>
        <v>179.903625</v>
      </c>
    </row>
    <row r="12" customFormat="false" ht="14.25" hidden="false" customHeight="true" outlineLevel="0" collapsed="false">
      <c r="B12" s="11" t="s">
        <v>62</v>
      </c>
      <c r="C12" s="13" t="n">
        <f aca="false">C7-C11</f>
        <v>18.8766666666667</v>
      </c>
    </row>
    <row r="13" customFormat="false" ht="14.25" hidden="false" customHeight="true" outlineLevel="0" collapsed="false">
      <c r="B13" s="11" t="s">
        <v>63</v>
      </c>
      <c r="C13" s="14" t="n">
        <f aca="false">IF(C7=0,0,C11/C7)</f>
        <v>0.905037534111677</v>
      </c>
    </row>
    <row r="15" customFormat="false" ht="18.75" hidden="false" customHeight="true" outlineLevel="0" collapsed="false">
      <c r="A15" s="4" t="s">
        <v>64</v>
      </c>
      <c r="B15" s="4"/>
      <c r="C15" s="4"/>
      <c r="D15" s="4"/>
      <c r="E15" s="4"/>
      <c r="F15" s="4"/>
      <c r="G15" s="4"/>
      <c r="H15" s="4"/>
      <c r="I15" s="4"/>
    </row>
    <row r="16" customFormat="false" ht="27.75" hidden="false" customHeight="true" outlineLevel="0" collapsed="false">
      <c r="B16" s="15" t="s">
        <v>65</v>
      </c>
      <c r="C16" s="15" t="s">
        <v>66</v>
      </c>
      <c r="D16" s="15" t="s">
        <v>67</v>
      </c>
      <c r="E16" s="15" t="s">
        <v>68</v>
      </c>
      <c r="F16" s="15" t="s">
        <v>69</v>
      </c>
    </row>
    <row r="17" customFormat="false" ht="14.25" hidden="false" customHeight="true" outlineLevel="0" collapsed="false">
      <c r="B17" s="16" t="s">
        <v>70</v>
      </c>
      <c r="C17" s="11" t="s">
        <v>71</v>
      </c>
      <c r="D17" s="17" t="n">
        <f aca="false">SUMIFS(Inventory!$U:$U,Inventory!$E:$E,$C$5,Inventory!$AG:$AG,$B17)</f>
        <v>1</v>
      </c>
      <c r="E17" s="18" t="n">
        <f aca="false">SUMIFS(Inventory!$AD:$AD,Inventory!$E:$E,$C$5,Inventory!$AG:$AG,$B17)</f>
        <v>16.0416666666667</v>
      </c>
      <c r="F17" s="19" t="n">
        <f aca="false">IF($C$7=0,0,E17/$C$7)</f>
        <v>0.0807004886257379</v>
      </c>
    </row>
    <row r="18" customFormat="false" ht="14.25" hidden="false" customHeight="true" outlineLevel="0" collapsed="false">
      <c r="B18" s="16" t="s">
        <v>72</v>
      </c>
      <c r="C18" s="11" t="s">
        <v>73</v>
      </c>
      <c r="D18" s="17" t="n">
        <f aca="false">SUMIFS(Inventory!$U:$U,Inventory!$E:$E,$C$5,Inventory!$AG:$AG,$B18)</f>
        <v>8</v>
      </c>
      <c r="E18" s="18" t="n">
        <f aca="false">SUMIFS(Inventory!$AD:$AD,Inventory!$E:$E,$C$5,Inventory!$AG:$AG,$B18)</f>
        <v>60.2</v>
      </c>
      <c r="F18" s="19" t="n">
        <f aca="false">IF($C$7=0,0,E18/$C$7)</f>
        <v>0.302846924588223</v>
      </c>
    </row>
    <row r="19" customFormat="false" ht="14.25" hidden="false" customHeight="true" outlineLevel="0" collapsed="false">
      <c r="B19" s="16" t="s">
        <v>74</v>
      </c>
      <c r="C19" s="11" t="s">
        <v>75</v>
      </c>
      <c r="D19" s="17" t="n">
        <f aca="false">SUMIFS(Inventory!$U:$U,Inventory!$E:$E,$C$5,Inventory!$AG:$AG,$B19)</f>
        <v>1</v>
      </c>
      <c r="E19" s="18" t="n">
        <f aca="false">SUMIFS(Inventory!$AD:$AD,Inventory!$E:$E,$C$5,Inventory!$AG:$AG,$B19)</f>
        <v>122.538625</v>
      </c>
      <c r="F19" s="19" t="n">
        <f aca="false">IF($C$7=0,0,E19/$C$7)</f>
        <v>0.616452586786039</v>
      </c>
    </row>
    <row r="20" customFormat="false" ht="14.25" hidden="false" customHeight="true" outlineLevel="0" collapsed="false">
      <c r="B20" s="16" t="s">
        <v>76</v>
      </c>
      <c r="C20" s="11" t="s">
        <v>77</v>
      </c>
      <c r="D20" s="17" t="n">
        <f aca="false">SUMIFS(Inventory!$U:$U,Inventory!$E:$E,$C$5,Inventory!$AG:$AG,$B20)</f>
        <v>0</v>
      </c>
      <c r="E20" s="18" t="n">
        <f aca="false">SUMIFS(Inventory!$AD:$AD,Inventory!$E:$E,$C$5,Inventory!$AG:$AG,$B20)</f>
        <v>0</v>
      </c>
      <c r="F20" s="19" t="n">
        <f aca="false">IF($C$7=0,0,E20/$C$7)</f>
        <v>0</v>
      </c>
    </row>
    <row r="21" customFormat="false" ht="14.25" hidden="false" customHeight="true" outlineLevel="0" collapsed="false">
      <c r="B21" s="7" t="s">
        <v>78</v>
      </c>
      <c r="C21" s="11"/>
      <c r="D21" s="20" t="n">
        <f aca="false">SUM(D17:D20)</f>
        <v>10</v>
      </c>
      <c r="E21" s="21" t="n">
        <f aca="false">SUM(E17:E20)</f>
        <v>198.780291666667</v>
      </c>
      <c r="F21" s="22" t="n">
        <f aca="false">SUM(F17:F20)</f>
        <v>1</v>
      </c>
    </row>
    <row r="23" customFormat="false" ht="18.75" hidden="false" customHeight="true" outlineLevel="0" collapsed="false">
      <c r="A23" s="4" t="s">
        <v>79</v>
      </c>
      <c r="B23" s="4"/>
      <c r="C23" s="4"/>
      <c r="D23" s="4"/>
      <c r="E23" s="4"/>
      <c r="F23" s="4"/>
      <c r="G23" s="4"/>
      <c r="H23" s="4"/>
      <c r="I23" s="4"/>
    </row>
    <row r="24" customFormat="false" ht="27.75" hidden="false" customHeight="true" outlineLevel="0" collapsed="false">
      <c r="B24" s="15" t="s">
        <v>80</v>
      </c>
      <c r="C24" s="15" t="s">
        <v>69</v>
      </c>
    </row>
    <row r="25" customFormat="false" ht="14.25" hidden="false" customHeight="true" outlineLevel="0" collapsed="false">
      <c r="B25" s="11" t="s">
        <v>81</v>
      </c>
      <c r="C25" s="23" t="n">
        <v>0.15</v>
      </c>
    </row>
    <row r="26" customFormat="false" ht="14.25" hidden="false" customHeight="true" outlineLevel="0" collapsed="false">
      <c r="B26" s="11" t="s">
        <v>82</v>
      </c>
      <c r="C26" s="23" t="n">
        <v>0.1</v>
      </c>
    </row>
    <row r="27" customFormat="false" ht="14.25" hidden="false" customHeight="true" outlineLevel="0" collapsed="false">
      <c r="B27" s="11" t="s">
        <v>83</v>
      </c>
      <c r="C27" s="23" t="n">
        <v>0.3</v>
      </c>
    </row>
    <row r="28" customFormat="false" ht="14.25" hidden="false" customHeight="true" outlineLevel="0" collapsed="false">
      <c r="B28" s="11" t="s">
        <v>84</v>
      </c>
      <c r="C28" s="23" t="n">
        <v>0.25</v>
      </c>
    </row>
    <row r="29" customFormat="false" ht="14.25" hidden="false" customHeight="true" outlineLevel="0" collapsed="false">
      <c r="B29" s="11" t="s">
        <v>85</v>
      </c>
      <c r="C29" s="23" t="n">
        <v>0.05</v>
      </c>
    </row>
    <row r="30" customFormat="false" ht="14.25" hidden="false" customHeight="true" outlineLevel="0" collapsed="false">
      <c r="B30" s="11" t="s">
        <v>86</v>
      </c>
      <c r="C30" s="23" t="n">
        <v>0.15</v>
      </c>
    </row>
    <row r="31" customFormat="false" ht="14.25" hidden="false" customHeight="true" outlineLevel="0" collapsed="false">
      <c r="B31" s="7" t="s">
        <v>87</v>
      </c>
      <c r="C31" s="22" t="n">
        <f aca="false">SUM(C25:C30)</f>
        <v>1</v>
      </c>
    </row>
    <row r="33" customFormat="false" ht="18.75" hidden="false" customHeight="true" outlineLevel="0" collapsed="false">
      <c r="A33" s="4" t="s">
        <v>88</v>
      </c>
      <c r="B33" s="4"/>
      <c r="C33" s="4"/>
      <c r="D33" s="4"/>
      <c r="E33" s="4"/>
      <c r="F33" s="4"/>
      <c r="G33" s="4"/>
      <c r="H33" s="4"/>
      <c r="I33" s="4"/>
    </row>
    <row r="34" customFormat="false" ht="14.25" hidden="false" customHeight="true" outlineLevel="0" collapsed="false">
      <c r="B34" s="10" t="s">
        <v>89</v>
      </c>
    </row>
    <row r="35" customFormat="false" ht="27.75" hidden="false" customHeight="true" outlineLevel="0" collapsed="false">
      <c r="B35" s="15" t="s">
        <v>80</v>
      </c>
      <c r="C35" s="15" t="s">
        <v>70</v>
      </c>
      <c r="D35" s="15" t="s">
        <v>72</v>
      </c>
      <c r="E35" s="15" t="s">
        <v>74</v>
      </c>
      <c r="F35" s="15" t="s">
        <v>76</v>
      </c>
    </row>
    <row r="36" customFormat="false" ht="14.25" hidden="false" customHeight="true" outlineLevel="0" collapsed="false">
      <c r="B36" s="11" t="s">
        <v>81</v>
      </c>
      <c r="C36" s="23" t="n">
        <v>0.22</v>
      </c>
      <c r="D36" s="23" t="n">
        <v>0.35</v>
      </c>
      <c r="E36" s="23" t="n">
        <v>0.35</v>
      </c>
      <c r="F36" s="23" t="n">
        <v>0.35</v>
      </c>
    </row>
    <row r="37" customFormat="false" ht="14.25" hidden="false" customHeight="true" outlineLevel="0" collapsed="false">
      <c r="B37" s="11" t="s">
        <v>82</v>
      </c>
      <c r="C37" s="23" t="n">
        <v>0.2</v>
      </c>
      <c r="D37" s="23" t="n">
        <v>0.3</v>
      </c>
      <c r="E37" s="23" t="n">
        <v>0.3</v>
      </c>
      <c r="F37" s="23" t="n">
        <v>0.22</v>
      </c>
      <c r="G37" s="24"/>
    </row>
    <row r="38" customFormat="false" ht="14.25" hidden="false" customHeight="true" outlineLevel="0" collapsed="false">
      <c r="B38" s="11" t="s">
        <v>83</v>
      </c>
      <c r="C38" s="23" t="n">
        <v>0.32</v>
      </c>
      <c r="D38" s="23" t="n">
        <v>0.55</v>
      </c>
      <c r="E38" s="23" t="n">
        <v>0.5</v>
      </c>
      <c r="F38" s="23" t="n">
        <v>0.2</v>
      </c>
    </row>
    <row r="39" customFormat="false" ht="14.25" hidden="false" customHeight="true" outlineLevel="0" collapsed="false">
      <c r="B39" s="11" t="s">
        <v>84</v>
      </c>
      <c r="C39" s="23" t="n">
        <v>0.38</v>
      </c>
      <c r="D39" s="23" t="n">
        <v>0.6</v>
      </c>
      <c r="E39" s="23" t="n">
        <v>0.55</v>
      </c>
      <c r="F39" s="23" t="n">
        <v>0.4</v>
      </c>
    </row>
    <row r="40" customFormat="false" ht="14.25" hidden="false" customHeight="true" outlineLevel="0" collapsed="false">
      <c r="B40" s="11" t="s">
        <v>85</v>
      </c>
      <c r="C40" s="23" t="n">
        <v>0.3</v>
      </c>
      <c r="D40" s="23" t="n">
        <v>0.5</v>
      </c>
      <c r="E40" s="23" t="n">
        <v>0.45</v>
      </c>
      <c r="F40" s="23" t="n">
        <v>0.25</v>
      </c>
    </row>
    <row r="41" customFormat="false" ht="14.25" hidden="false" customHeight="true" outlineLevel="0" collapsed="false">
      <c r="B41" s="11" t="s">
        <v>86</v>
      </c>
      <c r="C41" s="23" t="n">
        <v>0.3</v>
      </c>
      <c r="D41" s="23" t="n">
        <v>0.4</v>
      </c>
      <c r="E41" s="23" t="n">
        <v>0.4</v>
      </c>
      <c r="F41" s="23" t="n">
        <v>0.32</v>
      </c>
    </row>
    <row r="42" customFormat="false" ht="14.25" hidden="false" customHeight="true" outlineLevel="0" collapsed="false">
      <c r="B42" s="7" t="s">
        <v>90</v>
      </c>
      <c r="C42" s="22" t="n">
        <f aca="false">SUMPRODUCT($C$25:$C$30,C36:C41)</f>
        <v>0.304</v>
      </c>
      <c r="D42" s="22" t="n">
        <f aca="false">SUMPRODUCT($C$25:$C$30,D36:D41)</f>
        <v>0.4825</v>
      </c>
      <c r="E42" s="22" t="n">
        <f aca="false">SUMPRODUCT($C$25:$C$30,E36:E41)</f>
        <v>0.4525</v>
      </c>
      <c r="F42" s="22" t="n">
        <f aca="false">SUMPRODUCT($C$25:$C$30,F36:F41)</f>
        <v>0.295</v>
      </c>
    </row>
    <row r="43" customFormat="false" ht="14.25" hidden="false" customHeight="true" outlineLevel="0" collapsed="false">
      <c r="B43" s="25" t="s">
        <v>91</v>
      </c>
      <c r="C43" s="26" t="n">
        <f aca="false">IF($C$7=0,0,(C42*$E$17+D42*$E$18+E42*$E$19+F42*$E$20)/$C$7)</f>
        <v>0.449601385176725</v>
      </c>
    </row>
    <row r="46" customFormat="false" ht="18.75" hidden="false" customHeight="true" outlineLevel="0" collapsed="false">
      <c r="A46" s="4" t="s">
        <v>92</v>
      </c>
      <c r="B46" s="4"/>
      <c r="C46" s="4"/>
      <c r="D46" s="4"/>
      <c r="E46" s="4"/>
      <c r="F46" s="4"/>
      <c r="G46" s="4"/>
      <c r="H46" s="4"/>
      <c r="I46" s="4"/>
    </row>
    <row r="47" customFormat="false" ht="27.75" hidden="false" customHeight="true" outlineLevel="0" collapsed="false">
      <c r="B47" s="15" t="s">
        <v>93</v>
      </c>
      <c r="C47" s="15" t="s">
        <v>94</v>
      </c>
      <c r="D47" s="15" t="s">
        <v>95</v>
      </c>
      <c r="E47" s="15" t="s">
        <v>96</v>
      </c>
      <c r="F47" s="15" t="s">
        <v>97</v>
      </c>
    </row>
    <row r="48" customFormat="false" ht="14.25" hidden="false" customHeight="true" outlineLevel="0" collapsed="false">
      <c r="B48" s="11" t="s">
        <v>98</v>
      </c>
      <c r="C48" s="23" t="n">
        <v>0.25</v>
      </c>
      <c r="D48" s="23" t="n">
        <v>0.55</v>
      </c>
      <c r="E48" s="23" t="n">
        <v>0.75</v>
      </c>
      <c r="F48" s="8" t="s">
        <v>99</v>
      </c>
    </row>
    <row r="49" customFormat="false" ht="14.25" hidden="false" customHeight="true" outlineLevel="0" collapsed="false">
      <c r="B49" s="11" t="s">
        <v>100</v>
      </c>
      <c r="C49" s="23" t="n">
        <v>0.02</v>
      </c>
      <c r="D49" s="23" t="n">
        <v>0.05</v>
      </c>
      <c r="E49" s="23" t="n">
        <v>0.07</v>
      </c>
      <c r="F49" s="8" t="s">
        <v>101</v>
      </c>
    </row>
    <row r="50" customFormat="false" ht="14.25" hidden="false" customHeight="true" outlineLevel="0" collapsed="false">
      <c r="B50" s="11" t="s">
        <v>102</v>
      </c>
      <c r="C50" s="23" t="n">
        <v>0.03</v>
      </c>
      <c r="D50" s="23" t="n">
        <v>0.06</v>
      </c>
      <c r="E50" s="23" t="n">
        <v>0.08</v>
      </c>
      <c r="F50" s="8" t="s">
        <v>103</v>
      </c>
    </row>
    <row r="52" customFormat="false" ht="14.25" hidden="false" customHeight="true" outlineLevel="0" collapsed="false">
      <c r="B52" s="7" t="s">
        <v>104</v>
      </c>
      <c r="C52" s="19" t="n">
        <f aca="false">$C$43*C$48</f>
        <v>0.112400346294181</v>
      </c>
      <c r="D52" s="19" t="n">
        <f aca="false">$C$43*D$48</f>
        <v>0.247280761847199</v>
      </c>
      <c r="E52" s="19" t="n">
        <f aca="false">$C$43*E$48</f>
        <v>0.337201038882543</v>
      </c>
    </row>
    <row r="53" customFormat="false" ht="14.25" hidden="false" customHeight="true" outlineLevel="0" collapsed="false">
      <c r="B53" s="25" t="s">
        <v>105</v>
      </c>
      <c r="C53" s="26" t="n">
        <f aca="false">1-(1-C52)*(1-C$49)*(1-C$50)</f>
        <v>0.156247769187249</v>
      </c>
      <c r="D53" s="26" t="n">
        <f aca="false">1-(1-D52)*(1-D$49)*(1-D$50)</f>
        <v>0.327821720329548</v>
      </c>
      <c r="E53" s="26" t="n">
        <f aca="false">1-(1-E52)*(1-E$49)*(1-E$50)</f>
        <v>0.432909208867904</v>
      </c>
    </row>
    <row r="55" customFormat="false" ht="18.75" hidden="false" customHeight="true" outlineLevel="0" collapsed="false">
      <c r="A55" s="4" t="s">
        <v>106</v>
      </c>
      <c r="B55" s="4"/>
      <c r="C55" s="4"/>
      <c r="D55" s="4"/>
      <c r="E55" s="4"/>
      <c r="F55" s="4"/>
      <c r="G55" s="4"/>
      <c r="H55" s="4"/>
      <c r="I55" s="4"/>
    </row>
    <row r="56" customFormat="false" ht="27.75" hidden="false" customHeight="true" outlineLevel="0" collapsed="false">
      <c r="B56" s="15" t="s">
        <v>93</v>
      </c>
      <c r="C56" s="15" t="s">
        <v>70</v>
      </c>
      <c r="D56" s="15" t="s">
        <v>72</v>
      </c>
      <c r="E56" s="15" t="s">
        <v>74</v>
      </c>
      <c r="F56" s="15" t="s">
        <v>76</v>
      </c>
    </row>
    <row r="57" customFormat="false" ht="14.25" hidden="false" customHeight="true" outlineLevel="0" collapsed="false">
      <c r="B57" s="11" t="s">
        <v>107</v>
      </c>
      <c r="C57" s="23" t="n">
        <v>0.15</v>
      </c>
      <c r="D57" s="23" t="n">
        <v>0.78</v>
      </c>
      <c r="E57" s="23" t="n">
        <v>0.85</v>
      </c>
      <c r="F57" s="23" t="n">
        <v>0.58</v>
      </c>
    </row>
    <row r="58" customFormat="false" ht="14.25" hidden="false" customHeight="true" outlineLevel="0" collapsed="false">
      <c r="B58" s="25" t="s">
        <v>108</v>
      </c>
      <c r="C58" s="26" t="n">
        <f aca="false">IF($C$7=0,0,(C57*$E$17+D57*$E$18+E57*$E$19+F57*$E$20)/$C$7)</f>
        <v>0.772310373240808</v>
      </c>
    </row>
    <row r="60" customFormat="false" ht="27.75" hidden="false" customHeight="true" outlineLevel="0" collapsed="false">
      <c r="B60" s="15" t="s">
        <v>93</v>
      </c>
      <c r="C60" s="15" t="s">
        <v>94</v>
      </c>
      <c r="D60" s="15" t="s">
        <v>95</v>
      </c>
      <c r="E60" s="15" t="s">
        <v>96</v>
      </c>
    </row>
    <row r="61" customFormat="false" ht="14.25" hidden="false" customHeight="true" outlineLevel="0" collapsed="false">
      <c r="B61" s="11" t="s">
        <v>109</v>
      </c>
      <c r="C61" s="23" t="n">
        <v>0.57</v>
      </c>
      <c r="D61" s="23" t="n">
        <v>0.85</v>
      </c>
      <c r="E61" s="23" t="n">
        <v>0.93</v>
      </c>
    </row>
    <row r="62" customFormat="false" ht="14.25" hidden="false" customHeight="true" outlineLevel="0" collapsed="false">
      <c r="B62" s="25" t="s">
        <v>110</v>
      </c>
      <c r="C62" s="26" t="n">
        <f aca="false">$C$58*C61</f>
        <v>0.44021691274726</v>
      </c>
      <c r="D62" s="26" t="n">
        <f aca="false">$C$58*D61</f>
        <v>0.656463817254687</v>
      </c>
      <c r="E62" s="26" t="n">
        <f aca="false">$C$58*E61</f>
        <v>0.718248647113951</v>
      </c>
    </row>
    <row r="64" customFormat="false" ht="18.75" hidden="false" customHeight="true" outlineLevel="0" collapsed="false">
      <c r="A64" s="4" t="s">
        <v>111</v>
      </c>
      <c r="B64" s="4"/>
      <c r="C64" s="4"/>
      <c r="D64" s="4"/>
      <c r="E64" s="4"/>
      <c r="F64" s="4"/>
      <c r="G64" s="4"/>
      <c r="H64" s="4"/>
      <c r="I64" s="4"/>
    </row>
    <row r="65" customFormat="false" ht="14.25" hidden="false" customHeight="true" outlineLevel="0" collapsed="false">
      <c r="B65" s="10" t="s">
        <v>112</v>
      </c>
    </row>
    <row r="66" customFormat="false" ht="27.75" hidden="false" customHeight="true" outlineLevel="0" collapsed="false">
      <c r="B66" s="15" t="s">
        <v>113</v>
      </c>
      <c r="C66" s="15" t="s">
        <v>94</v>
      </c>
      <c r="D66" s="15" t="s">
        <v>95</v>
      </c>
      <c r="E66" s="15" t="s">
        <v>96</v>
      </c>
    </row>
    <row r="67" customFormat="false" ht="14.25" hidden="false" customHeight="true" outlineLevel="0" collapsed="false">
      <c r="B67" s="11" t="s">
        <v>114</v>
      </c>
      <c r="C67" s="27" t="n">
        <v>0</v>
      </c>
      <c r="D67" s="27" t="n">
        <v>0</v>
      </c>
      <c r="E67" s="27" t="n">
        <v>0</v>
      </c>
    </row>
    <row r="68" customFormat="false" ht="14.25" hidden="false" customHeight="true" outlineLevel="0" collapsed="false">
      <c r="B68" s="11" t="s">
        <v>115</v>
      </c>
      <c r="C68" s="27" t="n">
        <v>0</v>
      </c>
      <c r="D68" s="27" t="n">
        <v>0</v>
      </c>
      <c r="E68" s="27" t="n">
        <v>0</v>
      </c>
    </row>
    <row r="69" customFormat="false" ht="14.25" hidden="false" customHeight="true" outlineLevel="0" collapsed="false">
      <c r="B69" s="7" t="s">
        <v>116</v>
      </c>
      <c r="C69" s="20" t="n">
        <f aca="false">SUM($C$67:C68)</f>
        <v>0</v>
      </c>
      <c r="D69" s="20" t="n">
        <f aca="false">SUM($C$67:D68)</f>
        <v>0</v>
      </c>
      <c r="E69" s="20" t="n">
        <f aca="false">SUM($C$67:E68)</f>
        <v>0</v>
      </c>
    </row>
    <row r="71" customFormat="false" ht="18.75" hidden="false" customHeight="true" outlineLevel="0" collapsed="false">
      <c r="A71" s="4" t="s">
        <v>117</v>
      </c>
      <c r="B71" s="4"/>
      <c r="C71" s="4"/>
      <c r="D71" s="4"/>
      <c r="E71" s="4"/>
      <c r="F71" s="4"/>
      <c r="G71" s="4"/>
      <c r="H71" s="4"/>
      <c r="I71" s="4"/>
    </row>
    <row r="72" customFormat="false" ht="27.75" hidden="false" customHeight="true" outlineLevel="0" collapsed="false">
      <c r="B72" s="15" t="s">
        <v>118</v>
      </c>
      <c r="C72" s="15" t="s">
        <v>119</v>
      </c>
      <c r="D72" s="15" t="s">
        <v>120</v>
      </c>
      <c r="E72" s="15" t="s">
        <v>121</v>
      </c>
      <c r="F72" s="15" t="s">
        <v>122</v>
      </c>
      <c r="G72" s="15" t="s">
        <v>123</v>
      </c>
      <c r="I72" s="28" t="s">
        <v>124</v>
      </c>
      <c r="J72" s="28" t="s">
        <v>125</v>
      </c>
      <c r="K72" s="28" t="s">
        <v>126</v>
      </c>
      <c r="L72" s="28" t="s">
        <v>127</v>
      </c>
      <c r="M72" s="28" t="s">
        <v>128</v>
      </c>
      <c r="N72" s="28" t="s">
        <v>129</v>
      </c>
    </row>
    <row r="73" customFormat="false" ht="14.25" hidden="false" customHeight="true" outlineLevel="0" collapsed="false">
      <c r="B73" s="11" t="s">
        <v>130</v>
      </c>
      <c r="C73" s="29" t="n">
        <v>0.72</v>
      </c>
      <c r="D73" s="29" t="n">
        <v>1</v>
      </c>
      <c r="E73" s="29" t="n">
        <v>1.35</v>
      </c>
      <c r="F73" s="29" t="n">
        <v>1.85</v>
      </c>
      <c r="G73" s="29" t="n">
        <v>2.55</v>
      </c>
      <c r="I73" s="28" t="s">
        <v>131</v>
      </c>
      <c r="J73" s="30" t="n">
        <f aca="false">C73</f>
        <v>0.72</v>
      </c>
      <c r="K73" s="30" t="n">
        <f aca="false">D73</f>
        <v>1</v>
      </c>
      <c r="L73" s="30" t="n">
        <f aca="false">E73</f>
        <v>1.35</v>
      </c>
      <c r="M73" s="30" t="n">
        <f aca="false">F73</f>
        <v>1.85</v>
      </c>
      <c r="N73" s="30" t="n">
        <f aca="false">G73</f>
        <v>2.55</v>
      </c>
    </row>
    <row r="74" customFormat="false" ht="14.25" hidden="false" customHeight="true" outlineLevel="0" collapsed="false">
      <c r="B74" s="11" t="s">
        <v>132</v>
      </c>
      <c r="C74" s="29" t="n">
        <v>0.22</v>
      </c>
      <c r="D74" s="29" t="n">
        <v>0.3</v>
      </c>
      <c r="E74" s="29" t="n">
        <v>0.42</v>
      </c>
      <c r="F74" s="29" t="n">
        <v>0.6</v>
      </c>
      <c r="G74" s="29" t="n">
        <v>0.85</v>
      </c>
      <c r="I74" s="28" t="s">
        <v>133</v>
      </c>
      <c r="J74" s="30" t="n">
        <f aca="false">C74</f>
        <v>0.22</v>
      </c>
      <c r="K74" s="30" t="n">
        <f aca="false">D74</f>
        <v>0.3</v>
      </c>
      <c r="L74" s="30" t="n">
        <f aca="false">E74</f>
        <v>0.42</v>
      </c>
      <c r="M74" s="30" t="n">
        <f aca="false">F74</f>
        <v>0.6</v>
      </c>
      <c r="N74" s="30" t="n">
        <f aca="false">G74</f>
        <v>0.85</v>
      </c>
    </row>
    <row r="75" customFormat="false" ht="14.25" hidden="false" customHeight="true" outlineLevel="0" collapsed="false">
      <c r="I75" s="10" t="s">
        <v>134</v>
      </c>
    </row>
    <row r="76" customFormat="false" ht="18.75" hidden="false" customHeight="true" outlineLevel="0" collapsed="false">
      <c r="A76" s="4" t="s">
        <v>135</v>
      </c>
      <c r="B76" s="4"/>
      <c r="C76" s="4"/>
      <c r="D76" s="4"/>
      <c r="E76" s="4"/>
      <c r="F76" s="4"/>
      <c r="G76" s="4"/>
      <c r="H76" s="4"/>
      <c r="I76" s="4"/>
    </row>
    <row r="77" customFormat="false" ht="14.25" hidden="false" customHeight="true" outlineLevel="0" collapsed="false">
      <c r="B77" s="31" t="s">
        <v>136</v>
      </c>
      <c r="C77" s="8" t="s">
        <v>137</v>
      </c>
      <c r="D77" s="8"/>
      <c r="E77" s="8"/>
      <c r="F77" s="8"/>
      <c r="G77" s="8"/>
      <c r="H77" s="8"/>
      <c r="I77" s="8"/>
    </row>
    <row r="78" customFormat="false" ht="14.25" hidden="false" customHeight="true" outlineLevel="0" collapsed="false">
      <c r="B78" s="31" t="s">
        <v>136</v>
      </c>
      <c r="C78" s="8" t="s">
        <v>138</v>
      </c>
      <c r="D78" s="8"/>
      <c r="E78" s="8"/>
      <c r="F78" s="8"/>
      <c r="G78" s="8"/>
      <c r="H78" s="8"/>
      <c r="I78" s="8"/>
    </row>
    <row r="79" customFormat="false" ht="14.25" hidden="false" customHeight="true" outlineLevel="0" collapsed="false">
      <c r="B79" s="31" t="s">
        <v>136</v>
      </c>
      <c r="C79" s="8" t="s">
        <v>139</v>
      </c>
      <c r="D79" s="8"/>
      <c r="E79" s="8"/>
      <c r="F79" s="8"/>
      <c r="G79" s="8"/>
      <c r="H79" s="8"/>
      <c r="I79" s="8"/>
    </row>
    <row r="80" customFormat="false" ht="14.25" hidden="false" customHeight="true" outlineLevel="0" collapsed="false">
      <c r="B80" s="31" t="s">
        <v>136</v>
      </c>
      <c r="C80" s="8" t="s">
        <v>140</v>
      </c>
      <c r="D80" s="8"/>
      <c r="E80" s="8"/>
      <c r="F80" s="8"/>
      <c r="G80" s="8"/>
      <c r="H80" s="8"/>
      <c r="I80" s="8"/>
    </row>
    <row r="81" customFormat="false" ht="14.25" hidden="false" customHeight="true" outlineLevel="0" collapsed="false">
      <c r="B81" s="31" t="s">
        <v>136</v>
      </c>
      <c r="C81" s="8" t="s">
        <v>141</v>
      </c>
      <c r="D81" s="8"/>
      <c r="E81" s="8"/>
      <c r="F81" s="8"/>
      <c r="G81" s="8"/>
      <c r="H81" s="8"/>
      <c r="I81" s="8"/>
    </row>
    <row r="82" customFormat="false" ht="14.25" hidden="false" customHeight="true" outlineLevel="0" collapsed="false">
      <c r="B82" s="31" t="s">
        <v>136</v>
      </c>
      <c r="C82" s="8" t="s">
        <v>142</v>
      </c>
      <c r="D82" s="8"/>
      <c r="E82" s="8"/>
      <c r="F82" s="8"/>
      <c r="G82" s="8"/>
      <c r="H82" s="8"/>
      <c r="I82" s="8"/>
    </row>
    <row r="83" customFormat="false" ht="14.25" hidden="false" customHeight="true" outlineLevel="0" collapsed="false">
      <c r="B83" s="31" t="s">
        <v>136</v>
      </c>
      <c r="C83" s="8" t="s">
        <v>143</v>
      </c>
      <c r="D83" s="8"/>
      <c r="E83" s="8"/>
      <c r="F83" s="8"/>
      <c r="G83" s="8"/>
      <c r="H83" s="8"/>
      <c r="I83" s="8"/>
    </row>
  </sheetData>
  <mergeCells count="18">
    <mergeCell ref="A1:J1"/>
    <mergeCell ref="A2:J2"/>
    <mergeCell ref="A4:I4"/>
    <mergeCell ref="A15:I15"/>
    <mergeCell ref="A23:I23"/>
    <mergeCell ref="A33:I33"/>
    <mergeCell ref="A46:I46"/>
    <mergeCell ref="A55:I55"/>
    <mergeCell ref="A64:I64"/>
    <mergeCell ref="A71:I71"/>
    <mergeCell ref="A76:I76"/>
    <mergeCell ref="C77:I77"/>
    <mergeCell ref="C78:I78"/>
    <mergeCell ref="C79:I79"/>
    <mergeCell ref="C80:I80"/>
    <mergeCell ref="C81:I81"/>
    <mergeCell ref="C82:I82"/>
    <mergeCell ref="C83:I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H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2" topLeftCell="C43" activePane="bottomRight" state="frozen"/>
      <selection pane="topLeft" activeCell="A1" activeCellId="0" sqref="A1"/>
      <selection pane="topRight" activeCell="C1" activeCellId="0" sqref="C1"/>
      <selection pane="bottomLeft" activeCell="A43" activeCellId="0" sqref="A43"/>
      <selection pane="bottomRight" activeCell="E35" activeCellId="0" sqref="E35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"/>
    <col collapsed="false" customWidth="true" hidden="false" outlineLevel="0" max="3" min="3" style="1" width="26"/>
    <col collapsed="false" customWidth="true" hidden="false" outlineLevel="0" max="4" min="4" style="1" width="30"/>
    <col collapsed="false" customWidth="true" hidden="false" outlineLevel="0" max="5" min="5" style="1" width="20"/>
    <col collapsed="false" customWidth="true" hidden="false" outlineLevel="0" max="6" min="6" style="1" width="24"/>
    <col collapsed="false" customWidth="true" hidden="false" outlineLevel="0" max="7" min="7" style="1" width="26"/>
    <col collapsed="false" customWidth="true" hidden="false" outlineLevel="0" max="8" min="8" style="1" width="22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1" min="11" style="1" width="30"/>
    <col collapsed="false" customWidth="true" hidden="false" outlineLevel="0" max="12" min="12" style="1" width="20"/>
    <col collapsed="false" customWidth="true" hidden="false" outlineLevel="0" max="13" min="13" style="1" width="12"/>
    <col collapsed="false" customWidth="true" hidden="false" outlineLevel="0" max="16" min="14" style="1" width="11"/>
    <col collapsed="false" customWidth="true" hidden="false" outlineLevel="0" max="17" min="17" style="1" width="10"/>
    <col collapsed="false" customWidth="true" hidden="false" outlineLevel="0" max="18" min="18" style="1" width="9"/>
    <col collapsed="false" customWidth="true" hidden="false" outlineLevel="0" max="19" min="19" style="1" width="11"/>
    <col collapsed="false" customWidth="true" hidden="false" outlineLevel="0" max="20" min="20" style="1" width="13"/>
    <col collapsed="false" customWidth="true" hidden="false" outlineLevel="0" max="21" min="21" style="1" width="10"/>
    <col collapsed="false" customWidth="true" hidden="false" outlineLevel="0" max="32" min="27" style="1" width="9"/>
    <col collapsed="false" customWidth="true" hidden="false" outlineLevel="0" max="33" min="33" style="1" width="10"/>
    <col collapsed="false" customWidth="true" hidden="false" outlineLevel="0" max="34" min="34" style="1" width="12"/>
  </cols>
  <sheetData>
    <row r="1" customFormat="false" ht="25.5" hidden="false" customHeight="true" outlineLevel="0" collapsed="false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4.25" hidden="false" customHeight="true" outlineLevel="0" collapsed="false">
      <c r="A2" s="3" t="s">
        <v>145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4" customFormat="false" ht="27.75" hidden="false" customHeight="true" outlineLevel="0" collapsed="false">
      <c r="A4" s="15" t="s">
        <v>146</v>
      </c>
      <c r="B4" s="15" t="s">
        <v>147</v>
      </c>
      <c r="C4" s="15" t="s">
        <v>148</v>
      </c>
      <c r="D4" s="15" t="s">
        <v>149</v>
      </c>
      <c r="E4" s="15" t="s">
        <v>53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  <c r="K4" s="15" t="s">
        <v>155</v>
      </c>
      <c r="L4" s="15" t="s">
        <v>156</v>
      </c>
      <c r="M4" s="15" t="s">
        <v>157</v>
      </c>
      <c r="N4" s="15" t="s">
        <v>58</v>
      </c>
      <c r="O4" s="15" t="s">
        <v>59</v>
      </c>
      <c r="P4" s="15" t="s">
        <v>60</v>
      </c>
      <c r="Q4" s="15" t="s">
        <v>78</v>
      </c>
      <c r="R4" s="15" t="s">
        <v>158</v>
      </c>
      <c r="S4" s="15" t="s">
        <v>159</v>
      </c>
      <c r="T4" s="15" t="s">
        <v>160</v>
      </c>
      <c r="U4" s="15" t="s">
        <v>161</v>
      </c>
      <c r="AA4" s="15" t="s">
        <v>162</v>
      </c>
      <c r="AB4" s="15" t="s">
        <v>163</v>
      </c>
      <c r="AC4" s="15" t="s">
        <v>164</v>
      </c>
      <c r="AD4" s="15" t="s">
        <v>68</v>
      </c>
      <c r="AE4" s="15" t="s">
        <v>165</v>
      </c>
      <c r="AF4" s="15" t="s">
        <v>166</v>
      </c>
      <c r="AG4" s="15" t="s">
        <v>65</v>
      </c>
      <c r="AH4" s="15" t="s">
        <v>167</v>
      </c>
    </row>
    <row r="5" customFormat="false" ht="14.25" hidden="true" customHeight="true" outlineLevel="0" collapsed="false">
      <c r="A5" s="32" t="n">
        <v>1</v>
      </c>
      <c r="B5" s="11" t="n">
        <v>9629</v>
      </c>
      <c r="C5" s="11" t="s">
        <v>168</v>
      </c>
      <c r="D5" s="11" t="s">
        <v>168</v>
      </c>
      <c r="E5" s="11" t="s">
        <v>169</v>
      </c>
      <c r="F5" s="11" t="s">
        <v>170</v>
      </c>
      <c r="G5" s="11" t="s">
        <v>171</v>
      </c>
      <c r="H5" s="11" t="s">
        <v>172</v>
      </c>
      <c r="I5" s="11" t="s">
        <v>173</v>
      </c>
      <c r="J5" s="11" t="s">
        <v>174</v>
      </c>
      <c r="K5" s="11" t="s">
        <v>175</v>
      </c>
      <c r="L5" s="11" t="s">
        <v>176</v>
      </c>
      <c r="M5" s="11" t="s">
        <v>173</v>
      </c>
      <c r="N5" s="33" t="n">
        <v>0</v>
      </c>
      <c r="O5" s="33" t="n">
        <v>0</v>
      </c>
      <c r="P5" s="33" t="n">
        <v>0</v>
      </c>
      <c r="Q5" s="33" t="n">
        <v>0</v>
      </c>
      <c r="R5" s="34" t="n">
        <v>0</v>
      </c>
      <c r="S5" s="33"/>
      <c r="T5" s="33"/>
      <c r="U5" s="35" t="n">
        <v>1</v>
      </c>
      <c r="AA5" s="36" t="n">
        <f aca="false">N5</f>
        <v>0</v>
      </c>
      <c r="AB5" s="36" t="n">
        <f aca="false">O5</f>
        <v>0</v>
      </c>
      <c r="AC5" s="36" t="n">
        <f aca="false">P5</f>
        <v>0</v>
      </c>
      <c r="AD5" s="36" t="n">
        <f aca="false">Q5</f>
        <v>0</v>
      </c>
      <c r="AE5" s="19" t="n">
        <f aca="false">R5</f>
        <v>0</v>
      </c>
      <c r="AF5" s="36" t="n">
        <f aca="false">Q5*R5</f>
        <v>0</v>
      </c>
      <c r="AG5" s="16" t="s">
        <v>70</v>
      </c>
      <c r="AH5" s="31" t="s">
        <v>177</v>
      </c>
    </row>
    <row r="6" customFormat="false" ht="14.25" hidden="true" customHeight="true" outlineLevel="0" collapsed="false">
      <c r="A6" s="32" t="n">
        <v>2</v>
      </c>
      <c r="B6" s="11" t="n">
        <v>9796</v>
      </c>
      <c r="C6" s="11" t="s">
        <v>178</v>
      </c>
      <c r="D6" s="11" t="s">
        <v>179</v>
      </c>
      <c r="E6" s="11" t="s">
        <v>180</v>
      </c>
      <c r="F6" s="11" t="s">
        <v>170</v>
      </c>
      <c r="G6" s="11" t="s">
        <v>181</v>
      </c>
      <c r="H6" s="11" t="s">
        <v>172</v>
      </c>
      <c r="I6" s="11" t="s">
        <v>182</v>
      </c>
      <c r="J6" s="11" t="s">
        <v>174</v>
      </c>
      <c r="K6" s="11" t="s">
        <v>183</v>
      </c>
      <c r="L6" s="11"/>
      <c r="M6" s="11" t="s">
        <v>173</v>
      </c>
      <c r="N6" s="33" t="n">
        <v>59.5589583333334</v>
      </c>
      <c r="O6" s="33" t="n">
        <v>7.75416666666667</v>
      </c>
      <c r="P6" s="33" t="n">
        <v>0</v>
      </c>
      <c r="Q6" s="33" t="n">
        <v>67.313125</v>
      </c>
      <c r="R6" s="34" t="n">
        <v>0.71176374097424</v>
      </c>
      <c r="S6" s="33" t="n">
        <v>33.6565625</v>
      </c>
      <c r="T6" s="33" t="n">
        <v>33.6565625</v>
      </c>
      <c r="U6" s="35" t="n">
        <v>1</v>
      </c>
      <c r="AA6" s="36" t="n">
        <f aca="false">N6</f>
        <v>59.5589583333334</v>
      </c>
      <c r="AB6" s="36" t="n">
        <f aca="false">O6</f>
        <v>7.75416666666667</v>
      </c>
      <c r="AC6" s="36" t="n">
        <f aca="false">P6</f>
        <v>0</v>
      </c>
      <c r="AD6" s="36" t="n">
        <f aca="false">Q6</f>
        <v>67.313125</v>
      </c>
      <c r="AE6" s="19" t="n">
        <f aca="false">R6</f>
        <v>0.71176374097424</v>
      </c>
      <c r="AF6" s="36" t="n">
        <f aca="false">Q6*R6</f>
        <v>47.9110416666666</v>
      </c>
      <c r="AG6" s="16" t="s">
        <v>76</v>
      </c>
      <c r="AH6" s="31" t="s">
        <v>177</v>
      </c>
    </row>
    <row r="7" customFormat="false" ht="14.25" hidden="true" customHeight="true" outlineLevel="0" collapsed="false">
      <c r="A7" s="32" t="n">
        <v>3</v>
      </c>
      <c r="B7" s="11" t="n">
        <v>9800</v>
      </c>
      <c r="C7" s="11" t="s">
        <v>184</v>
      </c>
      <c r="D7" s="11" t="s">
        <v>185</v>
      </c>
      <c r="E7" s="11" t="s">
        <v>180</v>
      </c>
      <c r="F7" s="11" t="s">
        <v>170</v>
      </c>
      <c r="G7" s="11" t="s">
        <v>181</v>
      </c>
      <c r="H7" s="11" t="s">
        <v>172</v>
      </c>
      <c r="I7" s="11" t="s">
        <v>182</v>
      </c>
      <c r="J7" s="11" t="s">
        <v>174</v>
      </c>
      <c r="K7" s="11" t="s">
        <v>186</v>
      </c>
      <c r="L7" s="11"/>
      <c r="M7" s="11" t="s">
        <v>173</v>
      </c>
      <c r="N7" s="33" t="n">
        <v>20.8921666666667</v>
      </c>
      <c r="O7" s="33" t="n">
        <v>1.85375</v>
      </c>
      <c r="P7" s="33" t="n">
        <v>0</v>
      </c>
      <c r="Q7" s="33" t="n">
        <v>22.7459166666667</v>
      </c>
      <c r="R7" s="34" t="n">
        <v>0.942857875589392</v>
      </c>
      <c r="S7" s="33" t="n">
        <v>11.3729583333333</v>
      </c>
      <c r="T7" s="33" t="n">
        <v>11.3729583333333</v>
      </c>
      <c r="U7" s="35" t="n">
        <v>1</v>
      </c>
      <c r="AA7" s="36" t="n">
        <f aca="false">N7</f>
        <v>20.8921666666667</v>
      </c>
      <c r="AB7" s="36" t="n">
        <f aca="false">O7</f>
        <v>1.85375</v>
      </c>
      <c r="AC7" s="36" t="n">
        <f aca="false">P7</f>
        <v>0</v>
      </c>
      <c r="AD7" s="36" t="n">
        <f aca="false">Q7</f>
        <v>22.7459166666667</v>
      </c>
      <c r="AE7" s="19" t="n">
        <f aca="false">R7</f>
        <v>0.942857875589392</v>
      </c>
      <c r="AF7" s="36" t="n">
        <f aca="false">Q7*R7</f>
        <v>21.4461666666667</v>
      </c>
      <c r="AG7" s="16" t="s">
        <v>76</v>
      </c>
      <c r="AH7" s="31" t="s">
        <v>187</v>
      </c>
    </row>
    <row r="8" customFormat="false" ht="14.25" hidden="true" customHeight="true" outlineLevel="0" collapsed="false">
      <c r="A8" s="32" t="n">
        <v>4</v>
      </c>
      <c r="B8" s="11" t="n">
        <v>9801</v>
      </c>
      <c r="C8" s="11" t="s">
        <v>188</v>
      </c>
      <c r="D8" s="11" t="s">
        <v>189</v>
      </c>
      <c r="E8" s="11" t="s">
        <v>180</v>
      </c>
      <c r="F8" s="11" t="s">
        <v>170</v>
      </c>
      <c r="G8" s="11" t="s">
        <v>181</v>
      </c>
      <c r="H8" s="11" t="s">
        <v>172</v>
      </c>
      <c r="I8" s="11" t="s">
        <v>182</v>
      </c>
      <c r="J8" s="11" t="s">
        <v>174</v>
      </c>
      <c r="K8" s="11" t="s">
        <v>186</v>
      </c>
      <c r="L8" s="11"/>
      <c r="M8" s="11" t="s">
        <v>173</v>
      </c>
      <c r="N8" s="33" t="n">
        <v>0</v>
      </c>
      <c r="O8" s="33" t="n">
        <v>0</v>
      </c>
      <c r="P8" s="33" t="n">
        <v>0</v>
      </c>
      <c r="Q8" s="33" t="n">
        <v>0</v>
      </c>
      <c r="R8" s="34" t="n">
        <v>0</v>
      </c>
      <c r="S8" s="33"/>
      <c r="T8" s="33"/>
      <c r="U8" s="35" t="n">
        <v>1</v>
      </c>
      <c r="AA8" s="36" t="n">
        <f aca="false">N8</f>
        <v>0</v>
      </c>
      <c r="AB8" s="36" t="n">
        <f aca="false">O8</f>
        <v>0</v>
      </c>
      <c r="AC8" s="36" t="n">
        <f aca="false">P8</f>
        <v>0</v>
      </c>
      <c r="AD8" s="36" t="n">
        <f aca="false">Q8</f>
        <v>0</v>
      </c>
      <c r="AE8" s="19" t="n">
        <f aca="false">R8</f>
        <v>0</v>
      </c>
      <c r="AF8" s="36" t="n">
        <f aca="false">Q8*R8</f>
        <v>0</v>
      </c>
      <c r="AG8" s="16" t="s">
        <v>76</v>
      </c>
      <c r="AH8" s="31" t="s">
        <v>187</v>
      </c>
    </row>
    <row r="9" customFormat="false" ht="14.25" hidden="true" customHeight="true" outlineLevel="0" collapsed="false">
      <c r="A9" s="32" t="n">
        <v>5</v>
      </c>
      <c r="B9" s="11" t="n">
        <v>9802</v>
      </c>
      <c r="C9" s="11" t="s">
        <v>190</v>
      </c>
      <c r="D9" s="11" t="s">
        <v>191</v>
      </c>
      <c r="E9" s="11" t="s">
        <v>180</v>
      </c>
      <c r="F9" s="11" t="s">
        <v>170</v>
      </c>
      <c r="G9" s="11" t="s">
        <v>181</v>
      </c>
      <c r="H9" s="11" t="s">
        <v>172</v>
      </c>
      <c r="I9" s="11" t="s">
        <v>182</v>
      </c>
      <c r="J9" s="11" t="s">
        <v>174</v>
      </c>
      <c r="K9" s="11" t="s">
        <v>186</v>
      </c>
      <c r="L9" s="11"/>
      <c r="M9" s="11" t="s">
        <v>173</v>
      </c>
      <c r="N9" s="33" t="n">
        <v>15.953625</v>
      </c>
      <c r="O9" s="33" t="n">
        <v>1.65416666666667</v>
      </c>
      <c r="P9" s="33" t="n">
        <v>0</v>
      </c>
      <c r="Q9" s="33" t="n">
        <v>17.6077916666667</v>
      </c>
      <c r="R9" s="34" t="n">
        <v>0.982872165968191</v>
      </c>
      <c r="S9" s="33" t="n">
        <v>8.80389583333333</v>
      </c>
      <c r="T9" s="33" t="n">
        <v>8.80389583333333</v>
      </c>
      <c r="U9" s="35" t="n">
        <v>1</v>
      </c>
      <c r="AA9" s="36" t="n">
        <f aca="false">N9</f>
        <v>15.953625</v>
      </c>
      <c r="AB9" s="36" t="n">
        <f aca="false">O9</f>
        <v>1.65416666666667</v>
      </c>
      <c r="AC9" s="36" t="n">
        <f aca="false">P9</f>
        <v>0</v>
      </c>
      <c r="AD9" s="36" t="n">
        <f aca="false">Q9</f>
        <v>17.6077916666667</v>
      </c>
      <c r="AE9" s="19" t="n">
        <f aca="false">R9</f>
        <v>0.982872165968191</v>
      </c>
      <c r="AF9" s="36" t="n">
        <f aca="false">Q9*R9</f>
        <v>17.3062083333334</v>
      </c>
      <c r="AG9" s="16" t="s">
        <v>76</v>
      </c>
      <c r="AH9" s="31" t="s">
        <v>192</v>
      </c>
    </row>
    <row r="10" customFormat="false" ht="14.25" hidden="true" customHeight="true" outlineLevel="0" collapsed="false">
      <c r="A10" s="32" t="n">
        <v>6</v>
      </c>
      <c r="B10" s="11" t="n">
        <v>9803</v>
      </c>
      <c r="C10" s="11" t="s">
        <v>193</v>
      </c>
      <c r="D10" s="11" t="s">
        <v>194</v>
      </c>
      <c r="E10" s="11" t="s">
        <v>180</v>
      </c>
      <c r="F10" s="11" t="s">
        <v>170</v>
      </c>
      <c r="G10" s="11" t="s">
        <v>181</v>
      </c>
      <c r="H10" s="11" t="s">
        <v>172</v>
      </c>
      <c r="I10" s="11" t="s">
        <v>182</v>
      </c>
      <c r="J10" s="11" t="s">
        <v>174</v>
      </c>
      <c r="K10" s="11" t="s">
        <v>183</v>
      </c>
      <c r="L10" s="11"/>
      <c r="M10" s="11" t="s">
        <v>173</v>
      </c>
      <c r="N10" s="33" t="n">
        <v>8.80458333333333</v>
      </c>
      <c r="O10" s="33" t="n">
        <v>0.85</v>
      </c>
      <c r="P10" s="33" t="n">
        <v>0</v>
      </c>
      <c r="Q10" s="33" t="n">
        <v>9.65458333333333</v>
      </c>
      <c r="R10" s="34" t="n">
        <v>0.948211125976436</v>
      </c>
      <c r="S10" s="33" t="n">
        <v>4.82729166666667</v>
      </c>
      <c r="T10" s="33" t="n">
        <v>4.82729166666667</v>
      </c>
      <c r="U10" s="35" t="n">
        <v>1</v>
      </c>
      <c r="AA10" s="36" t="n">
        <f aca="false">N10</f>
        <v>8.80458333333333</v>
      </c>
      <c r="AB10" s="36" t="n">
        <f aca="false">O10</f>
        <v>0.85</v>
      </c>
      <c r="AC10" s="36" t="n">
        <f aca="false">P10</f>
        <v>0</v>
      </c>
      <c r="AD10" s="36" t="n">
        <f aca="false">Q10</f>
        <v>9.65458333333333</v>
      </c>
      <c r="AE10" s="19" t="n">
        <f aca="false">R10</f>
        <v>0.948211125976436</v>
      </c>
      <c r="AF10" s="36" t="n">
        <f aca="false">Q10*R10</f>
        <v>9.15458333333333</v>
      </c>
      <c r="AG10" s="16" t="s">
        <v>76</v>
      </c>
      <c r="AH10" s="31" t="s">
        <v>177</v>
      </c>
    </row>
    <row r="11" customFormat="false" ht="14.25" hidden="true" customHeight="true" outlineLevel="0" collapsed="false">
      <c r="A11" s="32" t="n">
        <v>7</v>
      </c>
      <c r="B11" s="11" t="n">
        <v>9804</v>
      </c>
      <c r="C11" s="11" t="s">
        <v>195</v>
      </c>
      <c r="D11" s="11" t="s">
        <v>196</v>
      </c>
      <c r="E11" s="11" t="s">
        <v>180</v>
      </c>
      <c r="F11" s="11" t="s">
        <v>170</v>
      </c>
      <c r="G11" s="11" t="s">
        <v>181</v>
      </c>
      <c r="H11" s="11" t="s">
        <v>172</v>
      </c>
      <c r="I11" s="11" t="s">
        <v>182</v>
      </c>
      <c r="J11" s="11" t="s">
        <v>174</v>
      </c>
      <c r="K11" s="11" t="s">
        <v>186</v>
      </c>
      <c r="L11" s="11"/>
      <c r="M11" s="11" t="s">
        <v>173</v>
      </c>
      <c r="N11" s="33" t="n">
        <v>10.7841666666667</v>
      </c>
      <c r="O11" s="33" t="n">
        <v>0.745833333333333</v>
      </c>
      <c r="P11" s="33" t="n">
        <v>0</v>
      </c>
      <c r="Q11" s="33" t="n">
        <v>11.53</v>
      </c>
      <c r="R11" s="34" t="n">
        <v>0.833044232437121</v>
      </c>
      <c r="S11" s="33" t="n">
        <v>5.765</v>
      </c>
      <c r="T11" s="33" t="n">
        <v>5.765</v>
      </c>
      <c r="U11" s="35" t="n">
        <v>1</v>
      </c>
      <c r="AA11" s="36" t="n">
        <f aca="false">N11</f>
        <v>10.7841666666667</v>
      </c>
      <c r="AB11" s="36" t="n">
        <f aca="false">O11</f>
        <v>0.745833333333333</v>
      </c>
      <c r="AC11" s="36" t="n">
        <f aca="false">P11</f>
        <v>0</v>
      </c>
      <c r="AD11" s="36" t="n">
        <f aca="false">Q11</f>
        <v>11.53</v>
      </c>
      <c r="AE11" s="19" t="n">
        <f aca="false">R11</f>
        <v>0.833044232437121</v>
      </c>
      <c r="AF11" s="36" t="n">
        <f aca="false">Q11*R11</f>
        <v>9.605</v>
      </c>
      <c r="AG11" s="16" t="s">
        <v>76</v>
      </c>
      <c r="AH11" s="31" t="s">
        <v>197</v>
      </c>
    </row>
    <row r="12" customFormat="false" ht="14.25" hidden="true" customHeight="true" outlineLevel="0" collapsed="false">
      <c r="A12" s="32" t="n">
        <v>8</v>
      </c>
      <c r="B12" s="11" t="n">
        <v>9805</v>
      </c>
      <c r="C12" s="11" t="s">
        <v>198</v>
      </c>
      <c r="D12" s="11" t="s">
        <v>199</v>
      </c>
      <c r="E12" s="11" t="s">
        <v>180</v>
      </c>
      <c r="F12" s="11" t="s">
        <v>170</v>
      </c>
      <c r="G12" s="11" t="s">
        <v>181</v>
      </c>
      <c r="H12" s="11" t="s">
        <v>172</v>
      </c>
      <c r="I12" s="11" t="s">
        <v>182</v>
      </c>
      <c r="J12" s="11" t="s">
        <v>174</v>
      </c>
      <c r="K12" s="11" t="s">
        <v>186</v>
      </c>
      <c r="L12" s="11"/>
      <c r="M12" s="11" t="s">
        <v>173</v>
      </c>
      <c r="N12" s="33" t="n">
        <v>2.89666666666667</v>
      </c>
      <c r="O12" s="33" t="n">
        <v>0.025</v>
      </c>
      <c r="P12" s="33" t="n">
        <v>0</v>
      </c>
      <c r="Q12" s="33" t="n">
        <v>2.92166666666667</v>
      </c>
      <c r="R12" s="34" t="n">
        <v>0.905875641756988</v>
      </c>
      <c r="S12" s="33" t="n">
        <v>1.46083333333333</v>
      </c>
      <c r="T12" s="33" t="n">
        <v>1.46083333333333</v>
      </c>
      <c r="U12" s="35" t="n">
        <v>1</v>
      </c>
      <c r="AA12" s="36" t="n">
        <f aca="false">N12</f>
        <v>2.89666666666667</v>
      </c>
      <c r="AB12" s="36" t="n">
        <f aca="false">O12</f>
        <v>0.025</v>
      </c>
      <c r="AC12" s="36" t="n">
        <f aca="false">P12</f>
        <v>0</v>
      </c>
      <c r="AD12" s="36" t="n">
        <f aca="false">Q12</f>
        <v>2.92166666666667</v>
      </c>
      <c r="AE12" s="19" t="n">
        <f aca="false">R12</f>
        <v>0.905875641756988</v>
      </c>
      <c r="AF12" s="36" t="n">
        <f aca="false">Q12*R12</f>
        <v>2.64666666666667</v>
      </c>
      <c r="AG12" s="16" t="s">
        <v>76</v>
      </c>
      <c r="AH12" s="31" t="s">
        <v>187</v>
      </c>
    </row>
    <row r="13" customFormat="false" ht="14.25" hidden="true" customHeight="true" outlineLevel="0" collapsed="false">
      <c r="A13" s="32" t="n">
        <v>9</v>
      </c>
      <c r="B13" s="11" t="n">
        <v>9806</v>
      </c>
      <c r="C13" s="11" t="s">
        <v>200</v>
      </c>
      <c r="D13" s="11" t="s">
        <v>201</v>
      </c>
      <c r="E13" s="11" t="s">
        <v>180</v>
      </c>
      <c r="F13" s="11" t="s">
        <v>170</v>
      </c>
      <c r="G13" s="11" t="s">
        <v>181</v>
      </c>
      <c r="H13" s="11" t="s">
        <v>172</v>
      </c>
      <c r="I13" s="11" t="s">
        <v>182</v>
      </c>
      <c r="J13" s="11" t="s">
        <v>174</v>
      </c>
      <c r="K13" s="11" t="s">
        <v>186</v>
      </c>
      <c r="L13" s="11"/>
      <c r="M13" s="11" t="s">
        <v>173</v>
      </c>
      <c r="N13" s="33" t="n">
        <v>5.28875</v>
      </c>
      <c r="O13" s="33" t="n">
        <v>1.025</v>
      </c>
      <c r="P13" s="33" t="n">
        <v>0</v>
      </c>
      <c r="Q13" s="33" t="n">
        <v>6.31375</v>
      </c>
      <c r="R13" s="34" t="n">
        <v>0.837655909720848</v>
      </c>
      <c r="S13" s="33" t="n">
        <v>3.156875</v>
      </c>
      <c r="T13" s="33" t="n">
        <v>3.156875</v>
      </c>
      <c r="U13" s="35" t="n">
        <v>1</v>
      </c>
      <c r="AA13" s="36" t="n">
        <f aca="false">N13</f>
        <v>5.28875</v>
      </c>
      <c r="AB13" s="36" t="n">
        <f aca="false">O13</f>
        <v>1.025</v>
      </c>
      <c r="AC13" s="36" t="n">
        <f aca="false">P13</f>
        <v>0</v>
      </c>
      <c r="AD13" s="36" t="n">
        <f aca="false">Q13</f>
        <v>6.31375</v>
      </c>
      <c r="AE13" s="19" t="n">
        <f aca="false">R13</f>
        <v>0.837655909720848</v>
      </c>
      <c r="AF13" s="36" t="n">
        <f aca="false">Q13*R13</f>
        <v>5.28875</v>
      </c>
      <c r="AG13" s="16" t="s">
        <v>76</v>
      </c>
      <c r="AH13" s="31" t="s">
        <v>202</v>
      </c>
    </row>
    <row r="14" customFormat="false" ht="14.25" hidden="true" customHeight="true" outlineLevel="0" collapsed="false">
      <c r="A14" s="32" t="n">
        <v>10</v>
      </c>
      <c r="B14" s="11" t="n">
        <v>9807</v>
      </c>
      <c r="C14" s="11" t="s">
        <v>203</v>
      </c>
      <c r="D14" s="11" t="s">
        <v>204</v>
      </c>
      <c r="E14" s="11" t="s">
        <v>180</v>
      </c>
      <c r="F14" s="11" t="s">
        <v>170</v>
      </c>
      <c r="G14" s="11" t="s">
        <v>181</v>
      </c>
      <c r="H14" s="11" t="s">
        <v>172</v>
      </c>
      <c r="I14" s="11" t="s">
        <v>173</v>
      </c>
      <c r="J14" s="11" t="s">
        <v>174</v>
      </c>
      <c r="K14" s="11" t="s">
        <v>186</v>
      </c>
      <c r="L14" s="11"/>
      <c r="M14" s="11" t="s">
        <v>173</v>
      </c>
      <c r="N14" s="33" t="n">
        <v>9.76875</v>
      </c>
      <c r="O14" s="33" t="n">
        <v>1.48333333333333</v>
      </c>
      <c r="P14" s="33" t="n">
        <v>0</v>
      </c>
      <c r="Q14" s="33" t="n">
        <v>11.2520833333333</v>
      </c>
      <c r="R14" s="34" t="n">
        <v>0.85632290316608</v>
      </c>
      <c r="S14" s="33" t="n">
        <v>5.62604166666667</v>
      </c>
      <c r="T14" s="33" t="n">
        <v>5.62604166666667</v>
      </c>
      <c r="U14" s="35" t="n">
        <v>1</v>
      </c>
      <c r="AA14" s="36" t="n">
        <f aca="false">N14</f>
        <v>9.76875</v>
      </c>
      <c r="AB14" s="36" t="n">
        <f aca="false">O14</f>
        <v>1.48333333333333</v>
      </c>
      <c r="AC14" s="36" t="n">
        <f aca="false">P14</f>
        <v>0</v>
      </c>
      <c r="AD14" s="36" t="n">
        <f aca="false">Q14</f>
        <v>11.2520833333333</v>
      </c>
      <c r="AE14" s="19" t="n">
        <f aca="false">R14</f>
        <v>0.85632290316608</v>
      </c>
      <c r="AF14" s="36" t="n">
        <f aca="false">Q14*R14</f>
        <v>9.63541666666663</v>
      </c>
      <c r="AG14" s="16" t="s">
        <v>76</v>
      </c>
      <c r="AH14" s="31" t="s">
        <v>202</v>
      </c>
    </row>
    <row r="15" customFormat="false" ht="14.25" hidden="true" customHeight="true" outlineLevel="0" collapsed="false">
      <c r="A15" s="32" t="n">
        <v>11</v>
      </c>
      <c r="B15" s="11" t="n">
        <v>9808</v>
      </c>
      <c r="C15" s="11" t="s">
        <v>205</v>
      </c>
      <c r="D15" s="11" t="s">
        <v>206</v>
      </c>
      <c r="E15" s="11" t="s">
        <v>180</v>
      </c>
      <c r="F15" s="11" t="s">
        <v>170</v>
      </c>
      <c r="G15" s="11" t="s">
        <v>181</v>
      </c>
      <c r="H15" s="11" t="s">
        <v>172</v>
      </c>
      <c r="I15" s="11" t="s">
        <v>182</v>
      </c>
      <c r="J15" s="11" t="s">
        <v>174</v>
      </c>
      <c r="K15" s="11" t="s">
        <v>186</v>
      </c>
      <c r="L15" s="11"/>
      <c r="M15" s="11" t="s">
        <v>173</v>
      </c>
      <c r="N15" s="33" t="n">
        <v>13.5457083333333</v>
      </c>
      <c r="O15" s="33" t="n">
        <v>3.14375</v>
      </c>
      <c r="P15" s="33" t="n">
        <v>0</v>
      </c>
      <c r="Q15" s="33" t="n">
        <v>16.6894583333333</v>
      </c>
      <c r="R15" s="34" t="n">
        <v>0.726623841896207</v>
      </c>
      <c r="S15" s="33" t="n">
        <v>8.34472916666667</v>
      </c>
      <c r="T15" s="33" t="n">
        <v>8.34472916666667</v>
      </c>
      <c r="U15" s="35" t="n">
        <v>1</v>
      </c>
      <c r="AA15" s="36" t="n">
        <f aca="false">N15</f>
        <v>13.5457083333333</v>
      </c>
      <c r="AB15" s="36" t="n">
        <f aca="false">O15</f>
        <v>3.14375</v>
      </c>
      <c r="AC15" s="36" t="n">
        <f aca="false">P15</f>
        <v>0</v>
      </c>
      <c r="AD15" s="36" t="n">
        <f aca="false">Q15</f>
        <v>16.6894583333333</v>
      </c>
      <c r="AE15" s="19" t="n">
        <f aca="false">R15</f>
        <v>0.726623841896207</v>
      </c>
      <c r="AF15" s="36" t="n">
        <f aca="false">Q15*R15</f>
        <v>12.1269583333333</v>
      </c>
      <c r="AG15" s="16" t="s">
        <v>76</v>
      </c>
      <c r="AH15" s="31" t="s">
        <v>197</v>
      </c>
    </row>
    <row r="16" customFormat="false" ht="14.25" hidden="true" customHeight="true" outlineLevel="0" collapsed="false">
      <c r="A16" s="32" t="n">
        <v>12</v>
      </c>
      <c r="B16" s="11" t="n">
        <v>9810</v>
      </c>
      <c r="C16" s="11" t="s">
        <v>207</v>
      </c>
      <c r="D16" s="11" t="s">
        <v>208</v>
      </c>
      <c r="E16" s="11" t="s">
        <v>180</v>
      </c>
      <c r="F16" s="11" t="s">
        <v>170</v>
      </c>
      <c r="G16" s="11" t="s">
        <v>181</v>
      </c>
      <c r="H16" s="11" t="s">
        <v>172</v>
      </c>
      <c r="I16" s="11" t="s">
        <v>182</v>
      </c>
      <c r="J16" s="11" t="s">
        <v>174</v>
      </c>
      <c r="K16" s="11" t="s">
        <v>209</v>
      </c>
      <c r="L16" s="11"/>
      <c r="M16" s="11" t="s">
        <v>173</v>
      </c>
      <c r="N16" s="33" t="n">
        <v>7.66833333333333</v>
      </c>
      <c r="O16" s="33" t="n">
        <v>1.12916666666667</v>
      </c>
      <c r="P16" s="33" t="n">
        <v>0</v>
      </c>
      <c r="Q16" s="33" t="n">
        <v>8.7975</v>
      </c>
      <c r="R16" s="34" t="n">
        <v>0.75561238988349</v>
      </c>
      <c r="S16" s="33" t="n">
        <v>4.39875</v>
      </c>
      <c r="T16" s="33" t="n">
        <v>4.39875</v>
      </c>
      <c r="U16" s="35" t="n">
        <v>1</v>
      </c>
      <c r="AA16" s="36" t="n">
        <f aca="false">N16</f>
        <v>7.66833333333333</v>
      </c>
      <c r="AB16" s="36" t="n">
        <f aca="false">O16</f>
        <v>1.12916666666667</v>
      </c>
      <c r="AC16" s="36" t="n">
        <f aca="false">P16</f>
        <v>0</v>
      </c>
      <c r="AD16" s="36" t="n">
        <f aca="false">Q16</f>
        <v>8.7975</v>
      </c>
      <c r="AE16" s="19" t="n">
        <f aca="false">R16</f>
        <v>0.75561238988349</v>
      </c>
      <c r="AF16" s="36" t="n">
        <f aca="false">Q16*R16</f>
        <v>6.6475</v>
      </c>
      <c r="AG16" s="16" t="s">
        <v>76</v>
      </c>
      <c r="AH16" s="31" t="s">
        <v>187</v>
      </c>
    </row>
    <row r="17" customFormat="false" ht="14.25" hidden="true" customHeight="true" outlineLevel="0" collapsed="false">
      <c r="A17" s="32" t="n">
        <v>13</v>
      </c>
      <c r="B17" s="11" t="n">
        <v>9811</v>
      </c>
      <c r="C17" s="11" t="s">
        <v>210</v>
      </c>
      <c r="D17" s="11" t="s">
        <v>211</v>
      </c>
      <c r="E17" s="11" t="s">
        <v>180</v>
      </c>
      <c r="F17" s="11" t="s">
        <v>170</v>
      </c>
      <c r="G17" s="11" t="s">
        <v>181</v>
      </c>
      <c r="H17" s="11" t="s">
        <v>172</v>
      </c>
      <c r="I17" s="11" t="s">
        <v>182</v>
      </c>
      <c r="J17" s="11" t="s">
        <v>174</v>
      </c>
      <c r="K17" s="11" t="s">
        <v>209</v>
      </c>
      <c r="L17" s="11"/>
      <c r="M17" s="11" t="s">
        <v>173</v>
      </c>
      <c r="N17" s="33" t="n">
        <v>1.96833333333333</v>
      </c>
      <c r="O17" s="33" t="n">
        <v>0.164583333333333</v>
      </c>
      <c r="P17" s="33" t="n">
        <v>0</v>
      </c>
      <c r="Q17" s="33" t="n">
        <v>2.13291666666667</v>
      </c>
      <c r="R17" s="34" t="n">
        <v>0.953115842938074</v>
      </c>
      <c r="S17" s="33" t="n">
        <v>1.06645833333333</v>
      </c>
      <c r="T17" s="33" t="n">
        <v>1.06645833333333</v>
      </c>
      <c r="U17" s="35" t="n">
        <v>1</v>
      </c>
      <c r="AA17" s="36" t="n">
        <f aca="false">N17</f>
        <v>1.96833333333333</v>
      </c>
      <c r="AB17" s="36" t="n">
        <f aca="false">O17</f>
        <v>0.164583333333333</v>
      </c>
      <c r="AC17" s="36" t="n">
        <f aca="false">P17</f>
        <v>0</v>
      </c>
      <c r="AD17" s="36" t="n">
        <f aca="false">Q17</f>
        <v>2.13291666666667</v>
      </c>
      <c r="AE17" s="19" t="n">
        <f aca="false">R17</f>
        <v>0.953115842938074</v>
      </c>
      <c r="AF17" s="36" t="n">
        <f aca="false">Q17*R17</f>
        <v>2.03291666666667</v>
      </c>
      <c r="AG17" s="16" t="s">
        <v>76</v>
      </c>
      <c r="AH17" s="31" t="s">
        <v>177</v>
      </c>
    </row>
    <row r="18" customFormat="false" ht="14.25" hidden="true" customHeight="true" outlineLevel="0" collapsed="false">
      <c r="A18" s="32" t="n">
        <v>14</v>
      </c>
      <c r="B18" s="11" t="n">
        <v>9813</v>
      </c>
      <c r="C18" s="11" t="s">
        <v>212</v>
      </c>
      <c r="D18" s="11" t="s">
        <v>213</v>
      </c>
      <c r="E18" s="11" t="s">
        <v>180</v>
      </c>
      <c r="F18" s="11" t="s">
        <v>170</v>
      </c>
      <c r="G18" s="11" t="s">
        <v>181</v>
      </c>
      <c r="H18" s="11" t="s">
        <v>172</v>
      </c>
      <c r="I18" s="11" t="s">
        <v>182</v>
      </c>
      <c r="J18" s="11" t="s">
        <v>174</v>
      </c>
      <c r="K18" s="11" t="s">
        <v>209</v>
      </c>
      <c r="L18" s="11"/>
      <c r="M18" s="11" t="s">
        <v>173</v>
      </c>
      <c r="N18" s="33" t="n">
        <v>2.1175</v>
      </c>
      <c r="O18" s="33" t="n">
        <v>0</v>
      </c>
      <c r="P18" s="33" t="n">
        <v>0</v>
      </c>
      <c r="Q18" s="33" t="n">
        <v>2.1175</v>
      </c>
      <c r="R18" s="34" t="n">
        <v>0.645808736717828</v>
      </c>
      <c r="S18" s="33" t="n">
        <v>1.05875</v>
      </c>
      <c r="T18" s="33" t="n">
        <v>1.05875</v>
      </c>
      <c r="U18" s="35" t="n">
        <v>1</v>
      </c>
      <c r="AA18" s="36" t="n">
        <f aca="false">N18</f>
        <v>2.1175</v>
      </c>
      <c r="AB18" s="36" t="n">
        <f aca="false">O18</f>
        <v>0</v>
      </c>
      <c r="AC18" s="36" t="n">
        <f aca="false">P18</f>
        <v>0</v>
      </c>
      <c r="AD18" s="36" t="n">
        <f aca="false">Q18</f>
        <v>2.1175</v>
      </c>
      <c r="AE18" s="19" t="n">
        <f aca="false">R18</f>
        <v>0.645808736717828</v>
      </c>
      <c r="AF18" s="36" t="n">
        <f aca="false">Q18*R18</f>
        <v>1.3675</v>
      </c>
      <c r="AG18" s="16" t="s">
        <v>76</v>
      </c>
      <c r="AH18" s="31" t="s">
        <v>177</v>
      </c>
    </row>
    <row r="19" customFormat="false" ht="14.25" hidden="true" customHeight="true" outlineLevel="0" collapsed="false">
      <c r="A19" s="32" t="n">
        <v>15</v>
      </c>
      <c r="B19" s="11" t="n">
        <v>9814</v>
      </c>
      <c r="C19" s="11" t="s">
        <v>214</v>
      </c>
      <c r="D19" s="11" t="s">
        <v>215</v>
      </c>
      <c r="E19" s="11" t="s">
        <v>180</v>
      </c>
      <c r="F19" s="11" t="s">
        <v>170</v>
      </c>
      <c r="G19" s="11" t="s">
        <v>181</v>
      </c>
      <c r="H19" s="11" t="s">
        <v>172</v>
      </c>
      <c r="I19" s="11" t="s">
        <v>173</v>
      </c>
      <c r="J19" s="11" t="s">
        <v>174</v>
      </c>
      <c r="K19" s="11" t="s">
        <v>209</v>
      </c>
      <c r="L19" s="11"/>
      <c r="M19" s="11" t="s">
        <v>173</v>
      </c>
      <c r="N19" s="33" t="n">
        <v>0</v>
      </c>
      <c r="O19" s="33" t="n">
        <v>0</v>
      </c>
      <c r="P19" s="33" t="n">
        <v>0</v>
      </c>
      <c r="Q19" s="33" t="n">
        <v>0</v>
      </c>
      <c r="R19" s="34" t="n">
        <v>0</v>
      </c>
      <c r="S19" s="33"/>
      <c r="T19" s="33"/>
      <c r="U19" s="35" t="n">
        <v>1</v>
      </c>
      <c r="AA19" s="36" t="n">
        <f aca="false">N19</f>
        <v>0</v>
      </c>
      <c r="AB19" s="36" t="n">
        <f aca="false">O19</f>
        <v>0</v>
      </c>
      <c r="AC19" s="36" t="n">
        <f aca="false">P19</f>
        <v>0</v>
      </c>
      <c r="AD19" s="36" t="n">
        <f aca="false">Q19</f>
        <v>0</v>
      </c>
      <c r="AE19" s="19" t="n">
        <f aca="false">R19</f>
        <v>0</v>
      </c>
      <c r="AF19" s="36" t="n">
        <f aca="false">Q19*R19</f>
        <v>0</v>
      </c>
      <c r="AG19" s="16" t="s">
        <v>76</v>
      </c>
      <c r="AH19" s="31" t="s">
        <v>177</v>
      </c>
    </row>
    <row r="20" customFormat="false" ht="14.25" hidden="true" customHeight="true" outlineLevel="0" collapsed="false">
      <c r="A20" s="32" t="n">
        <v>16</v>
      </c>
      <c r="B20" s="11" t="n">
        <v>9816</v>
      </c>
      <c r="C20" s="11" t="s">
        <v>216</v>
      </c>
      <c r="D20" s="11" t="s">
        <v>217</v>
      </c>
      <c r="E20" s="11" t="s">
        <v>180</v>
      </c>
      <c r="F20" s="11" t="s">
        <v>170</v>
      </c>
      <c r="G20" s="11" t="s">
        <v>181</v>
      </c>
      <c r="H20" s="11" t="s">
        <v>172</v>
      </c>
      <c r="I20" s="11" t="s">
        <v>182</v>
      </c>
      <c r="J20" s="11" t="s">
        <v>174</v>
      </c>
      <c r="K20" s="11" t="s">
        <v>209</v>
      </c>
      <c r="L20" s="11"/>
      <c r="M20" s="11" t="s">
        <v>173</v>
      </c>
      <c r="N20" s="33" t="n">
        <v>0.2</v>
      </c>
      <c r="O20" s="33" t="n">
        <v>0</v>
      </c>
      <c r="P20" s="33" t="n">
        <v>0</v>
      </c>
      <c r="Q20" s="33" t="n">
        <v>0.2</v>
      </c>
      <c r="R20" s="34" t="n">
        <v>0</v>
      </c>
      <c r="S20" s="33" t="n">
        <v>0.1</v>
      </c>
      <c r="T20" s="33" t="n">
        <v>0.1</v>
      </c>
      <c r="U20" s="35" t="n">
        <v>1</v>
      </c>
      <c r="AA20" s="36" t="n">
        <f aca="false">N20</f>
        <v>0.2</v>
      </c>
      <c r="AB20" s="36" t="n">
        <f aca="false">O20</f>
        <v>0</v>
      </c>
      <c r="AC20" s="36" t="n">
        <f aca="false">P20</f>
        <v>0</v>
      </c>
      <c r="AD20" s="36" t="n">
        <f aca="false">Q20</f>
        <v>0.2</v>
      </c>
      <c r="AE20" s="19" t="n">
        <f aca="false">R20</f>
        <v>0</v>
      </c>
      <c r="AF20" s="36" t="n">
        <f aca="false">Q20*R20</f>
        <v>0</v>
      </c>
      <c r="AG20" s="16" t="s">
        <v>76</v>
      </c>
      <c r="AH20" s="31" t="s">
        <v>202</v>
      </c>
    </row>
    <row r="21" customFormat="false" ht="14.25" hidden="true" customHeight="true" outlineLevel="0" collapsed="false">
      <c r="A21" s="32" t="n">
        <v>17</v>
      </c>
      <c r="B21" s="11" t="n">
        <v>9817</v>
      </c>
      <c r="C21" s="11" t="s">
        <v>218</v>
      </c>
      <c r="D21" s="11" t="s">
        <v>219</v>
      </c>
      <c r="E21" s="11" t="s">
        <v>180</v>
      </c>
      <c r="F21" s="11" t="s">
        <v>170</v>
      </c>
      <c r="G21" s="11" t="s">
        <v>181</v>
      </c>
      <c r="H21" s="11" t="s">
        <v>172</v>
      </c>
      <c r="I21" s="11" t="s">
        <v>173</v>
      </c>
      <c r="J21" s="11" t="s">
        <v>174</v>
      </c>
      <c r="K21" s="11" t="s">
        <v>209</v>
      </c>
      <c r="L21" s="11"/>
      <c r="M21" s="11" t="s">
        <v>173</v>
      </c>
      <c r="N21" s="33" t="n">
        <v>1.664875</v>
      </c>
      <c r="O21" s="33" t="n">
        <v>0</v>
      </c>
      <c r="P21" s="33" t="n">
        <v>0</v>
      </c>
      <c r="Q21" s="33" t="n">
        <v>1.664875</v>
      </c>
      <c r="R21" s="34" t="n">
        <v>0.407488049653377</v>
      </c>
      <c r="S21" s="33" t="n">
        <v>0.8324375</v>
      </c>
      <c r="T21" s="33" t="n">
        <v>0.8324375</v>
      </c>
      <c r="U21" s="35" t="n">
        <v>1</v>
      </c>
      <c r="AA21" s="36" t="n">
        <f aca="false">N21</f>
        <v>1.664875</v>
      </c>
      <c r="AB21" s="36" t="n">
        <f aca="false">O21</f>
        <v>0</v>
      </c>
      <c r="AC21" s="36" t="n">
        <f aca="false">P21</f>
        <v>0</v>
      </c>
      <c r="AD21" s="36" t="n">
        <f aca="false">Q21</f>
        <v>1.664875</v>
      </c>
      <c r="AE21" s="19" t="n">
        <f aca="false">R21</f>
        <v>0.407488049653377</v>
      </c>
      <c r="AF21" s="36" t="n">
        <f aca="false">Q21*R21</f>
        <v>0.678416666666666</v>
      </c>
      <c r="AG21" s="16" t="s">
        <v>76</v>
      </c>
      <c r="AH21" s="31" t="s">
        <v>192</v>
      </c>
    </row>
    <row r="22" customFormat="false" ht="14.25" hidden="true" customHeight="true" outlineLevel="0" collapsed="false">
      <c r="A22" s="32" t="n">
        <v>18</v>
      </c>
      <c r="B22" s="11" t="n">
        <v>9818</v>
      </c>
      <c r="C22" s="11" t="s">
        <v>220</v>
      </c>
      <c r="D22" s="11" t="s">
        <v>221</v>
      </c>
      <c r="E22" s="11" t="s">
        <v>180</v>
      </c>
      <c r="F22" s="11" t="s">
        <v>170</v>
      </c>
      <c r="G22" s="11" t="s">
        <v>181</v>
      </c>
      <c r="H22" s="11" t="s">
        <v>172</v>
      </c>
      <c r="I22" s="11" t="s">
        <v>173</v>
      </c>
      <c r="J22" s="11" t="s">
        <v>174</v>
      </c>
      <c r="K22" s="11" t="s">
        <v>209</v>
      </c>
      <c r="L22" s="11"/>
      <c r="M22" s="11" t="s">
        <v>173</v>
      </c>
      <c r="N22" s="33" t="n">
        <v>0</v>
      </c>
      <c r="O22" s="33" t="n">
        <v>0</v>
      </c>
      <c r="P22" s="33" t="n">
        <v>0</v>
      </c>
      <c r="Q22" s="33" t="n">
        <v>0</v>
      </c>
      <c r="R22" s="34" t="n">
        <v>0</v>
      </c>
      <c r="S22" s="33"/>
      <c r="T22" s="33"/>
      <c r="U22" s="35" t="n">
        <v>1</v>
      </c>
      <c r="AA22" s="36" t="n">
        <f aca="false">N22</f>
        <v>0</v>
      </c>
      <c r="AB22" s="36" t="n">
        <f aca="false">O22</f>
        <v>0</v>
      </c>
      <c r="AC22" s="36" t="n">
        <f aca="false">P22</f>
        <v>0</v>
      </c>
      <c r="AD22" s="36" t="n">
        <f aca="false">Q22</f>
        <v>0</v>
      </c>
      <c r="AE22" s="19" t="n">
        <f aca="false">R22</f>
        <v>0</v>
      </c>
      <c r="AF22" s="36" t="n">
        <f aca="false">Q22*R22</f>
        <v>0</v>
      </c>
      <c r="AG22" s="16" t="s">
        <v>76</v>
      </c>
      <c r="AH22" s="31" t="s">
        <v>177</v>
      </c>
    </row>
    <row r="23" customFormat="false" ht="14.25" hidden="true" customHeight="true" outlineLevel="0" collapsed="false">
      <c r="A23" s="32" t="n">
        <v>19</v>
      </c>
      <c r="B23" s="11" t="n">
        <v>9819</v>
      </c>
      <c r="C23" s="11" t="s">
        <v>222</v>
      </c>
      <c r="D23" s="11" t="s">
        <v>223</v>
      </c>
      <c r="E23" s="11" t="s">
        <v>180</v>
      </c>
      <c r="F23" s="11" t="s">
        <v>170</v>
      </c>
      <c r="G23" s="11" t="s">
        <v>181</v>
      </c>
      <c r="H23" s="11" t="s">
        <v>172</v>
      </c>
      <c r="I23" s="11" t="s">
        <v>173</v>
      </c>
      <c r="J23" s="11" t="s">
        <v>174</v>
      </c>
      <c r="K23" s="11" t="s">
        <v>209</v>
      </c>
      <c r="L23" s="11"/>
      <c r="M23" s="11" t="s">
        <v>173</v>
      </c>
      <c r="N23" s="33" t="n">
        <v>0</v>
      </c>
      <c r="O23" s="33" t="n">
        <v>0</v>
      </c>
      <c r="P23" s="33" t="n">
        <v>0</v>
      </c>
      <c r="Q23" s="33" t="n">
        <v>0</v>
      </c>
      <c r="R23" s="34" t="n">
        <v>0</v>
      </c>
      <c r="S23" s="33"/>
      <c r="T23" s="33"/>
      <c r="U23" s="35" t="n">
        <v>1</v>
      </c>
      <c r="AA23" s="36" t="n">
        <f aca="false">N23</f>
        <v>0</v>
      </c>
      <c r="AB23" s="36" t="n">
        <f aca="false">O23</f>
        <v>0</v>
      </c>
      <c r="AC23" s="36" t="n">
        <f aca="false">P23</f>
        <v>0</v>
      </c>
      <c r="AD23" s="36" t="n">
        <f aca="false">Q23</f>
        <v>0</v>
      </c>
      <c r="AE23" s="19" t="n">
        <f aca="false">R23</f>
        <v>0</v>
      </c>
      <c r="AF23" s="36" t="n">
        <f aca="false">Q23*R23</f>
        <v>0</v>
      </c>
      <c r="AG23" s="16" t="s">
        <v>76</v>
      </c>
      <c r="AH23" s="31" t="s">
        <v>177</v>
      </c>
    </row>
    <row r="24" customFormat="false" ht="14.25" hidden="true" customHeight="true" outlineLevel="0" collapsed="false">
      <c r="A24" s="32" t="n">
        <v>20</v>
      </c>
      <c r="B24" s="11" t="n">
        <v>9820</v>
      </c>
      <c r="C24" s="11" t="s">
        <v>224</v>
      </c>
      <c r="D24" s="11" t="s">
        <v>225</v>
      </c>
      <c r="E24" s="11" t="s">
        <v>180</v>
      </c>
      <c r="F24" s="11" t="s">
        <v>170</v>
      </c>
      <c r="G24" s="11" t="s">
        <v>181</v>
      </c>
      <c r="H24" s="11" t="s">
        <v>172</v>
      </c>
      <c r="I24" s="11" t="s">
        <v>182</v>
      </c>
      <c r="J24" s="11" t="s">
        <v>174</v>
      </c>
      <c r="K24" s="11" t="s">
        <v>209</v>
      </c>
      <c r="L24" s="11"/>
      <c r="M24" s="11" t="s">
        <v>173</v>
      </c>
      <c r="N24" s="33" t="n">
        <v>0</v>
      </c>
      <c r="O24" s="33" t="n">
        <v>0</v>
      </c>
      <c r="P24" s="33" t="n">
        <v>0</v>
      </c>
      <c r="Q24" s="33" t="n">
        <v>0</v>
      </c>
      <c r="R24" s="34" t="n">
        <v>0</v>
      </c>
      <c r="S24" s="33"/>
      <c r="T24" s="33"/>
      <c r="U24" s="35" t="n">
        <v>1</v>
      </c>
      <c r="AA24" s="36" t="n">
        <f aca="false">N24</f>
        <v>0</v>
      </c>
      <c r="AB24" s="36" t="n">
        <f aca="false">O24</f>
        <v>0</v>
      </c>
      <c r="AC24" s="36" t="n">
        <f aca="false">P24</f>
        <v>0</v>
      </c>
      <c r="AD24" s="36" t="n">
        <f aca="false">Q24</f>
        <v>0</v>
      </c>
      <c r="AE24" s="19" t="n">
        <f aca="false">R24</f>
        <v>0</v>
      </c>
      <c r="AF24" s="36" t="n">
        <f aca="false">Q24*R24</f>
        <v>0</v>
      </c>
      <c r="AG24" s="16" t="s">
        <v>76</v>
      </c>
      <c r="AH24" s="31" t="s">
        <v>177</v>
      </c>
    </row>
    <row r="25" customFormat="false" ht="14.25" hidden="true" customHeight="true" outlineLevel="0" collapsed="false">
      <c r="A25" s="32" t="n">
        <v>21</v>
      </c>
      <c r="B25" s="11" t="n">
        <v>9821</v>
      </c>
      <c r="C25" s="11" t="s">
        <v>226</v>
      </c>
      <c r="D25" s="11" t="s">
        <v>227</v>
      </c>
      <c r="E25" s="11" t="s">
        <v>180</v>
      </c>
      <c r="F25" s="11" t="s">
        <v>170</v>
      </c>
      <c r="G25" s="11" t="s">
        <v>181</v>
      </c>
      <c r="H25" s="11" t="s">
        <v>172</v>
      </c>
      <c r="I25" s="11" t="s">
        <v>182</v>
      </c>
      <c r="J25" s="11" t="s">
        <v>174</v>
      </c>
      <c r="K25" s="11" t="s">
        <v>209</v>
      </c>
      <c r="L25" s="11"/>
      <c r="M25" s="11" t="s">
        <v>173</v>
      </c>
      <c r="N25" s="33" t="n">
        <v>4.37833333333333</v>
      </c>
      <c r="O25" s="33" t="n">
        <v>0.970833333333333</v>
      </c>
      <c r="P25" s="33" t="n">
        <v>0</v>
      </c>
      <c r="Q25" s="33" t="n">
        <v>5.34916666666667</v>
      </c>
      <c r="R25" s="34" t="n">
        <v>0.626109985979125</v>
      </c>
      <c r="S25" s="33" t="n">
        <v>2.67458333333333</v>
      </c>
      <c r="T25" s="33" t="n">
        <v>2.67458333333333</v>
      </c>
      <c r="U25" s="35" t="n">
        <v>1</v>
      </c>
      <c r="AA25" s="36" t="n">
        <f aca="false">N25</f>
        <v>4.37833333333333</v>
      </c>
      <c r="AB25" s="36" t="n">
        <f aca="false">O25</f>
        <v>0.970833333333333</v>
      </c>
      <c r="AC25" s="36" t="n">
        <f aca="false">P25</f>
        <v>0</v>
      </c>
      <c r="AD25" s="36" t="n">
        <f aca="false">Q25</f>
        <v>5.34916666666667</v>
      </c>
      <c r="AE25" s="19" t="n">
        <f aca="false">R25</f>
        <v>0.626109985979125</v>
      </c>
      <c r="AF25" s="36" t="n">
        <f aca="false">Q25*R25</f>
        <v>3.34916666666667</v>
      </c>
      <c r="AG25" s="16" t="s">
        <v>76</v>
      </c>
      <c r="AH25" s="31" t="s">
        <v>187</v>
      </c>
    </row>
    <row r="26" customFormat="false" ht="14.25" hidden="true" customHeight="true" outlineLevel="0" collapsed="false">
      <c r="A26" s="32" t="n">
        <v>22</v>
      </c>
      <c r="B26" s="11" t="n">
        <v>9822</v>
      </c>
      <c r="C26" s="11" t="s">
        <v>228</v>
      </c>
      <c r="D26" s="11" t="s">
        <v>229</v>
      </c>
      <c r="E26" s="11" t="s">
        <v>180</v>
      </c>
      <c r="F26" s="11" t="s">
        <v>170</v>
      </c>
      <c r="G26" s="11" t="s">
        <v>181</v>
      </c>
      <c r="H26" s="11" t="s">
        <v>172</v>
      </c>
      <c r="I26" s="11" t="s">
        <v>173</v>
      </c>
      <c r="J26" s="11" t="s">
        <v>174</v>
      </c>
      <c r="K26" s="11" t="s">
        <v>209</v>
      </c>
      <c r="L26" s="11"/>
      <c r="M26" s="11" t="s">
        <v>173</v>
      </c>
      <c r="N26" s="33" t="n">
        <v>6.01291666666667</v>
      </c>
      <c r="O26" s="33" t="n">
        <v>0.254166666666667</v>
      </c>
      <c r="P26" s="33" t="n">
        <v>0</v>
      </c>
      <c r="Q26" s="33" t="n">
        <v>6.26708333333333</v>
      </c>
      <c r="R26" s="34" t="n">
        <v>0.789907585931786</v>
      </c>
      <c r="S26" s="33" t="n">
        <v>3.13354166666667</v>
      </c>
      <c r="T26" s="33" t="n">
        <v>3.13354166666667</v>
      </c>
      <c r="U26" s="35" t="n">
        <v>1</v>
      </c>
      <c r="AA26" s="36" t="n">
        <f aca="false">N26</f>
        <v>6.01291666666667</v>
      </c>
      <c r="AB26" s="36" t="n">
        <f aca="false">O26</f>
        <v>0.254166666666667</v>
      </c>
      <c r="AC26" s="36" t="n">
        <f aca="false">P26</f>
        <v>0</v>
      </c>
      <c r="AD26" s="36" t="n">
        <f aca="false">Q26</f>
        <v>6.26708333333333</v>
      </c>
      <c r="AE26" s="19" t="n">
        <f aca="false">R26</f>
        <v>0.789907585931786</v>
      </c>
      <c r="AF26" s="36" t="n">
        <f aca="false">Q26*R26</f>
        <v>4.95041666666666</v>
      </c>
      <c r="AG26" s="16" t="s">
        <v>76</v>
      </c>
      <c r="AH26" s="31" t="s">
        <v>202</v>
      </c>
    </row>
    <row r="27" customFormat="false" ht="14.25" hidden="true" customHeight="true" outlineLevel="0" collapsed="false">
      <c r="A27" s="32" t="n">
        <v>23</v>
      </c>
      <c r="B27" s="11" t="n">
        <v>9823</v>
      </c>
      <c r="C27" s="11" t="s">
        <v>230</v>
      </c>
      <c r="D27" s="11" t="s">
        <v>231</v>
      </c>
      <c r="E27" s="11" t="s">
        <v>180</v>
      </c>
      <c r="F27" s="11" t="s">
        <v>170</v>
      </c>
      <c r="G27" s="11" t="s">
        <v>181</v>
      </c>
      <c r="H27" s="11" t="s">
        <v>232</v>
      </c>
      <c r="I27" s="11" t="s">
        <v>182</v>
      </c>
      <c r="J27" s="11" t="s">
        <v>174</v>
      </c>
      <c r="K27" s="11" t="s">
        <v>209</v>
      </c>
      <c r="L27" s="11"/>
      <c r="M27" s="11" t="s">
        <v>173</v>
      </c>
      <c r="N27" s="33" t="n">
        <v>6.72670833333334</v>
      </c>
      <c r="O27" s="33" t="n">
        <v>1.4625</v>
      </c>
      <c r="P27" s="33" t="n">
        <v>0</v>
      </c>
      <c r="Q27" s="33" t="n">
        <v>8.18920833333334</v>
      </c>
      <c r="R27" s="34" t="n">
        <v>0.72808726932294</v>
      </c>
      <c r="S27" s="33" t="n">
        <v>4.09460416666667</v>
      </c>
      <c r="T27" s="33" t="n">
        <v>4.09460416666667</v>
      </c>
      <c r="U27" s="35" t="n">
        <v>1</v>
      </c>
      <c r="AA27" s="36" t="n">
        <f aca="false">N27</f>
        <v>6.72670833333334</v>
      </c>
      <c r="AB27" s="36" t="n">
        <f aca="false">O27</f>
        <v>1.4625</v>
      </c>
      <c r="AC27" s="36" t="n">
        <f aca="false">P27</f>
        <v>0</v>
      </c>
      <c r="AD27" s="36" t="n">
        <f aca="false">Q27</f>
        <v>8.18920833333334</v>
      </c>
      <c r="AE27" s="19" t="n">
        <f aca="false">R27</f>
        <v>0.72808726932294</v>
      </c>
      <c r="AF27" s="36" t="n">
        <f aca="false">Q27*R27</f>
        <v>5.96245833333334</v>
      </c>
      <c r="AG27" s="16" t="s">
        <v>76</v>
      </c>
      <c r="AH27" s="31" t="s">
        <v>233</v>
      </c>
    </row>
    <row r="28" customFormat="false" ht="14.25" hidden="true" customHeight="true" outlineLevel="0" collapsed="false">
      <c r="A28" s="32" t="n">
        <v>24</v>
      </c>
      <c r="B28" s="11" t="n">
        <v>9824</v>
      </c>
      <c r="C28" s="11" t="s">
        <v>234</v>
      </c>
      <c r="D28" s="11" t="s">
        <v>235</v>
      </c>
      <c r="E28" s="11" t="s">
        <v>180</v>
      </c>
      <c r="F28" s="11" t="s">
        <v>170</v>
      </c>
      <c r="G28" s="11" t="s">
        <v>181</v>
      </c>
      <c r="H28" s="11" t="s">
        <v>172</v>
      </c>
      <c r="I28" s="11" t="s">
        <v>182</v>
      </c>
      <c r="J28" s="11" t="s">
        <v>174</v>
      </c>
      <c r="K28" s="11" t="s">
        <v>209</v>
      </c>
      <c r="L28" s="11"/>
      <c r="M28" s="11" t="s">
        <v>173</v>
      </c>
      <c r="N28" s="33" t="n">
        <v>1.63083333333333</v>
      </c>
      <c r="O28" s="33" t="n">
        <v>0</v>
      </c>
      <c r="P28" s="33" t="n">
        <v>0</v>
      </c>
      <c r="Q28" s="33" t="n">
        <v>1.63083333333333</v>
      </c>
      <c r="R28" s="34" t="n">
        <v>0.386816555952989</v>
      </c>
      <c r="S28" s="33" t="n">
        <v>0.815416666666667</v>
      </c>
      <c r="T28" s="33" t="n">
        <v>0.815416666666667</v>
      </c>
      <c r="U28" s="35" t="n">
        <v>1</v>
      </c>
      <c r="AA28" s="36" t="n">
        <f aca="false">N28</f>
        <v>1.63083333333333</v>
      </c>
      <c r="AB28" s="36" t="n">
        <f aca="false">O28</f>
        <v>0</v>
      </c>
      <c r="AC28" s="36" t="n">
        <f aca="false">P28</f>
        <v>0</v>
      </c>
      <c r="AD28" s="36" t="n">
        <f aca="false">Q28</f>
        <v>1.63083333333333</v>
      </c>
      <c r="AE28" s="19" t="n">
        <f aca="false">R28</f>
        <v>0.386816555952989</v>
      </c>
      <c r="AF28" s="36" t="n">
        <f aca="false">Q28*R28</f>
        <v>0.630833333333332</v>
      </c>
      <c r="AG28" s="16" t="s">
        <v>76</v>
      </c>
      <c r="AH28" s="31" t="s">
        <v>177</v>
      </c>
    </row>
    <row r="29" customFormat="false" ht="14.25" hidden="true" customHeight="true" outlineLevel="0" collapsed="false">
      <c r="A29" s="32" t="n">
        <v>25</v>
      </c>
      <c r="B29" s="11" t="n">
        <v>9833</v>
      </c>
      <c r="C29" s="11" t="s">
        <v>236</v>
      </c>
      <c r="D29" s="11" t="s">
        <v>237</v>
      </c>
      <c r="E29" s="11" t="s">
        <v>238</v>
      </c>
      <c r="F29" s="11" t="s">
        <v>239</v>
      </c>
      <c r="G29" s="11" t="s">
        <v>240</v>
      </c>
      <c r="H29" s="11" t="s">
        <v>172</v>
      </c>
      <c r="I29" s="11" t="s">
        <v>173</v>
      </c>
      <c r="J29" s="11" t="s">
        <v>174</v>
      </c>
      <c r="K29" s="11" t="s">
        <v>241</v>
      </c>
      <c r="L29" s="11"/>
      <c r="M29" s="11" t="s">
        <v>173</v>
      </c>
      <c r="N29" s="33" t="n">
        <v>8.73166666666667</v>
      </c>
      <c r="O29" s="33" t="n">
        <v>0.110416666666667</v>
      </c>
      <c r="P29" s="33" t="n">
        <v>0</v>
      </c>
      <c r="Q29" s="33" t="n">
        <v>8.84208333333334</v>
      </c>
      <c r="R29" s="34" t="n">
        <v>0.916874793836294</v>
      </c>
      <c r="S29" s="33" t="n">
        <v>4.42104166666667</v>
      </c>
      <c r="T29" s="33" t="n">
        <v>4.42104166666667</v>
      </c>
      <c r="U29" s="35" t="n">
        <v>1</v>
      </c>
      <c r="AA29" s="36" t="n">
        <f aca="false">N29</f>
        <v>8.73166666666667</v>
      </c>
      <c r="AB29" s="36" t="n">
        <f aca="false">O29</f>
        <v>0.110416666666667</v>
      </c>
      <c r="AC29" s="36" t="n">
        <f aca="false">P29</f>
        <v>0</v>
      </c>
      <c r="AD29" s="36" t="n">
        <f aca="false">Q29</f>
        <v>8.84208333333334</v>
      </c>
      <c r="AE29" s="19" t="n">
        <f aca="false">R29</f>
        <v>0.916874793836294</v>
      </c>
      <c r="AF29" s="36" t="n">
        <f aca="false">Q29*R29</f>
        <v>8.10708333333334</v>
      </c>
      <c r="AG29" s="16" t="s">
        <v>72</v>
      </c>
      <c r="AH29" s="31" t="s">
        <v>187</v>
      </c>
    </row>
    <row r="30" customFormat="false" ht="14.25" hidden="true" customHeight="true" outlineLevel="0" collapsed="false">
      <c r="A30" s="32" t="n">
        <v>26</v>
      </c>
      <c r="B30" s="11" t="n">
        <v>9834</v>
      </c>
      <c r="C30" s="11" t="s">
        <v>242</v>
      </c>
      <c r="D30" s="11" t="s">
        <v>243</v>
      </c>
      <c r="E30" s="11" t="s">
        <v>244</v>
      </c>
      <c r="F30" s="11" t="s">
        <v>239</v>
      </c>
      <c r="G30" s="11" t="s">
        <v>245</v>
      </c>
      <c r="H30" s="11" t="s">
        <v>172</v>
      </c>
      <c r="I30" s="11" t="s">
        <v>182</v>
      </c>
      <c r="J30" s="11" t="s">
        <v>174</v>
      </c>
      <c r="K30" s="11" t="s">
        <v>246</v>
      </c>
      <c r="L30" s="11"/>
      <c r="M30" s="11" t="s">
        <v>173</v>
      </c>
      <c r="N30" s="33" t="n">
        <v>0.2</v>
      </c>
      <c r="O30" s="33" t="n">
        <v>0.2</v>
      </c>
      <c r="P30" s="33" t="n">
        <v>0</v>
      </c>
      <c r="Q30" s="33" t="n">
        <v>0.370833333333333</v>
      </c>
      <c r="R30" s="34" t="n">
        <v>0.325842696629213</v>
      </c>
      <c r="S30" s="33" t="n">
        <v>0.185416666666667</v>
      </c>
      <c r="T30" s="33" t="n">
        <v>0.185416666666667</v>
      </c>
      <c r="U30" s="35" t="n">
        <v>1</v>
      </c>
      <c r="AA30" s="36" t="n">
        <f aca="false">N30</f>
        <v>0.2</v>
      </c>
      <c r="AB30" s="36" t="n">
        <f aca="false">O30</f>
        <v>0.2</v>
      </c>
      <c r="AC30" s="36" t="n">
        <f aca="false">P30</f>
        <v>0</v>
      </c>
      <c r="AD30" s="36" t="n">
        <f aca="false">Q30</f>
        <v>0.370833333333333</v>
      </c>
      <c r="AE30" s="19" t="n">
        <f aca="false">R30</f>
        <v>0.325842696629213</v>
      </c>
      <c r="AF30" s="36" t="n">
        <f aca="false">Q30*R30</f>
        <v>0.120833333333333</v>
      </c>
      <c r="AG30" s="16" t="s">
        <v>72</v>
      </c>
      <c r="AH30" s="31" t="s">
        <v>177</v>
      </c>
    </row>
    <row r="31" customFormat="false" ht="14.25" hidden="true" customHeight="true" outlineLevel="0" collapsed="false">
      <c r="A31" s="32" t="n">
        <v>27</v>
      </c>
      <c r="B31" s="11" t="n">
        <v>9835</v>
      </c>
      <c r="C31" s="11" t="s">
        <v>247</v>
      </c>
      <c r="D31" s="11" t="s">
        <v>248</v>
      </c>
      <c r="E31" s="11" t="s">
        <v>249</v>
      </c>
      <c r="F31" s="11" t="s">
        <v>239</v>
      </c>
      <c r="G31" s="11" t="s">
        <v>250</v>
      </c>
      <c r="H31" s="11" t="s">
        <v>172</v>
      </c>
      <c r="I31" s="11" t="s">
        <v>182</v>
      </c>
      <c r="J31" s="11" t="s">
        <v>174</v>
      </c>
      <c r="K31" s="11" t="s">
        <v>251</v>
      </c>
      <c r="L31" s="11"/>
      <c r="M31" s="11" t="s">
        <v>173</v>
      </c>
      <c r="N31" s="33" t="n">
        <v>29.379875</v>
      </c>
      <c r="O31" s="33" t="n">
        <v>5.61666666666667</v>
      </c>
      <c r="P31" s="33" t="n">
        <v>0</v>
      </c>
      <c r="Q31" s="33" t="n">
        <v>34.9965416666667</v>
      </c>
      <c r="R31" s="34" t="n">
        <v>0.905228730934128</v>
      </c>
      <c r="S31" s="33" t="n">
        <v>17.4982708333333</v>
      </c>
      <c r="T31" s="33" t="n">
        <v>17.4982708333333</v>
      </c>
      <c r="U31" s="35" t="n">
        <v>1</v>
      </c>
      <c r="AA31" s="36" t="n">
        <f aca="false">N31</f>
        <v>29.379875</v>
      </c>
      <c r="AB31" s="36" t="n">
        <f aca="false">O31</f>
        <v>5.61666666666667</v>
      </c>
      <c r="AC31" s="36" t="n">
        <f aca="false">P31</f>
        <v>0</v>
      </c>
      <c r="AD31" s="36" t="n">
        <f aca="false">Q31</f>
        <v>34.9965416666667</v>
      </c>
      <c r="AE31" s="19" t="n">
        <f aca="false">R31</f>
        <v>0.905228730934128</v>
      </c>
      <c r="AF31" s="36" t="n">
        <f aca="false">Q31*R31</f>
        <v>31.679875</v>
      </c>
      <c r="AG31" s="16" t="s">
        <v>72</v>
      </c>
      <c r="AH31" s="31" t="s">
        <v>177</v>
      </c>
    </row>
    <row r="32" customFormat="false" ht="14.25" hidden="true" customHeight="true" outlineLevel="0" collapsed="false">
      <c r="A32" s="32" t="n">
        <v>28</v>
      </c>
      <c r="B32" s="11" t="n">
        <v>9836</v>
      </c>
      <c r="C32" s="11" t="s">
        <v>252</v>
      </c>
      <c r="D32" s="11" t="s">
        <v>253</v>
      </c>
      <c r="E32" s="11" t="s">
        <v>244</v>
      </c>
      <c r="F32" s="11" t="s">
        <v>239</v>
      </c>
      <c r="G32" s="11" t="s">
        <v>245</v>
      </c>
      <c r="H32" s="11" t="s">
        <v>172</v>
      </c>
      <c r="I32" s="11" t="s">
        <v>182</v>
      </c>
      <c r="J32" s="11" t="s">
        <v>174</v>
      </c>
      <c r="K32" s="11" t="s">
        <v>246</v>
      </c>
      <c r="L32" s="11"/>
      <c r="M32" s="11" t="s">
        <v>173</v>
      </c>
      <c r="N32" s="33" t="n">
        <v>0.3</v>
      </c>
      <c r="O32" s="33" t="n">
        <v>0.3</v>
      </c>
      <c r="P32" s="33" t="n">
        <v>0</v>
      </c>
      <c r="Q32" s="33" t="n">
        <v>2.52583333333333</v>
      </c>
      <c r="R32" s="34" t="n">
        <v>0.901022764764104</v>
      </c>
      <c r="S32" s="33" t="n">
        <v>1.26291666666667</v>
      </c>
      <c r="T32" s="33" t="n">
        <v>1.26291666666667</v>
      </c>
      <c r="U32" s="35" t="n">
        <v>1</v>
      </c>
      <c r="AA32" s="36" t="n">
        <f aca="false">N32</f>
        <v>0.3</v>
      </c>
      <c r="AB32" s="36" t="n">
        <f aca="false">O32</f>
        <v>0.3</v>
      </c>
      <c r="AC32" s="36" t="n">
        <f aca="false">P32</f>
        <v>0</v>
      </c>
      <c r="AD32" s="36" t="n">
        <f aca="false">Q32</f>
        <v>2.52583333333333</v>
      </c>
      <c r="AE32" s="19" t="n">
        <f aca="false">R32</f>
        <v>0.901022764764104</v>
      </c>
      <c r="AF32" s="36" t="n">
        <f aca="false">Q32*R32</f>
        <v>2.27583333333333</v>
      </c>
      <c r="AG32" s="16" t="s">
        <v>72</v>
      </c>
      <c r="AH32" s="31" t="s">
        <v>177</v>
      </c>
    </row>
    <row r="33" customFormat="false" ht="14.25" hidden="true" customHeight="true" outlineLevel="0" collapsed="false">
      <c r="A33" s="32" t="n">
        <v>29</v>
      </c>
      <c r="B33" s="11" t="n">
        <v>9842</v>
      </c>
      <c r="C33" s="11" t="s">
        <v>254</v>
      </c>
      <c r="D33" s="11" t="s">
        <v>255</v>
      </c>
      <c r="E33" s="11" t="s">
        <v>244</v>
      </c>
      <c r="F33" s="11" t="s">
        <v>239</v>
      </c>
      <c r="G33" s="11" t="s">
        <v>245</v>
      </c>
      <c r="H33" s="11" t="s">
        <v>172</v>
      </c>
      <c r="I33" s="11" t="s">
        <v>173</v>
      </c>
      <c r="J33" s="11" t="s">
        <v>174</v>
      </c>
      <c r="K33" s="11" t="s">
        <v>256</v>
      </c>
      <c r="L33" s="11"/>
      <c r="M33" s="11" t="s">
        <v>173</v>
      </c>
      <c r="N33" s="33" t="n">
        <v>0.3</v>
      </c>
      <c r="O33" s="33" t="n">
        <v>0.3</v>
      </c>
      <c r="P33" s="33" t="n">
        <v>0</v>
      </c>
      <c r="Q33" s="33" t="n">
        <v>2.88625</v>
      </c>
      <c r="R33" s="34" t="n">
        <v>0.902988306626245</v>
      </c>
      <c r="S33" s="33" t="n">
        <v>1.443125</v>
      </c>
      <c r="T33" s="33" t="n">
        <v>1.443125</v>
      </c>
      <c r="U33" s="35" t="n">
        <v>1</v>
      </c>
      <c r="AA33" s="36" t="n">
        <f aca="false">N33</f>
        <v>0.3</v>
      </c>
      <c r="AB33" s="36" t="n">
        <f aca="false">O33</f>
        <v>0.3</v>
      </c>
      <c r="AC33" s="36" t="n">
        <f aca="false">P33</f>
        <v>0</v>
      </c>
      <c r="AD33" s="36" t="n">
        <f aca="false">Q33</f>
        <v>2.88625</v>
      </c>
      <c r="AE33" s="19" t="n">
        <f aca="false">R33</f>
        <v>0.902988306626245</v>
      </c>
      <c r="AF33" s="36" t="n">
        <f aca="false">Q33*R33</f>
        <v>2.60625</v>
      </c>
      <c r="AG33" s="16" t="s">
        <v>72</v>
      </c>
      <c r="AH33" s="31" t="s">
        <v>187</v>
      </c>
    </row>
    <row r="34" customFormat="false" ht="14.25" hidden="true" customHeight="true" outlineLevel="0" collapsed="false">
      <c r="A34" s="32" t="n">
        <v>30</v>
      </c>
      <c r="B34" s="11" t="n">
        <v>9843</v>
      </c>
      <c r="C34" s="11" t="s">
        <v>257</v>
      </c>
      <c r="D34" s="11" t="s">
        <v>258</v>
      </c>
      <c r="E34" s="11" t="s">
        <v>259</v>
      </c>
      <c r="F34" s="11" t="s">
        <v>239</v>
      </c>
      <c r="G34" s="11" t="s">
        <v>260</v>
      </c>
      <c r="H34" s="11" t="s">
        <v>172</v>
      </c>
      <c r="I34" s="11" t="s">
        <v>173</v>
      </c>
      <c r="J34" s="11" t="s">
        <v>174</v>
      </c>
      <c r="K34" s="11" t="s">
        <v>246</v>
      </c>
      <c r="L34" s="11"/>
      <c r="M34" s="11" t="s">
        <v>173</v>
      </c>
      <c r="N34" s="33" t="n">
        <v>1.21208333333333</v>
      </c>
      <c r="O34" s="33" t="n">
        <v>0.208333333333333</v>
      </c>
      <c r="P34" s="33" t="n">
        <v>0</v>
      </c>
      <c r="Q34" s="33" t="n">
        <v>1.42041666666667</v>
      </c>
      <c r="R34" s="34" t="n">
        <v>0.635963625696685</v>
      </c>
      <c r="S34" s="33" t="n">
        <v>0.710208333333333</v>
      </c>
      <c r="T34" s="33" t="n">
        <v>0.710208333333333</v>
      </c>
      <c r="U34" s="35" t="n">
        <v>1</v>
      </c>
      <c r="AA34" s="36" t="n">
        <f aca="false">N34</f>
        <v>1.21208333333333</v>
      </c>
      <c r="AB34" s="36" t="n">
        <f aca="false">O34</f>
        <v>0.208333333333333</v>
      </c>
      <c r="AC34" s="36" t="n">
        <f aca="false">P34</f>
        <v>0</v>
      </c>
      <c r="AD34" s="36" t="n">
        <f aca="false">Q34</f>
        <v>1.42041666666667</v>
      </c>
      <c r="AE34" s="19" t="n">
        <f aca="false">R34</f>
        <v>0.635963625696685</v>
      </c>
      <c r="AF34" s="36" t="n">
        <f aca="false">Q34*R34</f>
        <v>0.903333333333335</v>
      </c>
      <c r="AG34" s="16" t="s">
        <v>72</v>
      </c>
      <c r="AH34" s="31" t="s">
        <v>187</v>
      </c>
    </row>
    <row r="35" customFormat="false" ht="14.25" hidden="false" customHeight="true" outlineLevel="0" collapsed="false">
      <c r="A35" s="32" t="n">
        <v>31</v>
      </c>
      <c r="B35" s="11" t="n">
        <v>9844</v>
      </c>
      <c r="C35" s="11" t="s">
        <v>261</v>
      </c>
      <c r="D35" s="11" t="s">
        <v>262</v>
      </c>
      <c r="E35" s="11" t="s">
        <v>263</v>
      </c>
      <c r="F35" s="11" t="s">
        <v>170</v>
      </c>
      <c r="G35" s="11" t="s">
        <v>264</v>
      </c>
      <c r="H35" s="11" t="s">
        <v>172</v>
      </c>
      <c r="I35" s="11" t="s">
        <v>182</v>
      </c>
      <c r="J35" s="11" t="s">
        <v>174</v>
      </c>
      <c r="K35" s="11" t="s">
        <v>246</v>
      </c>
      <c r="L35" s="11"/>
      <c r="M35" s="11" t="s">
        <v>173</v>
      </c>
      <c r="N35" s="33" t="n">
        <v>0.670833333333333</v>
      </c>
      <c r="O35" s="33" t="n">
        <v>0.683333333333333</v>
      </c>
      <c r="P35" s="33" t="n">
        <v>0</v>
      </c>
      <c r="Q35" s="33" t="n">
        <v>1.35416666666667</v>
      </c>
      <c r="R35" s="34" t="n">
        <v>0.369230769230769</v>
      </c>
      <c r="S35" s="33" t="n">
        <v>0.677083333333333</v>
      </c>
      <c r="T35" s="33" t="n">
        <v>0.677083333333333</v>
      </c>
      <c r="U35" s="35" t="n">
        <v>1</v>
      </c>
      <c r="AA35" s="36" t="n">
        <f aca="false">N35</f>
        <v>0.670833333333333</v>
      </c>
      <c r="AB35" s="36" t="n">
        <f aca="false">O35</f>
        <v>0.683333333333333</v>
      </c>
      <c r="AC35" s="36" t="n">
        <f aca="false">P35</f>
        <v>0</v>
      </c>
      <c r="AD35" s="36" t="n">
        <f aca="false">Q35</f>
        <v>1.35416666666667</v>
      </c>
      <c r="AE35" s="19" t="n">
        <f aca="false">R35</f>
        <v>0.369230769230769</v>
      </c>
      <c r="AF35" s="36" t="n">
        <f aca="false">Q35*R35</f>
        <v>0.500000000000001</v>
      </c>
      <c r="AG35" s="16" t="s">
        <v>72</v>
      </c>
      <c r="AH35" s="31" t="s">
        <v>202</v>
      </c>
    </row>
    <row r="36" customFormat="false" ht="14.25" hidden="true" customHeight="true" outlineLevel="0" collapsed="false">
      <c r="A36" s="32" t="n">
        <v>32</v>
      </c>
      <c r="B36" s="11" t="n">
        <v>9845</v>
      </c>
      <c r="C36" s="11" t="s">
        <v>265</v>
      </c>
      <c r="D36" s="11" t="s">
        <v>266</v>
      </c>
      <c r="E36" s="11" t="s">
        <v>238</v>
      </c>
      <c r="F36" s="11" t="s">
        <v>239</v>
      </c>
      <c r="G36" s="11" t="s">
        <v>240</v>
      </c>
      <c r="H36" s="11" t="s">
        <v>172</v>
      </c>
      <c r="I36" s="11" t="s">
        <v>173</v>
      </c>
      <c r="J36" s="11" t="s">
        <v>174</v>
      </c>
      <c r="K36" s="11" t="s">
        <v>246</v>
      </c>
      <c r="L36" s="11"/>
      <c r="M36" s="11" t="s">
        <v>173</v>
      </c>
      <c r="N36" s="33" t="n">
        <v>3.40491666666667</v>
      </c>
      <c r="O36" s="33" t="n">
        <v>0</v>
      </c>
      <c r="P36" s="33" t="n">
        <v>0</v>
      </c>
      <c r="Q36" s="33" t="n">
        <v>3.40491666666667</v>
      </c>
      <c r="R36" s="34" t="n">
        <v>0.840916321985364</v>
      </c>
      <c r="S36" s="33" t="n">
        <v>1.70245833333333</v>
      </c>
      <c r="T36" s="33" t="n">
        <v>1.70245833333333</v>
      </c>
      <c r="U36" s="35" t="n">
        <v>1</v>
      </c>
      <c r="AA36" s="36" t="n">
        <f aca="false">N36</f>
        <v>3.40491666666667</v>
      </c>
      <c r="AB36" s="36" t="n">
        <f aca="false">O36</f>
        <v>0</v>
      </c>
      <c r="AC36" s="36" t="n">
        <f aca="false">P36</f>
        <v>0</v>
      </c>
      <c r="AD36" s="36" t="n">
        <f aca="false">Q36</f>
        <v>3.40491666666667</v>
      </c>
      <c r="AE36" s="19" t="n">
        <f aca="false">R36</f>
        <v>0.840916321985364</v>
      </c>
      <c r="AF36" s="36" t="n">
        <f aca="false">Q36*R36</f>
        <v>2.86325</v>
      </c>
      <c r="AG36" s="16" t="s">
        <v>72</v>
      </c>
      <c r="AH36" s="31" t="s">
        <v>192</v>
      </c>
    </row>
    <row r="37" customFormat="false" ht="14.25" hidden="true" customHeight="true" outlineLevel="0" collapsed="false">
      <c r="A37" s="32" t="n">
        <v>33</v>
      </c>
      <c r="B37" s="11" t="n">
        <v>9846</v>
      </c>
      <c r="C37" s="11" t="s">
        <v>267</v>
      </c>
      <c r="D37" s="11" t="s">
        <v>268</v>
      </c>
      <c r="E37" s="11" t="s">
        <v>259</v>
      </c>
      <c r="F37" s="11" t="s">
        <v>239</v>
      </c>
      <c r="G37" s="11" t="s">
        <v>260</v>
      </c>
      <c r="H37" s="11" t="s">
        <v>172</v>
      </c>
      <c r="I37" s="11" t="s">
        <v>173</v>
      </c>
      <c r="J37" s="11" t="s">
        <v>174</v>
      </c>
      <c r="K37" s="11" t="s">
        <v>246</v>
      </c>
      <c r="L37" s="11"/>
      <c r="M37" s="11" t="s">
        <v>173</v>
      </c>
      <c r="N37" s="33" t="n">
        <v>0.03125</v>
      </c>
      <c r="O37" s="33" t="n">
        <v>0.4</v>
      </c>
      <c r="P37" s="33" t="n">
        <v>0</v>
      </c>
      <c r="Q37" s="33" t="n">
        <v>0.43125</v>
      </c>
      <c r="R37" s="34" t="n">
        <v>0.927536231884058</v>
      </c>
      <c r="S37" s="33" t="n">
        <v>0.215625</v>
      </c>
      <c r="T37" s="33" t="n">
        <v>0.215625</v>
      </c>
      <c r="U37" s="35" t="n">
        <v>1</v>
      </c>
      <c r="AA37" s="36" t="n">
        <f aca="false">N37</f>
        <v>0.03125</v>
      </c>
      <c r="AB37" s="36" t="n">
        <f aca="false">O37</f>
        <v>0.4</v>
      </c>
      <c r="AC37" s="36" t="n">
        <f aca="false">P37</f>
        <v>0</v>
      </c>
      <c r="AD37" s="36" t="n">
        <f aca="false">Q37</f>
        <v>0.43125</v>
      </c>
      <c r="AE37" s="19" t="n">
        <f aca="false">R37</f>
        <v>0.927536231884058</v>
      </c>
      <c r="AF37" s="36" t="n">
        <f aca="false">Q37*R37</f>
        <v>0.4</v>
      </c>
      <c r="AG37" s="16" t="s">
        <v>72</v>
      </c>
      <c r="AH37" s="31" t="s">
        <v>187</v>
      </c>
    </row>
    <row r="38" customFormat="false" ht="14.25" hidden="true" customHeight="true" outlineLevel="0" collapsed="false">
      <c r="A38" s="32" t="n">
        <v>34</v>
      </c>
      <c r="B38" s="11" t="n">
        <v>9847</v>
      </c>
      <c r="C38" s="11" t="s">
        <v>269</v>
      </c>
      <c r="D38" s="11" t="s">
        <v>270</v>
      </c>
      <c r="E38" s="11" t="s">
        <v>180</v>
      </c>
      <c r="F38" s="11" t="s">
        <v>170</v>
      </c>
      <c r="G38" s="11" t="s">
        <v>181</v>
      </c>
      <c r="H38" s="11" t="s">
        <v>172</v>
      </c>
      <c r="I38" s="11" t="s">
        <v>173</v>
      </c>
      <c r="J38" s="11" t="s">
        <v>174</v>
      </c>
      <c r="K38" s="11" t="s">
        <v>246</v>
      </c>
      <c r="L38" s="11"/>
      <c r="M38" s="11" t="s">
        <v>173</v>
      </c>
      <c r="N38" s="33" t="n">
        <v>0.152625</v>
      </c>
      <c r="O38" s="33" t="n">
        <v>0.3</v>
      </c>
      <c r="P38" s="33" t="n">
        <v>0</v>
      </c>
      <c r="Q38" s="33" t="n">
        <v>0.452625</v>
      </c>
      <c r="R38" s="34" t="n">
        <v>1</v>
      </c>
      <c r="S38" s="33" t="n">
        <v>0.2263125</v>
      </c>
      <c r="T38" s="33" t="n">
        <v>0.2263125</v>
      </c>
      <c r="U38" s="35" t="n">
        <v>1</v>
      </c>
      <c r="AA38" s="36" t="n">
        <f aca="false">N38</f>
        <v>0.152625</v>
      </c>
      <c r="AB38" s="36" t="n">
        <f aca="false">O38</f>
        <v>0.3</v>
      </c>
      <c r="AC38" s="36" t="n">
        <f aca="false">P38</f>
        <v>0</v>
      </c>
      <c r="AD38" s="36" t="n">
        <f aca="false">Q38</f>
        <v>0.452625</v>
      </c>
      <c r="AE38" s="19" t="n">
        <f aca="false">R38</f>
        <v>1</v>
      </c>
      <c r="AF38" s="36" t="n">
        <f aca="false">Q38*R38</f>
        <v>0.452625</v>
      </c>
      <c r="AG38" s="16" t="s">
        <v>72</v>
      </c>
      <c r="AH38" s="31" t="s">
        <v>202</v>
      </c>
    </row>
    <row r="39" customFormat="false" ht="14.25" hidden="true" customHeight="true" outlineLevel="0" collapsed="false">
      <c r="A39" s="32" t="n">
        <v>35</v>
      </c>
      <c r="B39" s="11" t="n">
        <v>9848</v>
      </c>
      <c r="C39" s="11" t="s">
        <v>271</v>
      </c>
      <c r="D39" s="11" t="s">
        <v>272</v>
      </c>
      <c r="E39" s="11" t="s">
        <v>238</v>
      </c>
      <c r="F39" s="11" t="s">
        <v>239</v>
      </c>
      <c r="G39" s="11" t="s">
        <v>240</v>
      </c>
      <c r="H39" s="11" t="s">
        <v>172</v>
      </c>
      <c r="I39" s="11" t="s">
        <v>173</v>
      </c>
      <c r="J39" s="11" t="s">
        <v>174</v>
      </c>
      <c r="K39" s="11" t="s">
        <v>246</v>
      </c>
      <c r="L39" s="11"/>
      <c r="M39" s="11" t="s">
        <v>173</v>
      </c>
      <c r="N39" s="33" t="n">
        <v>0.885416666666667</v>
      </c>
      <c r="O39" s="33" t="n">
        <v>0</v>
      </c>
      <c r="P39" s="33" t="n">
        <v>0</v>
      </c>
      <c r="Q39" s="33" t="n">
        <v>0.885416666666667</v>
      </c>
      <c r="R39" s="34" t="n">
        <v>0.830588235294118</v>
      </c>
      <c r="S39" s="33" t="n">
        <v>0.442708333333333</v>
      </c>
      <c r="T39" s="33" t="n">
        <v>0.442708333333333</v>
      </c>
      <c r="U39" s="35" t="n">
        <v>1</v>
      </c>
      <c r="AA39" s="36" t="n">
        <f aca="false">N39</f>
        <v>0.885416666666667</v>
      </c>
      <c r="AB39" s="36" t="n">
        <f aca="false">O39</f>
        <v>0</v>
      </c>
      <c r="AC39" s="36" t="n">
        <f aca="false">P39</f>
        <v>0</v>
      </c>
      <c r="AD39" s="36" t="n">
        <f aca="false">Q39</f>
        <v>0.885416666666667</v>
      </c>
      <c r="AE39" s="19" t="n">
        <f aca="false">R39</f>
        <v>0.830588235294118</v>
      </c>
      <c r="AF39" s="36" t="n">
        <f aca="false">Q39*R39</f>
        <v>0.735416666666667</v>
      </c>
      <c r="AG39" s="16" t="s">
        <v>72</v>
      </c>
      <c r="AH39" s="31" t="s">
        <v>177</v>
      </c>
    </row>
    <row r="40" customFormat="false" ht="14.25" hidden="true" customHeight="true" outlineLevel="0" collapsed="false">
      <c r="A40" s="32" t="n">
        <v>36</v>
      </c>
      <c r="B40" s="11" t="n">
        <v>9849</v>
      </c>
      <c r="C40" s="11" t="s">
        <v>273</v>
      </c>
      <c r="D40" s="11" t="s">
        <v>274</v>
      </c>
      <c r="E40" s="11" t="s">
        <v>238</v>
      </c>
      <c r="F40" s="11" t="s">
        <v>239</v>
      </c>
      <c r="G40" s="11" t="s">
        <v>240</v>
      </c>
      <c r="H40" s="11" t="s">
        <v>232</v>
      </c>
      <c r="I40" s="11" t="s">
        <v>173</v>
      </c>
      <c r="J40" s="11" t="s">
        <v>174</v>
      </c>
      <c r="K40" s="11" t="s">
        <v>275</v>
      </c>
      <c r="L40" s="11"/>
      <c r="M40" s="11" t="s">
        <v>173</v>
      </c>
      <c r="N40" s="33" t="n">
        <v>5.18625</v>
      </c>
      <c r="O40" s="33" t="n">
        <v>0.383333333333333</v>
      </c>
      <c r="P40" s="33" t="n">
        <v>0</v>
      </c>
      <c r="Q40" s="33" t="n">
        <v>5.56958333333333</v>
      </c>
      <c r="R40" s="34" t="n">
        <v>0.831525398369118</v>
      </c>
      <c r="S40" s="33" t="n">
        <v>2.78479166666667</v>
      </c>
      <c r="T40" s="33" t="n">
        <v>2.78479166666667</v>
      </c>
      <c r="U40" s="35" t="n">
        <v>1</v>
      </c>
      <c r="AA40" s="36" t="n">
        <f aca="false">N40</f>
        <v>5.18625</v>
      </c>
      <c r="AB40" s="36" t="n">
        <f aca="false">O40</f>
        <v>0.383333333333333</v>
      </c>
      <c r="AC40" s="36" t="n">
        <f aca="false">P40</f>
        <v>0</v>
      </c>
      <c r="AD40" s="36" t="n">
        <f aca="false">Q40</f>
        <v>5.56958333333333</v>
      </c>
      <c r="AE40" s="19" t="n">
        <f aca="false">R40</f>
        <v>0.831525398369118</v>
      </c>
      <c r="AF40" s="36" t="n">
        <f aca="false">Q40*R40</f>
        <v>4.63125</v>
      </c>
      <c r="AG40" s="16" t="s">
        <v>72</v>
      </c>
      <c r="AH40" s="31" t="s">
        <v>177</v>
      </c>
    </row>
    <row r="41" customFormat="false" ht="14.25" hidden="false" customHeight="true" outlineLevel="0" collapsed="false">
      <c r="A41" s="32" t="n">
        <v>37</v>
      </c>
      <c r="B41" s="11" t="n">
        <v>9851</v>
      </c>
      <c r="C41" s="11" t="s">
        <v>276</v>
      </c>
      <c r="D41" s="11" t="s">
        <v>277</v>
      </c>
      <c r="E41" s="11" t="s">
        <v>263</v>
      </c>
      <c r="F41" s="11" t="s">
        <v>170</v>
      </c>
      <c r="G41" s="11" t="s">
        <v>264</v>
      </c>
      <c r="H41" s="11" t="s">
        <v>172</v>
      </c>
      <c r="I41" s="11" t="s">
        <v>173</v>
      </c>
      <c r="J41" s="11" t="s">
        <v>174</v>
      </c>
      <c r="K41" s="11" t="s">
        <v>275</v>
      </c>
      <c r="L41" s="11" t="s">
        <v>278</v>
      </c>
      <c r="M41" s="11" t="s">
        <v>173</v>
      </c>
      <c r="N41" s="33" t="n">
        <v>0.291666666666667</v>
      </c>
      <c r="O41" s="33" t="n">
        <v>0.116666666666667</v>
      </c>
      <c r="P41" s="33" t="n">
        <v>0</v>
      </c>
      <c r="Q41" s="33" t="n">
        <v>0.408333333333333</v>
      </c>
      <c r="R41" s="34" t="n">
        <v>0.826530612244898</v>
      </c>
      <c r="S41" s="33" t="n">
        <v>0.204166666666667</v>
      </c>
      <c r="T41" s="33" t="n">
        <v>0.204166666666667</v>
      </c>
      <c r="U41" s="35" t="n">
        <v>1</v>
      </c>
      <c r="AA41" s="36" t="n">
        <f aca="false">N41</f>
        <v>0.291666666666667</v>
      </c>
      <c r="AB41" s="36" t="n">
        <f aca="false">O41</f>
        <v>0.116666666666667</v>
      </c>
      <c r="AC41" s="36" t="n">
        <f aca="false">P41</f>
        <v>0</v>
      </c>
      <c r="AD41" s="36" t="n">
        <f aca="false">Q41</f>
        <v>0.408333333333333</v>
      </c>
      <c r="AE41" s="19" t="n">
        <f aca="false">R41</f>
        <v>0.826530612244898</v>
      </c>
      <c r="AF41" s="36" t="n">
        <f aca="false">Q41*R41</f>
        <v>0.3375</v>
      </c>
      <c r="AG41" s="16" t="s">
        <v>72</v>
      </c>
      <c r="AH41" s="31" t="s">
        <v>197</v>
      </c>
    </row>
    <row r="42" customFormat="false" ht="14.25" hidden="false" customHeight="true" outlineLevel="0" collapsed="false">
      <c r="A42" s="32" t="n">
        <v>38</v>
      </c>
      <c r="B42" s="11" t="n">
        <v>9852</v>
      </c>
      <c r="C42" s="11" t="s">
        <v>279</v>
      </c>
      <c r="D42" s="11" t="s">
        <v>280</v>
      </c>
      <c r="E42" s="11" t="s">
        <v>263</v>
      </c>
      <c r="F42" s="11" t="s">
        <v>170</v>
      </c>
      <c r="G42" s="11" t="s">
        <v>264</v>
      </c>
      <c r="H42" s="11" t="s">
        <v>172</v>
      </c>
      <c r="I42" s="11" t="s">
        <v>173</v>
      </c>
      <c r="J42" s="11" t="s">
        <v>174</v>
      </c>
      <c r="K42" s="11" t="s">
        <v>281</v>
      </c>
      <c r="L42" s="11"/>
      <c r="M42" s="11" t="s">
        <v>173</v>
      </c>
      <c r="N42" s="33" t="n">
        <v>0.508333333333333</v>
      </c>
      <c r="O42" s="33" t="n">
        <v>0</v>
      </c>
      <c r="P42" s="33" t="n">
        <v>0</v>
      </c>
      <c r="Q42" s="33" t="n">
        <v>0.508333333333333</v>
      </c>
      <c r="R42" s="34" t="n">
        <v>0.368852459016394</v>
      </c>
      <c r="S42" s="33" t="n">
        <v>0.254166666666667</v>
      </c>
      <c r="T42" s="33" t="n">
        <v>0.254166666666667</v>
      </c>
      <c r="U42" s="35" t="n">
        <v>1</v>
      </c>
      <c r="AA42" s="36" t="n">
        <f aca="false">N42</f>
        <v>0.508333333333333</v>
      </c>
      <c r="AB42" s="36" t="n">
        <f aca="false">O42</f>
        <v>0</v>
      </c>
      <c r="AC42" s="36" t="n">
        <f aca="false">P42</f>
        <v>0</v>
      </c>
      <c r="AD42" s="36" t="n">
        <f aca="false">Q42</f>
        <v>0.508333333333333</v>
      </c>
      <c r="AE42" s="19" t="n">
        <f aca="false">R42</f>
        <v>0.368852459016394</v>
      </c>
      <c r="AF42" s="36" t="n">
        <f aca="false">Q42*R42</f>
        <v>0.1875</v>
      </c>
      <c r="AG42" s="16" t="s">
        <v>72</v>
      </c>
      <c r="AH42" s="31" t="s">
        <v>233</v>
      </c>
    </row>
    <row r="43" customFormat="false" ht="14.25" hidden="true" customHeight="true" outlineLevel="0" collapsed="false">
      <c r="A43" s="32" t="n">
        <v>39</v>
      </c>
      <c r="B43" s="11" t="n">
        <v>9854</v>
      </c>
      <c r="C43" s="11" t="s">
        <v>282</v>
      </c>
      <c r="D43" s="11" t="s">
        <v>283</v>
      </c>
      <c r="E43" s="11" t="s">
        <v>238</v>
      </c>
      <c r="F43" s="11" t="s">
        <v>239</v>
      </c>
      <c r="G43" s="11" t="s">
        <v>240</v>
      </c>
      <c r="H43" s="11" t="s">
        <v>172</v>
      </c>
      <c r="I43" s="11" t="s">
        <v>173</v>
      </c>
      <c r="J43" s="11" t="s">
        <v>174</v>
      </c>
      <c r="K43" s="11" t="s">
        <v>284</v>
      </c>
      <c r="L43" s="11"/>
      <c r="M43" s="11" t="s">
        <v>173</v>
      </c>
      <c r="N43" s="33" t="n">
        <v>1.40041666666667</v>
      </c>
      <c r="O43" s="33" t="n">
        <v>0</v>
      </c>
      <c r="P43" s="33" t="n">
        <v>0</v>
      </c>
      <c r="Q43" s="33" t="n">
        <v>1.40041666666667</v>
      </c>
      <c r="R43" s="34" t="n">
        <v>0.928592680749777</v>
      </c>
      <c r="S43" s="33" t="n">
        <v>0.700208333333333</v>
      </c>
      <c r="T43" s="33" t="n">
        <v>0.700208333333333</v>
      </c>
      <c r="U43" s="35" t="n">
        <v>1</v>
      </c>
      <c r="AA43" s="36" t="n">
        <f aca="false">N43</f>
        <v>1.40041666666667</v>
      </c>
      <c r="AB43" s="36" t="n">
        <f aca="false">O43</f>
        <v>0</v>
      </c>
      <c r="AC43" s="36" t="n">
        <f aca="false">P43</f>
        <v>0</v>
      </c>
      <c r="AD43" s="36" t="n">
        <f aca="false">Q43</f>
        <v>1.40041666666667</v>
      </c>
      <c r="AE43" s="19" t="n">
        <f aca="false">R43</f>
        <v>0.928592680749777</v>
      </c>
      <c r="AF43" s="36" t="n">
        <f aca="false">Q43*R43</f>
        <v>1.30041666666667</v>
      </c>
      <c r="AG43" s="16" t="s">
        <v>72</v>
      </c>
      <c r="AH43" s="31" t="s">
        <v>192</v>
      </c>
    </row>
    <row r="44" customFormat="false" ht="14.25" hidden="true" customHeight="true" outlineLevel="0" collapsed="false">
      <c r="A44" s="32" t="n">
        <v>40</v>
      </c>
      <c r="B44" s="11" t="n">
        <v>9857</v>
      </c>
      <c r="C44" s="11" t="s">
        <v>285</v>
      </c>
      <c r="D44" s="11" t="s">
        <v>286</v>
      </c>
      <c r="E44" s="11" t="s">
        <v>249</v>
      </c>
      <c r="F44" s="11" t="s">
        <v>239</v>
      </c>
      <c r="G44" s="11" t="s">
        <v>250</v>
      </c>
      <c r="H44" s="11" t="s">
        <v>172</v>
      </c>
      <c r="I44" s="11" t="s">
        <v>182</v>
      </c>
      <c r="J44" s="11" t="s">
        <v>174</v>
      </c>
      <c r="K44" s="11" t="s">
        <v>275</v>
      </c>
      <c r="L44" s="11"/>
      <c r="M44" s="11" t="s">
        <v>173</v>
      </c>
      <c r="N44" s="33" t="n">
        <v>20.2116666666667</v>
      </c>
      <c r="O44" s="33" t="n">
        <v>1.81666666666667</v>
      </c>
      <c r="P44" s="33" t="n">
        <v>0</v>
      </c>
      <c r="Q44" s="33" t="n">
        <v>22.0283333333333</v>
      </c>
      <c r="R44" s="34" t="n">
        <v>0.925474767345086</v>
      </c>
      <c r="S44" s="33" t="n">
        <v>11.0141666666667</v>
      </c>
      <c r="T44" s="33" t="n">
        <v>11.0141666666667</v>
      </c>
      <c r="U44" s="35" t="n">
        <v>1</v>
      </c>
      <c r="AA44" s="36" t="n">
        <f aca="false">N44</f>
        <v>20.2116666666667</v>
      </c>
      <c r="AB44" s="36" t="n">
        <f aca="false">O44</f>
        <v>1.81666666666667</v>
      </c>
      <c r="AC44" s="36" t="n">
        <f aca="false">P44</f>
        <v>0</v>
      </c>
      <c r="AD44" s="36" t="n">
        <f aca="false">Q44</f>
        <v>22.0283333333333</v>
      </c>
      <c r="AE44" s="19" t="n">
        <f aca="false">R44</f>
        <v>0.925474767345086</v>
      </c>
      <c r="AF44" s="36" t="n">
        <f aca="false">Q44*R44</f>
        <v>20.3866666666666</v>
      </c>
      <c r="AG44" s="16" t="s">
        <v>72</v>
      </c>
      <c r="AH44" s="31" t="s">
        <v>187</v>
      </c>
    </row>
    <row r="45" customFormat="false" ht="14.25" hidden="true" customHeight="true" outlineLevel="0" collapsed="false">
      <c r="A45" s="32" t="n">
        <v>41</v>
      </c>
      <c r="B45" s="11" t="n">
        <v>9858</v>
      </c>
      <c r="C45" s="11" t="s">
        <v>287</v>
      </c>
      <c r="D45" s="11" t="s">
        <v>288</v>
      </c>
      <c r="E45" s="11" t="s">
        <v>289</v>
      </c>
      <c r="F45" s="11" t="s">
        <v>290</v>
      </c>
      <c r="G45" s="11"/>
      <c r="H45" s="11" t="s">
        <v>172</v>
      </c>
      <c r="I45" s="11" t="s">
        <v>173</v>
      </c>
      <c r="J45" s="11" t="s">
        <v>174</v>
      </c>
      <c r="K45" s="11" t="s">
        <v>275</v>
      </c>
      <c r="L45" s="11"/>
      <c r="M45" s="11" t="s">
        <v>173</v>
      </c>
      <c r="N45" s="33" t="n">
        <v>4.83333333333333</v>
      </c>
      <c r="O45" s="33" t="n">
        <v>1</v>
      </c>
      <c r="P45" s="33" t="n">
        <v>1.08333333333333</v>
      </c>
      <c r="Q45" s="33" t="n">
        <v>6.91666666666667</v>
      </c>
      <c r="R45" s="34" t="n">
        <v>0.710843373493976</v>
      </c>
      <c r="S45" s="33" t="n">
        <v>3.45833333333333</v>
      </c>
      <c r="T45" s="33" t="n">
        <v>3.45833333333333</v>
      </c>
      <c r="U45" s="35" t="n">
        <v>1</v>
      </c>
      <c r="AA45" s="36" t="n">
        <f aca="false">N45</f>
        <v>4.83333333333333</v>
      </c>
      <c r="AB45" s="36" t="n">
        <f aca="false">O45</f>
        <v>1</v>
      </c>
      <c r="AC45" s="36" t="n">
        <f aca="false">P45</f>
        <v>1.08333333333333</v>
      </c>
      <c r="AD45" s="36" t="n">
        <f aca="false">Q45</f>
        <v>6.91666666666667</v>
      </c>
      <c r="AE45" s="19" t="n">
        <f aca="false">R45</f>
        <v>0.710843373493976</v>
      </c>
      <c r="AF45" s="36" t="n">
        <f aca="false">Q45*R45</f>
        <v>4.91666666666667</v>
      </c>
      <c r="AG45" s="16" t="s">
        <v>72</v>
      </c>
      <c r="AH45" s="31" t="s">
        <v>187</v>
      </c>
    </row>
    <row r="46" customFormat="false" ht="14.25" hidden="true" customHeight="true" outlineLevel="0" collapsed="false">
      <c r="A46" s="32" t="n">
        <v>42</v>
      </c>
      <c r="B46" s="11" t="n">
        <v>9861</v>
      </c>
      <c r="C46" s="11" t="s">
        <v>291</v>
      </c>
      <c r="D46" s="11" t="s">
        <v>292</v>
      </c>
      <c r="E46" s="11" t="s">
        <v>238</v>
      </c>
      <c r="F46" s="11" t="s">
        <v>239</v>
      </c>
      <c r="G46" s="11" t="s">
        <v>240</v>
      </c>
      <c r="H46" s="11" t="s">
        <v>172</v>
      </c>
      <c r="I46" s="11" t="s">
        <v>182</v>
      </c>
      <c r="J46" s="11" t="s">
        <v>174</v>
      </c>
      <c r="K46" s="11" t="s">
        <v>275</v>
      </c>
      <c r="L46" s="11"/>
      <c r="M46" s="11" t="s">
        <v>173</v>
      </c>
      <c r="N46" s="33" t="n">
        <v>6.31529166666667</v>
      </c>
      <c r="O46" s="33" t="n">
        <v>0</v>
      </c>
      <c r="P46" s="33" t="n">
        <v>0</v>
      </c>
      <c r="Q46" s="33" t="n">
        <v>6.31529166666667</v>
      </c>
      <c r="R46" s="34" t="n">
        <v>0.873257371327532</v>
      </c>
      <c r="S46" s="33" t="n">
        <v>3.15764583333333</v>
      </c>
      <c r="T46" s="33" t="n">
        <v>3.15764583333333</v>
      </c>
      <c r="U46" s="35" t="n">
        <v>1</v>
      </c>
      <c r="AA46" s="36" t="n">
        <f aca="false">N46</f>
        <v>6.31529166666667</v>
      </c>
      <c r="AB46" s="36" t="n">
        <f aca="false">O46</f>
        <v>0</v>
      </c>
      <c r="AC46" s="36" t="n">
        <f aca="false">P46</f>
        <v>0</v>
      </c>
      <c r="AD46" s="36" t="n">
        <f aca="false">Q46</f>
        <v>6.31529166666667</v>
      </c>
      <c r="AE46" s="19" t="n">
        <f aca="false">R46</f>
        <v>0.873257371327532</v>
      </c>
      <c r="AF46" s="36" t="n">
        <f aca="false">Q46*R46</f>
        <v>5.514875</v>
      </c>
      <c r="AG46" s="16" t="s">
        <v>72</v>
      </c>
      <c r="AH46" s="31" t="s">
        <v>187</v>
      </c>
    </row>
    <row r="47" customFormat="false" ht="14.25" hidden="true" customHeight="true" outlineLevel="0" collapsed="false">
      <c r="A47" s="32" t="n">
        <v>43</v>
      </c>
      <c r="B47" s="11" t="n">
        <v>9879</v>
      </c>
      <c r="C47" s="11" t="s">
        <v>293</v>
      </c>
      <c r="D47" s="11" t="s">
        <v>294</v>
      </c>
      <c r="E47" s="11" t="s">
        <v>244</v>
      </c>
      <c r="F47" s="11" t="s">
        <v>239</v>
      </c>
      <c r="G47" s="11" t="s">
        <v>245</v>
      </c>
      <c r="H47" s="11" t="s">
        <v>172</v>
      </c>
      <c r="I47" s="11" t="s">
        <v>173</v>
      </c>
      <c r="J47" s="11" t="s">
        <v>174</v>
      </c>
      <c r="K47" s="11" t="s">
        <v>275</v>
      </c>
      <c r="L47" s="11"/>
      <c r="M47" s="11" t="s">
        <v>173</v>
      </c>
      <c r="N47" s="33" t="n">
        <v>0.2</v>
      </c>
      <c r="O47" s="33" t="n">
        <v>0.1</v>
      </c>
      <c r="P47" s="33" t="n">
        <v>0</v>
      </c>
      <c r="Q47" s="33" t="n">
        <v>0.308333333333333</v>
      </c>
      <c r="R47" s="34" t="n">
        <v>0.675675675675676</v>
      </c>
      <c r="S47" s="33" t="n">
        <v>0.154166666666667</v>
      </c>
      <c r="T47" s="33" t="n">
        <v>0.154166666666667</v>
      </c>
      <c r="U47" s="35" t="n">
        <v>1</v>
      </c>
      <c r="AA47" s="36" t="n">
        <f aca="false">N47</f>
        <v>0.2</v>
      </c>
      <c r="AB47" s="36" t="n">
        <f aca="false">O47</f>
        <v>0.1</v>
      </c>
      <c r="AC47" s="36" t="n">
        <f aca="false">P47</f>
        <v>0</v>
      </c>
      <c r="AD47" s="36" t="n">
        <f aca="false">Q47</f>
        <v>0.308333333333333</v>
      </c>
      <c r="AE47" s="19" t="n">
        <f aca="false">R47</f>
        <v>0.675675675675676</v>
      </c>
      <c r="AF47" s="36" t="n">
        <f aca="false">Q47*R47</f>
        <v>0.208333333333333</v>
      </c>
      <c r="AG47" s="16" t="s">
        <v>72</v>
      </c>
      <c r="AH47" s="31" t="s">
        <v>187</v>
      </c>
    </row>
    <row r="48" customFormat="false" ht="14.25" hidden="false" customHeight="true" outlineLevel="0" collapsed="false">
      <c r="A48" s="32" t="n">
        <v>44</v>
      </c>
      <c r="B48" s="11" t="n">
        <v>9890</v>
      </c>
      <c r="C48" s="11" t="s">
        <v>295</v>
      </c>
      <c r="D48" s="11" t="s">
        <v>296</v>
      </c>
      <c r="E48" s="11" t="s">
        <v>263</v>
      </c>
      <c r="F48" s="11" t="s">
        <v>170</v>
      </c>
      <c r="G48" s="11" t="s">
        <v>264</v>
      </c>
      <c r="H48" s="11" t="s">
        <v>172</v>
      </c>
      <c r="I48" s="11" t="s">
        <v>173</v>
      </c>
      <c r="J48" s="11" t="s">
        <v>174</v>
      </c>
      <c r="K48" s="11" t="s">
        <v>275</v>
      </c>
      <c r="L48" s="11"/>
      <c r="M48" s="11" t="s">
        <v>173</v>
      </c>
      <c r="N48" s="33" t="n">
        <v>1.50545833333333</v>
      </c>
      <c r="O48" s="33" t="n">
        <v>0.0458333333333333</v>
      </c>
      <c r="P48" s="33" t="n">
        <v>0</v>
      </c>
      <c r="Q48" s="33" t="n">
        <v>1.55129166666667</v>
      </c>
      <c r="R48" s="34" t="n">
        <v>0.0720098842362548</v>
      </c>
      <c r="S48" s="33" t="n">
        <v>0.775645833333333</v>
      </c>
      <c r="T48" s="33" t="n">
        <v>0.775645833333333</v>
      </c>
      <c r="U48" s="35" t="n">
        <v>1</v>
      </c>
      <c r="AA48" s="36" t="n">
        <f aca="false">N48</f>
        <v>1.50545833333333</v>
      </c>
      <c r="AB48" s="36" t="n">
        <f aca="false">O48</f>
        <v>0.0458333333333333</v>
      </c>
      <c r="AC48" s="36" t="n">
        <f aca="false">P48</f>
        <v>0</v>
      </c>
      <c r="AD48" s="36" t="n">
        <f aca="false">Q48</f>
        <v>1.55129166666667</v>
      </c>
      <c r="AE48" s="19" t="n">
        <f aca="false">R48</f>
        <v>0.0720098842362548</v>
      </c>
      <c r="AF48" s="36" t="n">
        <f aca="false">Q48*R48</f>
        <v>0.111708333333334</v>
      </c>
      <c r="AG48" s="16" t="s">
        <v>72</v>
      </c>
      <c r="AH48" s="31" t="s">
        <v>192</v>
      </c>
    </row>
    <row r="49" customFormat="false" ht="14.25" hidden="true" customHeight="true" outlineLevel="0" collapsed="false">
      <c r="A49" s="32" t="n">
        <v>45</v>
      </c>
      <c r="B49" s="11" t="n">
        <v>9894</v>
      </c>
      <c r="C49" s="11" t="s">
        <v>297</v>
      </c>
      <c r="D49" s="11" t="s">
        <v>298</v>
      </c>
      <c r="E49" s="11" t="s">
        <v>299</v>
      </c>
      <c r="F49" s="11" t="s">
        <v>290</v>
      </c>
      <c r="G49" s="11" t="s">
        <v>300</v>
      </c>
      <c r="H49" s="11" t="s">
        <v>172</v>
      </c>
      <c r="I49" s="11" t="s">
        <v>173</v>
      </c>
      <c r="J49" s="11" t="s">
        <v>174</v>
      </c>
      <c r="K49" s="11" t="s">
        <v>256</v>
      </c>
      <c r="L49" s="11"/>
      <c r="M49" s="11" t="s">
        <v>173</v>
      </c>
      <c r="N49" s="33" t="n">
        <v>2.841875</v>
      </c>
      <c r="O49" s="33" t="n">
        <v>0.352083333333333</v>
      </c>
      <c r="P49" s="33" t="n">
        <v>0</v>
      </c>
      <c r="Q49" s="33" t="n">
        <v>3.19395833333333</v>
      </c>
      <c r="R49" s="34" t="n">
        <v>0.791924858130585</v>
      </c>
      <c r="S49" s="33" t="n">
        <v>1.59697916666667</v>
      </c>
      <c r="T49" s="33" t="n">
        <v>1.59697916666667</v>
      </c>
      <c r="U49" s="35" t="n">
        <v>1</v>
      </c>
      <c r="AA49" s="36" t="n">
        <f aca="false">N49</f>
        <v>2.841875</v>
      </c>
      <c r="AB49" s="36" t="n">
        <f aca="false">O49</f>
        <v>0.352083333333333</v>
      </c>
      <c r="AC49" s="36" t="n">
        <f aca="false">P49</f>
        <v>0</v>
      </c>
      <c r="AD49" s="36" t="n">
        <f aca="false">Q49</f>
        <v>3.19395833333333</v>
      </c>
      <c r="AE49" s="19" t="n">
        <f aca="false">R49</f>
        <v>0.791924858130585</v>
      </c>
      <c r="AF49" s="36" t="n">
        <f aca="false">Q49*R49</f>
        <v>2.529375</v>
      </c>
      <c r="AG49" s="16" t="s">
        <v>72</v>
      </c>
      <c r="AH49" s="31" t="s">
        <v>197</v>
      </c>
    </row>
    <row r="50" customFormat="false" ht="14.25" hidden="false" customHeight="true" outlineLevel="0" collapsed="false">
      <c r="A50" s="32" t="n">
        <v>46</v>
      </c>
      <c r="B50" s="11" t="n">
        <v>9896</v>
      </c>
      <c r="C50" s="11" t="s">
        <v>301</v>
      </c>
      <c r="D50" s="11" t="s">
        <v>302</v>
      </c>
      <c r="E50" s="11" t="s">
        <v>263</v>
      </c>
      <c r="F50" s="11" t="s">
        <v>170</v>
      </c>
      <c r="G50" s="11" t="s">
        <v>264</v>
      </c>
      <c r="H50" s="11" t="s">
        <v>172</v>
      </c>
      <c r="I50" s="11" t="s">
        <v>173</v>
      </c>
      <c r="J50" s="11" t="s">
        <v>174</v>
      </c>
      <c r="K50" s="11" t="s">
        <v>275</v>
      </c>
      <c r="L50" s="11"/>
      <c r="M50" s="11" t="s">
        <v>173</v>
      </c>
      <c r="N50" s="33" t="n">
        <v>1.091375</v>
      </c>
      <c r="O50" s="33" t="n">
        <v>0.105</v>
      </c>
      <c r="P50" s="33" t="n">
        <v>0</v>
      </c>
      <c r="Q50" s="33" t="n">
        <v>1.196375</v>
      </c>
      <c r="R50" s="34" t="n">
        <v>0.98955177097482</v>
      </c>
      <c r="S50" s="33" t="n">
        <v>0.5981875</v>
      </c>
      <c r="T50" s="33" t="n">
        <v>0.5981875</v>
      </c>
      <c r="U50" s="35" t="n">
        <v>1</v>
      </c>
      <c r="AA50" s="36" t="n">
        <f aca="false">N50</f>
        <v>1.091375</v>
      </c>
      <c r="AB50" s="36" t="n">
        <f aca="false">O50</f>
        <v>0.105</v>
      </c>
      <c r="AC50" s="36" t="n">
        <f aca="false">P50</f>
        <v>0</v>
      </c>
      <c r="AD50" s="36" t="n">
        <f aca="false">Q50</f>
        <v>1.196375</v>
      </c>
      <c r="AE50" s="19" t="n">
        <f aca="false">R50</f>
        <v>0.98955177097482</v>
      </c>
      <c r="AF50" s="36" t="n">
        <f aca="false">Q50*R50</f>
        <v>1.183875</v>
      </c>
      <c r="AG50" s="16" t="s">
        <v>72</v>
      </c>
      <c r="AH50" s="31" t="s">
        <v>192</v>
      </c>
    </row>
    <row r="51" customFormat="false" ht="14.25" hidden="false" customHeight="true" outlineLevel="0" collapsed="false">
      <c r="A51" s="32" t="n">
        <v>47</v>
      </c>
      <c r="B51" s="11" t="n">
        <v>9899</v>
      </c>
      <c r="C51" s="11" t="s">
        <v>303</v>
      </c>
      <c r="D51" s="11" t="s">
        <v>304</v>
      </c>
      <c r="E51" s="11" t="s">
        <v>263</v>
      </c>
      <c r="F51" s="11" t="s">
        <v>170</v>
      </c>
      <c r="G51" s="11" t="s">
        <v>264</v>
      </c>
      <c r="H51" s="11" t="s">
        <v>172</v>
      </c>
      <c r="I51" s="11" t="s">
        <v>173</v>
      </c>
      <c r="J51" s="11" t="s">
        <v>174</v>
      </c>
      <c r="K51" s="11" t="s">
        <v>275</v>
      </c>
      <c r="L51" s="11"/>
      <c r="M51" s="11" t="s">
        <v>173</v>
      </c>
      <c r="N51" s="33" t="n">
        <v>1.204125</v>
      </c>
      <c r="O51" s="33" t="n">
        <v>0.529166666666667</v>
      </c>
      <c r="P51" s="33" t="n">
        <v>0</v>
      </c>
      <c r="Q51" s="33" t="n">
        <v>1.73329166666667</v>
      </c>
      <c r="R51" s="34" t="n">
        <v>0.826918916320104</v>
      </c>
      <c r="S51" s="33" t="n">
        <v>0.866645833333333</v>
      </c>
      <c r="T51" s="33" t="n">
        <v>0.866645833333333</v>
      </c>
      <c r="U51" s="35" t="n">
        <v>1</v>
      </c>
      <c r="AA51" s="36" t="n">
        <f aca="false">N51</f>
        <v>1.204125</v>
      </c>
      <c r="AB51" s="36" t="n">
        <f aca="false">O51</f>
        <v>0.529166666666667</v>
      </c>
      <c r="AC51" s="36" t="n">
        <f aca="false">P51</f>
        <v>0</v>
      </c>
      <c r="AD51" s="36" t="n">
        <f aca="false">Q51</f>
        <v>1.73329166666667</v>
      </c>
      <c r="AE51" s="19" t="n">
        <f aca="false">R51</f>
        <v>0.826918916320104</v>
      </c>
      <c r="AF51" s="36" t="n">
        <f aca="false">Q51*R51</f>
        <v>1.43329166666667</v>
      </c>
      <c r="AG51" s="16" t="s">
        <v>72</v>
      </c>
      <c r="AH51" s="31" t="s">
        <v>192</v>
      </c>
    </row>
    <row r="52" customFormat="false" ht="14.25" hidden="false" customHeight="true" outlineLevel="0" collapsed="false">
      <c r="A52" s="32" t="n">
        <v>48</v>
      </c>
      <c r="B52" s="11" t="n">
        <v>9906</v>
      </c>
      <c r="C52" s="11" t="s">
        <v>305</v>
      </c>
      <c r="D52" s="11" t="s">
        <v>306</v>
      </c>
      <c r="E52" s="11" t="s">
        <v>263</v>
      </c>
      <c r="F52" s="11" t="s">
        <v>170</v>
      </c>
      <c r="G52" s="11" t="s">
        <v>264</v>
      </c>
      <c r="H52" s="11" t="s">
        <v>172</v>
      </c>
      <c r="I52" s="11" t="s">
        <v>173</v>
      </c>
      <c r="J52" s="11" t="s">
        <v>174</v>
      </c>
      <c r="K52" s="11" t="s">
        <v>275</v>
      </c>
      <c r="L52" s="11"/>
      <c r="M52" s="11" t="s">
        <v>173</v>
      </c>
      <c r="N52" s="33" t="n">
        <v>1.28604166666667</v>
      </c>
      <c r="O52" s="33" t="n">
        <v>0.145416666666667</v>
      </c>
      <c r="P52" s="33" t="n">
        <v>0</v>
      </c>
      <c r="Q52" s="33" t="n">
        <v>1.43145833333333</v>
      </c>
      <c r="R52" s="34" t="n">
        <v>0.950516664241013</v>
      </c>
      <c r="S52" s="33" t="n">
        <v>0.715729166666667</v>
      </c>
      <c r="T52" s="33" t="n">
        <v>0.715729166666667</v>
      </c>
      <c r="U52" s="35" t="n">
        <v>1</v>
      </c>
      <c r="AA52" s="36" t="n">
        <f aca="false">N52</f>
        <v>1.28604166666667</v>
      </c>
      <c r="AB52" s="36" t="n">
        <f aca="false">O52</f>
        <v>0.145416666666667</v>
      </c>
      <c r="AC52" s="36" t="n">
        <f aca="false">P52</f>
        <v>0</v>
      </c>
      <c r="AD52" s="36" t="n">
        <f aca="false">Q52</f>
        <v>1.43145833333333</v>
      </c>
      <c r="AE52" s="19" t="n">
        <f aca="false">R52</f>
        <v>0.950516664241013</v>
      </c>
      <c r="AF52" s="36" t="n">
        <f aca="false">Q52*R52</f>
        <v>1.360625</v>
      </c>
      <c r="AG52" s="16" t="s">
        <v>72</v>
      </c>
      <c r="AH52" s="31" t="s">
        <v>192</v>
      </c>
    </row>
    <row r="53" customFormat="false" ht="14.25" hidden="false" customHeight="true" outlineLevel="0" collapsed="false">
      <c r="A53" s="32" t="n">
        <v>49</v>
      </c>
      <c r="B53" s="11" t="n">
        <v>9907</v>
      </c>
      <c r="C53" s="11" t="s">
        <v>307</v>
      </c>
      <c r="D53" s="11" t="s">
        <v>308</v>
      </c>
      <c r="E53" s="11" t="s">
        <v>263</v>
      </c>
      <c r="F53" s="11" t="s">
        <v>170</v>
      </c>
      <c r="G53" s="11" t="s">
        <v>264</v>
      </c>
      <c r="H53" s="11" t="s">
        <v>172</v>
      </c>
      <c r="I53" s="11" t="s">
        <v>173</v>
      </c>
      <c r="J53" s="11" t="s">
        <v>174</v>
      </c>
      <c r="K53" s="11" t="s">
        <v>275</v>
      </c>
      <c r="L53" s="11"/>
      <c r="M53" s="11" t="s">
        <v>173</v>
      </c>
      <c r="N53" s="33" t="n">
        <v>0.385833333333333</v>
      </c>
      <c r="O53" s="33" t="n">
        <v>0</v>
      </c>
      <c r="P53" s="33" t="n">
        <v>0</v>
      </c>
      <c r="Q53" s="33" t="n">
        <v>0.385833333333333</v>
      </c>
      <c r="R53" s="34" t="n">
        <v>0.352051835853132</v>
      </c>
      <c r="S53" s="33" t="n">
        <v>0.192916666666667</v>
      </c>
      <c r="T53" s="33" t="n">
        <v>0.192916666666667</v>
      </c>
      <c r="U53" s="35" t="n">
        <v>1</v>
      </c>
      <c r="AA53" s="36" t="n">
        <f aca="false">N53</f>
        <v>0.385833333333333</v>
      </c>
      <c r="AB53" s="36" t="n">
        <f aca="false">O53</f>
        <v>0</v>
      </c>
      <c r="AC53" s="36" t="n">
        <f aca="false">P53</f>
        <v>0</v>
      </c>
      <c r="AD53" s="36" t="n">
        <f aca="false">Q53</f>
        <v>0.385833333333333</v>
      </c>
      <c r="AE53" s="19" t="n">
        <f aca="false">R53</f>
        <v>0.352051835853132</v>
      </c>
      <c r="AF53" s="36" t="n">
        <f aca="false">Q53*R53</f>
        <v>0.135833333333333</v>
      </c>
      <c r="AG53" s="16" t="s">
        <v>72</v>
      </c>
      <c r="AH53" s="31" t="s">
        <v>192</v>
      </c>
    </row>
    <row r="54" customFormat="false" ht="14.25" hidden="true" customHeight="true" outlineLevel="0" collapsed="false">
      <c r="A54" s="32" t="n">
        <v>50</v>
      </c>
      <c r="B54" s="11" t="n">
        <v>9910</v>
      </c>
      <c r="C54" s="11" t="s">
        <v>309</v>
      </c>
      <c r="D54" s="11" t="s">
        <v>310</v>
      </c>
      <c r="E54" s="11" t="s">
        <v>238</v>
      </c>
      <c r="F54" s="11" t="s">
        <v>239</v>
      </c>
      <c r="G54" s="11" t="s">
        <v>240</v>
      </c>
      <c r="H54" s="11" t="s">
        <v>172</v>
      </c>
      <c r="I54" s="11" t="s">
        <v>173</v>
      </c>
      <c r="J54" s="11" t="s">
        <v>174</v>
      </c>
      <c r="K54" s="11" t="s">
        <v>246</v>
      </c>
      <c r="L54" s="11"/>
      <c r="M54" s="11" t="s">
        <v>173</v>
      </c>
      <c r="N54" s="33" t="n">
        <v>0.0625</v>
      </c>
      <c r="O54" s="33" t="n">
        <v>0</v>
      </c>
      <c r="P54" s="33" t="n">
        <v>0</v>
      </c>
      <c r="Q54" s="33" t="n">
        <v>0.0625</v>
      </c>
      <c r="R54" s="34" t="n">
        <v>1</v>
      </c>
      <c r="S54" s="33" t="n">
        <v>0.03125</v>
      </c>
      <c r="T54" s="33" t="n">
        <v>0.03125</v>
      </c>
      <c r="U54" s="35" t="n">
        <v>1</v>
      </c>
      <c r="AA54" s="36" t="n">
        <f aca="false">N54</f>
        <v>0.0625</v>
      </c>
      <c r="AB54" s="36" t="n">
        <f aca="false">O54</f>
        <v>0</v>
      </c>
      <c r="AC54" s="36" t="n">
        <f aca="false">P54</f>
        <v>0</v>
      </c>
      <c r="AD54" s="36" t="n">
        <f aca="false">Q54</f>
        <v>0.0625</v>
      </c>
      <c r="AE54" s="19" t="n">
        <f aca="false">R54</f>
        <v>1</v>
      </c>
      <c r="AF54" s="36" t="n">
        <f aca="false">Q54*R54</f>
        <v>0.0625</v>
      </c>
      <c r="AG54" s="16" t="s">
        <v>72</v>
      </c>
      <c r="AH54" s="31" t="s">
        <v>197</v>
      </c>
    </row>
    <row r="55" customFormat="false" ht="14.25" hidden="true" customHeight="true" outlineLevel="0" collapsed="false">
      <c r="A55" s="32" t="n">
        <v>51</v>
      </c>
      <c r="B55" s="11" t="n">
        <v>9920</v>
      </c>
      <c r="C55" s="11" t="s">
        <v>311</v>
      </c>
      <c r="D55" s="11" t="s">
        <v>312</v>
      </c>
      <c r="E55" s="11" t="s">
        <v>289</v>
      </c>
      <c r="F55" s="11" t="s">
        <v>290</v>
      </c>
      <c r="G55" s="11" t="s">
        <v>313</v>
      </c>
      <c r="H55" s="11" t="s">
        <v>172</v>
      </c>
      <c r="I55" s="11" t="s">
        <v>173</v>
      </c>
      <c r="J55" s="11" t="s">
        <v>174</v>
      </c>
      <c r="K55" s="11" t="s">
        <v>275</v>
      </c>
      <c r="L55" s="11"/>
      <c r="M55" s="11" t="s">
        <v>173</v>
      </c>
      <c r="N55" s="33" t="n">
        <v>10.3375</v>
      </c>
      <c r="O55" s="33" t="n">
        <v>3.55833333333333</v>
      </c>
      <c r="P55" s="33" t="n">
        <v>5.18166666666667</v>
      </c>
      <c r="Q55" s="33" t="n">
        <v>19.0775</v>
      </c>
      <c r="R55" s="34" t="n">
        <v>0.93360415847639</v>
      </c>
      <c r="S55" s="33" t="n">
        <v>9.53875</v>
      </c>
      <c r="T55" s="33" t="n">
        <v>9.53875</v>
      </c>
      <c r="U55" s="35" t="n">
        <v>1</v>
      </c>
      <c r="AA55" s="36" t="n">
        <f aca="false">N55</f>
        <v>10.3375</v>
      </c>
      <c r="AB55" s="36" t="n">
        <f aca="false">O55</f>
        <v>3.55833333333333</v>
      </c>
      <c r="AC55" s="36" t="n">
        <f aca="false">P55</f>
        <v>5.18166666666667</v>
      </c>
      <c r="AD55" s="36" t="n">
        <f aca="false">Q55</f>
        <v>19.0775</v>
      </c>
      <c r="AE55" s="19" t="n">
        <f aca="false">R55</f>
        <v>0.93360415847639</v>
      </c>
      <c r="AF55" s="36" t="n">
        <f aca="false">Q55*R55</f>
        <v>17.8108333333333</v>
      </c>
      <c r="AG55" s="16" t="s">
        <v>72</v>
      </c>
      <c r="AH55" s="31" t="s">
        <v>177</v>
      </c>
    </row>
    <row r="56" customFormat="false" ht="14.25" hidden="true" customHeight="true" outlineLevel="0" collapsed="false">
      <c r="A56" s="32" t="n">
        <v>52</v>
      </c>
      <c r="B56" s="11" t="n">
        <v>9921</v>
      </c>
      <c r="C56" s="11" t="s">
        <v>314</v>
      </c>
      <c r="D56" s="11" t="s">
        <v>315</v>
      </c>
      <c r="E56" s="11" t="s">
        <v>289</v>
      </c>
      <c r="F56" s="11" t="s">
        <v>290</v>
      </c>
      <c r="G56" s="11" t="s">
        <v>313</v>
      </c>
      <c r="H56" s="11" t="s">
        <v>172</v>
      </c>
      <c r="I56" s="11" t="s">
        <v>173</v>
      </c>
      <c r="J56" s="11" t="s">
        <v>174</v>
      </c>
      <c r="K56" s="11" t="s">
        <v>275</v>
      </c>
      <c r="L56" s="11" t="s">
        <v>278</v>
      </c>
      <c r="M56" s="11" t="s">
        <v>173</v>
      </c>
      <c r="N56" s="33" t="n">
        <v>0.304166666666667</v>
      </c>
      <c r="O56" s="33" t="n">
        <v>0.0416666666666667</v>
      </c>
      <c r="P56" s="33" t="n">
        <v>0</v>
      </c>
      <c r="Q56" s="33" t="n">
        <v>0.345833333333333</v>
      </c>
      <c r="R56" s="34" t="n">
        <v>1</v>
      </c>
      <c r="S56" s="33" t="n">
        <v>0.172916666666667</v>
      </c>
      <c r="T56" s="33" t="n">
        <v>0.172916666666667</v>
      </c>
      <c r="U56" s="35" t="n">
        <v>1</v>
      </c>
      <c r="AA56" s="36" t="n">
        <f aca="false">N56</f>
        <v>0.304166666666667</v>
      </c>
      <c r="AB56" s="36" t="n">
        <f aca="false">O56</f>
        <v>0.0416666666666667</v>
      </c>
      <c r="AC56" s="36" t="n">
        <f aca="false">P56</f>
        <v>0</v>
      </c>
      <c r="AD56" s="36" t="n">
        <f aca="false">Q56</f>
        <v>0.345833333333333</v>
      </c>
      <c r="AE56" s="19" t="n">
        <f aca="false">R56</f>
        <v>1</v>
      </c>
      <c r="AF56" s="36" t="n">
        <f aca="false">Q56*R56</f>
        <v>0.345833333333333</v>
      </c>
      <c r="AG56" s="16" t="s">
        <v>72</v>
      </c>
      <c r="AH56" s="31" t="s">
        <v>177</v>
      </c>
    </row>
    <row r="57" customFormat="false" ht="14.25" hidden="true" customHeight="true" outlineLevel="0" collapsed="false">
      <c r="A57" s="32" t="n">
        <v>53</v>
      </c>
      <c r="B57" s="11" t="n">
        <v>9926</v>
      </c>
      <c r="C57" s="11" t="s">
        <v>316</v>
      </c>
      <c r="D57" s="11" t="s">
        <v>317</v>
      </c>
      <c r="E57" s="11" t="s">
        <v>54</v>
      </c>
      <c r="F57" s="11" t="s">
        <v>318</v>
      </c>
      <c r="G57" s="11" t="s">
        <v>318</v>
      </c>
      <c r="H57" s="11" t="s">
        <v>232</v>
      </c>
      <c r="I57" s="11" t="s">
        <v>173</v>
      </c>
      <c r="J57" s="11" t="s">
        <v>174</v>
      </c>
      <c r="K57" s="11" t="s">
        <v>275</v>
      </c>
      <c r="L57" s="11"/>
      <c r="M57" s="11" t="s">
        <v>173</v>
      </c>
      <c r="N57" s="33" t="n">
        <v>0.075</v>
      </c>
      <c r="O57" s="33" t="n">
        <v>0</v>
      </c>
      <c r="P57" s="33" t="n">
        <v>0</v>
      </c>
      <c r="Q57" s="33" t="n">
        <v>0.075</v>
      </c>
      <c r="R57" s="34" t="n">
        <v>0</v>
      </c>
      <c r="S57" s="33" t="n">
        <v>0.0375</v>
      </c>
      <c r="T57" s="33" t="n">
        <v>0.0375</v>
      </c>
      <c r="U57" s="35" t="n">
        <v>1</v>
      </c>
      <c r="AA57" s="36" t="n">
        <f aca="false">N57</f>
        <v>0.075</v>
      </c>
      <c r="AB57" s="36" t="n">
        <f aca="false">O57</f>
        <v>0</v>
      </c>
      <c r="AC57" s="36" t="n">
        <f aca="false">P57</f>
        <v>0</v>
      </c>
      <c r="AD57" s="36" t="n">
        <f aca="false">Q57</f>
        <v>0.075</v>
      </c>
      <c r="AE57" s="19" t="n">
        <f aca="false">R57</f>
        <v>0</v>
      </c>
      <c r="AF57" s="36" t="n">
        <f aca="false">Q57*R57</f>
        <v>0</v>
      </c>
      <c r="AG57" s="16" t="s">
        <v>72</v>
      </c>
      <c r="AH57" s="31" t="s">
        <v>197</v>
      </c>
    </row>
    <row r="58" customFormat="false" ht="14.25" hidden="true" customHeight="true" outlineLevel="0" collapsed="false">
      <c r="A58" s="32" t="n">
        <v>54</v>
      </c>
      <c r="B58" s="11" t="n">
        <v>9928</v>
      </c>
      <c r="C58" s="11" t="s">
        <v>319</v>
      </c>
      <c r="D58" s="11" t="s">
        <v>320</v>
      </c>
      <c r="E58" s="11" t="s">
        <v>54</v>
      </c>
      <c r="F58" s="11" t="s">
        <v>318</v>
      </c>
      <c r="G58" s="11" t="s">
        <v>318</v>
      </c>
      <c r="H58" s="11" t="s">
        <v>232</v>
      </c>
      <c r="I58" s="11" t="s">
        <v>173</v>
      </c>
      <c r="J58" s="11" t="s">
        <v>174</v>
      </c>
      <c r="K58" s="11" t="s">
        <v>275</v>
      </c>
      <c r="L58" s="11" t="s">
        <v>278</v>
      </c>
      <c r="M58" s="11" t="s">
        <v>173</v>
      </c>
      <c r="N58" s="33" t="n">
        <v>1.39708333333333</v>
      </c>
      <c r="O58" s="33" t="n">
        <v>1</v>
      </c>
      <c r="P58" s="33" t="n">
        <v>0</v>
      </c>
      <c r="Q58" s="33" t="n">
        <v>2.39708333333333</v>
      </c>
      <c r="R58" s="34" t="n">
        <v>0.86441856422736</v>
      </c>
      <c r="S58" s="33" t="n">
        <v>1.19854166666667</v>
      </c>
      <c r="T58" s="33" t="n">
        <v>1.19854166666667</v>
      </c>
      <c r="U58" s="35" t="n">
        <v>1</v>
      </c>
      <c r="AA58" s="36" t="n">
        <f aca="false">N58</f>
        <v>1.39708333333333</v>
      </c>
      <c r="AB58" s="36" t="n">
        <f aca="false">O58</f>
        <v>1</v>
      </c>
      <c r="AC58" s="36" t="n">
        <f aca="false">P58</f>
        <v>0</v>
      </c>
      <c r="AD58" s="36" t="n">
        <f aca="false">Q58</f>
        <v>2.39708333333333</v>
      </c>
      <c r="AE58" s="19" t="n">
        <f aca="false">R58</f>
        <v>0.86441856422736</v>
      </c>
      <c r="AF58" s="36" t="n">
        <f aca="false">Q58*R58</f>
        <v>2.07208333333333</v>
      </c>
      <c r="AG58" s="16" t="s">
        <v>72</v>
      </c>
      <c r="AH58" s="31" t="s">
        <v>187</v>
      </c>
    </row>
    <row r="59" customFormat="false" ht="14.25" hidden="false" customHeight="true" outlineLevel="0" collapsed="false">
      <c r="A59" s="32" t="n">
        <v>55</v>
      </c>
      <c r="B59" s="11" t="n">
        <v>9930</v>
      </c>
      <c r="C59" s="11" t="s">
        <v>321</v>
      </c>
      <c r="D59" s="11" t="s">
        <v>322</v>
      </c>
      <c r="E59" s="11" t="s">
        <v>263</v>
      </c>
      <c r="F59" s="11" t="s">
        <v>170</v>
      </c>
      <c r="G59" s="11" t="s">
        <v>264</v>
      </c>
      <c r="H59" s="11" t="s">
        <v>172</v>
      </c>
      <c r="I59" s="11" t="s">
        <v>182</v>
      </c>
      <c r="J59" s="11" t="s">
        <v>174</v>
      </c>
      <c r="K59" s="11" t="s">
        <v>323</v>
      </c>
      <c r="L59" s="11"/>
      <c r="M59" s="11" t="s">
        <v>173</v>
      </c>
      <c r="N59" s="33" t="n">
        <v>2.40833333333333</v>
      </c>
      <c r="O59" s="33" t="n">
        <v>0.075</v>
      </c>
      <c r="P59" s="33" t="n">
        <v>0</v>
      </c>
      <c r="Q59" s="33" t="n">
        <v>2.48333333333333</v>
      </c>
      <c r="R59" s="34" t="n">
        <v>0.899328859060403</v>
      </c>
      <c r="S59" s="33" t="n">
        <v>1.24166666666667</v>
      </c>
      <c r="T59" s="33" t="n">
        <v>1.24166666666667</v>
      </c>
      <c r="U59" s="35" t="n">
        <v>1</v>
      </c>
      <c r="AA59" s="36" t="n">
        <f aca="false">N59</f>
        <v>2.40833333333333</v>
      </c>
      <c r="AB59" s="36" t="n">
        <f aca="false">O59</f>
        <v>0.075</v>
      </c>
      <c r="AC59" s="36" t="n">
        <f aca="false">P59</f>
        <v>0</v>
      </c>
      <c r="AD59" s="36" t="n">
        <f aca="false">Q59</f>
        <v>2.48333333333333</v>
      </c>
      <c r="AE59" s="19" t="n">
        <f aca="false">R59</f>
        <v>0.899328859060403</v>
      </c>
      <c r="AF59" s="36" t="n">
        <f aca="false">Q59*R59</f>
        <v>2.23333333333333</v>
      </c>
      <c r="AG59" s="16" t="s">
        <v>76</v>
      </c>
      <c r="AH59" s="31" t="s">
        <v>202</v>
      </c>
    </row>
    <row r="60" customFormat="false" ht="14.25" hidden="true" customHeight="true" outlineLevel="0" collapsed="false">
      <c r="A60" s="32" t="n">
        <v>56</v>
      </c>
      <c r="B60" s="11" t="n">
        <v>9931</v>
      </c>
      <c r="C60" s="11" t="s">
        <v>324</v>
      </c>
      <c r="D60" s="11" t="s">
        <v>325</v>
      </c>
      <c r="E60" s="11" t="s">
        <v>299</v>
      </c>
      <c r="F60" s="11" t="s">
        <v>290</v>
      </c>
      <c r="G60" s="11" t="s">
        <v>326</v>
      </c>
      <c r="H60" s="11" t="s">
        <v>172</v>
      </c>
      <c r="I60" s="11" t="s">
        <v>173</v>
      </c>
      <c r="J60" s="11" t="s">
        <v>174</v>
      </c>
      <c r="K60" s="11" t="s">
        <v>327</v>
      </c>
      <c r="L60" s="11"/>
      <c r="M60" s="11" t="s">
        <v>173</v>
      </c>
      <c r="N60" s="33" t="n">
        <v>13</v>
      </c>
      <c r="O60" s="33" t="n">
        <v>2.275</v>
      </c>
      <c r="P60" s="33" t="n">
        <v>0</v>
      </c>
      <c r="Q60" s="33" t="n">
        <v>15.275</v>
      </c>
      <c r="R60" s="34" t="n">
        <v>0.917288491854966</v>
      </c>
      <c r="S60" s="33" t="n">
        <v>7.6375</v>
      </c>
      <c r="T60" s="33" t="n">
        <v>7.6375</v>
      </c>
      <c r="U60" s="35" t="n">
        <v>1</v>
      </c>
      <c r="AA60" s="36" t="n">
        <f aca="false">N60</f>
        <v>13</v>
      </c>
      <c r="AB60" s="36" t="n">
        <f aca="false">O60</f>
        <v>2.275</v>
      </c>
      <c r="AC60" s="36" t="n">
        <f aca="false">P60</f>
        <v>0</v>
      </c>
      <c r="AD60" s="36" t="n">
        <f aca="false">Q60</f>
        <v>15.275</v>
      </c>
      <c r="AE60" s="19" t="n">
        <f aca="false">R60</f>
        <v>0.917288491854966</v>
      </c>
      <c r="AF60" s="36" t="n">
        <f aca="false">Q60*R60</f>
        <v>14.0115817130846</v>
      </c>
      <c r="AG60" s="16" t="s">
        <v>72</v>
      </c>
      <c r="AH60" s="31" t="s">
        <v>187</v>
      </c>
    </row>
    <row r="61" customFormat="false" ht="14.25" hidden="false" customHeight="true" outlineLevel="0" collapsed="false">
      <c r="A61" s="32" t="n">
        <v>57</v>
      </c>
      <c r="B61" s="11" t="n">
        <v>9940</v>
      </c>
      <c r="C61" s="11" t="s">
        <v>328</v>
      </c>
      <c r="D61" s="11" t="s">
        <v>329</v>
      </c>
      <c r="E61" s="11" t="s">
        <v>263</v>
      </c>
      <c r="F61" s="11" t="s">
        <v>170</v>
      </c>
      <c r="G61" s="11" t="s">
        <v>264</v>
      </c>
      <c r="H61" s="11" t="s">
        <v>172</v>
      </c>
      <c r="I61" s="11" t="s">
        <v>173</v>
      </c>
      <c r="J61" s="11" t="s">
        <v>174</v>
      </c>
      <c r="K61" s="11" t="s">
        <v>275</v>
      </c>
      <c r="L61" s="11"/>
      <c r="M61" s="11" t="s">
        <v>173</v>
      </c>
      <c r="N61" s="33" t="n">
        <v>0.3875</v>
      </c>
      <c r="O61" s="33" t="n">
        <v>0.025</v>
      </c>
      <c r="P61" s="33" t="n">
        <v>0</v>
      </c>
      <c r="Q61" s="33" t="n">
        <v>0.4125</v>
      </c>
      <c r="R61" s="34" t="n">
        <v>0.818181818181818</v>
      </c>
      <c r="S61" s="33" t="n">
        <v>0.20625</v>
      </c>
      <c r="T61" s="33" t="n">
        <v>0.20625</v>
      </c>
      <c r="U61" s="35" t="n">
        <v>1</v>
      </c>
      <c r="AA61" s="36" t="n">
        <f aca="false">N61</f>
        <v>0.3875</v>
      </c>
      <c r="AB61" s="36" t="n">
        <f aca="false">O61</f>
        <v>0.025</v>
      </c>
      <c r="AC61" s="36" t="n">
        <f aca="false">P61</f>
        <v>0</v>
      </c>
      <c r="AD61" s="36" t="n">
        <f aca="false">Q61</f>
        <v>0.4125</v>
      </c>
      <c r="AE61" s="19" t="n">
        <f aca="false">R61</f>
        <v>0.818181818181818</v>
      </c>
      <c r="AF61" s="36" t="n">
        <f aca="false">Q61*R61</f>
        <v>0.3375</v>
      </c>
      <c r="AG61" s="16" t="s">
        <v>72</v>
      </c>
      <c r="AH61" s="31" t="s">
        <v>192</v>
      </c>
    </row>
    <row r="62" customFormat="false" ht="14.25" hidden="false" customHeight="true" outlineLevel="0" collapsed="false">
      <c r="A62" s="32" t="n">
        <v>58</v>
      </c>
      <c r="B62" s="11" t="n">
        <v>9941</v>
      </c>
      <c r="C62" s="11" t="s">
        <v>330</v>
      </c>
      <c r="D62" s="11" t="s">
        <v>331</v>
      </c>
      <c r="E62" s="11" t="s">
        <v>263</v>
      </c>
      <c r="F62" s="11" t="s">
        <v>170</v>
      </c>
      <c r="G62" s="11" t="s">
        <v>264</v>
      </c>
      <c r="H62" s="11" t="s">
        <v>172</v>
      </c>
      <c r="I62" s="11" t="s">
        <v>173</v>
      </c>
      <c r="J62" s="11" t="s">
        <v>174</v>
      </c>
      <c r="K62" s="11" t="s">
        <v>275</v>
      </c>
      <c r="L62" s="11" t="s">
        <v>176</v>
      </c>
      <c r="M62" s="11" t="s">
        <v>173</v>
      </c>
      <c r="N62" s="33" t="n">
        <v>0.929164583333333</v>
      </c>
      <c r="O62" s="33" t="n">
        <v>0.0875</v>
      </c>
      <c r="P62" s="33" t="n">
        <v>0</v>
      </c>
      <c r="Q62" s="33" t="n">
        <v>1.01666458333333</v>
      </c>
      <c r="R62" s="34" t="n">
        <v>0.413113551462196</v>
      </c>
      <c r="S62" s="33" t="n">
        <v>0.508332291666667</v>
      </c>
      <c r="T62" s="33" t="n">
        <v>0.508332291666667</v>
      </c>
      <c r="U62" s="35" t="n">
        <v>1</v>
      </c>
      <c r="AA62" s="36" t="n">
        <f aca="false">N62</f>
        <v>0.929164583333333</v>
      </c>
      <c r="AB62" s="36" t="n">
        <f aca="false">O62</f>
        <v>0.0875</v>
      </c>
      <c r="AC62" s="36" t="n">
        <f aca="false">P62</f>
        <v>0</v>
      </c>
      <c r="AD62" s="36" t="n">
        <f aca="false">Q62</f>
        <v>1.01666458333333</v>
      </c>
      <c r="AE62" s="19" t="n">
        <f aca="false">R62</f>
        <v>0.413113551462196</v>
      </c>
      <c r="AF62" s="36" t="n">
        <f aca="false">Q62*R62</f>
        <v>0.419997916666666</v>
      </c>
      <c r="AG62" s="16" t="s">
        <v>70</v>
      </c>
      <c r="AH62" s="31" t="s">
        <v>177</v>
      </c>
    </row>
    <row r="63" customFormat="false" ht="14.25" hidden="true" customHeight="true" outlineLevel="0" collapsed="false">
      <c r="A63" s="32" t="n">
        <v>59</v>
      </c>
      <c r="B63" s="11" t="n">
        <v>9947</v>
      </c>
      <c r="C63" s="11" t="s">
        <v>332</v>
      </c>
      <c r="D63" s="11" t="s">
        <v>333</v>
      </c>
      <c r="E63" s="11" t="s">
        <v>244</v>
      </c>
      <c r="F63" s="11" t="s">
        <v>239</v>
      </c>
      <c r="G63" s="11" t="s">
        <v>245</v>
      </c>
      <c r="H63" s="11" t="s">
        <v>172</v>
      </c>
      <c r="I63" s="11" t="s">
        <v>182</v>
      </c>
      <c r="J63" s="11" t="s">
        <v>174</v>
      </c>
      <c r="K63" s="11" t="s">
        <v>275</v>
      </c>
      <c r="L63" s="11"/>
      <c r="M63" s="11" t="s">
        <v>173</v>
      </c>
      <c r="N63" s="33" t="n">
        <v>9</v>
      </c>
      <c r="O63" s="33" t="n">
        <v>1.15416666666667</v>
      </c>
      <c r="P63" s="33" t="n">
        <v>0</v>
      </c>
      <c r="Q63" s="33" t="n">
        <v>10</v>
      </c>
      <c r="R63" s="34" t="n">
        <v>0.759046345449253</v>
      </c>
      <c r="S63" s="33" t="n">
        <v>5</v>
      </c>
      <c r="T63" s="33" t="n">
        <v>5</v>
      </c>
      <c r="U63" s="35" t="n">
        <v>1</v>
      </c>
      <c r="AA63" s="36" t="n">
        <f aca="false">N63</f>
        <v>9</v>
      </c>
      <c r="AB63" s="36" t="n">
        <f aca="false">O63</f>
        <v>1.15416666666667</v>
      </c>
      <c r="AC63" s="36" t="n">
        <f aca="false">P63</f>
        <v>0</v>
      </c>
      <c r="AD63" s="36" t="n">
        <f aca="false">Q63</f>
        <v>10</v>
      </c>
      <c r="AE63" s="19" t="n">
        <f aca="false">R63</f>
        <v>0.759046345449253</v>
      </c>
      <c r="AF63" s="36" t="n">
        <f aca="false">Q63*R63</f>
        <v>7.59046345449253</v>
      </c>
      <c r="AG63" s="16" t="s">
        <v>72</v>
      </c>
      <c r="AH63" s="31" t="s">
        <v>187</v>
      </c>
    </row>
    <row r="64" customFormat="false" ht="14.25" hidden="true" customHeight="true" outlineLevel="0" collapsed="false">
      <c r="A64" s="32" t="n">
        <v>60</v>
      </c>
      <c r="B64" s="11" t="n">
        <v>9948</v>
      </c>
      <c r="C64" s="11" t="s">
        <v>334</v>
      </c>
      <c r="D64" s="11" t="s">
        <v>335</v>
      </c>
      <c r="E64" s="11" t="s">
        <v>180</v>
      </c>
      <c r="F64" s="11" t="s">
        <v>170</v>
      </c>
      <c r="G64" s="11" t="s">
        <v>181</v>
      </c>
      <c r="H64" s="11" t="s">
        <v>172</v>
      </c>
      <c r="I64" s="11" t="s">
        <v>182</v>
      </c>
      <c r="J64" s="11" t="s">
        <v>174</v>
      </c>
      <c r="K64" s="11" t="s">
        <v>209</v>
      </c>
      <c r="L64" s="11"/>
      <c r="M64" s="11" t="s">
        <v>173</v>
      </c>
      <c r="N64" s="33" t="n">
        <v>9.26970833333333</v>
      </c>
      <c r="O64" s="33" t="n">
        <v>2.84583333333333</v>
      </c>
      <c r="P64" s="33" t="n">
        <v>0</v>
      </c>
      <c r="Q64" s="33" t="n">
        <v>12.1155416666667</v>
      </c>
      <c r="R64" s="34" t="n">
        <v>0.771299260935506</v>
      </c>
      <c r="S64" s="33" t="n">
        <v>6.05777083333333</v>
      </c>
      <c r="T64" s="33" t="n">
        <v>6.05777083333333</v>
      </c>
      <c r="U64" s="35" t="n">
        <v>1</v>
      </c>
      <c r="AA64" s="36" t="n">
        <f aca="false">N64</f>
        <v>9.26970833333333</v>
      </c>
      <c r="AB64" s="36" t="n">
        <f aca="false">O64</f>
        <v>2.84583333333333</v>
      </c>
      <c r="AC64" s="36" t="n">
        <f aca="false">P64</f>
        <v>0</v>
      </c>
      <c r="AD64" s="36" t="n">
        <f aca="false">Q64</f>
        <v>12.1155416666667</v>
      </c>
      <c r="AE64" s="19" t="n">
        <f aca="false">R64</f>
        <v>0.771299260935506</v>
      </c>
      <c r="AF64" s="36" t="n">
        <f aca="false">Q64*R64</f>
        <v>9.34470833333336</v>
      </c>
      <c r="AG64" s="16" t="s">
        <v>76</v>
      </c>
      <c r="AH64" s="31" t="s">
        <v>233</v>
      </c>
    </row>
    <row r="65" customFormat="false" ht="14.25" hidden="false" customHeight="true" outlineLevel="0" collapsed="false">
      <c r="A65" s="32" t="n">
        <v>61</v>
      </c>
      <c r="B65" s="11" t="n">
        <v>9949</v>
      </c>
      <c r="C65" s="11" t="s">
        <v>336</v>
      </c>
      <c r="D65" s="11" t="s">
        <v>337</v>
      </c>
      <c r="E65" s="11" t="s">
        <v>263</v>
      </c>
      <c r="F65" s="11" t="s">
        <v>170</v>
      </c>
      <c r="G65" s="11" t="s">
        <v>264</v>
      </c>
      <c r="H65" s="11" t="s">
        <v>232</v>
      </c>
      <c r="I65" s="11" t="s">
        <v>173</v>
      </c>
      <c r="J65" s="11" t="s">
        <v>174</v>
      </c>
      <c r="K65" s="11" t="s">
        <v>338</v>
      </c>
      <c r="L65" s="11"/>
      <c r="M65" s="11" t="s">
        <v>173</v>
      </c>
      <c r="N65" s="33" t="n">
        <v>0.0666666666666667</v>
      </c>
      <c r="O65" s="33" t="n">
        <v>0</v>
      </c>
      <c r="P65" s="33" t="n">
        <v>0</v>
      </c>
      <c r="Q65" s="33" t="n">
        <v>0.0666666666666667</v>
      </c>
      <c r="R65" s="34" t="n">
        <v>0</v>
      </c>
      <c r="S65" s="33" t="n">
        <v>0.0333333333333333</v>
      </c>
      <c r="T65" s="33" t="n">
        <v>0.0333333333333333</v>
      </c>
      <c r="U65" s="35" t="n">
        <v>1</v>
      </c>
      <c r="AA65" s="36" t="n">
        <f aca="false">N65</f>
        <v>0.0666666666666667</v>
      </c>
      <c r="AB65" s="36" t="n">
        <f aca="false">O65</f>
        <v>0</v>
      </c>
      <c r="AC65" s="36" t="n">
        <f aca="false">P65</f>
        <v>0</v>
      </c>
      <c r="AD65" s="36" t="n">
        <f aca="false">Q65</f>
        <v>0.0666666666666667</v>
      </c>
      <c r="AE65" s="19" t="n">
        <f aca="false">R65</f>
        <v>0</v>
      </c>
      <c r="AF65" s="36" t="n">
        <f aca="false">Q65*R65</f>
        <v>0</v>
      </c>
      <c r="AG65" s="16" t="s">
        <v>72</v>
      </c>
      <c r="AH65" s="31" t="s">
        <v>233</v>
      </c>
    </row>
    <row r="66" customFormat="false" ht="14.25" hidden="true" customHeight="true" outlineLevel="0" collapsed="false">
      <c r="A66" s="32" t="n">
        <v>62</v>
      </c>
      <c r="B66" s="11" t="n">
        <v>9951</v>
      </c>
      <c r="C66" s="11" t="s">
        <v>339</v>
      </c>
      <c r="D66" s="11" t="s">
        <v>340</v>
      </c>
      <c r="E66" s="11" t="s">
        <v>341</v>
      </c>
      <c r="F66" s="11" t="s">
        <v>342</v>
      </c>
      <c r="G66" s="11" t="s">
        <v>342</v>
      </c>
      <c r="H66" s="11" t="s">
        <v>232</v>
      </c>
      <c r="I66" s="11" t="s">
        <v>173</v>
      </c>
      <c r="J66" s="11" t="s">
        <v>174</v>
      </c>
      <c r="K66" s="11" t="s">
        <v>343</v>
      </c>
      <c r="L66" s="11" t="s">
        <v>344</v>
      </c>
      <c r="M66" s="11" t="s">
        <v>182</v>
      </c>
      <c r="N66" s="33" t="n">
        <v>7</v>
      </c>
      <c r="O66" s="33" t="n">
        <v>1</v>
      </c>
      <c r="P66" s="33" t="n">
        <v>0</v>
      </c>
      <c r="Q66" s="33" t="n">
        <v>7.92704166666666</v>
      </c>
      <c r="R66" s="34" t="n">
        <v>0.779236684555504</v>
      </c>
      <c r="S66" s="33" t="n">
        <v>3.96352083333333</v>
      </c>
      <c r="T66" s="33" t="n">
        <v>3.96352083333333</v>
      </c>
      <c r="U66" s="35" t="n">
        <v>1</v>
      </c>
      <c r="AA66" s="36" t="n">
        <f aca="false">N66</f>
        <v>7</v>
      </c>
      <c r="AB66" s="36" t="n">
        <f aca="false">O66</f>
        <v>1</v>
      </c>
      <c r="AC66" s="36" t="n">
        <f aca="false">P66</f>
        <v>0</v>
      </c>
      <c r="AD66" s="36" t="n">
        <f aca="false">Q66</f>
        <v>7.92704166666666</v>
      </c>
      <c r="AE66" s="19" t="n">
        <f aca="false">R66</f>
        <v>0.779236684555504</v>
      </c>
      <c r="AF66" s="36" t="n">
        <f aca="false">Q66*R66</f>
        <v>6.17704166666666</v>
      </c>
      <c r="AG66" s="16" t="s">
        <v>74</v>
      </c>
      <c r="AH66" s="31" t="s">
        <v>177</v>
      </c>
    </row>
    <row r="67" customFormat="false" ht="14.25" hidden="true" customHeight="true" outlineLevel="0" collapsed="false">
      <c r="A67" s="32" t="n">
        <v>63</v>
      </c>
      <c r="B67" s="11" t="n">
        <v>9962</v>
      </c>
      <c r="C67" s="11" t="s">
        <v>345</v>
      </c>
      <c r="D67" s="11" t="s">
        <v>346</v>
      </c>
      <c r="E67" s="11" t="s">
        <v>289</v>
      </c>
      <c r="F67" s="11" t="s">
        <v>290</v>
      </c>
      <c r="G67" s="11" t="s">
        <v>313</v>
      </c>
      <c r="H67" s="11" t="s">
        <v>172</v>
      </c>
      <c r="I67" s="11" t="s">
        <v>173</v>
      </c>
      <c r="J67" s="11" t="s">
        <v>174</v>
      </c>
      <c r="K67" s="11" t="s">
        <v>347</v>
      </c>
      <c r="L67" s="11" t="s">
        <v>278</v>
      </c>
      <c r="M67" s="11" t="s">
        <v>173</v>
      </c>
      <c r="N67" s="33" t="n">
        <v>8.92166666666667</v>
      </c>
      <c r="O67" s="33" t="n">
        <v>2.41041666666667</v>
      </c>
      <c r="P67" s="33" t="n">
        <v>1.52</v>
      </c>
      <c r="Q67" s="33" t="n">
        <v>12.8520833333333</v>
      </c>
      <c r="R67" s="34" t="n">
        <v>0.827395039714702</v>
      </c>
      <c r="S67" s="33" t="n">
        <v>6.42604166666667</v>
      </c>
      <c r="T67" s="33" t="n">
        <v>6.42604166666667</v>
      </c>
      <c r="U67" s="35" t="n">
        <v>1</v>
      </c>
      <c r="AA67" s="36" t="n">
        <f aca="false">N67</f>
        <v>8.92166666666667</v>
      </c>
      <c r="AB67" s="36" t="n">
        <f aca="false">O67</f>
        <v>2.41041666666667</v>
      </c>
      <c r="AC67" s="36" t="n">
        <f aca="false">P67</f>
        <v>1.52</v>
      </c>
      <c r="AD67" s="36" t="n">
        <f aca="false">Q67</f>
        <v>12.8520833333333</v>
      </c>
      <c r="AE67" s="19" t="n">
        <f aca="false">R67</f>
        <v>0.827395039714702</v>
      </c>
      <c r="AF67" s="36" t="n">
        <f aca="false">Q67*R67</f>
        <v>10.63375</v>
      </c>
      <c r="AG67" s="16" t="s">
        <v>72</v>
      </c>
      <c r="AH67" s="31" t="s">
        <v>177</v>
      </c>
    </row>
    <row r="68" customFormat="false" ht="14.25" hidden="false" customHeight="true" outlineLevel="0" collapsed="false">
      <c r="A68" s="32" t="n">
        <v>64</v>
      </c>
      <c r="B68" s="11" t="n">
        <v>9964</v>
      </c>
      <c r="C68" s="11" t="s">
        <v>348</v>
      </c>
      <c r="D68" s="11" t="s">
        <v>349</v>
      </c>
      <c r="E68" s="11" t="s">
        <v>263</v>
      </c>
      <c r="F68" s="11" t="s">
        <v>170</v>
      </c>
      <c r="G68" s="11" t="s">
        <v>264</v>
      </c>
      <c r="H68" s="11" t="s">
        <v>172</v>
      </c>
      <c r="I68" s="11" t="s">
        <v>173</v>
      </c>
      <c r="J68" s="11" t="s">
        <v>174</v>
      </c>
      <c r="K68" s="11" t="s">
        <v>275</v>
      </c>
      <c r="L68" s="11"/>
      <c r="M68" s="11" t="s">
        <v>173</v>
      </c>
      <c r="N68" s="33" t="n">
        <v>1.95333333333333</v>
      </c>
      <c r="O68" s="33" t="n">
        <v>0.3625</v>
      </c>
      <c r="P68" s="33" t="n">
        <v>0</v>
      </c>
      <c r="Q68" s="33" t="n">
        <v>2.31583333333333</v>
      </c>
      <c r="R68" s="34" t="n">
        <v>0.908240374235336</v>
      </c>
      <c r="S68" s="33" t="n">
        <v>1.15791666666667</v>
      </c>
      <c r="T68" s="33" t="n">
        <v>1.15791666666667</v>
      </c>
      <c r="U68" s="35" t="n">
        <v>1</v>
      </c>
      <c r="AA68" s="36" t="n">
        <f aca="false">N68</f>
        <v>1.95333333333333</v>
      </c>
      <c r="AB68" s="36" t="n">
        <f aca="false">O68</f>
        <v>0.3625</v>
      </c>
      <c r="AC68" s="36" t="n">
        <f aca="false">P68</f>
        <v>0</v>
      </c>
      <c r="AD68" s="36" t="n">
        <f aca="false">Q68</f>
        <v>2.31583333333333</v>
      </c>
      <c r="AE68" s="19" t="n">
        <f aca="false">R68</f>
        <v>0.908240374235336</v>
      </c>
      <c r="AF68" s="36" t="n">
        <f aca="false">Q68*R68</f>
        <v>2.10333333333333</v>
      </c>
      <c r="AG68" s="16" t="s">
        <v>72</v>
      </c>
      <c r="AH68" s="31" t="s">
        <v>192</v>
      </c>
    </row>
    <row r="69" customFormat="false" ht="14.25" hidden="false" customHeight="true" outlineLevel="0" collapsed="false">
      <c r="A69" s="32" t="n">
        <v>65</v>
      </c>
      <c r="B69" s="11" t="n">
        <v>9965</v>
      </c>
      <c r="C69" s="11" t="s">
        <v>350</v>
      </c>
      <c r="D69" s="11" t="s">
        <v>351</v>
      </c>
      <c r="E69" s="11" t="s">
        <v>263</v>
      </c>
      <c r="F69" s="11" t="s">
        <v>170</v>
      </c>
      <c r="G69" s="11" t="s">
        <v>264</v>
      </c>
      <c r="H69" s="11" t="s">
        <v>172</v>
      </c>
      <c r="I69" s="11" t="s">
        <v>173</v>
      </c>
      <c r="J69" s="11" t="s">
        <v>174</v>
      </c>
      <c r="K69" s="11" t="s">
        <v>275</v>
      </c>
      <c r="L69" s="11"/>
      <c r="M69" s="11" t="s">
        <v>173</v>
      </c>
      <c r="N69" s="33" t="n">
        <v>0.025</v>
      </c>
      <c r="O69" s="33" t="n">
        <v>0.0375</v>
      </c>
      <c r="P69" s="33" t="n">
        <v>0</v>
      </c>
      <c r="Q69" s="33" t="n">
        <v>0.0625</v>
      </c>
      <c r="R69" s="34" t="n">
        <v>0.2</v>
      </c>
      <c r="S69" s="33" t="n">
        <v>0.03125</v>
      </c>
      <c r="T69" s="33" t="n">
        <v>0.03125</v>
      </c>
      <c r="U69" s="35" t="n">
        <v>1</v>
      </c>
      <c r="AA69" s="36" t="n">
        <f aca="false">N69</f>
        <v>0.025</v>
      </c>
      <c r="AB69" s="36" t="n">
        <f aca="false">O69</f>
        <v>0.0375</v>
      </c>
      <c r="AC69" s="36" t="n">
        <f aca="false">P69</f>
        <v>0</v>
      </c>
      <c r="AD69" s="36" t="n">
        <f aca="false">Q69</f>
        <v>0.0625</v>
      </c>
      <c r="AE69" s="19" t="n">
        <f aca="false">R69</f>
        <v>0.2</v>
      </c>
      <c r="AF69" s="36" t="n">
        <f aca="false">Q69*R69</f>
        <v>0.0125</v>
      </c>
      <c r="AG69" s="16" t="s">
        <v>72</v>
      </c>
      <c r="AH69" s="31" t="s">
        <v>187</v>
      </c>
    </row>
    <row r="70" customFormat="false" ht="14.25" hidden="false" customHeight="true" outlineLevel="0" collapsed="false">
      <c r="A70" s="32" t="n">
        <v>66</v>
      </c>
      <c r="B70" s="11" t="n">
        <v>9969</v>
      </c>
      <c r="C70" s="11" t="s">
        <v>352</v>
      </c>
      <c r="D70" s="11" t="s">
        <v>353</v>
      </c>
      <c r="E70" s="11" t="s">
        <v>263</v>
      </c>
      <c r="F70" s="11" t="s">
        <v>170</v>
      </c>
      <c r="G70" s="11" t="s">
        <v>264</v>
      </c>
      <c r="H70" s="11" t="s">
        <v>172</v>
      </c>
      <c r="I70" s="11" t="s">
        <v>173</v>
      </c>
      <c r="J70" s="11" t="s">
        <v>174</v>
      </c>
      <c r="K70" s="11" t="s">
        <v>275</v>
      </c>
      <c r="L70" s="11"/>
      <c r="M70" s="11" t="s">
        <v>173</v>
      </c>
      <c r="N70" s="33" t="n">
        <v>0.312375</v>
      </c>
      <c r="O70" s="33" t="n">
        <v>0.025</v>
      </c>
      <c r="P70" s="33" t="n">
        <v>0</v>
      </c>
      <c r="Q70" s="33" t="n">
        <v>0.337375</v>
      </c>
      <c r="R70" s="34" t="n">
        <v>0.675805854020007</v>
      </c>
      <c r="S70" s="33" t="n">
        <v>0.1686875</v>
      </c>
      <c r="T70" s="33" t="n">
        <v>0.1686875</v>
      </c>
      <c r="U70" s="35" t="n">
        <v>1</v>
      </c>
      <c r="AA70" s="36" t="n">
        <f aca="false">N70</f>
        <v>0.312375</v>
      </c>
      <c r="AB70" s="36" t="n">
        <f aca="false">O70</f>
        <v>0.025</v>
      </c>
      <c r="AC70" s="36" t="n">
        <f aca="false">P70</f>
        <v>0</v>
      </c>
      <c r="AD70" s="36" t="n">
        <f aca="false">Q70</f>
        <v>0.337375</v>
      </c>
      <c r="AE70" s="19" t="n">
        <f aca="false">R70</f>
        <v>0.675805854020007</v>
      </c>
      <c r="AF70" s="36" t="n">
        <f aca="false">Q70*R70</f>
        <v>0.228</v>
      </c>
      <c r="AG70" s="16" t="s">
        <v>72</v>
      </c>
      <c r="AH70" s="31" t="s">
        <v>233</v>
      </c>
    </row>
    <row r="71" customFormat="false" ht="14.25" hidden="true" customHeight="true" outlineLevel="0" collapsed="false">
      <c r="A71" s="32" t="n">
        <v>67</v>
      </c>
      <c r="B71" s="11" t="n">
        <v>9975</v>
      </c>
      <c r="C71" s="11" t="s">
        <v>354</v>
      </c>
      <c r="D71" s="11" t="s">
        <v>355</v>
      </c>
      <c r="E71" s="11" t="s">
        <v>259</v>
      </c>
      <c r="F71" s="11" t="s">
        <v>239</v>
      </c>
      <c r="G71" s="11" t="s">
        <v>260</v>
      </c>
      <c r="H71" s="11" t="s">
        <v>172</v>
      </c>
      <c r="I71" s="11" t="s">
        <v>173</v>
      </c>
      <c r="J71" s="11" t="s">
        <v>174</v>
      </c>
      <c r="K71" s="11" t="s">
        <v>275</v>
      </c>
      <c r="L71" s="11"/>
      <c r="M71" s="11" t="s">
        <v>173</v>
      </c>
      <c r="N71" s="33" t="n">
        <v>1.11166666666667</v>
      </c>
      <c r="O71" s="33" t="n">
        <v>0</v>
      </c>
      <c r="P71" s="33" t="n">
        <v>0</v>
      </c>
      <c r="Q71" s="33" t="n">
        <v>1.11166666666667</v>
      </c>
      <c r="R71" s="34" t="n">
        <v>0.585082458770615</v>
      </c>
      <c r="S71" s="33" t="n">
        <v>0.555833333333333</v>
      </c>
      <c r="T71" s="33" t="n">
        <v>0.555833333333333</v>
      </c>
      <c r="U71" s="35" t="n">
        <v>1</v>
      </c>
      <c r="AA71" s="36" t="n">
        <f aca="false">N71</f>
        <v>1.11166666666667</v>
      </c>
      <c r="AB71" s="36" t="n">
        <f aca="false">O71</f>
        <v>0</v>
      </c>
      <c r="AC71" s="36" t="n">
        <f aca="false">P71</f>
        <v>0</v>
      </c>
      <c r="AD71" s="36" t="n">
        <f aca="false">Q71</f>
        <v>1.11166666666667</v>
      </c>
      <c r="AE71" s="19" t="n">
        <f aca="false">R71</f>
        <v>0.585082458770615</v>
      </c>
      <c r="AF71" s="36" t="n">
        <f aca="false">Q71*R71</f>
        <v>0.650416666666669</v>
      </c>
      <c r="AG71" s="16" t="s">
        <v>72</v>
      </c>
      <c r="AH71" s="31" t="s">
        <v>192</v>
      </c>
    </row>
    <row r="72" customFormat="false" ht="14.25" hidden="true" customHeight="true" outlineLevel="0" collapsed="false">
      <c r="A72" s="32" t="n">
        <v>68</v>
      </c>
      <c r="B72" s="11" t="n">
        <v>9977</v>
      </c>
      <c r="C72" s="11" t="s">
        <v>356</v>
      </c>
      <c r="D72" s="11" t="s">
        <v>357</v>
      </c>
      <c r="E72" s="11" t="s">
        <v>299</v>
      </c>
      <c r="F72" s="11" t="s">
        <v>290</v>
      </c>
      <c r="G72" s="11" t="s">
        <v>300</v>
      </c>
      <c r="H72" s="11" t="s">
        <v>172</v>
      </c>
      <c r="I72" s="11" t="s">
        <v>173</v>
      </c>
      <c r="J72" s="11" t="s">
        <v>174</v>
      </c>
      <c r="K72" s="11" t="s">
        <v>275</v>
      </c>
      <c r="L72" s="11"/>
      <c r="M72" s="11" t="s">
        <v>173</v>
      </c>
      <c r="N72" s="33" t="n">
        <v>1</v>
      </c>
      <c r="O72" s="33" t="n">
        <v>1</v>
      </c>
      <c r="P72" s="33" t="n">
        <v>0</v>
      </c>
      <c r="Q72" s="33" t="n">
        <v>0.457916666666667</v>
      </c>
      <c r="R72" s="34" t="n">
        <v>0</v>
      </c>
      <c r="S72" s="33" t="n">
        <v>0.228958333333333</v>
      </c>
      <c r="T72" s="33" t="n">
        <v>0.228958333333333</v>
      </c>
      <c r="U72" s="35" t="n">
        <v>1</v>
      </c>
      <c r="AA72" s="36" t="n">
        <f aca="false">N72</f>
        <v>1</v>
      </c>
      <c r="AB72" s="36" t="n">
        <f aca="false">O72</f>
        <v>1</v>
      </c>
      <c r="AC72" s="36" t="n">
        <f aca="false">P72</f>
        <v>0</v>
      </c>
      <c r="AD72" s="36" t="n">
        <f aca="false">Q72</f>
        <v>0.457916666666667</v>
      </c>
      <c r="AE72" s="19" t="n">
        <f aca="false">R72</f>
        <v>0</v>
      </c>
      <c r="AF72" s="36" t="n">
        <f aca="false">Q72*R72</f>
        <v>0</v>
      </c>
      <c r="AG72" s="16" t="s">
        <v>72</v>
      </c>
      <c r="AH72" s="31" t="s">
        <v>233</v>
      </c>
    </row>
    <row r="73" customFormat="false" ht="14.25" hidden="true" customHeight="true" outlineLevel="0" collapsed="false">
      <c r="A73" s="32" t="n">
        <v>69</v>
      </c>
      <c r="B73" s="11" t="n">
        <v>9980</v>
      </c>
      <c r="C73" s="11" t="s">
        <v>358</v>
      </c>
      <c r="D73" s="11" t="s">
        <v>359</v>
      </c>
      <c r="E73" s="11" t="s">
        <v>180</v>
      </c>
      <c r="F73" s="11" t="s">
        <v>170</v>
      </c>
      <c r="G73" s="11" t="s">
        <v>181</v>
      </c>
      <c r="H73" s="11" t="s">
        <v>172</v>
      </c>
      <c r="I73" s="11" t="s">
        <v>182</v>
      </c>
      <c r="J73" s="11" t="s">
        <v>174</v>
      </c>
      <c r="K73" s="11" t="s">
        <v>360</v>
      </c>
      <c r="L73" s="11"/>
      <c r="M73" s="11" t="s">
        <v>173</v>
      </c>
      <c r="N73" s="33" t="n">
        <v>12.606875</v>
      </c>
      <c r="O73" s="33" t="n">
        <v>1.14166666666667</v>
      </c>
      <c r="P73" s="33" t="n">
        <v>0</v>
      </c>
      <c r="Q73" s="33" t="n">
        <v>13.7485416666667</v>
      </c>
      <c r="R73" s="34" t="n">
        <v>0.81496522358432</v>
      </c>
      <c r="S73" s="33" t="n">
        <v>6.87427083333334</v>
      </c>
      <c r="T73" s="33" t="n">
        <v>6.87427083333334</v>
      </c>
      <c r="U73" s="35" t="n">
        <v>1</v>
      </c>
      <c r="AA73" s="36" t="n">
        <f aca="false">N73</f>
        <v>12.606875</v>
      </c>
      <c r="AB73" s="36" t="n">
        <f aca="false">O73</f>
        <v>1.14166666666667</v>
      </c>
      <c r="AC73" s="36" t="n">
        <f aca="false">P73</f>
        <v>0</v>
      </c>
      <c r="AD73" s="36" t="n">
        <f aca="false">Q73</f>
        <v>13.7485416666667</v>
      </c>
      <c r="AE73" s="19" t="n">
        <f aca="false">R73</f>
        <v>0.81496522358432</v>
      </c>
      <c r="AF73" s="36" t="n">
        <f aca="false">Q73*R73</f>
        <v>11.2045833333334</v>
      </c>
      <c r="AG73" s="16" t="s">
        <v>76</v>
      </c>
      <c r="AH73" s="31" t="s">
        <v>233</v>
      </c>
    </row>
    <row r="74" customFormat="false" ht="14.25" hidden="true" customHeight="true" outlineLevel="0" collapsed="false">
      <c r="A74" s="32" t="n">
        <v>70</v>
      </c>
      <c r="B74" s="11" t="n">
        <v>9983</v>
      </c>
      <c r="C74" s="11" t="s">
        <v>361</v>
      </c>
      <c r="D74" s="11" t="s">
        <v>362</v>
      </c>
      <c r="E74" s="11" t="s">
        <v>299</v>
      </c>
      <c r="F74" s="11" t="s">
        <v>290</v>
      </c>
      <c r="G74" s="11" t="s">
        <v>300</v>
      </c>
      <c r="H74" s="11" t="s">
        <v>172</v>
      </c>
      <c r="I74" s="11" t="s">
        <v>173</v>
      </c>
      <c r="J74" s="11" t="s">
        <v>174</v>
      </c>
      <c r="K74" s="11" t="s">
        <v>275</v>
      </c>
      <c r="L74" s="11" t="s">
        <v>278</v>
      </c>
      <c r="M74" s="11" t="s">
        <v>173</v>
      </c>
      <c r="N74" s="33" t="n">
        <v>6.61416666666667</v>
      </c>
      <c r="O74" s="33" t="n">
        <v>0.647916666666667</v>
      </c>
      <c r="P74" s="33" t="n">
        <v>0</v>
      </c>
      <c r="Q74" s="33" t="n">
        <v>7.26208333333333</v>
      </c>
      <c r="R74" s="34" t="n">
        <v>0.939124447759481</v>
      </c>
      <c r="S74" s="33" t="n">
        <v>3.63104166666667</v>
      </c>
      <c r="T74" s="33" t="n">
        <v>3.63104166666667</v>
      </c>
      <c r="U74" s="35" t="n">
        <v>1</v>
      </c>
      <c r="AA74" s="36" t="n">
        <f aca="false">N74</f>
        <v>6.61416666666667</v>
      </c>
      <c r="AB74" s="36" t="n">
        <f aca="false">O74</f>
        <v>0.647916666666667</v>
      </c>
      <c r="AC74" s="36" t="n">
        <f aca="false">P74</f>
        <v>0</v>
      </c>
      <c r="AD74" s="36" t="n">
        <f aca="false">Q74</f>
        <v>7.26208333333333</v>
      </c>
      <c r="AE74" s="19" t="n">
        <f aca="false">R74</f>
        <v>0.939124447759481</v>
      </c>
      <c r="AF74" s="36" t="n">
        <f aca="false">Q74*R74</f>
        <v>6.82</v>
      </c>
      <c r="AG74" s="16" t="s">
        <v>72</v>
      </c>
      <c r="AH74" s="31" t="s">
        <v>197</v>
      </c>
    </row>
    <row r="75" customFormat="false" ht="14.25" hidden="false" customHeight="true" outlineLevel="0" collapsed="false">
      <c r="A75" s="32" t="n">
        <v>71</v>
      </c>
      <c r="B75" s="11" t="n">
        <v>9986</v>
      </c>
      <c r="C75" s="11" t="s">
        <v>363</v>
      </c>
      <c r="D75" s="11" t="s">
        <v>364</v>
      </c>
      <c r="E75" s="11" t="s">
        <v>263</v>
      </c>
      <c r="F75" s="11" t="s">
        <v>170</v>
      </c>
      <c r="G75" s="11" t="s">
        <v>264</v>
      </c>
      <c r="H75" s="11" t="s">
        <v>172</v>
      </c>
      <c r="I75" s="11" t="s">
        <v>173</v>
      </c>
      <c r="J75" s="11" t="s">
        <v>174</v>
      </c>
      <c r="K75" s="11" t="s">
        <v>365</v>
      </c>
      <c r="L75" s="11"/>
      <c r="M75" s="11" t="s">
        <v>173</v>
      </c>
      <c r="N75" s="33" t="n">
        <v>2.44266666666667</v>
      </c>
      <c r="O75" s="33" t="n">
        <v>0.570833333333333</v>
      </c>
      <c r="P75" s="33" t="n">
        <v>0</v>
      </c>
      <c r="Q75" s="33" t="n">
        <v>3.0135</v>
      </c>
      <c r="R75" s="34" t="n">
        <v>0.27515071069078</v>
      </c>
      <c r="S75" s="33" t="n">
        <v>1.50675</v>
      </c>
      <c r="T75" s="33" t="n">
        <v>1.50675</v>
      </c>
      <c r="U75" s="35" t="n">
        <v>1</v>
      </c>
      <c r="AA75" s="36" t="n">
        <f aca="false">N75</f>
        <v>2.44266666666667</v>
      </c>
      <c r="AB75" s="36" t="n">
        <f aca="false">O75</f>
        <v>0.570833333333333</v>
      </c>
      <c r="AC75" s="36" t="n">
        <f aca="false">P75</f>
        <v>0</v>
      </c>
      <c r="AD75" s="36" t="n">
        <f aca="false">Q75</f>
        <v>3.0135</v>
      </c>
      <c r="AE75" s="19" t="n">
        <f aca="false">R75</f>
        <v>0.27515071069078</v>
      </c>
      <c r="AF75" s="36" t="n">
        <f aca="false">Q75*R75</f>
        <v>0.829166666666666</v>
      </c>
      <c r="AG75" s="16" t="s">
        <v>72</v>
      </c>
      <c r="AH75" s="31" t="s">
        <v>187</v>
      </c>
    </row>
    <row r="76" customFormat="false" ht="14.25" hidden="true" customHeight="true" outlineLevel="0" collapsed="false">
      <c r="A76" s="32" t="n">
        <v>72</v>
      </c>
      <c r="B76" s="11" t="n">
        <v>9992</v>
      </c>
      <c r="C76" s="11" t="s">
        <v>366</v>
      </c>
      <c r="D76" s="11" t="s">
        <v>367</v>
      </c>
      <c r="E76" s="11" t="s">
        <v>54</v>
      </c>
      <c r="F76" s="11" t="s">
        <v>318</v>
      </c>
      <c r="G76" s="11" t="s">
        <v>318</v>
      </c>
      <c r="H76" s="11" t="s">
        <v>232</v>
      </c>
      <c r="I76" s="11" t="s">
        <v>173</v>
      </c>
      <c r="J76" s="11" t="s">
        <v>174</v>
      </c>
      <c r="K76" s="11" t="s">
        <v>368</v>
      </c>
      <c r="L76" s="11"/>
      <c r="M76" s="11" t="s">
        <v>173</v>
      </c>
      <c r="N76" s="33" t="n">
        <v>7.20833333333333</v>
      </c>
      <c r="O76" s="33" t="n">
        <v>2.99583333333333</v>
      </c>
      <c r="P76" s="33" t="n">
        <v>2.52083333333333</v>
      </c>
      <c r="Q76" s="33" t="n">
        <v>12.725</v>
      </c>
      <c r="R76" s="34" t="n">
        <v>0.937786509495743</v>
      </c>
      <c r="S76" s="33" t="n">
        <v>6.3625</v>
      </c>
      <c r="T76" s="33" t="n">
        <v>6.3625</v>
      </c>
      <c r="U76" s="35" t="n">
        <v>1</v>
      </c>
      <c r="AA76" s="36" t="n">
        <f aca="false">N76</f>
        <v>7.20833333333333</v>
      </c>
      <c r="AB76" s="36" t="n">
        <f aca="false">O76</f>
        <v>2.99583333333333</v>
      </c>
      <c r="AC76" s="36" t="n">
        <f aca="false">P76</f>
        <v>2.52083333333333</v>
      </c>
      <c r="AD76" s="36" t="n">
        <f aca="false">Q76</f>
        <v>12.725</v>
      </c>
      <c r="AE76" s="19" t="n">
        <f aca="false">R76</f>
        <v>0.937786509495743</v>
      </c>
      <c r="AF76" s="36" t="n">
        <f aca="false">Q76*R76</f>
        <v>11.9333333333333</v>
      </c>
      <c r="AG76" s="16" t="s">
        <v>72</v>
      </c>
      <c r="AH76" s="31" t="s">
        <v>187</v>
      </c>
    </row>
    <row r="77" customFormat="false" ht="14.25" hidden="true" customHeight="true" outlineLevel="0" collapsed="false">
      <c r="A77" s="32" t="n">
        <v>73</v>
      </c>
      <c r="B77" s="11" t="n">
        <v>9994</v>
      </c>
      <c r="C77" s="11" t="s">
        <v>369</v>
      </c>
      <c r="D77" s="11" t="s">
        <v>370</v>
      </c>
      <c r="E77" s="11" t="s">
        <v>244</v>
      </c>
      <c r="F77" s="11" t="s">
        <v>239</v>
      </c>
      <c r="G77" s="11" t="s">
        <v>245</v>
      </c>
      <c r="H77" s="11" t="s">
        <v>172</v>
      </c>
      <c r="I77" s="11" t="s">
        <v>173</v>
      </c>
      <c r="J77" s="11" t="s">
        <v>371</v>
      </c>
      <c r="K77" s="11" t="s">
        <v>275</v>
      </c>
      <c r="L77" s="11" t="s">
        <v>278</v>
      </c>
      <c r="M77" s="11" t="s">
        <v>173</v>
      </c>
      <c r="N77" s="33" t="n">
        <v>0.8</v>
      </c>
      <c r="O77" s="33" t="n">
        <v>0.2</v>
      </c>
      <c r="P77" s="33" t="n">
        <v>0</v>
      </c>
      <c r="Q77" s="33" t="n">
        <v>1.17291666666667</v>
      </c>
      <c r="R77" s="34" t="n">
        <v>0.428063943161634</v>
      </c>
      <c r="S77" s="33" t="n">
        <v>0.586458333333333</v>
      </c>
      <c r="T77" s="33" t="n">
        <v>0.586458333333333</v>
      </c>
      <c r="U77" s="35" t="n">
        <v>1</v>
      </c>
      <c r="AA77" s="36" t="n">
        <f aca="false">N77</f>
        <v>0.8</v>
      </c>
      <c r="AB77" s="36" t="n">
        <f aca="false">O77</f>
        <v>0.2</v>
      </c>
      <c r="AC77" s="36" t="n">
        <f aca="false">P77</f>
        <v>0</v>
      </c>
      <c r="AD77" s="36" t="n">
        <f aca="false">Q77</f>
        <v>1.17291666666667</v>
      </c>
      <c r="AE77" s="19" t="n">
        <f aca="false">R77</f>
        <v>0.428063943161634</v>
      </c>
      <c r="AF77" s="36" t="n">
        <f aca="false">Q77*R77</f>
        <v>0.502083333333335</v>
      </c>
      <c r="AG77" s="16" t="s">
        <v>72</v>
      </c>
      <c r="AH77" s="31" t="s">
        <v>187</v>
      </c>
    </row>
    <row r="78" customFormat="false" ht="14.25" hidden="false" customHeight="true" outlineLevel="0" collapsed="false">
      <c r="A78" s="32" t="n">
        <v>74</v>
      </c>
      <c r="B78" s="11" t="n">
        <v>9995</v>
      </c>
      <c r="C78" s="11" t="s">
        <v>372</v>
      </c>
      <c r="D78" s="11" t="s">
        <v>373</v>
      </c>
      <c r="E78" s="11" t="s">
        <v>263</v>
      </c>
      <c r="F78" s="11" t="s">
        <v>170</v>
      </c>
      <c r="G78" s="11" t="s">
        <v>264</v>
      </c>
      <c r="H78" s="11" t="s">
        <v>374</v>
      </c>
      <c r="I78" s="11" t="s">
        <v>173</v>
      </c>
      <c r="J78" s="11" t="s">
        <v>174</v>
      </c>
      <c r="K78" s="11" t="s">
        <v>375</v>
      </c>
      <c r="L78" s="11"/>
      <c r="M78" s="11" t="s">
        <v>173</v>
      </c>
      <c r="N78" s="33" t="n">
        <v>0.779166666666667</v>
      </c>
      <c r="O78" s="33" t="n">
        <v>0</v>
      </c>
      <c r="P78" s="33" t="n">
        <v>0</v>
      </c>
      <c r="Q78" s="33" t="n">
        <v>0.779166666666667</v>
      </c>
      <c r="R78" s="34" t="n">
        <v>0.679144385026738</v>
      </c>
      <c r="S78" s="33" t="n">
        <v>0.389583333333333</v>
      </c>
      <c r="T78" s="33" t="n">
        <v>0.389583333333333</v>
      </c>
      <c r="U78" s="35" t="n">
        <v>1</v>
      </c>
      <c r="AA78" s="36" t="n">
        <f aca="false">N78</f>
        <v>0.779166666666667</v>
      </c>
      <c r="AB78" s="36" t="n">
        <f aca="false">O78</f>
        <v>0</v>
      </c>
      <c r="AC78" s="36" t="n">
        <f aca="false">P78</f>
        <v>0</v>
      </c>
      <c r="AD78" s="36" t="n">
        <f aca="false">Q78</f>
        <v>0.779166666666667</v>
      </c>
      <c r="AE78" s="19" t="n">
        <f aca="false">R78</f>
        <v>0.679144385026738</v>
      </c>
      <c r="AF78" s="36" t="n">
        <f aca="false">Q78*R78</f>
        <v>0.529166666666667</v>
      </c>
      <c r="AG78" s="16" t="s">
        <v>72</v>
      </c>
      <c r="AH78" s="31" t="s">
        <v>233</v>
      </c>
    </row>
    <row r="79" customFormat="false" ht="14.25" hidden="true" customHeight="true" outlineLevel="0" collapsed="false">
      <c r="A79" s="32" t="n">
        <v>75</v>
      </c>
      <c r="B79" s="11" t="n">
        <v>9996</v>
      </c>
      <c r="C79" s="11" t="s">
        <v>376</v>
      </c>
      <c r="D79" s="11" t="s">
        <v>377</v>
      </c>
      <c r="E79" s="11" t="s">
        <v>238</v>
      </c>
      <c r="F79" s="11" t="s">
        <v>239</v>
      </c>
      <c r="G79" s="11" t="s">
        <v>240</v>
      </c>
      <c r="H79" s="11" t="s">
        <v>172</v>
      </c>
      <c r="I79" s="11" t="s">
        <v>173</v>
      </c>
      <c r="J79" s="11" t="s">
        <v>174</v>
      </c>
      <c r="K79" s="11" t="s">
        <v>275</v>
      </c>
      <c r="L79" s="11"/>
      <c r="M79" s="11" t="s">
        <v>173</v>
      </c>
      <c r="N79" s="33" t="n">
        <v>0.22625</v>
      </c>
      <c r="O79" s="33" t="n">
        <v>0</v>
      </c>
      <c r="P79" s="33" t="n">
        <v>0</v>
      </c>
      <c r="Q79" s="33" t="n">
        <v>0.22625</v>
      </c>
      <c r="R79" s="34" t="n">
        <v>0.337016574585635</v>
      </c>
      <c r="S79" s="33" t="n">
        <v>0.113125</v>
      </c>
      <c r="T79" s="33" t="n">
        <v>0.113125</v>
      </c>
      <c r="U79" s="35" t="n">
        <v>1</v>
      </c>
      <c r="AA79" s="36" t="n">
        <f aca="false">N79</f>
        <v>0.22625</v>
      </c>
      <c r="AB79" s="36" t="n">
        <f aca="false">O79</f>
        <v>0</v>
      </c>
      <c r="AC79" s="36" t="n">
        <f aca="false">P79</f>
        <v>0</v>
      </c>
      <c r="AD79" s="36" t="n">
        <f aca="false">Q79</f>
        <v>0.22625</v>
      </c>
      <c r="AE79" s="19" t="n">
        <f aca="false">R79</f>
        <v>0.337016574585635</v>
      </c>
      <c r="AF79" s="36" t="n">
        <f aca="false">Q79*R79</f>
        <v>0.0762499999999999</v>
      </c>
      <c r="AG79" s="16" t="s">
        <v>72</v>
      </c>
      <c r="AH79" s="31" t="s">
        <v>197</v>
      </c>
    </row>
    <row r="80" customFormat="false" ht="14.25" hidden="true" customHeight="true" outlineLevel="0" collapsed="false">
      <c r="A80" s="32" t="n">
        <v>76</v>
      </c>
      <c r="B80" s="11" t="n">
        <v>9999</v>
      </c>
      <c r="C80" s="11" t="s">
        <v>378</v>
      </c>
      <c r="D80" s="11" t="s">
        <v>379</v>
      </c>
      <c r="E80" s="11" t="s">
        <v>180</v>
      </c>
      <c r="F80" s="11" t="s">
        <v>170</v>
      </c>
      <c r="G80" s="11" t="s">
        <v>181</v>
      </c>
      <c r="H80" s="11" t="s">
        <v>172</v>
      </c>
      <c r="I80" s="11" t="s">
        <v>182</v>
      </c>
      <c r="J80" s="11" t="s">
        <v>174</v>
      </c>
      <c r="K80" s="11" t="s">
        <v>209</v>
      </c>
      <c r="L80" s="11"/>
      <c r="M80" s="11" t="s">
        <v>173</v>
      </c>
      <c r="N80" s="33" t="n">
        <v>1.02875</v>
      </c>
      <c r="O80" s="33" t="n">
        <v>0</v>
      </c>
      <c r="P80" s="33" t="n">
        <v>0</v>
      </c>
      <c r="Q80" s="33" t="n">
        <v>1.02875</v>
      </c>
      <c r="R80" s="34" t="n">
        <v>0.129202106115836</v>
      </c>
      <c r="S80" s="33" t="n">
        <v>0.514375</v>
      </c>
      <c r="T80" s="33" t="n">
        <v>0.514375</v>
      </c>
      <c r="U80" s="35" t="n">
        <v>1</v>
      </c>
      <c r="AA80" s="36" t="n">
        <f aca="false">N80</f>
        <v>1.02875</v>
      </c>
      <c r="AB80" s="36" t="n">
        <f aca="false">O80</f>
        <v>0</v>
      </c>
      <c r="AC80" s="36" t="n">
        <f aca="false">P80</f>
        <v>0</v>
      </c>
      <c r="AD80" s="36" t="n">
        <f aca="false">Q80</f>
        <v>1.02875</v>
      </c>
      <c r="AE80" s="19" t="n">
        <f aca="false">R80</f>
        <v>0.129202106115836</v>
      </c>
      <c r="AF80" s="36" t="n">
        <f aca="false">Q80*R80</f>
        <v>0.132916666666666</v>
      </c>
      <c r="AG80" s="16" t="s">
        <v>76</v>
      </c>
      <c r="AH80" s="31" t="s">
        <v>177</v>
      </c>
    </row>
    <row r="81" customFormat="false" ht="14.25" hidden="false" customHeight="true" outlineLevel="0" collapsed="false">
      <c r="A81" s="32" t="n">
        <v>77</v>
      </c>
      <c r="B81" s="11" t="n">
        <v>10001</v>
      </c>
      <c r="C81" s="11" t="s">
        <v>380</v>
      </c>
      <c r="D81" s="11" t="s">
        <v>381</v>
      </c>
      <c r="E81" s="11" t="s">
        <v>263</v>
      </c>
      <c r="F81" s="11" t="s">
        <v>170</v>
      </c>
      <c r="G81" s="11" t="s">
        <v>264</v>
      </c>
      <c r="H81" s="11" t="s">
        <v>172</v>
      </c>
      <c r="I81" s="11" t="s">
        <v>182</v>
      </c>
      <c r="J81" s="11" t="s">
        <v>174</v>
      </c>
      <c r="K81" s="11" t="s">
        <v>382</v>
      </c>
      <c r="L81" s="11"/>
      <c r="M81" s="11" t="s">
        <v>173</v>
      </c>
      <c r="N81" s="33" t="n">
        <v>2.72916666666667</v>
      </c>
      <c r="O81" s="33" t="n">
        <v>3.025</v>
      </c>
      <c r="P81" s="33" t="n">
        <v>0</v>
      </c>
      <c r="Q81" s="33" t="n">
        <v>5.75416666666667</v>
      </c>
      <c r="R81" s="34" t="n">
        <v>0.3454018826937</v>
      </c>
      <c r="S81" s="33" t="n">
        <v>2.87708333333333</v>
      </c>
      <c r="T81" s="33" t="n">
        <v>2.87708333333333</v>
      </c>
      <c r="U81" s="35" t="n">
        <v>1</v>
      </c>
      <c r="AA81" s="36" t="n">
        <f aca="false">N81</f>
        <v>2.72916666666667</v>
      </c>
      <c r="AB81" s="36" t="n">
        <f aca="false">O81</f>
        <v>3.025</v>
      </c>
      <c r="AC81" s="36" t="n">
        <f aca="false">P81</f>
        <v>0</v>
      </c>
      <c r="AD81" s="36" t="n">
        <f aca="false">Q81</f>
        <v>5.75416666666667</v>
      </c>
      <c r="AE81" s="19" t="n">
        <f aca="false">R81</f>
        <v>0.3454018826937</v>
      </c>
      <c r="AF81" s="36" t="n">
        <f aca="false">Q81*R81</f>
        <v>1.9875</v>
      </c>
      <c r="AG81" s="16" t="s">
        <v>76</v>
      </c>
      <c r="AH81" s="31" t="s">
        <v>202</v>
      </c>
    </row>
    <row r="82" customFormat="false" ht="14.25" hidden="false" customHeight="true" outlineLevel="0" collapsed="false">
      <c r="A82" s="32" t="n">
        <v>78</v>
      </c>
      <c r="B82" s="11" t="n">
        <v>10032</v>
      </c>
      <c r="C82" s="11" t="s">
        <v>383</v>
      </c>
      <c r="D82" s="11" t="s">
        <v>384</v>
      </c>
      <c r="E82" s="11" t="s">
        <v>263</v>
      </c>
      <c r="F82" s="11" t="s">
        <v>170</v>
      </c>
      <c r="G82" s="11" t="s">
        <v>264</v>
      </c>
      <c r="H82" s="11" t="s">
        <v>172</v>
      </c>
      <c r="I82" s="11" t="s">
        <v>182</v>
      </c>
      <c r="J82" s="11" t="s">
        <v>174</v>
      </c>
      <c r="K82" s="11" t="s">
        <v>385</v>
      </c>
      <c r="L82" s="11"/>
      <c r="M82" s="11" t="s">
        <v>173</v>
      </c>
      <c r="N82" s="33" t="n">
        <v>1.85833333333333</v>
      </c>
      <c r="O82" s="33" t="n">
        <v>0.941666666666667</v>
      </c>
      <c r="P82" s="33" t="n">
        <v>0</v>
      </c>
      <c r="Q82" s="33" t="n">
        <v>2.8</v>
      </c>
      <c r="R82" s="34" t="n">
        <v>0.269345238095238</v>
      </c>
      <c r="S82" s="33" t="n">
        <v>1.4</v>
      </c>
      <c r="T82" s="33" t="n">
        <v>1.4</v>
      </c>
      <c r="U82" s="35" t="n">
        <v>1</v>
      </c>
      <c r="AA82" s="36" t="n">
        <f aca="false">N82</f>
        <v>1.85833333333333</v>
      </c>
      <c r="AB82" s="36" t="n">
        <f aca="false">O82</f>
        <v>0.941666666666667</v>
      </c>
      <c r="AC82" s="36" t="n">
        <f aca="false">P82</f>
        <v>0</v>
      </c>
      <c r="AD82" s="36" t="n">
        <f aca="false">Q82</f>
        <v>2.8</v>
      </c>
      <c r="AE82" s="19" t="n">
        <f aca="false">R82</f>
        <v>0.269345238095238</v>
      </c>
      <c r="AF82" s="36" t="n">
        <f aca="false">Q82*R82</f>
        <v>0.754166666666666</v>
      </c>
      <c r="AG82" s="16" t="s">
        <v>72</v>
      </c>
      <c r="AH82" s="31" t="s">
        <v>192</v>
      </c>
    </row>
    <row r="83" customFormat="false" ht="14.25" hidden="true" customHeight="true" outlineLevel="0" collapsed="false">
      <c r="A83" s="32" t="n">
        <v>79</v>
      </c>
      <c r="B83" s="11" t="n">
        <v>11004</v>
      </c>
      <c r="C83" s="11" t="s">
        <v>386</v>
      </c>
      <c r="D83" s="11" t="s">
        <v>387</v>
      </c>
      <c r="E83" s="11" t="s">
        <v>169</v>
      </c>
      <c r="F83" s="11" t="s">
        <v>170</v>
      </c>
      <c r="G83" s="11" t="s">
        <v>171</v>
      </c>
      <c r="H83" s="11" t="s">
        <v>172</v>
      </c>
      <c r="I83" s="11" t="s">
        <v>173</v>
      </c>
      <c r="J83" s="11" t="s">
        <v>174</v>
      </c>
      <c r="K83" s="11" t="s">
        <v>388</v>
      </c>
      <c r="L83" s="11" t="s">
        <v>176</v>
      </c>
      <c r="M83" s="11" t="s">
        <v>173</v>
      </c>
      <c r="N83" s="33" t="n">
        <v>21.506125</v>
      </c>
      <c r="O83" s="33" t="n">
        <v>7.72916666666666</v>
      </c>
      <c r="P83" s="33" t="n">
        <v>0</v>
      </c>
      <c r="Q83" s="33" t="n">
        <v>29.2352916666667</v>
      </c>
      <c r="R83" s="34" t="n">
        <v>0.830969134051738</v>
      </c>
      <c r="S83" s="33" t="n">
        <v>14.6176458333333</v>
      </c>
      <c r="T83" s="33" t="n">
        <v>14.6176458333333</v>
      </c>
      <c r="U83" s="35" t="n">
        <v>1</v>
      </c>
      <c r="AA83" s="36" t="n">
        <f aca="false">N83</f>
        <v>21.506125</v>
      </c>
      <c r="AB83" s="36" t="n">
        <f aca="false">O83</f>
        <v>7.72916666666666</v>
      </c>
      <c r="AC83" s="36" t="n">
        <f aca="false">P83</f>
        <v>0</v>
      </c>
      <c r="AD83" s="36" t="n">
        <f aca="false">Q83</f>
        <v>29.2352916666667</v>
      </c>
      <c r="AE83" s="19" t="n">
        <f aca="false">R83</f>
        <v>0.830969134051738</v>
      </c>
      <c r="AF83" s="36" t="n">
        <f aca="false">Q83*R83</f>
        <v>24.293625</v>
      </c>
      <c r="AG83" s="16" t="s">
        <v>70</v>
      </c>
      <c r="AH83" s="31" t="s">
        <v>177</v>
      </c>
    </row>
    <row r="84" customFormat="false" ht="14.25" hidden="false" customHeight="true" outlineLevel="0" collapsed="false">
      <c r="A84" s="32" t="n">
        <v>80</v>
      </c>
      <c r="B84" s="11" t="n">
        <v>11005</v>
      </c>
      <c r="C84" s="11" t="s">
        <v>389</v>
      </c>
      <c r="D84" s="11" t="s">
        <v>390</v>
      </c>
      <c r="E84" s="11" t="s">
        <v>263</v>
      </c>
      <c r="F84" s="11" t="s">
        <v>170</v>
      </c>
      <c r="G84" s="11" t="s">
        <v>264</v>
      </c>
      <c r="H84" s="11" t="s">
        <v>172</v>
      </c>
      <c r="I84" s="11" t="s">
        <v>173</v>
      </c>
      <c r="J84" s="11" t="s">
        <v>174</v>
      </c>
      <c r="K84" s="11" t="s">
        <v>275</v>
      </c>
      <c r="L84" s="11" t="s">
        <v>278</v>
      </c>
      <c r="M84" s="11" t="s">
        <v>173</v>
      </c>
      <c r="N84" s="33" t="n">
        <v>0.3625</v>
      </c>
      <c r="O84" s="33" t="n">
        <v>0.0416666666666667</v>
      </c>
      <c r="P84" s="33" t="n">
        <v>0.5</v>
      </c>
      <c r="Q84" s="33" t="n">
        <v>0.904166666666667</v>
      </c>
      <c r="R84" s="34" t="n">
        <v>0.447004608294931</v>
      </c>
      <c r="S84" s="33" t="n">
        <v>0.452083333333333</v>
      </c>
      <c r="T84" s="33" t="n">
        <v>0.452083333333333</v>
      </c>
      <c r="U84" s="35" t="n">
        <v>1</v>
      </c>
      <c r="AA84" s="36" t="n">
        <f aca="false">N84</f>
        <v>0.3625</v>
      </c>
      <c r="AB84" s="36" t="n">
        <f aca="false">O84</f>
        <v>0.0416666666666667</v>
      </c>
      <c r="AC84" s="36" t="n">
        <f aca="false">P84</f>
        <v>0.5</v>
      </c>
      <c r="AD84" s="36" t="n">
        <f aca="false">Q84</f>
        <v>0.904166666666667</v>
      </c>
      <c r="AE84" s="19" t="n">
        <f aca="false">R84</f>
        <v>0.447004608294931</v>
      </c>
      <c r="AF84" s="36" t="n">
        <f aca="false">Q84*R84</f>
        <v>0.404166666666667</v>
      </c>
      <c r="AG84" s="16" t="s">
        <v>72</v>
      </c>
      <c r="AH84" s="31" t="s">
        <v>192</v>
      </c>
    </row>
    <row r="85" customFormat="false" ht="14.25" hidden="false" customHeight="true" outlineLevel="0" collapsed="false">
      <c r="A85" s="32" t="n">
        <v>81</v>
      </c>
      <c r="B85" s="11" t="n">
        <v>11007</v>
      </c>
      <c r="C85" s="11" t="s">
        <v>391</v>
      </c>
      <c r="D85" s="11" t="s">
        <v>392</v>
      </c>
      <c r="E85" s="11" t="s">
        <v>263</v>
      </c>
      <c r="F85" s="11" t="s">
        <v>170</v>
      </c>
      <c r="G85" s="11" t="s">
        <v>264</v>
      </c>
      <c r="H85" s="11" t="s">
        <v>172</v>
      </c>
      <c r="I85" s="11" t="s">
        <v>173</v>
      </c>
      <c r="J85" s="11" t="s">
        <v>174</v>
      </c>
      <c r="K85" s="11" t="s">
        <v>275</v>
      </c>
      <c r="L85" s="11"/>
      <c r="M85" s="11" t="s">
        <v>173</v>
      </c>
      <c r="N85" s="33" t="n">
        <v>0.234916666666667</v>
      </c>
      <c r="O85" s="33" t="n">
        <v>0.0729166666666667</v>
      </c>
      <c r="P85" s="33" t="n">
        <v>0</v>
      </c>
      <c r="Q85" s="33" t="n">
        <v>0.307833333333333</v>
      </c>
      <c r="R85" s="34" t="n">
        <v>0.959393611261505</v>
      </c>
      <c r="S85" s="33" t="n">
        <v>0.153916666666667</v>
      </c>
      <c r="T85" s="33" t="n">
        <v>0.153916666666667</v>
      </c>
      <c r="U85" s="35" t="n">
        <v>1</v>
      </c>
      <c r="AA85" s="36" t="n">
        <f aca="false">N85</f>
        <v>0.234916666666667</v>
      </c>
      <c r="AB85" s="36" t="n">
        <f aca="false">O85</f>
        <v>0.0729166666666667</v>
      </c>
      <c r="AC85" s="36" t="n">
        <f aca="false">P85</f>
        <v>0</v>
      </c>
      <c r="AD85" s="36" t="n">
        <f aca="false">Q85</f>
        <v>0.307833333333333</v>
      </c>
      <c r="AE85" s="19" t="n">
        <f aca="false">R85</f>
        <v>0.959393611261505</v>
      </c>
      <c r="AF85" s="36" t="n">
        <f aca="false">Q85*R85</f>
        <v>0.295333333333333</v>
      </c>
      <c r="AG85" s="16" t="s">
        <v>72</v>
      </c>
      <c r="AH85" s="31" t="s">
        <v>192</v>
      </c>
    </row>
    <row r="86" customFormat="false" ht="14.25" hidden="true" customHeight="true" outlineLevel="0" collapsed="false">
      <c r="A86" s="32" t="n">
        <v>82</v>
      </c>
      <c r="B86" s="11" t="n">
        <v>11008</v>
      </c>
      <c r="C86" s="11" t="s">
        <v>393</v>
      </c>
      <c r="D86" s="11" t="s">
        <v>394</v>
      </c>
      <c r="E86" s="11" t="s">
        <v>289</v>
      </c>
      <c r="F86" s="11" t="s">
        <v>290</v>
      </c>
      <c r="G86" s="11" t="s">
        <v>313</v>
      </c>
      <c r="H86" s="11" t="s">
        <v>172</v>
      </c>
      <c r="I86" s="11" t="s">
        <v>173</v>
      </c>
      <c r="J86" s="11" t="s">
        <v>174</v>
      </c>
      <c r="K86" s="11" t="s">
        <v>275</v>
      </c>
      <c r="L86" s="11"/>
      <c r="M86" s="11" t="s">
        <v>173</v>
      </c>
      <c r="N86" s="33" t="n">
        <v>0.135416666666667</v>
      </c>
      <c r="O86" s="33" t="n">
        <v>0.0166666666666667</v>
      </c>
      <c r="P86" s="33" t="n">
        <v>0</v>
      </c>
      <c r="Q86" s="33" t="n">
        <v>0.152083333333333</v>
      </c>
      <c r="R86" s="34" t="n">
        <v>0.520547945205479</v>
      </c>
      <c r="S86" s="33" t="n">
        <v>0.0760416666666667</v>
      </c>
      <c r="T86" s="33" t="n">
        <v>0.0760416666666667</v>
      </c>
      <c r="U86" s="35" t="n">
        <v>1</v>
      </c>
      <c r="AA86" s="36" t="n">
        <f aca="false">N86</f>
        <v>0.135416666666667</v>
      </c>
      <c r="AB86" s="36" t="n">
        <f aca="false">O86</f>
        <v>0.0166666666666667</v>
      </c>
      <c r="AC86" s="36" t="n">
        <f aca="false">P86</f>
        <v>0</v>
      </c>
      <c r="AD86" s="36" t="n">
        <f aca="false">Q86</f>
        <v>0.152083333333333</v>
      </c>
      <c r="AE86" s="19" t="n">
        <f aca="false">R86</f>
        <v>0.520547945205479</v>
      </c>
      <c r="AF86" s="36" t="n">
        <f aca="false">Q86*R86</f>
        <v>0.0791666666666664</v>
      </c>
      <c r="AG86" s="16" t="s">
        <v>72</v>
      </c>
      <c r="AH86" s="31" t="s">
        <v>197</v>
      </c>
    </row>
    <row r="87" customFormat="false" ht="14.25" hidden="false" customHeight="true" outlineLevel="0" collapsed="false">
      <c r="A87" s="32" t="n">
        <v>83</v>
      </c>
      <c r="B87" s="11" t="n">
        <v>11010</v>
      </c>
      <c r="C87" s="11" t="s">
        <v>395</v>
      </c>
      <c r="D87" s="11" t="s">
        <v>396</v>
      </c>
      <c r="E87" s="11" t="s">
        <v>263</v>
      </c>
      <c r="F87" s="11" t="s">
        <v>170</v>
      </c>
      <c r="G87" s="11" t="s">
        <v>264</v>
      </c>
      <c r="H87" s="11" t="s">
        <v>172</v>
      </c>
      <c r="I87" s="11" t="s">
        <v>173</v>
      </c>
      <c r="J87" s="11" t="s">
        <v>174</v>
      </c>
      <c r="K87" s="11" t="s">
        <v>397</v>
      </c>
      <c r="L87" s="11" t="s">
        <v>278</v>
      </c>
      <c r="M87" s="11" t="s">
        <v>173</v>
      </c>
      <c r="N87" s="33" t="n">
        <v>1.25833333333333</v>
      </c>
      <c r="O87" s="33" t="n">
        <v>0.0291666666666667</v>
      </c>
      <c r="P87" s="33" t="n">
        <v>0.5</v>
      </c>
      <c r="Q87" s="33" t="n">
        <v>1.7875</v>
      </c>
      <c r="R87" s="34" t="n">
        <v>0.557109557109557</v>
      </c>
      <c r="S87" s="33" t="n">
        <v>0.89375</v>
      </c>
      <c r="T87" s="33" t="n">
        <v>0.89375</v>
      </c>
      <c r="U87" s="35" t="n">
        <v>1</v>
      </c>
      <c r="AA87" s="36" t="n">
        <f aca="false">N87</f>
        <v>1.25833333333333</v>
      </c>
      <c r="AB87" s="36" t="n">
        <f aca="false">O87</f>
        <v>0.0291666666666667</v>
      </c>
      <c r="AC87" s="36" t="n">
        <f aca="false">P87</f>
        <v>0.5</v>
      </c>
      <c r="AD87" s="36" t="n">
        <f aca="false">Q87</f>
        <v>1.7875</v>
      </c>
      <c r="AE87" s="19" t="n">
        <f aca="false">R87</f>
        <v>0.557109557109557</v>
      </c>
      <c r="AF87" s="36" t="n">
        <f aca="false">Q87*R87</f>
        <v>0.995833333333333</v>
      </c>
      <c r="AG87" s="16" t="s">
        <v>72</v>
      </c>
      <c r="AH87" s="31" t="s">
        <v>177</v>
      </c>
    </row>
    <row r="88" customFormat="false" ht="14.25" hidden="false" customHeight="true" outlineLevel="0" collapsed="false">
      <c r="A88" s="32" t="n">
        <v>84</v>
      </c>
      <c r="B88" s="11" t="n">
        <v>11011</v>
      </c>
      <c r="C88" s="11" t="s">
        <v>398</v>
      </c>
      <c r="D88" s="11" t="s">
        <v>399</v>
      </c>
      <c r="E88" s="11" t="s">
        <v>263</v>
      </c>
      <c r="F88" s="11" t="s">
        <v>170</v>
      </c>
      <c r="G88" s="11" t="s">
        <v>264</v>
      </c>
      <c r="H88" s="11" t="s">
        <v>172</v>
      </c>
      <c r="I88" s="11" t="s">
        <v>173</v>
      </c>
      <c r="J88" s="11" t="s">
        <v>174</v>
      </c>
      <c r="K88" s="11" t="s">
        <v>275</v>
      </c>
      <c r="L88" s="11"/>
      <c r="M88" s="11" t="s">
        <v>173</v>
      </c>
      <c r="N88" s="33" t="n">
        <v>6.07916666666667</v>
      </c>
      <c r="O88" s="33" t="n">
        <v>1.07083333333333</v>
      </c>
      <c r="P88" s="33" t="n">
        <v>0</v>
      </c>
      <c r="Q88" s="33" t="n">
        <v>7.15</v>
      </c>
      <c r="R88" s="34" t="n">
        <v>0.903846153846154</v>
      </c>
      <c r="S88" s="33" t="n">
        <v>3.575</v>
      </c>
      <c r="T88" s="33" t="n">
        <v>3.575</v>
      </c>
      <c r="U88" s="35" t="n">
        <v>1</v>
      </c>
      <c r="AA88" s="36" t="n">
        <f aca="false">N88</f>
        <v>6.07916666666667</v>
      </c>
      <c r="AB88" s="36" t="n">
        <f aca="false">O88</f>
        <v>1.07083333333333</v>
      </c>
      <c r="AC88" s="36" t="n">
        <f aca="false">P88</f>
        <v>0</v>
      </c>
      <c r="AD88" s="36" t="n">
        <f aca="false">Q88</f>
        <v>7.15</v>
      </c>
      <c r="AE88" s="19" t="n">
        <f aca="false">R88</f>
        <v>0.903846153846154</v>
      </c>
      <c r="AF88" s="36" t="n">
        <f aca="false">Q88*R88</f>
        <v>6.4625</v>
      </c>
      <c r="AG88" s="16" t="s">
        <v>72</v>
      </c>
      <c r="AH88" s="31" t="s">
        <v>197</v>
      </c>
    </row>
    <row r="89" customFormat="false" ht="14.25" hidden="true" customHeight="true" outlineLevel="0" collapsed="false">
      <c r="A89" s="32" t="n">
        <v>85</v>
      </c>
      <c r="B89" s="11" t="n">
        <v>11012</v>
      </c>
      <c r="C89" s="11" t="s">
        <v>400</v>
      </c>
      <c r="D89" s="11" t="s">
        <v>401</v>
      </c>
      <c r="E89" s="11" t="s">
        <v>249</v>
      </c>
      <c r="F89" s="11" t="s">
        <v>239</v>
      </c>
      <c r="G89" s="11" t="s">
        <v>250</v>
      </c>
      <c r="H89" s="11" t="s">
        <v>172</v>
      </c>
      <c r="I89" s="11" t="s">
        <v>173</v>
      </c>
      <c r="J89" s="11" t="s">
        <v>174</v>
      </c>
      <c r="K89" s="11" t="s">
        <v>275</v>
      </c>
      <c r="L89" s="11"/>
      <c r="M89" s="11" t="s">
        <v>173</v>
      </c>
      <c r="N89" s="33" t="n">
        <v>1.65233333333333</v>
      </c>
      <c r="O89" s="33" t="n">
        <v>0.291666666666667</v>
      </c>
      <c r="P89" s="33" t="n">
        <v>0</v>
      </c>
      <c r="Q89" s="33" t="n">
        <v>1.944</v>
      </c>
      <c r="R89" s="34" t="n">
        <v>0.832175925925926</v>
      </c>
      <c r="S89" s="33" t="n">
        <v>0.972</v>
      </c>
      <c r="T89" s="33" t="n">
        <v>0.972</v>
      </c>
      <c r="U89" s="35" t="n">
        <v>1</v>
      </c>
      <c r="AA89" s="36" t="n">
        <f aca="false">N89</f>
        <v>1.65233333333333</v>
      </c>
      <c r="AB89" s="36" t="n">
        <f aca="false">O89</f>
        <v>0.291666666666667</v>
      </c>
      <c r="AC89" s="36" t="n">
        <f aca="false">P89</f>
        <v>0</v>
      </c>
      <c r="AD89" s="36" t="n">
        <f aca="false">Q89</f>
        <v>1.944</v>
      </c>
      <c r="AE89" s="19" t="n">
        <f aca="false">R89</f>
        <v>0.832175925925926</v>
      </c>
      <c r="AF89" s="36" t="n">
        <f aca="false">Q89*R89</f>
        <v>1.61775</v>
      </c>
      <c r="AG89" s="16" t="s">
        <v>72</v>
      </c>
      <c r="AH89" s="31" t="s">
        <v>197</v>
      </c>
    </row>
    <row r="90" customFormat="false" ht="14.25" hidden="true" customHeight="true" outlineLevel="0" collapsed="false">
      <c r="A90" s="32" t="n">
        <v>86</v>
      </c>
      <c r="B90" s="11" t="n">
        <v>11014</v>
      </c>
      <c r="C90" s="11" t="s">
        <v>402</v>
      </c>
      <c r="D90" s="11" t="s">
        <v>403</v>
      </c>
      <c r="E90" s="11" t="s">
        <v>341</v>
      </c>
      <c r="F90" s="11" t="s">
        <v>342</v>
      </c>
      <c r="G90" s="11" t="s">
        <v>342</v>
      </c>
      <c r="H90" s="11" t="s">
        <v>232</v>
      </c>
      <c r="I90" s="11" t="s">
        <v>173</v>
      </c>
      <c r="J90" s="11" t="s">
        <v>174</v>
      </c>
      <c r="K90" s="11" t="s">
        <v>404</v>
      </c>
      <c r="L90" s="11"/>
      <c r="M90" s="11" t="s">
        <v>182</v>
      </c>
      <c r="N90" s="33" t="n">
        <v>29.0979166666667</v>
      </c>
      <c r="O90" s="33" t="n">
        <v>6.825</v>
      </c>
      <c r="P90" s="33" t="n">
        <v>6.85</v>
      </c>
      <c r="Q90" s="33" t="n">
        <v>42.7729166666667</v>
      </c>
      <c r="R90" s="34" t="n">
        <v>0.88284058253373</v>
      </c>
      <c r="S90" s="33" t="n">
        <v>21.3864583333333</v>
      </c>
      <c r="T90" s="33" t="n">
        <v>21.3864583333333</v>
      </c>
      <c r="U90" s="35" t="n">
        <v>1</v>
      </c>
      <c r="AA90" s="36" t="n">
        <f aca="false">N90</f>
        <v>29.0979166666667</v>
      </c>
      <c r="AB90" s="36" t="n">
        <f aca="false">O90</f>
        <v>6.825</v>
      </c>
      <c r="AC90" s="36" t="n">
        <f aca="false">P90</f>
        <v>6.85</v>
      </c>
      <c r="AD90" s="36" t="n">
        <f aca="false">Q90</f>
        <v>42.7729166666667</v>
      </c>
      <c r="AE90" s="19" t="n">
        <f aca="false">R90</f>
        <v>0.88284058253373</v>
      </c>
      <c r="AF90" s="36" t="n">
        <f aca="false">Q90*R90</f>
        <v>37.7616666666667</v>
      </c>
      <c r="AG90" s="16" t="s">
        <v>74</v>
      </c>
      <c r="AH90" s="31" t="s">
        <v>177</v>
      </c>
    </row>
    <row r="91" customFormat="false" ht="14.25" hidden="true" customHeight="true" outlineLevel="0" collapsed="false">
      <c r="A91" s="32" t="n">
        <v>87</v>
      </c>
      <c r="B91" s="11" t="n">
        <v>11203</v>
      </c>
      <c r="C91" s="11" t="s">
        <v>405</v>
      </c>
      <c r="D91" s="11" t="s">
        <v>406</v>
      </c>
      <c r="E91" s="11" t="s">
        <v>299</v>
      </c>
      <c r="F91" s="11" t="s">
        <v>290</v>
      </c>
      <c r="G91" s="11" t="s">
        <v>300</v>
      </c>
      <c r="H91" s="11" t="s">
        <v>172</v>
      </c>
      <c r="I91" s="11" t="s">
        <v>173</v>
      </c>
      <c r="J91" s="11" t="s">
        <v>371</v>
      </c>
      <c r="K91" s="11" t="s">
        <v>407</v>
      </c>
      <c r="L91" s="11" t="s">
        <v>176</v>
      </c>
      <c r="M91" s="11" t="s">
        <v>182</v>
      </c>
      <c r="N91" s="33" t="n">
        <v>20.8333333333333</v>
      </c>
      <c r="O91" s="33" t="n">
        <v>10.0041666666667</v>
      </c>
      <c r="P91" s="33" t="n">
        <v>12.725</v>
      </c>
      <c r="Q91" s="33" t="n">
        <v>43.5625</v>
      </c>
      <c r="R91" s="34" t="n">
        <v>0.869153515064563</v>
      </c>
      <c r="S91" s="33" t="n">
        <v>21.78125</v>
      </c>
      <c r="T91" s="33" t="n">
        <v>21.78125</v>
      </c>
      <c r="U91" s="35" t="n">
        <v>1</v>
      </c>
      <c r="AA91" s="36" t="n">
        <f aca="false">N91</f>
        <v>20.8333333333333</v>
      </c>
      <c r="AB91" s="36" t="n">
        <f aca="false">O91</f>
        <v>10.0041666666667</v>
      </c>
      <c r="AC91" s="36" t="n">
        <f aca="false">P91</f>
        <v>12.725</v>
      </c>
      <c r="AD91" s="36" t="n">
        <f aca="false">Q91</f>
        <v>43.5625</v>
      </c>
      <c r="AE91" s="19" t="n">
        <f aca="false">R91</f>
        <v>0.869153515064563</v>
      </c>
      <c r="AF91" s="36" t="n">
        <f aca="false">Q91*R91</f>
        <v>37.8625</v>
      </c>
      <c r="AG91" s="16" t="s">
        <v>74</v>
      </c>
      <c r="AH91" s="31" t="s">
        <v>197</v>
      </c>
    </row>
    <row r="92" customFormat="false" ht="14.25" hidden="false" customHeight="true" outlineLevel="0" collapsed="false">
      <c r="A92" s="32" t="n">
        <v>88</v>
      </c>
      <c r="B92" s="11" t="n">
        <v>11288</v>
      </c>
      <c r="C92" s="11" t="s">
        <v>408</v>
      </c>
      <c r="D92" s="11" t="s">
        <v>409</v>
      </c>
      <c r="E92" s="11" t="s">
        <v>263</v>
      </c>
      <c r="F92" s="11" t="s">
        <v>170</v>
      </c>
      <c r="G92" s="11" t="s">
        <v>264</v>
      </c>
      <c r="H92" s="11" t="s">
        <v>172</v>
      </c>
      <c r="I92" s="11" t="s">
        <v>173</v>
      </c>
      <c r="J92" s="11" t="s">
        <v>174</v>
      </c>
      <c r="K92" s="11" t="s">
        <v>256</v>
      </c>
      <c r="L92" s="11"/>
      <c r="M92" s="11" t="s">
        <v>173</v>
      </c>
      <c r="N92" s="33" t="n">
        <v>0.0916666666666667</v>
      </c>
      <c r="O92" s="33" t="n">
        <v>0</v>
      </c>
      <c r="P92" s="33" t="n">
        <v>0</v>
      </c>
      <c r="Q92" s="33" t="n">
        <v>0.0916666666666667</v>
      </c>
      <c r="R92" s="34" t="n">
        <v>0.272727272727273</v>
      </c>
      <c r="S92" s="33" t="n">
        <v>0.0458333333333333</v>
      </c>
      <c r="T92" s="33" t="n">
        <v>0.0458333333333333</v>
      </c>
      <c r="U92" s="35" t="n">
        <v>1</v>
      </c>
      <c r="AA92" s="36" t="n">
        <f aca="false">N92</f>
        <v>0.0916666666666667</v>
      </c>
      <c r="AB92" s="36" t="n">
        <f aca="false">O92</f>
        <v>0</v>
      </c>
      <c r="AC92" s="36" t="n">
        <f aca="false">P92</f>
        <v>0</v>
      </c>
      <c r="AD92" s="36" t="n">
        <f aca="false">Q92</f>
        <v>0.0916666666666667</v>
      </c>
      <c r="AE92" s="19" t="n">
        <f aca="false">R92</f>
        <v>0.272727272727273</v>
      </c>
      <c r="AF92" s="36" t="n">
        <f aca="false">Q92*R92</f>
        <v>0.025</v>
      </c>
      <c r="AG92" s="16" t="s">
        <v>72</v>
      </c>
      <c r="AH92" s="31" t="s">
        <v>197</v>
      </c>
    </row>
    <row r="93" customFormat="false" ht="14.25" hidden="false" customHeight="true" outlineLevel="0" collapsed="false">
      <c r="A93" s="32" t="n">
        <v>89</v>
      </c>
      <c r="B93" s="11" t="n">
        <v>11308</v>
      </c>
      <c r="C93" s="11" t="s">
        <v>410</v>
      </c>
      <c r="D93" s="11" t="s">
        <v>411</v>
      </c>
      <c r="E93" s="11" t="s">
        <v>263</v>
      </c>
      <c r="F93" s="11" t="s">
        <v>170</v>
      </c>
      <c r="G93" s="11" t="s">
        <v>264</v>
      </c>
      <c r="H93" s="11" t="s">
        <v>172</v>
      </c>
      <c r="I93" s="11" t="s">
        <v>173</v>
      </c>
      <c r="J93" s="11" t="s">
        <v>174</v>
      </c>
      <c r="K93" s="11" t="s">
        <v>275</v>
      </c>
      <c r="L93" s="11"/>
      <c r="M93" s="11" t="s">
        <v>173</v>
      </c>
      <c r="N93" s="33" t="n">
        <v>0.48125</v>
      </c>
      <c r="O93" s="33" t="n">
        <v>0.0625</v>
      </c>
      <c r="P93" s="33" t="n">
        <v>0</v>
      </c>
      <c r="Q93" s="33" t="n">
        <v>0.54375</v>
      </c>
      <c r="R93" s="34" t="n">
        <v>0.379310344827586</v>
      </c>
      <c r="S93" s="33" t="n">
        <v>0.271875</v>
      </c>
      <c r="T93" s="33" t="n">
        <v>0.271875</v>
      </c>
      <c r="U93" s="35" t="n">
        <v>1</v>
      </c>
      <c r="AA93" s="36" t="n">
        <f aca="false">N93</f>
        <v>0.48125</v>
      </c>
      <c r="AB93" s="36" t="n">
        <f aca="false">O93</f>
        <v>0.0625</v>
      </c>
      <c r="AC93" s="36" t="n">
        <f aca="false">P93</f>
        <v>0</v>
      </c>
      <c r="AD93" s="36" t="n">
        <f aca="false">Q93</f>
        <v>0.54375</v>
      </c>
      <c r="AE93" s="19" t="n">
        <f aca="false">R93</f>
        <v>0.379310344827586</v>
      </c>
      <c r="AF93" s="36" t="n">
        <f aca="false">Q93*R93</f>
        <v>0.20625</v>
      </c>
      <c r="AG93" s="16" t="s">
        <v>72</v>
      </c>
      <c r="AH93" s="31" t="s">
        <v>177</v>
      </c>
    </row>
    <row r="94" customFormat="false" ht="14.25" hidden="true" customHeight="true" outlineLevel="0" collapsed="false">
      <c r="A94" s="32" t="n">
        <v>90</v>
      </c>
      <c r="B94" s="11" t="n">
        <v>11604</v>
      </c>
      <c r="C94" s="11" t="s">
        <v>412</v>
      </c>
      <c r="D94" s="11" t="s">
        <v>413</v>
      </c>
      <c r="E94" s="11" t="s">
        <v>244</v>
      </c>
      <c r="F94" s="11" t="s">
        <v>239</v>
      </c>
      <c r="G94" s="11" t="s">
        <v>245</v>
      </c>
      <c r="H94" s="11" t="s">
        <v>232</v>
      </c>
      <c r="I94" s="11" t="s">
        <v>173</v>
      </c>
      <c r="J94" s="11" t="s">
        <v>174</v>
      </c>
      <c r="K94" s="11" t="s">
        <v>414</v>
      </c>
      <c r="L94" s="11"/>
      <c r="M94" s="11" t="s">
        <v>173</v>
      </c>
      <c r="N94" s="33" t="n">
        <v>5.66245833333333</v>
      </c>
      <c r="O94" s="33" t="n">
        <v>4.075</v>
      </c>
      <c r="P94" s="33" t="n">
        <v>0</v>
      </c>
      <c r="Q94" s="33" t="n">
        <v>9.73745833333333</v>
      </c>
      <c r="R94" s="34" t="n">
        <v>0.897303796764214</v>
      </c>
      <c r="S94" s="33" t="n">
        <v>4.86872916666667</v>
      </c>
      <c r="T94" s="33" t="n">
        <v>4.86872916666667</v>
      </c>
      <c r="U94" s="35" t="n">
        <v>1</v>
      </c>
      <c r="AA94" s="36" t="n">
        <f aca="false">N94</f>
        <v>5.66245833333333</v>
      </c>
      <c r="AB94" s="36" t="n">
        <f aca="false">O94</f>
        <v>4.075</v>
      </c>
      <c r="AC94" s="36" t="n">
        <f aca="false">P94</f>
        <v>0</v>
      </c>
      <c r="AD94" s="36" t="n">
        <f aca="false">Q94</f>
        <v>9.73745833333333</v>
      </c>
      <c r="AE94" s="19" t="n">
        <f aca="false">R94</f>
        <v>0.897303796764214</v>
      </c>
      <c r="AF94" s="36" t="n">
        <f aca="false">Q94*R94</f>
        <v>8.73745833333333</v>
      </c>
      <c r="AG94" s="16" t="s">
        <v>72</v>
      </c>
      <c r="AH94" s="31" t="s">
        <v>197</v>
      </c>
    </row>
    <row r="95" customFormat="false" ht="14.25" hidden="true" customHeight="true" outlineLevel="0" collapsed="false">
      <c r="A95" s="32" t="n">
        <v>91</v>
      </c>
      <c r="B95" s="11" t="n">
        <v>11893</v>
      </c>
      <c r="C95" s="11" t="s">
        <v>415</v>
      </c>
      <c r="D95" s="11" t="s">
        <v>416</v>
      </c>
      <c r="E95" s="11" t="s">
        <v>244</v>
      </c>
      <c r="F95" s="11" t="s">
        <v>239</v>
      </c>
      <c r="G95" s="11" t="s">
        <v>245</v>
      </c>
      <c r="H95" s="11" t="s">
        <v>172</v>
      </c>
      <c r="I95" s="11" t="s">
        <v>173</v>
      </c>
      <c r="J95" s="11" t="s">
        <v>174</v>
      </c>
      <c r="K95" s="11" t="s">
        <v>275</v>
      </c>
      <c r="L95" s="11" t="s">
        <v>278</v>
      </c>
      <c r="M95" s="11" t="s">
        <v>173</v>
      </c>
      <c r="N95" s="33" t="n">
        <v>0.2</v>
      </c>
      <c r="O95" s="33" t="n">
        <v>0.2</v>
      </c>
      <c r="P95" s="33" t="n">
        <v>0</v>
      </c>
      <c r="Q95" s="33" t="n">
        <v>0.354166666666667</v>
      </c>
      <c r="R95" s="34" t="n">
        <v>0.564705882352941</v>
      </c>
      <c r="S95" s="33" t="n">
        <v>0.177083333333333</v>
      </c>
      <c r="T95" s="33" t="n">
        <v>0.177083333333333</v>
      </c>
      <c r="U95" s="35" t="n">
        <v>1</v>
      </c>
      <c r="AA95" s="36" t="n">
        <f aca="false">N95</f>
        <v>0.2</v>
      </c>
      <c r="AB95" s="36" t="n">
        <f aca="false">O95</f>
        <v>0.2</v>
      </c>
      <c r="AC95" s="36" t="n">
        <f aca="false">P95</f>
        <v>0</v>
      </c>
      <c r="AD95" s="36" t="n">
        <f aca="false">Q95</f>
        <v>0.354166666666667</v>
      </c>
      <c r="AE95" s="19" t="n">
        <f aca="false">R95</f>
        <v>0.564705882352941</v>
      </c>
      <c r="AF95" s="36" t="n">
        <f aca="false">Q95*R95</f>
        <v>0.2</v>
      </c>
      <c r="AG95" s="16" t="s">
        <v>72</v>
      </c>
      <c r="AH95" s="31" t="s">
        <v>192</v>
      </c>
    </row>
    <row r="96" customFormat="false" ht="14.25" hidden="true" customHeight="true" outlineLevel="0" collapsed="false">
      <c r="A96" s="32" t="n">
        <v>92</v>
      </c>
      <c r="B96" s="11" t="n">
        <v>11986</v>
      </c>
      <c r="C96" s="11" t="s">
        <v>417</v>
      </c>
      <c r="D96" s="11" t="s">
        <v>418</v>
      </c>
      <c r="E96" s="11" t="s">
        <v>299</v>
      </c>
      <c r="F96" s="11" t="s">
        <v>290</v>
      </c>
      <c r="G96" s="11" t="s">
        <v>326</v>
      </c>
      <c r="H96" s="11" t="s">
        <v>232</v>
      </c>
      <c r="I96" s="11" t="s">
        <v>173</v>
      </c>
      <c r="J96" s="11" t="s">
        <v>174</v>
      </c>
      <c r="K96" s="11" t="s">
        <v>275</v>
      </c>
      <c r="L96" s="11" t="s">
        <v>419</v>
      </c>
      <c r="M96" s="11" t="s">
        <v>173</v>
      </c>
      <c r="N96" s="33" t="n">
        <v>6</v>
      </c>
      <c r="O96" s="33" t="n">
        <v>6</v>
      </c>
      <c r="P96" s="33" t="n">
        <v>3</v>
      </c>
      <c r="Q96" s="33" t="n">
        <v>15</v>
      </c>
      <c r="R96" s="34" t="n">
        <v>1</v>
      </c>
      <c r="S96" s="33" t="n">
        <v>7.5</v>
      </c>
      <c r="T96" s="33" t="n">
        <v>7.5</v>
      </c>
      <c r="U96" s="35" t="n">
        <v>1</v>
      </c>
      <c r="AA96" s="36" t="n">
        <f aca="false">N96</f>
        <v>6</v>
      </c>
      <c r="AB96" s="36" t="n">
        <f aca="false">O96</f>
        <v>6</v>
      </c>
      <c r="AC96" s="36" t="n">
        <f aca="false">P96</f>
        <v>3</v>
      </c>
      <c r="AD96" s="36" t="n">
        <f aca="false">Q96</f>
        <v>15</v>
      </c>
      <c r="AE96" s="19" t="n">
        <f aca="false">R96</f>
        <v>1</v>
      </c>
      <c r="AF96" s="36" t="n">
        <f aca="false">Q96*R96</f>
        <v>15</v>
      </c>
      <c r="AG96" s="16" t="s">
        <v>72</v>
      </c>
      <c r="AH96" s="31" t="s">
        <v>187</v>
      </c>
    </row>
    <row r="97" customFormat="false" ht="14.25" hidden="true" customHeight="true" outlineLevel="0" collapsed="false">
      <c r="A97" s="32" t="n">
        <v>93</v>
      </c>
      <c r="B97" s="11" t="n">
        <v>12021</v>
      </c>
      <c r="C97" s="11" t="s">
        <v>420</v>
      </c>
      <c r="D97" s="11" t="s">
        <v>421</v>
      </c>
      <c r="E97" s="11" t="s">
        <v>289</v>
      </c>
      <c r="F97" s="11" t="s">
        <v>290</v>
      </c>
      <c r="G97" s="11" t="s">
        <v>313</v>
      </c>
      <c r="H97" s="11" t="s">
        <v>172</v>
      </c>
      <c r="I97" s="11" t="s">
        <v>173</v>
      </c>
      <c r="J97" s="11" t="s">
        <v>174</v>
      </c>
      <c r="K97" s="11" t="s">
        <v>422</v>
      </c>
      <c r="L97" s="11"/>
      <c r="M97" s="11" t="s">
        <v>173</v>
      </c>
      <c r="N97" s="33" t="n">
        <v>0</v>
      </c>
      <c r="O97" s="33" t="n">
        <v>0</v>
      </c>
      <c r="P97" s="33" t="n">
        <v>0</v>
      </c>
      <c r="Q97" s="33" t="n">
        <v>0</v>
      </c>
      <c r="R97" s="34" t="n">
        <v>0</v>
      </c>
      <c r="S97" s="33"/>
      <c r="T97" s="33"/>
      <c r="U97" s="35" t="n">
        <v>1</v>
      </c>
      <c r="AA97" s="36" t="n">
        <f aca="false">N97</f>
        <v>0</v>
      </c>
      <c r="AB97" s="36" t="n">
        <f aca="false">O97</f>
        <v>0</v>
      </c>
      <c r="AC97" s="36" t="n">
        <f aca="false">P97</f>
        <v>0</v>
      </c>
      <c r="AD97" s="36" t="n">
        <f aca="false">Q97</f>
        <v>0</v>
      </c>
      <c r="AE97" s="19" t="n">
        <f aca="false">R97</f>
        <v>0</v>
      </c>
      <c r="AF97" s="36" t="n">
        <f aca="false">Q97*R97</f>
        <v>0</v>
      </c>
      <c r="AG97" s="16" t="s">
        <v>72</v>
      </c>
      <c r="AH97" s="31" t="s">
        <v>187</v>
      </c>
    </row>
    <row r="98" customFormat="false" ht="14.25" hidden="true" customHeight="true" outlineLevel="0" collapsed="false">
      <c r="A98" s="32" t="n">
        <v>94</v>
      </c>
      <c r="B98" s="11" t="n">
        <v>12030</v>
      </c>
      <c r="C98" s="11" t="s">
        <v>423</v>
      </c>
      <c r="D98" s="11" t="s">
        <v>424</v>
      </c>
      <c r="E98" s="11" t="s">
        <v>289</v>
      </c>
      <c r="F98" s="11" t="s">
        <v>290</v>
      </c>
      <c r="G98" s="11" t="s">
        <v>313</v>
      </c>
      <c r="H98" s="11" t="s">
        <v>172</v>
      </c>
      <c r="I98" s="11" t="s">
        <v>173</v>
      </c>
      <c r="J98" s="11" t="s">
        <v>174</v>
      </c>
      <c r="K98" s="11" t="s">
        <v>275</v>
      </c>
      <c r="L98" s="11"/>
      <c r="M98" s="11" t="s">
        <v>173</v>
      </c>
      <c r="N98" s="33" t="n">
        <v>0</v>
      </c>
      <c r="O98" s="33" t="n">
        <v>0</v>
      </c>
      <c r="P98" s="33" t="n">
        <v>0</v>
      </c>
      <c r="Q98" s="33" t="n">
        <v>0</v>
      </c>
      <c r="R98" s="34" t="n">
        <v>0</v>
      </c>
      <c r="S98" s="33"/>
      <c r="T98" s="33"/>
      <c r="U98" s="35" t="n">
        <v>1</v>
      </c>
      <c r="AA98" s="36" t="n">
        <f aca="false">N98</f>
        <v>0</v>
      </c>
      <c r="AB98" s="36" t="n">
        <f aca="false">O98</f>
        <v>0</v>
      </c>
      <c r="AC98" s="36" t="n">
        <f aca="false">P98</f>
        <v>0</v>
      </c>
      <c r="AD98" s="36" t="n">
        <f aca="false">Q98</f>
        <v>0</v>
      </c>
      <c r="AE98" s="19" t="n">
        <f aca="false">R98</f>
        <v>0</v>
      </c>
      <c r="AF98" s="36" t="n">
        <f aca="false">Q98*R98</f>
        <v>0</v>
      </c>
      <c r="AG98" s="16" t="s">
        <v>72</v>
      </c>
      <c r="AH98" s="31" t="s">
        <v>187</v>
      </c>
    </row>
    <row r="99" customFormat="false" ht="14.25" hidden="true" customHeight="true" outlineLevel="0" collapsed="false">
      <c r="A99" s="32" t="n">
        <v>95</v>
      </c>
      <c r="B99" s="11" t="n">
        <v>12038</v>
      </c>
      <c r="C99" s="11" t="s">
        <v>425</v>
      </c>
      <c r="D99" s="11" t="s">
        <v>426</v>
      </c>
      <c r="E99" s="11" t="s">
        <v>54</v>
      </c>
      <c r="F99" s="11" t="s">
        <v>318</v>
      </c>
      <c r="G99" s="11" t="s">
        <v>318</v>
      </c>
      <c r="H99" s="11" t="s">
        <v>232</v>
      </c>
      <c r="I99" s="11" t="s">
        <v>173</v>
      </c>
      <c r="J99" s="11" t="s">
        <v>174</v>
      </c>
      <c r="K99" s="11" t="s">
        <v>275</v>
      </c>
      <c r="L99" s="11" t="s">
        <v>278</v>
      </c>
      <c r="M99" s="11" t="s">
        <v>173</v>
      </c>
      <c r="N99" s="33" t="n">
        <v>19.2466666666667</v>
      </c>
      <c r="O99" s="33" t="n">
        <v>4.13333333333333</v>
      </c>
      <c r="P99" s="33" t="n">
        <v>16.9104166666667</v>
      </c>
      <c r="Q99" s="33" t="n">
        <v>40.2904166666667</v>
      </c>
      <c r="R99" s="34" t="n">
        <v>0.948478236139694</v>
      </c>
      <c r="S99" s="33" t="n">
        <v>20.1452083333333</v>
      </c>
      <c r="T99" s="33" t="n">
        <v>20.1452083333333</v>
      </c>
      <c r="U99" s="35" t="n">
        <v>1</v>
      </c>
      <c r="AA99" s="36" t="n">
        <f aca="false">N99</f>
        <v>19.2466666666667</v>
      </c>
      <c r="AB99" s="36" t="n">
        <f aca="false">O99</f>
        <v>4.13333333333333</v>
      </c>
      <c r="AC99" s="36" t="n">
        <f aca="false">P99</f>
        <v>16.9104166666667</v>
      </c>
      <c r="AD99" s="36" t="n">
        <f aca="false">Q99</f>
        <v>40.2904166666667</v>
      </c>
      <c r="AE99" s="19" t="n">
        <f aca="false">R99</f>
        <v>0.948478236139694</v>
      </c>
      <c r="AF99" s="36" t="n">
        <f aca="false">Q99*R99</f>
        <v>38.2145833333334</v>
      </c>
      <c r="AG99" s="16" t="s">
        <v>72</v>
      </c>
      <c r="AH99" s="31" t="s">
        <v>187</v>
      </c>
    </row>
    <row r="100" customFormat="false" ht="14.25" hidden="true" customHeight="true" outlineLevel="0" collapsed="false">
      <c r="A100" s="32" t="n">
        <v>96</v>
      </c>
      <c r="B100" s="11" t="n">
        <v>12117</v>
      </c>
      <c r="C100" s="11" t="s">
        <v>427</v>
      </c>
      <c r="D100" s="11" t="s">
        <v>428</v>
      </c>
      <c r="E100" s="11" t="s">
        <v>244</v>
      </c>
      <c r="F100" s="11" t="s">
        <v>239</v>
      </c>
      <c r="G100" s="11" t="s">
        <v>245</v>
      </c>
      <c r="H100" s="11" t="s">
        <v>172</v>
      </c>
      <c r="I100" s="11" t="s">
        <v>182</v>
      </c>
      <c r="J100" s="11" t="s">
        <v>174</v>
      </c>
      <c r="K100" s="11" t="s">
        <v>246</v>
      </c>
      <c r="L100" s="11"/>
      <c r="M100" s="11" t="s">
        <v>173</v>
      </c>
      <c r="N100" s="33" t="n">
        <v>6</v>
      </c>
      <c r="O100" s="33" t="n">
        <v>15.5375</v>
      </c>
      <c r="P100" s="33" t="n">
        <v>11</v>
      </c>
      <c r="Q100" s="33" t="n">
        <v>62.642375</v>
      </c>
      <c r="R100" s="34" t="n">
        <v>0.863198300937132</v>
      </c>
      <c r="S100" s="33" t="n">
        <v>31.3211875</v>
      </c>
      <c r="T100" s="33" t="n">
        <v>31.3211875</v>
      </c>
      <c r="U100" s="35" t="n">
        <v>1</v>
      </c>
      <c r="AA100" s="36" t="n">
        <f aca="false">N100</f>
        <v>6</v>
      </c>
      <c r="AB100" s="36" t="n">
        <f aca="false">O100</f>
        <v>15.5375</v>
      </c>
      <c r="AC100" s="36" t="n">
        <f aca="false">P100</f>
        <v>11</v>
      </c>
      <c r="AD100" s="36" t="n">
        <f aca="false">Q100</f>
        <v>62.642375</v>
      </c>
      <c r="AE100" s="19" t="n">
        <f aca="false">R100</f>
        <v>0.863198300937132</v>
      </c>
      <c r="AF100" s="36" t="n">
        <f aca="false">Q100*R100</f>
        <v>54.0727916666667</v>
      </c>
      <c r="AG100" s="16" t="s">
        <v>72</v>
      </c>
      <c r="AH100" s="31" t="s">
        <v>177</v>
      </c>
    </row>
    <row r="101" customFormat="false" ht="14.25" hidden="true" customHeight="true" outlineLevel="0" collapsed="false">
      <c r="A101" s="32" t="n">
        <v>97</v>
      </c>
      <c r="B101" s="11" t="n">
        <v>12198</v>
      </c>
      <c r="C101" s="11" t="s">
        <v>429</v>
      </c>
      <c r="D101" s="11" t="s">
        <v>430</v>
      </c>
      <c r="E101" s="11" t="s">
        <v>244</v>
      </c>
      <c r="F101" s="11" t="s">
        <v>239</v>
      </c>
      <c r="G101" s="11" t="s">
        <v>245</v>
      </c>
      <c r="H101" s="11" t="s">
        <v>232</v>
      </c>
      <c r="I101" s="11" t="s">
        <v>173</v>
      </c>
      <c r="J101" s="11" t="s">
        <v>174</v>
      </c>
      <c r="K101" s="11" t="s">
        <v>431</v>
      </c>
      <c r="L101" s="11"/>
      <c r="M101" s="11" t="s">
        <v>173</v>
      </c>
      <c r="N101" s="33" t="n">
        <v>1</v>
      </c>
      <c r="O101" s="33" t="n">
        <v>2</v>
      </c>
      <c r="P101" s="33" t="n">
        <v>0</v>
      </c>
      <c r="Q101" s="33" t="n">
        <v>3</v>
      </c>
      <c r="R101" s="34" t="n">
        <v>0</v>
      </c>
      <c r="S101" s="33" t="n">
        <v>1.5</v>
      </c>
      <c r="T101" s="33" t="n">
        <v>1.5</v>
      </c>
      <c r="U101" s="35" t="n">
        <v>1</v>
      </c>
      <c r="AA101" s="36" t="n">
        <f aca="false">N101</f>
        <v>1</v>
      </c>
      <c r="AB101" s="36" t="n">
        <f aca="false">O101</f>
        <v>2</v>
      </c>
      <c r="AC101" s="36" t="n">
        <f aca="false">P101</f>
        <v>0</v>
      </c>
      <c r="AD101" s="36" t="n">
        <f aca="false">Q101</f>
        <v>3</v>
      </c>
      <c r="AE101" s="19" t="n">
        <f aca="false">R101</f>
        <v>0</v>
      </c>
      <c r="AF101" s="36" t="n">
        <f aca="false">Q101*R101</f>
        <v>0</v>
      </c>
      <c r="AG101" s="16" t="s">
        <v>72</v>
      </c>
      <c r="AH101" s="31" t="s">
        <v>197</v>
      </c>
    </row>
    <row r="102" customFormat="false" ht="14.25" hidden="true" customHeight="true" outlineLevel="0" collapsed="false">
      <c r="A102" s="32" t="n">
        <v>98</v>
      </c>
      <c r="B102" s="11" t="n">
        <v>12520</v>
      </c>
      <c r="C102" s="11" t="s">
        <v>432</v>
      </c>
      <c r="D102" s="11" t="s">
        <v>433</v>
      </c>
      <c r="E102" s="11" t="s">
        <v>238</v>
      </c>
      <c r="F102" s="11" t="s">
        <v>239</v>
      </c>
      <c r="G102" s="11" t="s">
        <v>240</v>
      </c>
      <c r="H102" s="11" t="s">
        <v>172</v>
      </c>
      <c r="I102" s="11" t="s">
        <v>173</v>
      </c>
      <c r="J102" s="11" t="s">
        <v>174</v>
      </c>
      <c r="K102" s="11" t="s">
        <v>275</v>
      </c>
      <c r="L102" s="11"/>
      <c r="M102" s="11" t="s">
        <v>173</v>
      </c>
      <c r="N102" s="33" t="n">
        <v>0.125</v>
      </c>
      <c r="O102" s="33" t="n">
        <v>0</v>
      </c>
      <c r="P102" s="33" t="n">
        <v>0</v>
      </c>
      <c r="Q102" s="33" t="n">
        <v>0.125</v>
      </c>
      <c r="R102" s="34" t="n">
        <v>1</v>
      </c>
      <c r="S102" s="33" t="n">
        <v>0.0625</v>
      </c>
      <c r="T102" s="33" t="n">
        <v>0.0625</v>
      </c>
      <c r="U102" s="35" t="n">
        <v>1</v>
      </c>
      <c r="AA102" s="36" t="n">
        <f aca="false">N102</f>
        <v>0.125</v>
      </c>
      <c r="AB102" s="36" t="n">
        <f aca="false">O102</f>
        <v>0</v>
      </c>
      <c r="AC102" s="36" t="n">
        <f aca="false">P102</f>
        <v>0</v>
      </c>
      <c r="AD102" s="36" t="n">
        <f aca="false">Q102</f>
        <v>0.125</v>
      </c>
      <c r="AE102" s="19" t="n">
        <f aca="false">R102</f>
        <v>1</v>
      </c>
      <c r="AF102" s="36" t="n">
        <f aca="false">Q102*R102</f>
        <v>0.125</v>
      </c>
      <c r="AG102" s="16" t="s">
        <v>72</v>
      </c>
      <c r="AH102" s="31" t="s">
        <v>233</v>
      </c>
    </row>
    <row r="103" customFormat="false" ht="14.25" hidden="true" customHeight="true" outlineLevel="0" collapsed="false">
      <c r="A103" s="32" t="n">
        <v>99</v>
      </c>
      <c r="B103" s="11" t="n">
        <v>12527</v>
      </c>
      <c r="C103" s="11" t="s">
        <v>434</v>
      </c>
      <c r="D103" s="11" t="s">
        <v>435</v>
      </c>
      <c r="E103" s="11" t="s">
        <v>54</v>
      </c>
      <c r="F103" s="11" t="s">
        <v>318</v>
      </c>
      <c r="G103" s="11" t="s">
        <v>318</v>
      </c>
      <c r="H103" s="11" t="s">
        <v>232</v>
      </c>
      <c r="I103" s="11" t="s">
        <v>173</v>
      </c>
      <c r="J103" s="11" t="s">
        <v>174</v>
      </c>
      <c r="K103" s="11" t="s">
        <v>275</v>
      </c>
      <c r="L103" s="11" t="s">
        <v>278</v>
      </c>
      <c r="M103" s="11" t="s">
        <v>173</v>
      </c>
      <c r="N103" s="33" t="n">
        <v>0.108333333333333</v>
      </c>
      <c r="O103" s="33" t="n">
        <v>0</v>
      </c>
      <c r="P103" s="33" t="n">
        <v>0.025</v>
      </c>
      <c r="Q103" s="33" t="n">
        <v>0.133333333333333</v>
      </c>
      <c r="R103" s="34" t="n">
        <v>1</v>
      </c>
      <c r="S103" s="33" t="n">
        <v>0.0666666666666667</v>
      </c>
      <c r="T103" s="33" t="n">
        <v>0.0666666666666667</v>
      </c>
      <c r="U103" s="35" t="n">
        <v>1</v>
      </c>
      <c r="AA103" s="36" t="n">
        <f aca="false">N103</f>
        <v>0.108333333333333</v>
      </c>
      <c r="AB103" s="36" t="n">
        <f aca="false">O103</f>
        <v>0</v>
      </c>
      <c r="AC103" s="36" t="n">
        <f aca="false">P103</f>
        <v>0.025</v>
      </c>
      <c r="AD103" s="36" t="n">
        <f aca="false">Q103</f>
        <v>0.133333333333333</v>
      </c>
      <c r="AE103" s="19" t="n">
        <f aca="false">R103</f>
        <v>1</v>
      </c>
      <c r="AF103" s="36" t="n">
        <f aca="false">Q103*R103</f>
        <v>0.133333333333333</v>
      </c>
      <c r="AG103" s="16" t="s">
        <v>72</v>
      </c>
      <c r="AH103" s="31" t="s">
        <v>187</v>
      </c>
    </row>
    <row r="104" customFormat="false" ht="14.25" hidden="true" customHeight="true" outlineLevel="0" collapsed="false">
      <c r="A104" s="32" t="n">
        <v>100</v>
      </c>
      <c r="B104" s="11" t="n">
        <v>12607</v>
      </c>
      <c r="C104" s="11" t="s">
        <v>436</v>
      </c>
      <c r="D104" s="11" t="s">
        <v>437</v>
      </c>
      <c r="E104" s="11" t="s">
        <v>54</v>
      </c>
      <c r="F104" s="11" t="s">
        <v>318</v>
      </c>
      <c r="G104" s="11" t="s">
        <v>318</v>
      </c>
      <c r="H104" s="11" t="s">
        <v>232</v>
      </c>
      <c r="I104" s="11" t="s">
        <v>173</v>
      </c>
      <c r="J104" s="11" t="s">
        <v>174</v>
      </c>
      <c r="K104" s="11" t="s">
        <v>275</v>
      </c>
      <c r="L104" s="11" t="s">
        <v>278</v>
      </c>
      <c r="M104" s="11" t="s">
        <v>173</v>
      </c>
      <c r="N104" s="33" t="n">
        <v>1.3375</v>
      </c>
      <c r="O104" s="33" t="n">
        <v>0</v>
      </c>
      <c r="P104" s="33" t="n">
        <v>1</v>
      </c>
      <c r="Q104" s="33" t="n">
        <v>2.3375</v>
      </c>
      <c r="R104" s="34" t="n">
        <v>1</v>
      </c>
      <c r="S104" s="33" t="n">
        <v>1.16875</v>
      </c>
      <c r="T104" s="33" t="n">
        <v>1.16875</v>
      </c>
      <c r="U104" s="35" t="n">
        <v>1</v>
      </c>
      <c r="AA104" s="36" t="n">
        <f aca="false">N104</f>
        <v>1.3375</v>
      </c>
      <c r="AB104" s="36" t="n">
        <f aca="false">O104</f>
        <v>0</v>
      </c>
      <c r="AC104" s="36" t="n">
        <f aca="false">P104</f>
        <v>1</v>
      </c>
      <c r="AD104" s="36" t="n">
        <f aca="false">Q104</f>
        <v>2.3375</v>
      </c>
      <c r="AE104" s="19" t="n">
        <f aca="false">R104</f>
        <v>1</v>
      </c>
      <c r="AF104" s="36" t="n">
        <f aca="false">Q104*R104</f>
        <v>2.3375</v>
      </c>
      <c r="AG104" s="16" t="s">
        <v>72</v>
      </c>
      <c r="AH104" s="31" t="s">
        <v>197</v>
      </c>
    </row>
    <row r="105" customFormat="false" ht="14.25" hidden="true" customHeight="true" outlineLevel="0" collapsed="false">
      <c r="A105" s="32" t="n">
        <v>101</v>
      </c>
      <c r="B105" s="11" t="n">
        <v>12646</v>
      </c>
      <c r="C105" s="11" t="s">
        <v>438</v>
      </c>
      <c r="D105" s="11" t="s">
        <v>439</v>
      </c>
      <c r="E105" s="11" t="s">
        <v>259</v>
      </c>
      <c r="F105" s="11" t="s">
        <v>239</v>
      </c>
      <c r="G105" s="11" t="s">
        <v>260</v>
      </c>
      <c r="H105" s="11" t="s">
        <v>172</v>
      </c>
      <c r="I105" s="11" t="s">
        <v>182</v>
      </c>
      <c r="J105" s="11" t="s">
        <v>371</v>
      </c>
      <c r="K105" s="11" t="s">
        <v>440</v>
      </c>
      <c r="L105" s="11" t="s">
        <v>176</v>
      </c>
      <c r="M105" s="11" t="s">
        <v>173</v>
      </c>
      <c r="N105" s="33" t="n">
        <v>9.58333333333333</v>
      </c>
      <c r="O105" s="33" t="n">
        <v>11.3375</v>
      </c>
      <c r="P105" s="33" t="n">
        <v>7.08333333333334</v>
      </c>
      <c r="Q105" s="33" t="n">
        <v>28.0041666666667</v>
      </c>
      <c r="R105" s="34" t="n">
        <v>0.812230322868621</v>
      </c>
      <c r="S105" s="33" t="n">
        <v>14.0020833333333</v>
      </c>
      <c r="T105" s="33" t="n">
        <v>14.0020833333333</v>
      </c>
      <c r="U105" s="35" t="n">
        <v>1</v>
      </c>
      <c r="AA105" s="36" t="n">
        <f aca="false">N105</f>
        <v>9.58333333333333</v>
      </c>
      <c r="AB105" s="36" t="n">
        <f aca="false">O105</f>
        <v>11.3375</v>
      </c>
      <c r="AC105" s="36" t="n">
        <f aca="false">P105</f>
        <v>7.08333333333334</v>
      </c>
      <c r="AD105" s="36" t="n">
        <f aca="false">Q105</f>
        <v>28.0041666666667</v>
      </c>
      <c r="AE105" s="19" t="n">
        <f aca="false">R105</f>
        <v>0.812230322868621</v>
      </c>
      <c r="AF105" s="36" t="n">
        <f aca="false">Q105*R105</f>
        <v>22.7458333333334</v>
      </c>
      <c r="AG105" s="16" t="s">
        <v>70</v>
      </c>
      <c r="AH105" s="31" t="s">
        <v>187</v>
      </c>
    </row>
    <row r="106" customFormat="false" ht="14.25" hidden="true" customHeight="true" outlineLevel="0" collapsed="false">
      <c r="A106" s="32" t="n">
        <v>102</v>
      </c>
      <c r="B106" s="11" t="n">
        <v>12654</v>
      </c>
      <c r="C106" s="11" t="s">
        <v>441</v>
      </c>
      <c r="D106" s="11" t="s">
        <v>442</v>
      </c>
      <c r="E106" s="11" t="s">
        <v>54</v>
      </c>
      <c r="F106" s="11" t="s">
        <v>239</v>
      </c>
      <c r="G106" s="11"/>
      <c r="H106" s="11" t="s">
        <v>443</v>
      </c>
      <c r="I106" s="11" t="s">
        <v>173</v>
      </c>
      <c r="J106" s="11" t="s">
        <v>174</v>
      </c>
      <c r="K106" s="11" t="s">
        <v>444</v>
      </c>
      <c r="L106" s="11"/>
      <c r="M106" s="11" t="s">
        <v>173</v>
      </c>
      <c r="N106" s="33" t="n">
        <v>0</v>
      </c>
      <c r="O106" s="33" t="n">
        <v>0.25</v>
      </c>
      <c r="P106" s="33" t="n">
        <v>0</v>
      </c>
      <c r="Q106" s="33" t="n">
        <v>0.25</v>
      </c>
      <c r="R106" s="34" t="n">
        <v>1</v>
      </c>
      <c r="S106" s="33" t="n">
        <v>0.125</v>
      </c>
      <c r="T106" s="33" t="n">
        <v>0.125</v>
      </c>
      <c r="U106" s="35" t="n">
        <v>1</v>
      </c>
      <c r="AA106" s="36" t="n">
        <f aca="false">N106</f>
        <v>0</v>
      </c>
      <c r="AB106" s="36" t="n">
        <f aca="false">O106</f>
        <v>0.25</v>
      </c>
      <c r="AC106" s="36" t="n">
        <f aca="false">P106</f>
        <v>0</v>
      </c>
      <c r="AD106" s="36" t="n">
        <f aca="false">Q106</f>
        <v>0.25</v>
      </c>
      <c r="AE106" s="19" t="n">
        <f aca="false">R106</f>
        <v>1</v>
      </c>
      <c r="AF106" s="36" t="n">
        <f aca="false">Q106*R106</f>
        <v>0.25</v>
      </c>
      <c r="AG106" s="16" t="s">
        <v>72</v>
      </c>
      <c r="AH106" s="31" t="s">
        <v>187</v>
      </c>
    </row>
    <row r="107" customFormat="false" ht="14.25" hidden="true" customHeight="true" outlineLevel="0" collapsed="false">
      <c r="A107" s="32" t="n">
        <v>103</v>
      </c>
      <c r="B107" s="11" t="n">
        <v>12675</v>
      </c>
      <c r="C107" s="11" t="s">
        <v>445</v>
      </c>
      <c r="D107" s="11" t="s">
        <v>446</v>
      </c>
      <c r="E107" s="11" t="s">
        <v>244</v>
      </c>
      <c r="F107" s="11" t="s">
        <v>239</v>
      </c>
      <c r="G107" s="11" t="s">
        <v>245</v>
      </c>
      <c r="H107" s="11" t="s">
        <v>443</v>
      </c>
      <c r="I107" s="11" t="s">
        <v>173</v>
      </c>
      <c r="J107" s="11" t="s">
        <v>174</v>
      </c>
      <c r="K107" s="11" t="s">
        <v>447</v>
      </c>
      <c r="L107" s="11"/>
      <c r="M107" s="11" t="s">
        <v>173</v>
      </c>
      <c r="N107" s="33" t="n">
        <v>0</v>
      </c>
      <c r="O107" s="33" t="n">
        <v>0.1</v>
      </c>
      <c r="P107" s="33" t="n">
        <v>0</v>
      </c>
      <c r="Q107" s="33" t="n">
        <v>0.1</v>
      </c>
      <c r="R107" s="34" t="n">
        <v>0</v>
      </c>
      <c r="S107" s="33" t="n">
        <v>0.05</v>
      </c>
      <c r="T107" s="33" t="n">
        <v>0.05</v>
      </c>
      <c r="U107" s="35" t="n">
        <v>1</v>
      </c>
      <c r="AA107" s="36" t="n">
        <f aca="false">N107</f>
        <v>0</v>
      </c>
      <c r="AB107" s="36" t="n">
        <f aca="false">O107</f>
        <v>0.1</v>
      </c>
      <c r="AC107" s="36" t="n">
        <f aca="false">P107</f>
        <v>0</v>
      </c>
      <c r="AD107" s="36" t="n">
        <f aca="false">Q107</f>
        <v>0.1</v>
      </c>
      <c r="AE107" s="19" t="n">
        <f aca="false">R107</f>
        <v>0</v>
      </c>
      <c r="AF107" s="36" t="n">
        <f aca="false">Q107*R107</f>
        <v>0</v>
      </c>
      <c r="AG107" s="16" t="s">
        <v>72</v>
      </c>
      <c r="AH107" s="31" t="s">
        <v>233</v>
      </c>
    </row>
    <row r="108" customFormat="false" ht="14.25" hidden="false" customHeight="true" outlineLevel="0" collapsed="false">
      <c r="A108" s="32" t="n">
        <v>104</v>
      </c>
      <c r="B108" s="11" t="n">
        <v>12721</v>
      </c>
      <c r="C108" s="11" t="s">
        <v>448</v>
      </c>
      <c r="D108" s="11" t="s">
        <v>449</v>
      </c>
      <c r="E108" s="11" t="s">
        <v>263</v>
      </c>
      <c r="F108" s="11" t="s">
        <v>170</v>
      </c>
      <c r="G108" s="11" t="s">
        <v>264</v>
      </c>
      <c r="H108" s="11" t="s">
        <v>172</v>
      </c>
      <c r="I108" s="11" t="s">
        <v>173</v>
      </c>
      <c r="J108" s="11" t="s">
        <v>371</v>
      </c>
      <c r="K108" s="11" t="s">
        <v>450</v>
      </c>
      <c r="L108" s="11" t="s">
        <v>176</v>
      </c>
      <c r="M108" s="11" t="s">
        <v>173</v>
      </c>
      <c r="N108" s="33" t="n">
        <v>0.241666666666667</v>
      </c>
      <c r="O108" s="33" t="n">
        <v>0</v>
      </c>
      <c r="P108" s="33" t="n">
        <v>0</v>
      </c>
      <c r="Q108" s="33" t="n">
        <v>0.241666666666667</v>
      </c>
      <c r="R108" s="34" t="n">
        <v>0.931034482758621</v>
      </c>
      <c r="S108" s="33" t="n">
        <v>0.120833333333333</v>
      </c>
      <c r="T108" s="33" t="n">
        <v>0.120833333333333</v>
      </c>
      <c r="U108" s="35" t="n">
        <v>1</v>
      </c>
      <c r="AA108" s="36" t="n">
        <f aca="false">N108</f>
        <v>0.241666666666667</v>
      </c>
      <c r="AB108" s="36" t="n">
        <f aca="false">O108</f>
        <v>0</v>
      </c>
      <c r="AC108" s="36" t="n">
        <f aca="false">P108</f>
        <v>0</v>
      </c>
      <c r="AD108" s="36" t="n">
        <f aca="false">Q108</f>
        <v>0.241666666666667</v>
      </c>
      <c r="AE108" s="19" t="n">
        <f aca="false">R108</f>
        <v>0.931034482758621</v>
      </c>
      <c r="AF108" s="36" t="n">
        <f aca="false">Q108*R108</f>
        <v>0.225</v>
      </c>
      <c r="AG108" s="16" t="s">
        <v>70</v>
      </c>
      <c r="AH108" s="31" t="s">
        <v>187</v>
      </c>
    </row>
    <row r="109" customFormat="false" ht="14.25" hidden="true" customHeight="true" outlineLevel="0" collapsed="false">
      <c r="A109" s="32" t="n">
        <v>105</v>
      </c>
      <c r="B109" s="11" t="n">
        <v>12820</v>
      </c>
      <c r="C109" s="11" t="s">
        <v>451</v>
      </c>
      <c r="D109" s="11" t="s">
        <v>452</v>
      </c>
      <c r="E109" s="11" t="s">
        <v>289</v>
      </c>
      <c r="F109" s="11" t="s">
        <v>290</v>
      </c>
      <c r="G109" s="11" t="s">
        <v>313</v>
      </c>
      <c r="H109" s="11" t="s">
        <v>172</v>
      </c>
      <c r="I109" s="11" t="s">
        <v>173</v>
      </c>
      <c r="J109" s="11" t="s">
        <v>174</v>
      </c>
      <c r="K109" s="11" t="s">
        <v>275</v>
      </c>
      <c r="L109" s="11"/>
      <c r="M109" s="11" t="s">
        <v>173</v>
      </c>
      <c r="N109" s="33" t="n">
        <v>0.3625</v>
      </c>
      <c r="O109" s="33" t="n">
        <v>0</v>
      </c>
      <c r="P109" s="33" t="n">
        <v>0</v>
      </c>
      <c r="Q109" s="33" t="n">
        <v>0.3625</v>
      </c>
      <c r="R109" s="34" t="n">
        <v>1</v>
      </c>
      <c r="S109" s="33" t="n">
        <v>0.18125</v>
      </c>
      <c r="T109" s="33" t="n">
        <v>0.18125</v>
      </c>
      <c r="U109" s="35" t="n">
        <v>1</v>
      </c>
      <c r="AA109" s="36" t="n">
        <f aca="false">N109</f>
        <v>0.3625</v>
      </c>
      <c r="AB109" s="36" t="n">
        <f aca="false">O109</f>
        <v>0</v>
      </c>
      <c r="AC109" s="36" t="n">
        <f aca="false">P109</f>
        <v>0</v>
      </c>
      <c r="AD109" s="36" t="n">
        <f aca="false">Q109</f>
        <v>0.3625</v>
      </c>
      <c r="AE109" s="19" t="n">
        <f aca="false">R109</f>
        <v>1</v>
      </c>
      <c r="AF109" s="36" t="n">
        <f aca="false">Q109*R109</f>
        <v>0.3625</v>
      </c>
      <c r="AG109" s="16" t="s">
        <v>72</v>
      </c>
      <c r="AH109" s="31" t="s">
        <v>197</v>
      </c>
    </row>
    <row r="110" customFormat="false" ht="14.25" hidden="false" customHeight="true" outlineLevel="0" collapsed="false">
      <c r="A110" s="32" t="n">
        <v>106</v>
      </c>
      <c r="B110" s="11" t="n">
        <v>12890</v>
      </c>
      <c r="C110" s="11" t="s">
        <v>453</v>
      </c>
      <c r="D110" s="11" t="s">
        <v>454</v>
      </c>
      <c r="E110" s="11" t="s">
        <v>263</v>
      </c>
      <c r="F110" s="11" t="s">
        <v>170</v>
      </c>
      <c r="G110" s="11" t="s">
        <v>264</v>
      </c>
      <c r="H110" s="11" t="s">
        <v>232</v>
      </c>
      <c r="I110" s="11" t="s">
        <v>182</v>
      </c>
      <c r="J110" s="11" t="s">
        <v>174</v>
      </c>
      <c r="K110" s="11" t="s">
        <v>455</v>
      </c>
      <c r="L110" s="11"/>
      <c r="M110" s="11" t="s">
        <v>173</v>
      </c>
      <c r="N110" s="33" t="n">
        <v>1.234625</v>
      </c>
      <c r="O110" s="33" t="n">
        <v>0.0625</v>
      </c>
      <c r="P110" s="33" t="n">
        <v>0</v>
      </c>
      <c r="Q110" s="33" t="n">
        <v>1.297125</v>
      </c>
      <c r="R110" s="34" t="n">
        <v>0.850631203623398</v>
      </c>
      <c r="S110" s="33" t="n">
        <v>0.6485625</v>
      </c>
      <c r="T110" s="33" t="n">
        <v>0.6485625</v>
      </c>
      <c r="U110" s="35" t="n">
        <v>1</v>
      </c>
      <c r="AA110" s="36" t="n">
        <f aca="false">N110</f>
        <v>1.234625</v>
      </c>
      <c r="AB110" s="36" t="n">
        <f aca="false">O110</f>
        <v>0.0625</v>
      </c>
      <c r="AC110" s="36" t="n">
        <f aca="false">P110</f>
        <v>0</v>
      </c>
      <c r="AD110" s="36" t="n">
        <f aca="false">Q110</f>
        <v>1.297125</v>
      </c>
      <c r="AE110" s="19" t="n">
        <f aca="false">R110</f>
        <v>0.850631203623398</v>
      </c>
      <c r="AF110" s="36" t="n">
        <f aca="false">Q110*R110</f>
        <v>1.103375</v>
      </c>
      <c r="AG110" s="16" t="s">
        <v>72</v>
      </c>
      <c r="AH110" s="31" t="s">
        <v>233</v>
      </c>
    </row>
    <row r="111" customFormat="false" ht="14.25" hidden="true" customHeight="true" outlineLevel="0" collapsed="false">
      <c r="A111" s="32" t="n">
        <v>107</v>
      </c>
      <c r="B111" s="11" t="n">
        <v>12894</v>
      </c>
      <c r="C111" s="11" t="s">
        <v>456</v>
      </c>
      <c r="D111" s="11" t="s">
        <v>457</v>
      </c>
      <c r="E111" s="11" t="s">
        <v>259</v>
      </c>
      <c r="F111" s="11" t="s">
        <v>239</v>
      </c>
      <c r="G111" s="11" t="s">
        <v>260</v>
      </c>
      <c r="H111" s="11" t="s">
        <v>232</v>
      </c>
      <c r="I111" s="11" t="s">
        <v>173</v>
      </c>
      <c r="J111" s="11" t="s">
        <v>174</v>
      </c>
      <c r="K111" s="11" t="s">
        <v>458</v>
      </c>
      <c r="L111" s="11" t="s">
        <v>278</v>
      </c>
      <c r="M111" s="11" t="s">
        <v>173</v>
      </c>
      <c r="N111" s="33" t="n">
        <v>2.63333333333333</v>
      </c>
      <c r="O111" s="33" t="n">
        <v>2.77916666666667</v>
      </c>
      <c r="P111" s="33" t="n">
        <v>2.91875</v>
      </c>
      <c r="Q111" s="33" t="n">
        <v>8.33125</v>
      </c>
      <c r="R111" s="34" t="n">
        <v>0.927481870467617</v>
      </c>
      <c r="S111" s="33" t="n">
        <v>4.165625</v>
      </c>
      <c r="T111" s="33" t="n">
        <v>4.165625</v>
      </c>
      <c r="U111" s="35" t="n">
        <v>1</v>
      </c>
      <c r="AA111" s="36" t="n">
        <f aca="false">N111</f>
        <v>2.63333333333333</v>
      </c>
      <c r="AB111" s="36" t="n">
        <f aca="false">O111</f>
        <v>2.77916666666667</v>
      </c>
      <c r="AC111" s="36" t="n">
        <f aca="false">P111</f>
        <v>2.91875</v>
      </c>
      <c r="AD111" s="36" t="n">
        <f aca="false">Q111</f>
        <v>8.33125</v>
      </c>
      <c r="AE111" s="19" t="n">
        <f aca="false">R111</f>
        <v>0.927481870467617</v>
      </c>
      <c r="AF111" s="36" t="n">
        <f aca="false">Q111*R111</f>
        <v>7.72708333333334</v>
      </c>
      <c r="AG111" s="16" t="s">
        <v>72</v>
      </c>
      <c r="AH111" s="31" t="s">
        <v>197</v>
      </c>
    </row>
    <row r="112" customFormat="false" ht="14.25" hidden="true" customHeight="true" outlineLevel="0" collapsed="false">
      <c r="A112" s="32" t="n">
        <v>108</v>
      </c>
      <c r="B112" s="11" t="n">
        <v>12932</v>
      </c>
      <c r="C112" s="11" t="s">
        <v>459</v>
      </c>
      <c r="D112" s="11" t="s">
        <v>460</v>
      </c>
      <c r="E112" s="11" t="s">
        <v>259</v>
      </c>
      <c r="F112" s="11" t="s">
        <v>239</v>
      </c>
      <c r="G112" s="11" t="s">
        <v>260</v>
      </c>
      <c r="H112" s="11" t="s">
        <v>172</v>
      </c>
      <c r="I112" s="11" t="s">
        <v>173</v>
      </c>
      <c r="J112" s="11" t="s">
        <v>174</v>
      </c>
      <c r="K112" s="11" t="s">
        <v>461</v>
      </c>
      <c r="L112" s="11" t="s">
        <v>278</v>
      </c>
      <c r="M112" s="11" t="s">
        <v>173</v>
      </c>
      <c r="N112" s="33" t="n">
        <v>35.8195833333333</v>
      </c>
      <c r="O112" s="33" t="n">
        <v>25.0000000000001</v>
      </c>
      <c r="P112" s="33" t="n">
        <v>12.8666666666667</v>
      </c>
      <c r="Q112" s="33" t="n">
        <v>73.6862500000001</v>
      </c>
      <c r="R112" s="34" t="n">
        <v>0.911675063755676</v>
      </c>
      <c r="S112" s="33" t="n">
        <v>36.843125</v>
      </c>
      <c r="T112" s="33" t="n">
        <v>36.843125</v>
      </c>
      <c r="U112" s="35" t="n">
        <v>1</v>
      </c>
      <c r="AA112" s="36" t="n">
        <f aca="false">N112</f>
        <v>35.8195833333333</v>
      </c>
      <c r="AB112" s="36" t="n">
        <f aca="false">O112</f>
        <v>25.0000000000001</v>
      </c>
      <c r="AC112" s="36" t="n">
        <f aca="false">P112</f>
        <v>12.8666666666667</v>
      </c>
      <c r="AD112" s="36" t="n">
        <f aca="false">Q112</f>
        <v>73.6862500000001</v>
      </c>
      <c r="AE112" s="19" t="n">
        <f aca="false">R112</f>
        <v>0.911675063755676</v>
      </c>
      <c r="AF112" s="36" t="n">
        <f aca="false">Q112*R112</f>
        <v>67.1779166666668</v>
      </c>
      <c r="AG112" s="16" t="s">
        <v>72</v>
      </c>
      <c r="AH112" s="31" t="s">
        <v>177</v>
      </c>
    </row>
    <row r="113" customFormat="false" ht="14.25" hidden="true" customHeight="true" outlineLevel="0" collapsed="false">
      <c r="A113" s="32" t="n">
        <v>109</v>
      </c>
      <c r="B113" s="11" t="n">
        <v>12991</v>
      </c>
      <c r="C113" s="11" t="s">
        <v>462</v>
      </c>
      <c r="D113" s="11" t="s">
        <v>463</v>
      </c>
      <c r="E113" s="11" t="s">
        <v>299</v>
      </c>
      <c r="F113" s="11" t="s">
        <v>290</v>
      </c>
      <c r="G113" s="11" t="s">
        <v>300</v>
      </c>
      <c r="H113" s="11" t="s">
        <v>232</v>
      </c>
      <c r="I113" s="11" t="s">
        <v>173</v>
      </c>
      <c r="J113" s="11" t="s">
        <v>174</v>
      </c>
      <c r="K113" s="11" t="s">
        <v>275</v>
      </c>
      <c r="L113" s="11" t="s">
        <v>278</v>
      </c>
      <c r="M113" s="11" t="s">
        <v>182</v>
      </c>
      <c r="N113" s="33" t="n">
        <v>4.64583333333333</v>
      </c>
      <c r="O113" s="33" t="n">
        <v>4.5625</v>
      </c>
      <c r="P113" s="33" t="n">
        <v>3</v>
      </c>
      <c r="Q113" s="33" t="n">
        <v>12.2083333333333</v>
      </c>
      <c r="R113" s="34" t="n">
        <v>1</v>
      </c>
      <c r="S113" s="33" t="n">
        <v>6.10416666666667</v>
      </c>
      <c r="T113" s="33" t="n">
        <v>6.10416666666667</v>
      </c>
      <c r="U113" s="35" t="n">
        <v>1</v>
      </c>
      <c r="AA113" s="36" t="n">
        <f aca="false">N113</f>
        <v>4.64583333333333</v>
      </c>
      <c r="AB113" s="36" t="n">
        <f aca="false">O113</f>
        <v>4.5625</v>
      </c>
      <c r="AC113" s="36" t="n">
        <f aca="false">P113</f>
        <v>3</v>
      </c>
      <c r="AD113" s="36" t="n">
        <f aca="false">Q113</f>
        <v>12.2083333333333</v>
      </c>
      <c r="AE113" s="19" t="n">
        <f aca="false">R113</f>
        <v>1</v>
      </c>
      <c r="AF113" s="36" t="n">
        <f aca="false">Q113*R113</f>
        <v>12.2083333333333</v>
      </c>
      <c r="AG113" s="16" t="s">
        <v>74</v>
      </c>
      <c r="AH113" s="31" t="s">
        <v>192</v>
      </c>
    </row>
    <row r="114" customFormat="false" ht="14.25" hidden="true" customHeight="true" outlineLevel="0" collapsed="false">
      <c r="A114" s="32" t="n">
        <v>110</v>
      </c>
      <c r="B114" s="11" t="n">
        <v>13139</v>
      </c>
      <c r="C114" s="11" t="s">
        <v>464</v>
      </c>
      <c r="D114" s="11" t="s">
        <v>465</v>
      </c>
      <c r="E114" s="11" t="s">
        <v>54</v>
      </c>
      <c r="F114" s="11" t="s">
        <v>318</v>
      </c>
      <c r="G114" s="11" t="s">
        <v>318</v>
      </c>
      <c r="H114" s="11" t="s">
        <v>232</v>
      </c>
      <c r="I114" s="11" t="s">
        <v>173</v>
      </c>
      <c r="J114" s="11" t="s">
        <v>174</v>
      </c>
      <c r="K114" s="11" t="s">
        <v>275</v>
      </c>
      <c r="L114" s="11" t="s">
        <v>278</v>
      </c>
      <c r="M114" s="11" t="s">
        <v>173</v>
      </c>
      <c r="N114" s="33" t="n">
        <v>0</v>
      </c>
      <c r="O114" s="33" t="n">
        <v>1.3</v>
      </c>
      <c r="P114" s="33" t="n">
        <v>0.691666666666667</v>
      </c>
      <c r="Q114" s="33" t="n">
        <v>1.99166666666667</v>
      </c>
      <c r="R114" s="34" t="n">
        <v>1</v>
      </c>
      <c r="S114" s="33" t="n">
        <v>0.995833333333333</v>
      </c>
      <c r="T114" s="33" t="n">
        <v>0.995833333333333</v>
      </c>
      <c r="U114" s="35" t="n">
        <v>1</v>
      </c>
      <c r="AA114" s="36" t="n">
        <f aca="false">N114</f>
        <v>0</v>
      </c>
      <c r="AB114" s="36" t="n">
        <f aca="false">O114</f>
        <v>1.3</v>
      </c>
      <c r="AC114" s="36" t="n">
        <f aca="false">P114</f>
        <v>0.691666666666667</v>
      </c>
      <c r="AD114" s="36" t="n">
        <f aca="false">Q114</f>
        <v>1.99166666666667</v>
      </c>
      <c r="AE114" s="19" t="n">
        <f aca="false">R114</f>
        <v>1</v>
      </c>
      <c r="AF114" s="36" t="n">
        <f aca="false">Q114*R114</f>
        <v>1.99166666666667</v>
      </c>
      <c r="AG114" s="16" t="s">
        <v>72</v>
      </c>
      <c r="AH114" s="31" t="s">
        <v>192</v>
      </c>
    </row>
    <row r="115" customFormat="false" ht="14.25" hidden="true" customHeight="true" outlineLevel="0" collapsed="false">
      <c r="A115" s="32" t="n">
        <v>111</v>
      </c>
      <c r="B115" s="11" t="n">
        <v>13197</v>
      </c>
      <c r="C115" s="11" t="s">
        <v>466</v>
      </c>
      <c r="D115" s="11" t="s">
        <v>467</v>
      </c>
      <c r="E115" s="11" t="s">
        <v>299</v>
      </c>
      <c r="F115" s="11" t="s">
        <v>290</v>
      </c>
      <c r="G115" s="11" t="s">
        <v>300</v>
      </c>
      <c r="H115" s="11" t="s">
        <v>172</v>
      </c>
      <c r="I115" s="11" t="s">
        <v>182</v>
      </c>
      <c r="J115" s="11" t="s">
        <v>174</v>
      </c>
      <c r="K115" s="11" t="s">
        <v>461</v>
      </c>
      <c r="L115" s="11" t="s">
        <v>278</v>
      </c>
      <c r="M115" s="11" t="s">
        <v>182</v>
      </c>
      <c r="N115" s="33" t="n">
        <v>151.770833333333</v>
      </c>
      <c r="O115" s="33" t="n">
        <v>30.9375</v>
      </c>
      <c r="P115" s="33" t="n">
        <v>47.2041666666667</v>
      </c>
      <c r="Q115" s="33" t="n">
        <v>229.9125</v>
      </c>
      <c r="R115" s="34" t="n">
        <v>0.947171931350695</v>
      </c>
      <c r="S115" s="33" t="n">
        <v>114.95625</v>
      </c>
      <c r="T115" s="33" t="n">
        <v>114.95625</v>
      </c>
      <c r="U115" s="35" t="n">
        <v>1</v>
      </c>
      <c r="AA115" s="36" t="n">
        <f aca="false">N115</f>
        <v>151.770833333333</v>
      </c>
      <c r="AB115" s="36" t="n">
        <f aca="false">O115</f>
        <v>30.9375</v>
      </c>
      <c r="AC115" s="36" t="n">
        <f aca="false">P115</f>
        <v>47.2041666666667</v>
      </c>
      <c r="AD115" s="36" t="n">
        <f aca="false">Q115</f>
        <v>229.9125</v>
      </c>
      <c r="AE115" s="19" t="n">
        <f aca="false">R115</f>
        <v>0.947171931350695</v>
      </c>
      <c r="AF115" s="36" t="n">
        <f aca="false">Q115*R115</f>
        <v>217.766666666667</v>
      </c>
      <c r="AG115" s="16" t="s">
        <v>74</v>
      </c>
      <c r="AH115" s="31" t="s">
        <v>177</v>
      </c>
    </row>
    <row r="116" customFormat="false" ht="14.25" hidden="false" customHeight="true" outlineLevel="0" collapsed="false">
      <c r="A116" s="32" t="n">
        <v>112</v>
      </c>
      <c r="B116" s="11" t="n">
        <v>13262</v>
      </c>
      <c r="C116" s="11" t="s">
        <v>468</v>
      </c>
      <c r="D116" s="11" t="s">
        <v>468</v>
      </c>
      <c r="E116" s="11" t="s">
        <v>263</v>
      </c>
      <c r="F116" s="11" t="s">
        <v>170</v>
      </c>
      <c r="G116" s="11" t="s">
        <v>264</v>
      </c>
      <c r="H116" s="11" t="s">
        <v>232</v>
      </c>
      <c r="I116" s="11" t="s">
        <v>173</v>
      </c>
      <c r="J116" s="11" t="s">
        <v>371</v>
      </c>
      <c r="K116" s="11" t="s">
        <v>469</v>
      </c>
      <c r="L116" s="11" t="s">
        <v>470</v>
      </c>
      <c r="M116" s="11" t="s">
        <v>173</v>
      </c>
      <c r="N116" s="33" t="n">
        <v>1.51333333333333</v>
      </c>
      <c r="O116" s="33" t="n">
        <v>1.75</v>
      </c>
      <c r="P116" s="33" t="n">
        <v>0.5</v>
      </c>
      <c r="Q116" s="33" t="n">
        <v>3.76333333333333</v>
      </c>
      <c r="R116" s="34" t="n">
        <v>0.211470327723649</v>
      </c>
      <c r="S116" s="33" t="n">
        <v>1.88166666666667</v>
      </c>
      <c r="T116" s="33" t="n">
        <v>1.88166666666667</v>
      </c>
      <c r="U116" s="35" t="n">
        <v>1</v>
      </c>
      <c r="AA116" s="36" t="n">
        <f aca="false">N116</f>
        <v>1.51333333333333</v>
      </c>
      <c r="AB116" s="36" t="n">
        <f aca="false">O116</f>
        <v>1.75</v>
      </c>
      <c r="AC116" s="36" t="n">
        <f aca="false">P116</f>
        <v>0.5</v>
      </c>
      <c r="AD116" s="36" t="n">
        <f aca="false">Q116</f>
        <v>3.76333333333333</v>
      </c>
      <c r="AE116" s="19" t="n">
        <f aca="false">R116</f>
        <v>0.211470327723649</v>
      </c>
      <c r="AF116" s="36" t="n">
        <f aca="false">Q116*R116</f>
        <v>0.795833333333332</v>
      </c>
      <c r="AG116" s="16" t="s">
        <v>70</v>
      </c>
      <c r="AH116" s="31" t="s">
        <v>187</v>
      </c>
    </row>
    <row r="117" customFormat="false" ht="14.25" hidden="true" customHeight="true" outlineLevel="0" collapsed="false">
      <c r="A117" s="32" t="n">
        <v>113</v>
      </c>
      <c r="B117" s="11" t="n">
        <v>13274</v>
      </c>
      <c r="C117" s="11" t="s">
        <v>471</v>
      </c>
      <c r="D117" s="11" t="s">
        <v>472</v>
      </c>
      <c r="E117" s="11" t="s">
        <v>244</v>
      </c>
      <c r="F117" s="11" t="s">
        <v>239</v>
      </c>
      <c r="G117" s="11" t="s">
        <v>245</v>
      </c>
      <c r="H117" s="11" t="s">
        <v>443</v>
      </c>
      <c r="I117" s="11" t="s">
        <v>173</v>
      </c>
      <c r="J117" s="11" t="s">
        <v>174</v>
      </c>
      <c r="K117" s="11" t="s">
        <v>473</v>
      </c>
      <c r="L117" s="11"/>
      <c r="M117" s="11" t="s">
        <v>173</v>
      </c>
      <c r="N117" s="33" t="n">
        <v>0</v>
      </c>
      <c r="O117" s="33" t="n">
        <v>1</v>
      </c>
      <c r="P117" s="33" t="n">
        <v>0</v>
      </c>
      <c r="Q117" s="33" t="n">
        <v>1</v>
      </c>
      <c r="R117" s="34" t="n">
        <v>1</v>
      </c>
      <c r="S117" s="33" t="n">
        <v>0.5</v>
      </c>
      <c r="T117" s="33" t="n">
        <v>0.5</v>
      </c>
      <c r="U117" s="35" t="n">
        <v>1</v>
      </c>
      <c r="AA117" s="36" t="n">
        <f aca="false">N117</f>
        <v>0</v>
      </c>
      <c r="AB117" s="36" t="n">
        <f aca="false">O117</f>
        <v>1</v>
      </c>
      <c r="AC117" s="36" t="n">
        <f aca="false">P117</f>
        <v>0</v>
      </c>
      <c r="AD117" s="36" t="n">
        <f aca="false">Q117</f>
        <v>1</v>
      </c>
      <c r="AE117" s="19" t="n">
        <f aca="false">R117</f>
        <v>1</v>
      </c>
      <c r="AF117" s="36" t="n">
        <f aca="false">Q117*R117</f>
        <v>1</v>
      </c>
      <c r="AG117" s="16" t="s">
        <v>72</v>
      </c>
      <c r="AH117" s="31" t="s">
        <v>177</v>
      </c>
    </row>
    <row r="118" customFormat="false" ht="14.25" hidden="true" customHeight="true" outlineLevel="0" collapsed="false">
      <c r="A118" s="32" t="n">
        <v>114</v>
      </c>
      <c r="B118" s="11" t="n">
        <v>13314</v>
      </c>
      <c r="C118" s="11" t="s">
        <v>474</v>
      </c>
      <c r="D118" s="11" t="s">
        <v>475</v>
      </c>
      <c r="E118" s="11" t="s">
        <v>341</v>
      </c>
      <c r="F118" s="11" t="s">
        <v>342</v>
      </c>
      <c r="G118" s="11" t="s">
        <v>342</v>
      </c>
      <c r="H118" s="11" t="s">
        <v>443</v>
      </c>
      <c r="I118" s="11" t="s">
        <v>173</v>
      </c>
      <c r="J118" s="11" t="s">
        <v>174</v>
      </c>
      <c r="K118" s="11" t="s">
        <v>476</v>
      </c>
      <c r="L118" s="11" t="s">
        <v>278</v>
      </c>
      <c r="M118" s="11" t="s">
        <v>173</v>
      </c>
      <c r="N118" s="33" t="n">
        <v>28.6066770833333</v>
      </c>
      <c r="O118" s="33" t="n">
        <v>11</v>
      </c>
      <c r="P118" s="33" t="n">
        <v>9.14166666666666</v>
      </c>
      <c r="Q118" s="33" t="n">
        <v>50.0650104166667</v>
      </c>
      <c r="R118" s="34" t="n">
        <v>0.862641095192688</v>
      </c>
      <c r="S118" s="33" t="n">
        <v>25.0325052083333</v>
      </c>
      <c r="T118" s="33" t="n">
        <v>25.0325052083333</v>
      </c>
      <c r="U118" s="35" t="n">
        <v>1</v>
      </c>
      <c r="AA118" s="36" t="n">
        <f aca="false">N118</f>
        <v>28.6066770833333</v>
      </c>
      <c r="AB118" s="36" t="n">
        <f aca="false">O118</f>
        <v>11</v>
      </c>
      <c r="AC118" s="36" t="n">
        <f aca="false">P118</f>
        <v>9.14166666666666</v>
      </c>
      <c r="AD118" s="36" t="n">
        <f aca="false">Q118</f>
        <v>50.0650104166667</v>
      </c>
      <c r="AE118" s="19" t="n">
        <f aca="false">R118</f>
        <v>0.862641095192688</v>
      </c>
      <c r="AF118" s="36" t="n">
        <f aca="false">Q118*R118</f>
        <v>43.1881354166667</v>
      </c>
      <c r="AG118" s="16" t="s">
        <v>72</v>
      </c>
      <c r="AH118" s="31" t="s">
        <v>187</v>
      </c>
    </row>
    <row r="119" customFormat="false" ht="14.25" hidden="false" customHeight="true" outlineLevel="0" collapsed="false">
      <c r="A119" s="32" t="n">
        <v>115</v>
      </c>
      <c r="B119" s="11" t="n">
        <v>13405</v>
      </c>
      <c r="C119" s="11" t="s">
        <v>477</v>
      </c>
      <c r="D119" s="11" t="s">
        <v>478</v>
      </c>
      <c r="E119" s="11" t="s">
        <v>263</v>
      </c>
      <c r="F119" s="11" t="s">
        <v>170</v>
      </c>
      <c r="G119" s="11" t="s">
        <v>264</v>
      </c>
      <c r="H119" s="11" t="s">
        <v>232</v>
      </c>
      <c r="I119" s="11" t="s">
        <v>173</v>
      </c>
      <c r="J119" s="11" t="s">
        <v>371</v>
      </c>
      <c r="K119" s="11" t="s">
        <v>479</v>
      </c>
      <c r="L119" s="11" t="s">
        <v>176</v>
      </c>
      <c r="M119" s="11" t="s">
        <v>173</v>
      </c>
      <c r="N119" s="33" t="n">
        <v>0</v>
      </c>
      <c r="O119" s="33" t="n">
        <v>0</v>
      </c>
      <c r="P119" s="33" t="n">
        <v>0</v>
      </c>
      <c r="Q119" s="33" t="n">
        <v>0</v>
      </c>
      <c r="R119" s="34" t="n">
        <v>0</v>
      </c>
      <c r="S119" s="33"/>
      <c r="T119" s="33"/>
      <c r="U119" s="35" t="n">
        <v>1</v>
      </c>
      <c r="AA119" s="36" t="n">
        <f aca="false">N119</f>
        <v>0</v>
      </c>
      <c r="AB119" s="36" t="n">
        <f aca="false">O119</f>
        <v>0</v>
      </c>
      <c r="AC119" s="36" t="n">
        <f aca="false">P119</f>
        <v>0</v>
      </c>
      <c r="AD119" s="36" t="n">
        <f aca="false">Q119</f>
        <v>0</v>
      </c>
      <c r="AE119" s="19" t="n">
        <f aca="false">R119</f>
        <v>0</v>
      </c>
      <c r="AF119" s="36" t="n">
        <f aca="false">Q119*R119</f>
        <v>0</v>
      </c>
      <c r="AG119" s="16" t="s">
        <v>70</v>
      </c>
      <c r="AH119" s="31" t="s">
        <v>187</v>
      </c>
    </row>
    <row r="120" customFormat="false" ht="14.25" hidden="true" customHeight="true" outlineLevel="0" collapsed="false">
      <c r="A120" s="32" t="n">
        <v>116</v>
      </c>
      <c r="B120" s="11" t="n">
        <v>13453</v>
      </c>
      <c r="C120" s="11" t="s">
        <v>480</v>
      </c>
      <c r="D120" s="11" t="s">
        <v>481</v>
      </c>
      <c r="E120" s="11" t="s">
        <v>244</v>
      </c>
      <c r="F120" s="11" t="s">
        <v>239</v>
      </c>
      <c r="G120" s="11" t="s">
        <v>245</v>
      </c>
      <c r="H120" s="11" t="s">
        <v>443</v>
      </c>
      <c r="I120" s="11" t="s">
        <v>173</v>
      </c>
      <c r="J120" s="11" t="s">
        <v>174</v>
      </c>
      <c r="K120" s="11" t="s">
        <v>385</v>
      </c>
      <c r="L120" s="11"/>
      <c r="M120" s="11" t="s">
        <v>173</v>
      </c>
      <c r="N120" s="33" t="n">
        <v>0.9</v>
      </c>
      <c r="O120" s="33" t="n">
        <v>0.3</v>
      </c>
      <c r="P120" s="33" t="n">
        <v>0</v>
      </c>
      <c r="Q120" s="33" t="n">
        <v>9.9375</v>
      </c>
      <c r="R120" s="34" t="n">
        <v>0.904402515723271</v>
      </c>
      <c r="S120" s="33" t="n">
        <v>4.96875</v>
      </c>
      <c r="T120" s="33" t="n">
        <v>4.96875</v>
      </c>
      <c r="U120" s="35" t="n">
        <v>1</v>
      </c>
      <c r="AA120" s="36" t="n">
        <f aca="false">N120</f>
        <v>0.9</v>
      </c>
      <c r="AB120" s="36" t="n">
        <f aca="false">O120</f>
        <v>0.3</v>
      </c>
      <c r="AC120" s="36" t="n">
        <f aca="false">P120</f>
        <v>0</v>
      </c>
      <c r="AD120" s="36" t="n">
        <f aca="false">Q120</f>
        <v>9.9375</v>
      </c>
      <c r="AE120" s="19" t="n">
        <f aca="false">R120</f>
        <v>0.904402515723271</v>
      </c>
      <c r="AF120" s="36" t="n">
        <f aca="false">Q120*R120</f>
        <v>8.98750000000001</v>
      </c>
      <c r="AG120" s="16" t="s">
        <v>72</v>
      </c>
      <c r="AH120" s="31" t="s">
        <v>177</v>
      </c>
    </row>
    <row r="121" customFormat="false" ht="14.25" hidden="true" customHeight="true" outlineLevel="0" collapsed="false">
      <c r="A121" s="32" t="n">
        <v>117</v>
      </c>
      <c r="B121" s="11" t="n">
        <v>13476</v>
      </c>
      <c r="C121" s="11" t="s">
        <v>482</v>
      </c>
      <c r="D121" s="11" t="s">
        <v>483</v>
      </c>
      <c r="E121" s="11" t="s">
        <v>54</v>
      </c>
      <c r="F121" s="11" t="s">
        <v>239</v>
      </c>
      <c r="G121" s="11"/>
      <c r="H121" s="11" t="s">
        <v>172</v>
      </c>
      <c r="I121" s="11" t="s">
        <v>173</v>
      </c>
      <c r="J121" s="11" t="s">
        <v>174</v>
      </c>
      <c r="K121" s="11" t="s">
        <v>484</v>
      </c>
      <c r="L121" s="11" t="s">
        <v>278</v>
      </c>
      <c r="M121" s="11" t="s">
        <v>182</v>
      </c>
      <c r="N121" s="33" t="n">
        <v>57.149875</v>
      </c>
      <c r="O121" s="33" t="n">
        <v>23.3020833333333</v>
      </c>
      <c r="P121" s="33" t="n">
        <v>42.0866666666667</v>
      </c>
      <c r="Q121" s="33" t="n">
        <v>122.538625</v>
      </c>
      <c r="R121" s="34" t="n">
        <v>0.880779087682217</v>
      </c>
      <c r="S121" s="33" t="n">
        <v>61.2693125</v>
      </c>
      <c r="T121" s="33" t="n">
        <v>61.2693125</v>
      </c>
      <c r="U121" s="35" t="n">
        <v>1</v>
      </c>
      <c r="AA121" s="36" t="n">
        <f aca="false">N121</f>
        <v>57.149875</v>
      </c>
      <c r="AB121" s="36" t="n">
        <f aca="false">O121</f>
        <v>23.3020833333333</v>
      </c>
      <c r="AC121" s="36" t="n">
        <f aca="false">P121</f>
        <v>42.0866666666667</v>
      </c>
      <c r="AD121" s="36" t="n">
        <f aca="false">Q121</f>
        <v>122.538625</v>
      </c>
      <c r="AE121" s="19" t="n">
        <f aca="false">R121</f>
        <v>0.880779087682217</v>
      </c>
      <c r="AF121" s="36" t="n">
        <f aca="false">Q121*R121</f>
        <v>107.929458333333</v>
      </c>
      <c r="AG121" s="16" t="s">
        <v>74</v>
      </c>
      <c r="AH121" s="31" t="s">
        <v>177</v>
      </c>
    </row>
    <row r="122" customFormat="false" ht="14.25" hidden="true" customHeight="true" outlineLevel="0" collapsed="false">
      <c r="A122" s="32" t="n">
        <v>118</v>
      </c>
      <c r="B122" s="11" t="n">
        <v>13500</v>
      </c>
      <c r="C122" s="11" t="s">
        <v>485</v>
      </c>
      <c r="D122" s="11" t="s">
        <v>486</v>
      </c>
      <c r="E122" s="11" t="s">
        <v>244</v>
      </c>
      <c r="F122" s="11" t="s">
        <v>239</v>
      </c>
      <c r="G122" s="11" t="s">
        <v>245</v>
      </c>
      <c r="H122" s="11" t="s">
        <v>172</v>
      </c>
      <c r="I122" s="11" t="s">
        <v>173</v>
      </c>
      <c r="J122" s="11" t="s">
        <v>174</v>
      </c>
      <c r="K122" s="11" t="s">
        <v>246</v>
      </c>
      <c r="L122" s="11"/>
      <c r="M122" s="11" t="s">
        <v>173</v>
      </c>
      <c r="N122" s="33" t="n">
        <v>0.5</v>
      </c>
      <c r="O122" s="33" t="n">
        <v>0.2</v>
      </c>
      <c r="P122" s="33" t="n">
        <v>0</v>
      </c>
      <c r="Q122" s="33" t="n">
        <v>0.595833333333333</v>
      </c>
      <c r="R122" s="34" t="n">
        <v>0.664335664335664</v>
      </c>
      <c r="S122" s="33" t="n">
        <v>0.297916666666667</v>
      </c>
      <c r="T122" s="33" t="n">
        <v>0.297916666666667</v>
      </c>
      <c r="U122" s="35" t="n">
        <v>1</v>
      </c>
      <c r="AA122" s="36" t="n">
        <f aca="false">N122</f>
        <v>0.5</v>
      </c>
      <c r="AB122" s="36" t="n">
        <f aca="false">O122</f>
        <v>0.2</v>
      </c>
      <c r="AC122" s="36" t="n">
        <f aca="false">P122</f>
        <v>0</v>
      </c>
      <c r="AD122" s="36" t="n">
        <f aca="false">Q122</f>
        <v>0.595833333333333</v>
      </c>
      <c r="AE122" s="19" t="n">
        <f aca="false">R122</f>
        <v>0.664335664335664</v>
      </c>
      <c r="AF122" s="36" t="n">
        <f aca="false">Q122*R122</f>
        <v>0.395833333333333</v>
      </c>
      <c r="AG122" s="16" t="s">
        <v>72</v>
      </c>
      <c r="AH122" s="31" t="s">
        <v>192</v>
      </c>
    </row>
    <row r="123" customFormat="false" ht="14.25" hidden="true" customHeight="true" outlineLevel="0" collapsed="false">
      <c r="A123" s="32" t="n">
        <v>119</v>
      </c>
      <c r="B123" s="11" t="n">
        <v>13676</v>
      </c>
      <c r="C123" s="11" t="s">
        <v>487</v>
      </c>
      <c r="D123" s="11" t="s">
        <v>488</v>
      </c>
      <c r="E123" s="11" t="s">
        <v>54</v>
      </c>
      <c r="F123" s="11" t="s">
        <v>318</v>
      </c>
      <c r="G123" s="11" t="s">
        <v>318</v>
      </c>
      <c r="H123" s="11" t="s">
        <v>172</v>
      </c>
      <c r="I123" s="11" t="s">
        <v>173</v>
      </c>
      <c r="J123" s="11" t="s">
        <v>371</v>
      </c>
      <c r="K123" s="11" t="s">
        <v>489</v>
      </c>
      <c r="L123" s="11" t="s">
        <v>176</v>
      </c>
      <c r="M123" s="11" t="s">
        <v>173</v>
      </c>
      <c r="N123" s="33" t="n">
        <v>11.5729166666667</v>
      </c>
      <c r="O123" s="33" t="n">
        <v>2.33333333333333</v>
      </c>
      <c r="P123" s="33" t="n">
        <v>2.13541666666667</v>
      </c>
      <c r="Q123" s="33" t="n">
        <v>16.0416666666667</v>
      </c>
      <c r="R123" s="34" t="n">
        <v>0.937662337662338</v>
      </c>
      <c r="S123" s="33" t="n">
        <v>8.02083333333333</v>
      </c>
      <c r="T123" s="33" t="n">
        <v>8.02083333333333</v>
      </c>
      <c r="U123" s="35" t="n">
        <v>1</v>
      </c>
      <c r="AA123" s="36" t="n">
        <f aca="false">N123</f>
        <v>11.5729166666667</v>
      </c>
      <c r="AB123" s="36" t="n">
        <f aca="false">O123</f>
        <v>2.33333333333333</v>
      </c>
      <c r="AC123" s="36" t="n">
        <f aca="false">P123</f>
        <v>2.13541666666667</v>
      </c>
      <c r="AD123" s="36" t="n">
        <f aca="false">Q123</f>
        <v>16.0416666666667</v>
      </c>
      <c r="AE123" s="19" t="n">
        <f aca="false">R123</f>
        <v>0.937662337662338</v>
      </c>
      <c r="AF123" s="36" t="n">
        <f aca="false">Q123*R123</f>
        <v>15.0416666666667</v>
      </c>
      <c r="AG123" s="16" t="s">
        <v>70</v>
      </c>
      <c r="AH123" s="31" t="s">
        <v>192</v>
      </c>
    </row>
    <row r="124" customFormat="false" ht="14.25" hidden="true" customHeight="true" outlineLevel="0" collapsed="false">
      <c r="A124" s="32" t="n">
        <v>120</v>
      </c>
      <c r="B124" s="11" t="n">
        <v>13721</v>
      </c>
      <c r="C124" s="11" t="s">
        <v>490</v>
      </c>
      <c r="D124" s="11" t="s">
        <v>491</v>
      </c>
      <c r="E124" s="11" t="s">
        <v>169</v>
      </c>
      <c r="F124" s="11" t="s">
        <v>170</v>
      </c>
      <c r="G124" s="11" t="s">
        <v>171</v>
      </c>
      <c r="H124" s="11" t="s">
        <v>172</v>
      </c>
      <c r="I124" s="11" t="s">
        <v>173</v>
      </c>
      <c r="J124" s="11" t="s">
        <v>174</v>
      </c>
      <c r="K124" s="11" t="s">
        <v>461</v>
      </c>
      <c r="L124" s="11" t="s">
        <v>278</v>
      </c>
      <c r="M124" s="11" t="s">
        <v>173</v>
      </c>
      <c r="N124" s="33" t="n">
        <v>1.66666666666667</v>
      </c>
      <c r="O124" s="33" t="n">
        <v>0.708333333333333</v>
      </c>
      <c r="P124" s="33" t="n">
        <v>0.583333333333333</v>
      </c>
      <c r="Q124" s="33" t="n">
        <v>2.95833333333333</v>
      </c>
      <c r="R124" s="34" t="n">
        <v>0.915492957746479</v>
      </c>
      <c r="S124" s="33" t="n">
        <v>1.47916666666667</v>
      </c>
      <c r="T124" s="33" t="n">
        <v>1.47916666666667</v>
      </c>
      <c r="U124" s="35" t="n">
        <v>1</v>
      </c>
      <c r="AA124" s="36" t="n">
        <f aca="false">N124</f>
        <v>1.66666666666667</v>
      </c>
      <c r="AB124" s="36" t="n">
        <f aca="false">O124</f>
        <v>0.708333333333333</v>
      </c>
      <c r="AC124" s="36" t="n">
        <f aca="false">P124</f>
        <v>0.583333333333333</v>
      </c>
      <c r="AD124" s="36" t="n">
        <f aca="false">Q124</f>
        <v>2.95833333333333</v>
      </c>
      <c r="AE124" s="19" t="n">
        <f aca="false">R124</f>
        <v>0.915492957746479</v>
      </c>
      <c r="AF124" s="36" t="n">
        <f aca="false">Q124*R124</f>
        <v>2.70833333333333</v>
      </c>
      <c r="AG124" s="16" t="s">
        <v>72</v>
      </c>
      <c r="AH124" s="31" t="s">
        <v>197</v>
      </c>
    </row>
    <row r="125" customFormat="false" ht="14.25" hidden="true" customHeight="true" outlineLevel="0" collapsed="false">
      <c r="A125" s="32" t="n">
        <v>121</v>
      </c>
      <c r="B125" s="11" t="n">
        <v>13738</v>
      </c>
      <c r="C125" s="11" t="s">
        <v>492</v>
      </c>
      <c r="D125" s="11" t="s">
        <v>492</v>
      </c>
      <c r="E125" s="11" t="s">
        <v>299</v>
      </c>
      <c r="F125" s="11" t="s">
        <v>290</v>
      </c>
      <c r="G125" s="11" t="s">
        <v>300</v>
      </c>
      <c r="H125" s="11" t="s">
        <v>172</v>
      </c>
      <c r="I125" s="11" t="s">
        <v>173</v>
      </c>
      <c r="J125" s="11" t="s">
        <v>371</v>
      </c>
      <c r="K125" s="11" t="s">
        <v>275</v>
      </c>
      <c r="L125" s="11" t="s">
        <v>278</v>
      </c>
      <c r="M125" s="11" t="s">
        <v>182</v>
      </c>
      <c r="N125" s="33" t="n">
        <v>0.333333333333333</v>
      </c>
      <c r="O125" s="33" t="n">
        <v>0.25</v>
      </c>
      <c r="P125" s="33" t="n">
        <v>0.0833333333333333</v>
      </c>
      <c r="Q125" s="33" t="n">
        <v>0.666666666666667</v>
      </c>
      <c r="R125" s="34" t="n">
        <v>1</v>
      </c>
      <c r="S125" s="33" t="n">
        <v>0.333333333333333</v>
      </c>
      <c r="T125" s="33" t="n">
        <v>0.333333333333333</v>
      </c>
      <c r="U125" s="35" t="n">
        <v>1</v>
      </c>
      <c r="AA125" s="36" t="n">
        <f aca="false">N125</f>
        <v>0.333333333333333</v>
      </c>
      <c r="AB125" s="36" t="n">
        <f aca="false">O125</f>
        <v>0.25</v>
      </c>
      <c r="AC125" s="36" t="n">
        <f aca="false">P125</f>
        <v>0.0833333333333333</v>
      </c>
      <c r="AD125" s="36" t="n">
        <f aca="false">Q125</f>
        <v>0.666666666666667</v>
      </c>
      <c r="AE125" s="19" t="n">
        <f aca="false">R125</f>
        <v>1</v>
      </c>
      <c r="AF125" s="36" t="n">
        <f aca="false">Q125*R125</f>
        <v>0.666666666666667</v>
      </c>
      <c r="AG125" s="16" t="s">
        <v>74</v>
      </c>
      <c r="AH125" s="31" t="s">
        <v>197</v>
      </c>
    </row>
    <row r="126" customFormat="false" ht="14.25" hidden="false" customHeight="true" outlineLevel="0" collapsed="false">
      <c r="A126" s="32" t="n">
        <v>122</v>
      </c>
      <c r="B126" s="11" t="n">
        <v>13812</v>
      </c>
      <c r="C126" s="11" t="s">
        <v>493</v>
      </c>
      <c r="D126" s="11" t="s">
        <v>494</v>
      </c>
      <c r="E126" s="11" t="s">
        <v>263</v>
      </c>
      <c r="F126" s="11" t="s">
        <v>170</v>
      </c>
      <c r="G126" s="11" t="s">
        <v>264</v>
      </c>
      <c r="H126" s="11" t="s">
        <v>172</v>
      </c>
      <c r="I126" s="11" t="s">
        <v>173</v>
      </c>
      <c r="J126" s="11" t="s">
        <v>174</v>
      </c>
      <c r="K126" s="11" t="s">
        <v>246</v>
      </c>
      <c r="L126" s="11"/>
      <c r="M126" s="11" t="s">
        <v>173</v>
      </c>
      <c r="N126" s="33" t="n">
        <v>2.04</v>
      </c>
      <c r="O126" s="33" t="n">
        <v>1.7</v>
      </c>
      <c r="P126" s="33" t="n">
        <v>0</v>
      </c>
      <c r="Q126" s="33" t="n">
        <v>3.74</v>
      </c>
      <c r="R126" s="34" t="n">
        <v>0.308377896613191</v>
      </c>
      <c r="S126" s="33" t="n">
        <v>1.87</v>
      </c>
      <c r="T126" s="33" t="n">
        <v>1.87</v>
      </c>
      <c r="U126" s="35" t="n">
        <v>1</v>
      </c>
      <c r="AA126" s="36" t="n">
        <f aca="false">N126</f>
        <v>2.04</v>
      </c>
      <c r="AB126" s="36" t="n">
        <f aca="false">O126</f>
        <v>1.7</v>
      </c>
      <c r="AC126" s="36" t="n">
        <f aca="false">P126</f>
        <v>0</v>
      </c>
      <c r="AD126" s="36" t="n">
        <f aca="false">Q126</f>
        <v>3.74</v>
      </c>
      <c r="AE126" s="19" t="n">
        <f aca="false">R126</f>
        <v>0.308377896613191</v>
      </c>
      <c r="AF126" s="36" t="n">
        <f aca="false">Q126*R126</f>
        <v>1.15333333333333</v>
      </c>
      <c r="AG126" s="16" t="s">
        <v>72</v>
      </c>
      <c r="AH126" s="31" t="s">
        <v>233</v>
      </c>
    </row>
    <row r="127" customFormat="false" ht="14.25" hidden="true" customHeight="true" outlineLevel="0" collapsed="false">
      <c r="A127" s="32" t="n">
        <v>123</v>
      </c>
      <c r="B127" s="11" t="n">
        <v>13820</v>
      </c>
      <c r="C127" s="11" t="s">
        <v>495</v>
      </c>
      <c r="D127" s="11" t="s">
        <v>496</v>
      </c>
      <c r="E127" s="11" t="s">
        <v>249</v>
      </c>
      <c r="F127" s="11" t="s">
        <v>239</v>
      </c>
      <c r="G127" s="11" t="s">
        <v>250</v>
      </c>
      <c r="H127" s="11" t="s">
        <v>232</v>
      </c>
      <c r="I127" s="11" t="s">
        <v>173</v>
      </c>
      <c r="J127" s="11" t="s">
        <v>174</v>
      </c>
      <c r="K127" s="11" t="s">
        <v>275</v>
      </c>
      <c r="L127" s="11" t="s">
        <v>278</v>
      </c>
      <c r="M127" s="11" t="s">
        <v>173</v>
      </c>
      <c r="N127" s="33" t="n">
        <v>20.5904166666667</v>
      </c>
      <c r="O127" s="33" t="n">
        <v>5.04583333333333</v>
      </c>
      <c r="P127" s="33" t="n">
        <v>18.1458333333333</v>
      </c>
      <c r="Q127" s="33" t="n">
        <v>43.7820833333333</v>
      </c>
      <c r="R127" s="34" t="n">
        <v>0.983659602006148</v>
      </c>
      <c r="S127" s="33" t="n">
        <v>21.8910416666667</v>
      </c>
      <c r="T127" s="33" t="n">
        <v>21.8910416666667</v>
      </c>
      <c r="U127" s="35" t="n">
        <v>1</v>
      </c>
      <c r="AA127" s="36" t="n">
        <f aca="false">N127</f>
        <v>20.5904166666667</v>
      </c>
      <c r="AB127" s="36" t="n">
        <f aca="false">O127</f>
        <v>5.04583333333333</v>
      </c>
      <c r="AC127" s="36" t="n">
        <f aca="false">P127</f>
        <v>18.1458333333333</v>
      </c>
      <c r="AD127" s="36" t="n">
        <f aca="false">Q127</f>
        <v>43.7820833333333</v>
      </c>
      <c r="AE127" s="19" t="n">
        <f aca="false">R127</f>
        <v>0.983659602006148</v>
      </c>
      <c r="AF127" s="36" t="n">
        <f aca="false">Q127*R127</f>
        <v>43.0666666666666</v>
      </c>
      <c r="AG127" s="16" t="s">
        <v>72</v>
      </c>
      <c r="AH127" s="31" t="s">
        <v>192</v>
      </c>
    </row>
    <row r="128" customFormat="false" ht="14.25" hidden="true" customHeight="true" outlineLevel="0" collapsed="false">
      <c r="A128" s="32" t="n">
        <v>124</v>
      </c>
      <c r="B128" s="11" t="n">
        <v>13856</v>
      </c>
      <c r="C128" s="11" t="s">
        <v>497</v>
      </c>
      <c r="D128" s="11" t="s">
        <v>498</v>
      </c>
      <c r="E128" s="11" t="s">
        <v>259</v>
      </c>
      <c r="F128" s="11" t="s">
        <v>239</v>
      </c>
      <c r="G128" s="11" t="s">
        <v>260</v>
      </c>
      <c r="H128" s="11" t="s">
        <v>172</v>
      </c>
      <c r="I128" s="11" t="s">
        <v>173</v>
      </c>
      <c r="J128" s="11" t="s">
        <v>174</v>
      </c>
      <c r="K128" s="11" t="s">
        <v>499</v>
      </c>
      <c r="L128" s="11"/>
      <c r="M128" s="11" t="s">
        <v>173</v>
      </c>
      <c r="N128" s="33" t="n">
        <v>4.4025</v>
      </c>
      <c r="O128" s="33" t="n">
        <v>1.95833333333333</v>
      </c>
      <c r="P128" s="33" t="n">
        <v>0.0416666666666667</v>
      </c>
      <c r="Q128" s="33" t="n">
        <v>6.4025</v>
      </c>
      <c r="R128" s="34" t="n">
        <v>0.957698815566836</v>
      </c>
      <c r="S128" s="33" t="n">
        <v>3.20125</v>
      </c>
      <c r="T128" s="33" t="n">
        <v>3.20125</v>
      </c>
      <c r="U128" s="35" t="n">
        <v>1</v>
      </c>
      <c r="AA128" s="36" t="n">
        <f aca="false">N128</f>
        <v>4.4025</v>
      </c>
      <c r="AB128" s="36" t="n">
        <f aca="false">O128</f>
        <v>1.95833333333333</v>
      </c>
      <c r="AC128" s="36" t="n">
        <f aca="false">P128</f>
        <v>0.0416666666666667</v>
      </c>
      <c r="AD128" s="36" t="n">
        <f aca="false">Q128</f>
        <v>6.4025</v>
      </c>
      <c r="AE128" s="19" t="n">
        <f aca="false">R128</f>
        <v>0.957698815566836</v>
      </c>
      <c r="AF128" s="36" t="n">
        <f aca="false">Q128*R128</f>
        <v>6.13166666666667</v>
      </c>
      <c r="AG128" s="16" t="s">
        <v>72</v>
      </c>
      <c r="AH128" s="31" t="s">
        <v>192</v>
      </c>
    </row>
    <row r="129" customFormat="false" ht="14.25" hidden="true" customHeight="true" outlineLevel="0" collapsed="false">
      <c r="A129" s="32" t="n">
        <v>125</v>
      </c>
      <c r="B129" s="11" t="n">
        <v>13863</v>
      </c>
      <c r="C129" s="11" t="s">
        <v>500</v>
      </c>
      <c r="D129" s="11" t="s">
        <v>501</v>
      </c>
      <c r="E129" s="11" t="s">
        <v>238</v>
      </c>
      <c r="F129" s="11" t="s">
        <v>239</v>
      </c>
      <c r="G129" s="11" t="s">
        <v>240</v>
      </c>
      <c r="H129" s="11" t="s">
        <v>232</v>
      </c>
      <c r="I129" s="11" t="s">
        <v>173</v>
      </c>
      <c r="J129" s="11" t="s">
        <v>371</v>
      </c>
      <c r="K129" s="11" t="s">
        <v>275</v>
      </c>
      <c r="L129" s="11" t="s">
        <v>176</v>
      </c>
      <c r="M129" s="11" t="s">
        <v>173</v>
      </c>
      <c r="N129" s="33" t="n">
        <v>1</v>
      </c>
      <c r="O129" s="33" t="n">
        <v>0</v>
      </c>
      <c r="P129" s="33" t="n">
        <v>0</v>
      </c>
      <c r="Q129" s="33" t="n">
        <v>0</v>
      </c>
      <c r="R129" s="34" t="n">
        <v>0</v>
      </c>
      <c r="S129" s="33" t="n">
        <v>0</v>
      </c>
      <c r="T129" s="33" t="n">
        <v>0</v>
      </c>
      <c r="U129" s="35" t="n">
        <v>1</v>
      </c>
      <c r="AA129" s="36" t="n">
        <f aca="false">N129</f>
        <v>1</v>
      </c>
      <c r="AB129" s="36" t="n">
        <f aca="false">O129</f>
        <v>0</v>
      </c>
      <c r="AC129" s="36" t="n">
        <f aca="false">P129</f>
        <v>0</v>
      </c>
      <c r="AD129" s="36" t="n">
        <f aca="false">Q129</f>
        <v>0</v>
      </c>
      <c r="AE129" s="19" t="n">
        <f aca="false">R129</f>
        <v>0</v>
      </c>
      <c r="AF129" s="36" t="n">
        <f aca="false">Q129*R129</f>
        <v>0</v>
      </c>
      <c r="AG129" s="16" t="s">
        <v>70</v>
      </c>
      <c r="AH129" s="31" t="s">
        <v>197</v>
      </c>
    </row>
    <row r="130" customFormat="false" ht="14.25" hidden="true" customHeight="true" outlineLevel="0" collapsed="false">
      <c r="A130" s="32" t="n">
        <v>126</v>
      </c>
      <c r="B130" s="11" t="n">
        <v>13884</v>
      </c>
      <c r="C130" s="11" t="s">
        <v>502</v>
      </c>
      <c r="D130" s="11" t="s">
        <v>503</v>
      </c>
      <c r="E130" s="11" t="s">
        <v>244</v>
      </c>
      <c r="F130" s="11" t="s">
        <v>239</v>
      </c>
      <c r="G130" s="11" t="s">
        <v>245</v>
      </c>
      <c r="H130" s="11" t="s">
        <v>172</v>
      </c>
      <c r="I130" s="11" t="s">
        <v>173</v>
      </c>
      <c r="J130" s="11" t="s">
        <v>174</v>
      </c>
      <c r="K130" s="11" t="s">
        <v>275</v>
      </c>
      <c r="L130" s="11"/>
      <c r="M130" s="11" t="s">
        <v>173</v>
      </c>
      <c r="N130" s="33" t="n">
        <v>0.4</v>
      </c>
      <c r="O130" s="33" t="n">
        <v>0.3</v>
      </c>
      <c r="P130" s="33" t="n">
        <v>0</v>
      </c>
      <c r="Q130" s="33" t="n">
        <v>4.27625</v>
      </c>
      <c r="R130" s="34" t="n">
        <v>0.909090909090909</v>
      </c>
      <c r="S130" s="33" t="n">
        <v>2.138125</v>
      </c>
      <c r="T130" s="33" t="n">
        <v>2.138125</v>
      </c>
      <c r="U130" s="35" t="n">
        <v>1</v>
      </c>
      <c r="AA130" s="36" t="n">
        <f aca="false">N130</f>
        <v>0.4</v>
      </c>
      <c r="AB130" s="36" t="n">
        <f aca="false">O130</f>
        <v>0.3</v>
      </c>
      <c r="AC130" s="36" t="n">
        <f aca="false">P130</f>
        <v>0</v>
      </c>
      <c r="AD130" s="36" t="n">
        <f aca="false">Q130</f>
        <v>4.27625</v>
      </c>
      <c r="AE130" s="19" t="n">
        <f aca="false">R130</f>
        <v>0.909090909090909</v>
      </c>
      <c r="AF130" s="36" t="n">
        <f aca="false">Q130*R130</f>
        <v>3.8875</v>
      </c>
      <c r="AG130" s="16" t="s">
        <v>72</v>
      </c>
      <c r="AH130" s="31" t="s">
        <v>233</v>
      </c>
    </row>
    <row r="131" customFormat="false" ht="14.25" hidden="true" customHeight="true" outlineLevel="0" collapsed="false">
      <c r="A131" s="32" t="n">
        <v>127</v>
      </c>
      <c r="B131" s="11" t="n">
        <v>13888</v>
      </c>
      <c r="C131" s="11" t="s">
        <v>504</v>
      </c>
      <c r="D131" s="11" t="s">
        <v>505</v>
      </c>
      <c r="E131" s="11" t="s">
        <v>289</v>
      </c>
      <c r="F131" s="11" t="s">
        <v>290</v>
      </c>
      <c r="G131" s="11" t="s">
        <v>313</v>
      </c>
      <c r="H131" s="11" t="s">
        <v>232</v>
      </c>
      <c r="I131" s="11" t="s">
        <v>173</v>
      </c>
      <c r="J131" s="11" t="s">
        <v>174</v>
      </c>
      <c r="K131" s="11" t="s">
        <v>473</v>
      </c>
      <c r="L131" s="11"/>
      <c r="M131" s="11" t="s">
        <v>173</v>
      </c>
      <c r="N131" s="33" t="n">
        <v>2.9475</v>
      </c>
      <c r="O131" s="33" t="n">
        <v>0.5</v>
      </c>
      <c r="P131" s="33" t="n">
        <v>1</v>
      </c>
      <c r="Q131" s="33" t="n">
        <v>4.4475</v>
      </c>
      <c r="R131" s="34" t="n">
        <v>0.240771969271126</v>
      </c>
      <c r="S131" s="33" t="n">
        <v>2.22375</v>
      </c>
      <c r="T131" s="33" t="n">
        <v>2.22375</v>
      </c>
      <c r="U131" s="35" t="n">
        <v>1</v>
      </c>
      <c r="AA131" s="36" t="n">
        <f aca="false">N131</f>
        <v>2.9475</v>
      </c>
      <c r="AB131" s="36" t="n">
        <f aca="false">O131</f>
        <v>0.5</v>
      </c>
      <c r="AC131" s="36" t="n">
        <f aca="false">P131</f>
        <v>1</v>
      </c>
      <c r="AD131" s="36" t="n">
        <f aca="false">Q131</f>
        <v>4.4475</v>
      </c>
      <c r="AE131" s="19" t="n">
        <f aca="false">R131</f>
        <v>0.240771969271126</v>
      </c>
      <c r="AF131" s="36" t="n">
        <f aca="false">Q131*R131</f>
        <v>1.07083333333333</v>
      </c>
      <c r="AG131" s="16" t="s">
        <v>72</v>
      </c>
      <c r="AH131" s="31" t="s">
        <v>197</v>
      </c>
    </row>
    <row r="132" customFormat="false" ht="14.25" hidden="true" customHeight="true" outlineLevel="0" collapsed="false">
      <c r="A132" s="32" t="n">
        <v>128</v>
      </c>
      <c r="B132" s="11" t="n">
        <v>13971</v>
      </c>
      <c r="C132" s="11" t="s">
        <v>506</v>
      </c>
      <c r="D132" s="11" t="s">
        <v>507</v>
      </c>
      <c r="E132" s="11" t="s">
        <v>259</v>
      </c>
      <c r="F132" s="11" t="s">
        <v>239</v>
      </c>
      <c r="G132" s="11" t="s">
        <v>260</v>
      </c>
      <c r="H132" s="11" t="s">
        <v>172</v>
      </c>
      <c r="I132" s="11" t="s">
        <v>173</v>
      </c>
      <c r="J132" s="11" t="s">
        <v>174</v>
      </c>
      <c r="K132" s="11" t="s">
        <v>246</v>
      </c>
      <c r="L132" s="11"/>
      <c r="M132" s="11" t="s">
        <v>173</v>
      </c>
      <c r="N132" s="33" t="n">
        <v>0.954166666666667</v>
      </c>
      <c r="O132" s="33" t="n">
        <v>0.55</v>
      </c>
      <c r="P132" s="33" t="n">
        <v>0</v>
      </c>
      <c r="Q132" s="33" t="n">
        <v>1.50416666666667</v>
      </c>
      <c r="R132" s="34" t="n">
        <v>0.293628808864266</v>
      </c>
      <c r="S132" s="33" t="n">
        <v>0.752083333333333</v>
      </c>
      <c r="T132" s="33" t="n">
        <v>0.752083333333333</v>
      </c>
      <c r="U132" s="35" t="n">
        <v>1</v>
      </c>
      <c r="AA132" s="36" t="n">
        <f aca="false">N132</f>
        <v>0.954166666666667</v>
      </c>
      <c r="AB132" s="36" t="n">
        <f aca="false">O132</f>
        <v>0.55</v>
      </c>
      <c r="AC132" s="36" t="n">
        <f aca="false">P132</f>
        <v>0</v>
      </c>
      <c r="AD132" s="36" t="n">
        <f aca="false">Q132</f>
        <v>1.50416666666667</v>
      </c>
      <c r="AE132" s="19" t="n">
        <f aca="false">R132</f>
        <v>0.293628808864266</v>
      </c>
      <c r="AF132" s="36" t="n">
        <f aca="false">Q132*R132</f>
        <v>0.441666666666668</v>
      </c>
      <c r="AG132" s="16" t="s">
        <v>72</v>
      </c>
      <c r="AH132" s="31" t="s">
        <v>192</v>
      </c>
    </row>
    <row r="133" customFormat="false" ht="14.25" hidden="true" customHeight="true" outlineLevel="0" collapsed="false">
      <c r="A133" s="32" t="n">
        <v>129</v>
      </c>
      <c r="B133" s="11" t="n">
        <v>13982</v>
      </c>
      <c r="C133" s="11" t="s">
        <v>508</v>
      </c>
      <c r="D133" s="11" t="s">
        <v>509</v>
      </c>
      <c r="E133" s="11" t="s">
        <v>238</v>
      </c>
      <c r="F133" s="11" t="s">
        <v>239</v>
      </c>
      <c r="G133" s="11" t="s">
        <v>240</v>
      </c>
      <c r="H133" s="11" t="s">
        <v>172</v>
      </c>
      <c r="I133" s="11" t="s">
        <v>173</v>
      </c>
      <c r="J133" s="11" t="s">
        <v>174</v>
      </c>
      <c r="K133" s="11" t="s">
        <v>275</v>
      </c>
      <c r="L133" s="11"/>
      <c r="M133" s="11" t="s">
        <v>173</v>
      </c>
      <c r="N133" s="33" t="n">
        <v>0.869166666666667</v>
      </c>
      <c r="O133" s="33" t="n">
        <v>0.0333333333333333</v>
      </c>
      <c r="P133" s="33" t="n">
        <v>0</v>
      </c>
      <c r="Q133" s="33" t="n">
        <v>0.9025</v>
      </c>
      <c r="R133" s="34" t="n">
        <v>1</v>
      </c>
      <c r="S133" s="33" t="n">
        <v>0.45125</v>
      </c>
      <c r="T133" s="33" t="n">
        <v>0.45125</v>
      </c>
      <c r="U133" s="35" t="n">
        <v>1</v>
      </c>
      <c r="AA133" s="36" t="n">
        <f aca="false">N133</f>
        <v>0.869166666666667</v>
      </c>
      <c r="AB133" s="36" t="n">
        <f aca="false">O133</f>
        <v>0.0333333333333333</v>
      </c>
      <c r="AC133" s="36" t="n">
        <f aca="false">P133</f>
        <v>0</v>
      </c>
      <c r="AD133" s="36" t="n">
        <f aca="false">Q133</f>
        <v>0.9025</v>
      </c>
      <c r="AE133" s="19" t="n">
        <f aca="false">R133</f>
        <v>1</v>
      </c>
      <c r="AF133" s="36" t="n">
        <f aca="false">Q133*R133</f>
        <v>0.9025</v>
      </c>
      <c r="AG133" s="16" t="s">
        <v>72</v>
      </c>
      <c r="AH133" s="31" t="s">
        <v>233</v>
      </c>
    </row>
    <row r="134" customFormat="false" ht="14.25" hidden="true" customHeight="true" outlineLevel="0" collapsed="false">
      <c r="A134" s="32" t="n">
        <v>130</v>
      </c>
      <c r="B134" s="11" t="n">
        <v>14049</v>
      </c>
      <c r="C134" s="11" t="s">
        <v>510</v>
      </c>
      <c r="D134" s="11" t="s">
        <v>511</v>
      </c>
      <c r="E134" s="11" t="s">
        <v>299</v>
      </c>
      <c r="F134" s="11" t="s">
        <v>290</v>
      </c>
      <c r="G134" s="11" t="s">
        <v>300</v>
      </c>
      <c r="H134" s="11" t="s">
        <v>232</v>
      </c>
      <c r="I134" s="11" t="s">
        <v>173</v>
      </c>
      <c r="J134" s="11" t="s">
        <v>174</v>
      </c>
      <c r="K134" s="11" t="s">
        <v>512</v>
      </c>
      <c r="L134" s="11" t="s">
        <v>278</v>
      </c>
      <c r="M134" s="11" t="s">
        <v>182</v>
      </c>
      <c r="N134" s="33" t="n">
        <v>0</v>
      </c>
      <c r="O134" s="33" t="n">
        <v>0</v>
      </c>
      <c r="P134" s="33" t="n">
        <v>0.125</v>
      </c>
      <c r="Q134" s="33" t="n">
        <v>0.125</v>
      </c>
      <c r="R134" s="34" t="n">
        <v>1</v>
      </c>
      <c r="S134" s="33" t="n">
        <v>0.0625</v>
      </c>
      <c r="T134" s="33" t="n">
        <v>0.0625</v>
      </c>
      <c r="U134" s="35" t="n">
        <v>1</v>
      </c>
      <c r="AA134" s="36" t="n">
        <f aca="false">N134</f>
        <v>0</v>
      </c>
      <c r="AB134" s="36" t="n">
        <f aca="false">O134</f>
        <v>0</v>
      </c>
      <c r="AC134" s="36" t="n">
        <f aca="false">P134</f>
        <v>0.125</v>
      </c>
      <c r="AD134" s="36" t="n">
        <f aca="false">Q134</f>
        <v>0.125</v>
      </c>
      <c r="AE134" s="19" t="n">
        <f aca="false">R134</f>
        <v>1</v>
      </c>
      <c r="AF134" s="36" t="n">
        <f aca="false">Q134*R134</f>
        <v>0.125</v>
      </c>
      <c r="AG134" s="16" t="s">
        <v>74</v>
      </c>
      <c r="AH134" s="31" t="s">
        <v>192</v>
      </c>
    </row>
    <row r="135" customFormat="false" ht="14.25" hidden="true" customHeight="true" outlineLevel="0" collapsed="false">
      <c r="A135" s="32" t="n">
        <v>131</v>
      </c>
      <c r="B135" s="11" t="n">
        <v>14059</v>
      </c>
      <c r="C135" s="11" t="s">
        <v>513</v>
      </c>
      <c r="D135" s="11" t="s">
        <v>514</v>
      </c>
      <c r="E135" s="11" t="s">
        <v>180</v>
      </c>
      <c r="F135" s="11" t="s">
        <v>170</v>
      </c>
      <c r="G135" s="11" t="s">
        <v>181</v>
      </c>
      <c r="H135" s="11" t="s">
        <v>172</v>
      </c>
      <c r="I135" s="11" t="s">
        <v>173</v>
      </c>
      <c r="J135" s="11" t="s">
        <v>174</v>
      </c>
      <c r="K135" s="11" t="s">
        <v>275</v>
      </c>
      <c r="L135" s="11"/>
      <c r="M135" s="11" t="s">
        <v>173</v>
      </c>
      <c r="N135" s="33" t="n">
        <v>1.01666666666667</v>
      </c>
      <c r="O135" s="33" t="n">
        <v>0.0104166666666667</v>
      </c>
      <c r="P135" s="33" t="n">
        <v>0</v>
      </c>
      <c r="Q135" s="33" t="n">
        <v>1.02708333333333</v>
      </c>
      <c r="R135" s="34" t="n">
        <v>0.9026369168357</v>
      </c>
      <c r="S135" s="33" t="n">
        <v>0.513541666666667</v>
      </c>
      <c r="T135" s="33" t="n">
        <v>0.513541666666667</v>
      </c>
      <c r="U135" s="35" t="n">
        <v>1</v>
      </c>
      <c r="AA135" s="36" t="n">
        <f aca="false">N135</f>
        <v>1.01666666666667</v>
      </c>
      <c r="AB135" s="36" t="n">
        <f aca="false">O135</f>
        <v>0.0104166666666667</v>
      </c>
      <c r="AC135" s="36" t="n">
        <f aca="false">P135</f>
        <v>0</v>
      </c>
      <c r="AD135" s="36" t="n">
        <f aca="false">Q135</f>
        <v>1.02708333333333</v>
      </c>
      <c r="AE135" s="19" t="n">
        <f aca="false">R135</f>
        <v>0.9026369168357</v>
      </c>
      <c r="AF135" s="36" t="n">
        <f aca="false">Q135*R135</f>
        <v>0.927083333333331</v>
      </c>
      <c r="AG135" s="16" t="s">
        <v>72</v>
      </c>
      <c r="AH135" s="31" t="s">
        <v>192</v>
      </c>
    </row>
    <row r="136" customFormat="false" ht="14.25" hidden="true" customHeight="true" outlineLevel="0" collapsed="false">
      <c r="A136" s="32" t="n">
        <v>132</v>
      </c>
      <c r="B136" s="11" t="n">
        <v>14097</v>
      </c>
      <c r="C136" s="11" t="s">
        <v>515</v>
      </c>
      <c r="D136" s="11" t="s">
        <v>516</v>
      </c>
      <c r="E136" s="11" t="s">
        <v>299</v>
      </c>
      <c r="F136" s="11" t="s">
        <v>290</v>
      </c>
      <c r="G136" s="11" t="s">
        <v>300</v>
      </c>
      <c r="H136" s="11" t="s">
        <v>232</v>
      </c>
      <c r="I136" s="11" t="s">
        <v>173</v>
      </c>
      <c r="J136" s="11" t="s">
        <v>371</v>
      </c>
      <c r="K136" s="11" t="s">
        <v>517</v>
      </c>
      <c r="L136" s="11" t="s">
        <v>176</v>
      </c>
      <c r="M136" s="11" t="s">
        <v>182</v>
      </c>
      <c r="N136" s="33" t="n">
        <v>0.0833333333333333</v>
      </c>
      <c r="O136" s="33" t="n">
        <v>0</v>
      </c>
      <c r="P136" s="33" t="n">
        <v>0.0833333333333333</v>
      </c>
      <c r="Q136" s="33" t="n">
        <v>0.166666666666667</v>
      </c>
      <c r="R136" s="34" t="n">
        <v>1</v>
      </c>
      <c r="S136" s="33" t="n">
        <v>0.0833333333333333</v>
      </c>
      <c r="T136" s="33" t="n">
        <v>0.0833333333333333</v>
      </c>
      <c r="U136" s="35" t="n">
        <v>1</v>
      </c>
      <c r="AA136" s="36" t="n">
        <f aca="false">N136</f>
        <v>0.0833333333333333</v>
      </c>
      <c r="AB136" s="36" t="n">
        <f aca="false">O136</f>
        <v>0</v>
      </c>
      <c r="AC136" s="36" t="n">
        <f aca="false">P136</f>
        <v>0.0833333333333333</v>
      </c>
      <c r="AD136" s="36" t="n">
        <f aca="false">Q136</f>
        <v>0.166666666666667</v>
      </c>
      <c r="AE136" s="19" t="n">
        <f aca="false">R136</f>
        <v>1</v>
      </c>
      <c r="AF136" s="36" t="n">
        <f aca="false">Q136*R136</f>
        <v>0.166666666666667</v>
      </c>
      <c r="AG136" s="16" t="s">
        <v>74</v>
      </c>
      <c r="AH136" s="31" t="s">
        <v>192</v>
      </c>
    </row>
    <row r="137" customFormat="false" ht="14.25" hidden="true" customHeight="true" outlineLevel="0" collapsed="false">
      <c r="A137" s="32" t="n">
        <v>133</v>
      </c>
      <c r="B137" s="11" t="n">
        <v>14217</v>
      </c>
      <c r="C137" s="11" t="s">
        <v>518</v>
      </c>
      <c r="D137" s="11" t="s">
        <v>519</v>
      </c>
      <c r="E137" s="11" t="s">
        <v>299</v>
      </c>
      <c r="F137" s="11" t="s">
        <v>290</v>
      </c>
      <c r="G137" s="11" t="s">
        <v>326</v>
      </c>
      <c r="H137" s="11" t="s">
        <v>172</v>
      </c>
      <c r="I137" s="11" t="s">
        <v>173</v>
      </c>
      <c r="J137" s="11" t="s">
        <v>174</v>
      </c>
      <c r="K137" s="11" t="s">
        <v>246</v>
      </c>
      <c r="L137" s="11"/>
      <c r="M137" s="11" t="s">
        <v>173</v>
      </c>
      <c r="N137" s="33" t="n">
        <v>0.808333333333333</v>
      </c>
      <c r="O137" s="33" t="n">
        <v>0.075</v>
      </c>
      <c r="P137" s="33" t="n">
        <v>0</v>
      </c>
      <c r="Q137" s="33" t="n">
        <v>0.883333333333333</v>
      </c>
      <c r="R137" s="34" t="n">
        <v>0.481132075471698</v>
      </c>
      <c r="S137" s="33" t="n">
        <v>0.441666666666667</v>
      </c>
      <c r="T137" s="33" t="n">
        <v>0.441666666666667</v>
      </c>
      <c r="U137" s="35" t="n">
        <v>1</v>
      </c>
      <c r="AA137" s="36" t="n">
        <f aca="false">N137</f>
        <v>0.808333333333333</v>
      </c>
      <c r="AB137" s="36" t="n">
        <f aca="false">O137</f>
        <v>0.075</v>
      </c>
      <c r="AC137" s="36" t="n">
        <f aca="false">P137</f>
        <v>0</v>
      </c>
      <c r="AD137" s="36" t="n">
        <f aca="false">Q137</f>
        <v>0.883333333333333</v>
      </c>
      <c r="AE137" s="19" t="n">
        <f aca="false">R137</f>
        <v>0.481132075471698</v>
      </c>
      <c r="AF137" s="36" t="n">
        <f aca="false">Q137*R137</f>
        <v>0.425</v>
      </c>
      <c r="AG137" s="16" t="s">
        <v>72</v>
      </c>
      <c r="AH137" s="31" t="s">
        <v>233</v>
      </c>
    </row>
    <row r="138" customFormat="false" ht="14.25" hidden="true" customHeight="true" outlineLevel="0" collapsed="false">
      <c r="A138" s="32" t="n">
        <v>134</v>
      </c>
      <c r="B138" s="11" t="n">
        <v>14267</v>
      </c>
      <c r="C138" s="11" t="s">
        <v>520</v>
      </c>
      <c r="D138" s="11" t="s">
        <v>521</v>
      </c>
      <c r="E138" s="11" t="s">
        <v>238</v>
      </c>
      <c r="F138" s="11" t="s">
        <v>239</v>
      </c>
      <c r="G138" s="11" t="s">
        <v>240</v>
      </c>
      <c r="H138" s="11" t="s">
        <v>232</v>
      </c>
      <c r="I138" s="11" t="s">
        <v>173</v>
      </c>
      <c r="J138" s="11" t="s">
        <v>174</v>
      </c>
      <c r="K138" s="11" t="s">
        <v>275</v>
      </c>
      <c r="L138" s="11"/>
      <c r="M138" s="11" t="s">
        <v>173</v>
      </c>
      <c r="N138" s="33" t="n">
        <v>12.2566666666667</v>
      </c>
      <c r="O138" s="33" t="n">
        <v>0.5</v>
      </c>
      <c r="P138" s="33" t="n">
        <v>0</v>
      </c>
      <c r="Q138" s="33" t="n">
        <v>12.7566666666667</v>
      </c>
      <c r="R138" s="34" t="n">
        <v>0.882414423830677</v>
      </c>
      <c r="S138" s="33" t="n">
        <v>6.37833333333334</v>
      </c>
      <c r="T138" s="33" t="n">
        <v>6.37833333333334</v>
      </c>
      <c r="U138" s="35" t="n">
        <v>1</v>
      </c>
      <c r="AA138" s="36" t="n">
        <f aca="false">N138</f>
        <v>12.2566666666667</v>
      </c>
      <c r="AB138" s="36" t="n">
        <f aca="false">O138</f>
        <v>0.5</v>
      </c>
      <c r="AC138" s="36" t="n">
        <f aca="false">P138</f>
        <v>0</v>
      </c>
      <c r="AD138" s="36" t="n">
        <f aca="false">Q138</f>
        <v>12.7566666666667</v>
      </c>
      <c r="AE138" s="19" t="n">
        <f aca="false">R138</f>
        <v>0.882414423830677</v>
      </c>
      <c r="AF138" s="36" t="n">
        <f aca="false">Q138*R138</f>
        <v>11.2566666666667</v>
      </c>
      <c r="AG138" s="16" t="s">
        <v>72</v>
      </c>
      <c r="AH138" s="31" t="s">
        <v>177</v>
      </c>
    </row>
    <row r="139" customFormat="false" ht="14.25" hidden="true" customHeight="true" outlineLevel="0" collapsed="false">
      <c r="A139" s="32" t="n">
        <v>135</v>
      </c>
      <c r="B139" s="11" t="n">
        <v>14285</v>
      </c>
      <c r="C139" s="11" t="s">
        <v>522</v>
      </c>
      <c r="D139" s="11" t="s">
        <v>523</v>
      </c>
      <c r="E139" s="11" t="s">
        <v>169</v>
      </c>
      <c r="F139" s="11" t="s">
        <v>170</v>
      </c>
      <c r="G139" s="11" t="s">
        <v>171</v>
      </c>
      <c r="H139" s="11" t="s">
        <v>172</v>
      </c>
      <c r="I139" s="11" t="s">
        <v>173</v>
      </c>
      <c r="J139" s="11" t="s">
        <v>174</v>
      </c>
      <c r="K139" s="11" t="s">
        <v>524</v>
      </c>
      <c r="L139" s="11" t="s">
        <v>278</v>
      </c>
      <c r="M139" s="11" t="s">
        <v>173</v>
      </c>
      <c r="N139" s="33" t="n">
        <v>14.975</v>
      </c>
      <c r="O139" s="33" t="n">
        <v>1.34166666666667</v>
      </c>
      <c r="P139" s="33" t="n">
        <v>0</v>
      </c>
      <c r="Q139" s="33" t="n">
        <v>16.3166666666667</v>
      </c>
      <c r="R139" s="34" t="n">
        <v>0.987742594484168</v>
      </c>
      <c r="S139" s="33" t="n">
        <v>8.15833333333334</v>
      </c>
      <c r="T139" s="33" t="n">
        <v>8.15833333333334</v>
      </c>
      <c r="U139" s="35" t="n">
        <v>1</v>
      </c>
      <c r="AA139" s="36" t="n">
        <f aca="false">N139</f>
        <v>14.975</v>
      </c>
      <c r="AB139" s="36" t="n">
        <f aca="false">O139</f>
        <v>1.34166666666667</v>
      </c>
      <c r="AC139" s="36" t="n">
        <f aca="false">P139</f>
        <v>0</v>
      </c>
      <c r="AD139" s="36" t="n">
        <f aca="false">Q139</f>
        <v>16.3166666666667</v>
      </c>
      <c r="AE139" s="19" t="n">
        <f aca="false">R139</f>
        <v>0.987742594484168</v>
      </c>
      <c r="AF139" s="36" t="n">
        <f aca="false">Q139*R139</f>
        <v>16.1166666666667</v>
      </c>
      <c r="AG139" s="16" t="s">
        <v>72</v>
      </c>
      <c r="AH139" s="31" t="s">
        <v>187</v>
      </c>
    </row>
    <row r="140" customFormat="false" ht="14.25" hidden="true" customHeight="true" outlineLevel="0" collapsed="false">
      <c r="A140" s="32" t="n">
        <v>136</v>
      </c>
      <c r="B140" s="11" t="n">
        <v>14322</v>
      </c>
      <c r="C140" s="11" t="s">
        <v>525</v>
      </c>
      <c r="D140" s="11" t="s">
        <v>526</v>
      </c>
      <c r="E140" s="11" t="s">
        <v>249</v>
      </c>
      <c r="F140" s="11" t="s">
        <v>239</v>
      </c>
      <c r="G140" s="11" t="s">
        <v>250</v>
      </c>
      <c r="H140" s="11" t="s">
        <v>172</v>
      </c>
      <c r="I140" s="11" t="s">
        <v>173</v>
      </c>
      <c r="J140" s="11" t="s">
        <v>371</v>
      </c>
      <c r="K140" s="11" t="s">
        <v>275</v>
      </c>
      <c r="L140" s="11" t="s">
        <v>176</v>
      </c>
      <c r="M140" s="11" t="s">
        <v>173</v>
      </c>
      <c r="N140" s="33" t="n">
        <v>11.4916666666667</v>
      </c>
      <c r="O140" s="33" t="n">
        <v>0.708333333333333</v>
      </c>
      <c r="P140" s="33" t="n">
        <v>4.5</v>
      </c>
      <c r="Q140" s="33" t="n">
        <v>16.7</v>
      </c>
      <c r="R140" s="34" t="n">
        <v>0.987025948103793</v>
      </c>
      <c r="S140" s="33" t="n">
        <v>8.35</v>
      </c>
      <c r="T140" s="33" t="n">
        <v>8.35</v>
      </c>
      <c r="U140" s="35" t="n">
        <v>1</v>
      </c>
      <c r="AA140" s="36" t="n">
        <f aca="false">N140</f>
        <v>11.4916666666667</v>
      </c>
      <c r="AB140" s="36" t="n">
        <f aca="false">O140</f>
        <v>0.708333333333333</v>
      </c>
      <c r="AC140" s="36" t="n">
        <f aca="false">P140</f>
        <v>4.5</v>
      </c>
      <c r="AD140" s="36" t="n">
        <f aca="false">Q140</f>
        <v>16.7</v>
      </c>
      <c r="AE140" s="19" t="n">
        <f aca="false">R140</f>
        <v>0.987025948103793</v>
      </c>
      <c r="AF140" s="36" t="n">
        <f aca="false">Q140*R140</f>
        <v>16.4833333333333</v>
      </c>
      <c r="AG140" s="16" t="s">
        <v>70</v>
      </c>
      <c r="AH140" s="31" t="s">
        <v>177</v>
      </c>
    </row>
    <row r="141" customFormat="false" ht="14.25" hidden="false" customHeight="true" outlineLevel="0" collapsed="false">
      <c r="A141" s="32" t="n">
        <v>137</v>
      </c>
      <c r="B141" s="11" t="n">
        <v>14376</v>
      </c>
      <c r="C141" s="11" t="s">
        <v>527</v>
      </c>
      <c r="D141" s="11" t="s">
        <v>528</v>
      </c>
      <c r="E141" s="11" t="s">
        <v>263</v>
      </c>
      <c r="F141" s="11" t="s">
        <v>170</v>
      </c>
      <c r="G141" s="11" t="s">
        <v>264</v>
      </c>
      <c r="H141" s="11" t="s">
        <v>172</v>
      </c>
      <c r="I141" s="11" t="s">
        <v>173</v>
      </c>
      <c r="J141" s="11" t="s">
        <v>174</v>
      </c>
      <c r="K141" s="11" t="s">
        <v>246</v>
      </c>
      <c r="L141" s="11"/>
      <c r="M141" s="11" t="s">
        <v>173</v>
      </c>
      <c r="N141" s="33" t="n">
        <v>0.274791666666667</v>
      </c>
      <c r="O141" s="33" t="n">
        <v>0</v>
      </c>
      <c r="P141" s="33" t="n">
        <v>0</v>
      </c>
      <c r="Q141" s="33" t="n">
        <v>0.274791666666667</v>
      </c>
      <c r="R141" s="34" t="n">
        <v>0.772554965883245</v>
      </c>
      <c r="S141" s="33" t="n">
        <v>0.137395833333333</v>
      </c>
      <c r="T141" s="33" t="n">
        <v>0.137395833333333</v>
      </c>
      <c r="U141" s="35" t="n">
        <v>1</v>
      </c>
      <c r="AA141" s="36" t="n">
        <f aca="false">N141</f>
        <v>0.274791666666667</v>
      </c>
      <c r="AB141" s="36" t="n">
        <f aca="false">O141</f>
        <v>0</v>
      </c>
      <c r="AC141" s="36" t="n">
        <f aca="false">P141</f>
        <v>0</v>
      </c>
      <c r="AD141" s="36" t="n">
        <f aca="false">Q141</f>
        <v>0.274791666666667</v>
      </c>
      <c r="AE141" s="19" t="n">
        <f aca="false">R141</f>
        <v>0.772554965883245</v>
      </c>
      <c r="AF141" s="36" t="n">
        <f aca="false">Q141*R141</f>
        <v>0.212291666666667</v>
      </c>
      <c r="AG141" s="16" t="s">
        <v>72</v>
      </c>
      <c r="AH141" s="31" t="s">
        <v>233</v>
      </c>
    </row>
    <row r="142" customFormat="false" ht="14.25" hidden="false" customHeight="true" outlineLevel="0" collapsed="false">
      <c r="A142" s="32" t="n">
        <v>138</v>
      </c>
      <c r="B142" s="11" t="n">
        <v>14377</v>
      </c>
      <c r="C142" s="11" t="s">
        <v>529</v>
      </c>
      <c r="D142" s="11" t="s">
        <v>530</v>
      </c>
      <c r="E142" s="11" t="s">
        <v>263</v>
      </c>
      <c r="F142" s="11" t="s">
        <v>170</v>
      </c>
      <c r="G142" s="11" t="s">
        <v>264</v>
      </c>
      <c r="H142" s="11" t="s">
        <v>172</v>
      </c>
      <c r="I142" s="11" t="s">
        <v>173</v>
      </c>
      <c r="J142" s="11" t="s">
        <v>174</v>
      </c>
      <c r="K142" s="11" t="s">
        <v>246</v>
      </c>
      <c r="L142" s="11"/>
      <c r="M142" s="11" t="s">
        <v>173</v>
      </c>
      <c r="N142" s="33" t="n">
        <v>0.597083333333333</v>
      </c>
      <c r="O142" s="33" t="n">
        <v>0.129166666666667</v>
      </c>
      <c r="P142" s="33" t="n">
        <v>0</v>
      </c>
      <c r="Q142" s="33" t="n">
        <v>0.72625</v>
      </c>
      <c r="R142" s="34" t="n">
        <v>0.97991967871486</v>
      </c>
      <c r="S142" s="33" t="n">
        <v>0.363125</v>
      </c>
      <c r="T142" s="33" t="n">
        <v>0.363125</v>
      </c>
      <c r="U142" s="35" t="n">
        <v>1</v>
      </c>
      <c r="AA142" s="36" t="n">
        <f aca="false">N142</f>
        <v>0.597083333333333</v>
      </c>
      <c r="AB142" s="36" t="n">
        <f aca="false">O142</f>
        <v>0.129166666666667</v>
      </c>
      <c r="AC142" s="36" t="n">
        <f aca="false">P142</f>
        <v>0</v>
      </c>
      <c r="AD142" s="36" t="n">
        <f aca="false">Q142</f>
        <v>0.72625</v>
      </c>
      <c r="AE142" s="19" t="n">
        <f aca="false">R142</f>
        <v>0.97991967871486</v>
      </c>
      <c r="AF142" s="36" t="n">
        <f aca="false">Q142*R142</f>
        <v>0.711666666666667</v>
      </c>
      <c r="AG142" s="16" t="s">
        <v>72</v>
      </c>
      <c r="AH142" s="31" t="s">
        <v>187</v>
      </c>
    </row>
    <row r="143" customFormat="false" ht="14.25" hidden="true" customHeight="true" outlineLevel="0" collapsed="false">
      <c r="A143" s="32" t="n">
        <v>139</v>
      </c>
      <c r="B143" s="11" t="n">
        <v>14423</v>
      </c>
      <c r="C143" s="11" t="s">
        <v>531</v>
      </c>
      <c r="D143" s="11" t="s">
        <v>532</v>
      </c>
      <c r="E143" s="11" t="s">
        <v>249</v>
      </c>
      <c r="F143" s="11" t="s">
        <v>239</v>
      </c>
      <c r="G143" s="11" t="s">
        <v>250</v>
      </c>
      <c r="H143" s="11" t="s">
        <v>172</v>
      </c>
      <c r="I143" s="11" t="s">
        <v>182</v>
      </c>
      <c r="J143" s="11" t="s">
        <v>174</v>
      </c>
      <c r="K143" s="11" t="s">
        <v>246</v>
      </c>
      <c r="L143" s="11"/>
      <c r="M143" s="11" t="s">
        <v>173</v>
      </c>
      <c r="N143" s="33" t="n">
        <v>2.1225</v>
      </c>
      <c r="O143" s="33" t="n">
        <v>0</v>
      </c>
      <c r="P143" s="33" t="n">
        <v>0</v>
      </c>
      <c r="Q143" s="33" t="n">
        <v>2.1225</v>
      </c>
      <c r="R143" s="34" t="n">
        <v>0.75068708284256</v>
      </c>
      <c r="S143" s="33" t="n">
        <v>1.06125</v>
      </c>
      <c r="T143" s="33" t="n">
        <v>1.06125</v>
      </c>
      <c r="U143" s="35" t="n">
        <v>1</v>
      </c>
      <c r="AA143" s="36" t="n">
        <f aca="false">N143</f>
        <v>2.1225</v>
      </c>
      <c r="AB143" s="36" t="n">
        <f aca="false">O143</f>
        <v>0</v>
      </c>
      <c r="AC143" s="36" t="n">
        <f aca="false">P143</f>
        <v>0</v>
      </c>
      <c r="AD143" s="36" t="n">
        <f aca="false">Q143</f>
        <v>2.1225</v>
      </c>
      <c r="AE143" s="19" t="n">
        <f aca="false">R143</f>
        <v>0.75068708284256</v>
      </c>
      <c r="AF143" s="36" t="n">
        <f aca="false">Q143*R143</f>
        <v>1.59333333333333</v>
      </c>
      <c r="AG143" s="16" t="s">
        <v>72</v>
      </c>
      <c r="AH143" s="31" t="s">
        <v>187</v>
      </c>
    </row>
    <row r="144" customFormat="false" ht="14.25" hidden="true" customHeight="true" outlineLevel="0" collapsed="false">
      <c r="A144" s="32" t="n">
        <v>140</v>
      </c>
      <c r="B144" s="11" t="n">
        <v>14595</v>
      </c>
      <c r="C144" s="11" t="s">
        <v>533</v>
      </c>
      <c r="D144" s="11" t="s">
        <v>534</v>
      </c>
      <c r="E144" s="11" t="s">
        <v>299</v>
      </c>
      <c r="F144" s="11" t="s">
        <v>290</v>
      </c>
      <c r="G144" s="11"/>
      <c r="H144" s="11" t="s">
        <v>172</v>
      </c>
      <c r="I144" s="11" t="s">
        <v>173</v>
      </c>
      <c r="J144" s="11" t="s">
        <v>174</v>
      </c>
      <c r="K144" s="11" t="s">
        <v>484</v>
      </c>
      <c r="L144" s="11" t="s">
        <v>278</v>
      </c>
      <c r="M144" s="11" t="s">
        <v>182</v>
      </c>
      <c r="N144" s="33" t="n">
        <v>60</v>
      </c>
      <c r="O144" s="33" t="n">
        <v>25</v>
      </c>
      <c r="P144" s="33" t="n">
        <v>25</v>
      </c>
      <c r="Q144" s="33" t="n">
        <v>110</v>
      </c>
      <c r="R144" s="34" t="n">
        <v>0.992429658914077</v>
      </c>
      <c r="S144" s="33" t="n">
        <v>55</v>
      </c>
      <c r="T144" s="33" t="n">
        <v>55</v>
      </c>
      <c r="U144" s="35" t="n">
        <v>1</v>
      </c>
      <c r="AA144" s="36" t="n">
        <f aca="false">N144</f>
        <v>60</v>
      </c>
      <c r="AB144" s="36" t="n">
        <f aca="false">O144</f>
        <v>25</v>
      </c>
      <c r="AC144" s="36" t="n">
        <f aca="false">P144</f>
        <v>25</v>
      </c>
      <c r="AD144" s="36" t="n">
        <f aca="false">Q144</f>
        <v>110</v>
      </c>
      <c r="AE144" s="19" t="n">
        <f aca="false">R144</f>
        <v>0.992429658914077</v>
      </c>
      <c r="AF144" s="36" t="n">
        <f aca="false">Q144*R144</f>
        <v>109.167262480548</v>
      </c>
      <c r="AG144" s="16" t="s">
        <v>74</v>
      </c>
      <c r="AH144" s="31" t="s">
        <v>187</v>
      </c>
    </row>
    <row r="145" customFormat="false" ht="14.25" hidden="true" customHeight="true" outlineLevel="0" collapsed="false">
      <c r="A145" s="32" t="n">
        <v>141</v>
      </c>
      <c r="B145" s="11" t="n">
        <v>14701</v>
      </c>
      <c r="C145" s="11" t="s">
        <v>535</v>
      </c>
      <c r="D145" s="11" t="s">
        <v>536</v>
      </c>
      <c r="E145" s="11" t="s">
        <v>169</v>
      </c>
      <c r="F145" s="11" t="s">
        <v>170</v>
      </c>
      <c r="G145" s="11" t="s">
        <v>171</v>
      </c>
      <c r="H145" s="11" t="s">
        <v>232</v>
      </c>
      <c r="I145" s="11" t="s">
        <v>173</v>
      </c>
      <c r="J145" s="11" t="s">
        <v>174</v>
      </c>
      <c r="K145" s="11" t="s">
        <v>275</v>
      </c>
      <c r="L145" s="11" t="s">
        <v>278</v>
      </c>
      <c r="M145" s="11" t="s">
        <v>173</v>
      </c>
      <c r="N145" s="33" t="n">
        <v>0</v>
      </c>
      <c r="O145" s="33" t="n">
        <v>0</v>
      </c>
      <c r="P145" s="33" t="n">
        <v>0</v>
      </c>
      <c r="Q145" s="33" t="n">
        <v>0</v>
      </c>
      <c r="R145" s="34" t="n">
        <v>0</v>
      </c>
      <c r="S145" s="33" t="n">
        <v>0</v>
      </c>
      <c r="T145" s="33" t="n">
        <v>0</v>
      </c>
      <c r="U145" s="35" t="n">
        <v>1</v>
      </c>
      <c r="AA145" s="36" t="n">
        <f aca="false">N145</f>
        <v>0</v>
      </c>
      <c r="AB145" s="36" t="n">
        <f aca="false">O145</f>
        <v>0</v>
      </c>
      <c r="AC145" s="36" t="n">
        <f aca="false">P145</f>
        <v>0</v>
      </c>
      <c r="AD145" s="36" t="n">
        <f aca="false">Q145</f>
        <v>0</v>
      </c>
      <c r="AE145" s="19" t="n">
        <f aca="false">R145</f>
        <v>0</v>
      </c>
      <c r="AF145" s="36" t="n">
        <f aca="false">Q145*R145</f>
        <v>0</v>
      </c>
      <c r="AG145" s="16" t="s">
        <v>72</v>
      </c>
      <c r="AH145" s="31" t="s">
        <v>197</v>
      </c>
    </row>
    <row r="146" customFormat="false" ht="14.25" hidden="false" customHeight="true" outlineLevel="0" collapsed="false">
      <c r="A146" s="32" t="n">
        <v>142</v>
      </c>
      <c r="B146" s="11" t="n">
        <v>14930</v>
      </c>
      <c r="C146" s="11" t="s">
        <v>537</v>
      </c>
      <c r="D146" s="11" t="s">
        <v>538</v>
      </c>
      <c r="E146" s="11" t="s">
        <v>263</v>
      </c>
      <c r="F146" s="11" t="s">
        <v>170</v>
      </c>
      <c r="G146" s="11" t="s">
        <v>264</v>
      </c>
      <c r="H146" s="11" t="s">
        <v>172</v>
      </c>
      <c r="I146" s="11" t="s">
        <v>173</v>
      </c>
      <c r="J146" s="11" t="s">
        <v>174</v>
      </c>
      <c r="K146" s="11" t="s">
        <v>275</v>
      </c>
      <c r="L146" s="11" t="s">
        <v>278</v>
      </c>
      <c r="M146" s="11" t="s">
        <v>173</v>
      </c>
      <c r="N146" s="33" t="n">
        <v>1.5</v>
      </c>
      <c r="O146" s="33" t="n">
        <v>0.5</v>
      </c>
      <c r="P146" s="33" t="n">
        <v>0</v>
      </c>
      <c r="Q146" s="33" t="n">
        <v>2</v>
      </c>
      <c r="R146" s="34" t="n">
        <v>1</v>
      </c>
      <c r="S146" s="33" t="n">
        <v>1</v>
      </c>
      <c r="T146" s="33" t="n">
        <v>1</v>
      </c>
      <c r="U146" s="35" t="n">
        <v>1</v>
      </c>
      <c r="AA146" s="36" t="n">
        <f aca="false">N146</f>
        <v>1.5</v>
      </c>
      <c r="AB146" s="36" t="n">
        <f aca="false">O146</f>
        <v>0.5</v>
      </c>
      <c r="AC146" s="36" t="n">
        <f aca="false">P146</f>
        <v>0</v>
      </c>
      <c r="AD146" s="36" t="n">
        <f aca="false">Q146</f>
        <v>2</v>
      </c>
      <c r="AE146" s="19" t="n">
        <f aca="false">R146</f>
        <v>1</v>
      </c>
      <c r="AF146" s="36" t="n">
        <f aca="false">Q146*R146</f>
        <v>2</v>
      </c>
      <c r="AG146" s="16" t="s">
        <v>72</v>
      </c>
      <c r="AH146" s="31" t="s">
        <v>177</v>
      </c>
    </row>
    <row r="148" customFormat="false" ht="14.25" hidden="false" customHeight="true" outlineLevel="0" collapsed="false">
      <c r="C148" s="10" t="s">
        <v>539</v>
      </c>
    </row>
  </sheetData>
  <autoFilter ref="A4:U146">
    <filterColumn colId="4">
      <filters>
        <filter val="corporate related"/>
      </filters>
    </filterColumn>
  </autoFilter>
  <mergeCells count="2">
    <mergeCell ref="A1:AG1"/>
    <mergeCell ref="A2:A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46"/>
    <col collapsed="false" customWidth="true" hidden="false" outlineLevel="0" max="4" min="4" style="1" width="9"/>
    <col collapsed="false" customWidth="true" hidden="false" outlineLevel="0" max="11" min="5" style="1" width="11"/>
  </cols>
  <sheetData>
    <row r="1" customFormat="false" ht="25.5" hidden="false" customHeight="true" outlineLevel="0" collapsed="false">
      <c r="A1" s="2" t="s">
        <v>540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4.25" hidden="false" customHeight="true" outlineLevel="0" collapsed="false">
      <c r="A2" s="3" t="s">
        <v>541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7.75" hidden="false" customHeight="true" outlineLevel="0" collapsed="false">
      <c r="B4" s="15" t="s">
        <v>542</v>
      </c>
      <c r="C4" s="15" t="s">
        <v>167</v>
      </c>
      <c r="D4" s="15" t="s">
        <v>67</v>
      </c>
      <c r="E4" s="15" t="s">
        <v>68</v>
      </c>
      <c r="F4" s="15" t="s">
        <v>166</v>
      </c>
      <c r="G4" s="15" t="s">
        <v>62</v>
      </c>
      <c r="H4" s="15" t="s">
        <v>165</v>
      </c>
      <c r="I4" s="15" t="s">
        <v>543</v>
      </c>
      <c r="J4" s="15" t="s">
        <v>544</v>
      </c>
      <c r="K4" s="15" t="s">
        <v>545</v>
      </c>
    </row>
    <row r="5" customFormat="false" ht="14.25" hidden="false" customHeight="true" outlineLevel="0" collapsed="false">
      <c r="B5" s="16" t="s">
        <v>177</v>
      </c>
      <c r="C5" s="11" t="s">
        <v>483</v>
      </c>
      <c r="D5" s="17" t="n">
        <f aca="false">SUMIFS(Inventory!$U:$U,Inventory!$E:$E,"common service platform",Inventory!$AH:$AH,$B5)</f>
        <v>1</v>
      </c>
      <c r="E5" s="18" t="n">
        <f aca="false">SUMIFS(Inventory!$AD:$AD,Inventory!$E:$E,"common service platform",Inventory!$AH:$AH,$B5)</f>
        <v>122.538625</v>
      </c>
      <c r="F5" s="18" t="n">
        <f aca="false">SUMIFS(Inventory!$AF:$AF,Inventory!$E:$E,"common service platform",Inventory!$AH:$AH,$B5)</f>
        <v>107.929458333333</v>
      </c>
      <c r="G5" s="36" t="n">
        <f aca="false">E5-F5</f>
        <v>14.6091666666667</v>
      </c>
      <c r="H5" s="19" t="n">
        <f aca="false">IF(E5=0,0,F5/E5)</f>
        <v>0.880779087682217</v>
      </c>
      <c r="I5" s="17" t="n">
        <f aca="false">SUMIFS('Pod Plan'!$E:$E,'Pod Plan'!$B:$B,1,'Pod Plan'!$C:$C,$B5)</f>
        <v>5</v>
      </c>
      <c r="J5" s="17" t="n">
        <f aca="false">SUMIFS('Pod Plan'!$F:$F,'Pod Plan'!$B:$B,1,'Pod Plan'!$C:$C,$B5)</f>
        <v>6</v>
      </c>
      <c r="K5" s="35" t="n">
        <f aca="false">'Pod Plan'!H5</f>
        <v>110</v>
      </c>
    </row>
    <row r="6" customFormat="false" ht="14.25" hidden="false" customHeight="true" outlineLevel="0" collapsed="false">
      <c r="B6" s="16" t="s">
        <v>187</v>
      </c>
      <c r="C6" s="11" t="s">
        <v>546</v>
      </c>
      <c r="D6" s="17" t="n">
        <f aca="false">SUMIFS(Inventory!$U:$U,Inventory!$E:$E,"common service platform",Inventory!$AH:$AH,$B6)</f>
        <v>5</v>
      </c>
      <c r="E6" s="18" t="n">
        <f aca="false">SUMIFS(Inventory!$AD:$AD,Inventory!$E:$E,"common service platform",Inventory!$AH:$AH,$B6)</f>
        <v>55.7958333333334</v>
      </c>
      <c r="F6" s="18" t="n">
        <f aca="false">SUMIFS(Inventory!$AF:$AF,Inventory!$E:$E,"common service platform",Inventory!$AH:$AH,$B6)</f>
        <v>52.6033333333334</v>
      </c>
      <c r="G6" s="36" t="n">
        <f aca="false">E6-F6</f>
        <v>3.19250000000001</v>
      </c>
      <c r="H6" s="19" t="n">
        <f aca="false">IF(E6=0,0,F6/E6)</f>
        <v>0.942782465835262</v>
      </c>
      <c r="I6" s="17" t="n">
        <f aca="false">SUMIFS('Pod Plan'!$E:$E,'Pod Plan'!$B:$B,1,'Pod Plan'!$C:$C,$B6)</f>
        <v>3</v>
      </c>
      <c r="J6" s="17" t="n">
        <f aca="false">SUMIFS('Pod Plan'!$F:$F,'Pod Plan'!$B:$B,1,'Pod Plan'!$C:$C,$B6)</f>
        <v>8</v>
      </c>
      <c r="K6" s="35" t="n">
        <f aca="false">'Pod Plan'!H6</f>
        <v>50</v>
      </c>
    </row>
    <row r="7" customFormat="false" ht="14.25" hidden="false" customHeight="true" outlineLevel="0" collapsed="false">
      <c r="B7" s="16" t="s">
        <v>197</v>
      </c>
      <c r="C7" s="11" t="s">
        <v>547</v>
      </c>
      <c r="D7" s="17" t="n">
        <f aca="false">SUMIFS(Inventory!$U:$U,Inventory!$E:$E,"common service platform",Inventory!$AH:$AH,$B7)</f>
        <v>2</v>
      </c>
      <c r="E7" s="18" t="n">
        <f aca="false">SUMIFS(Inventory!$AD:$AD,Inventory!$E:$E,"common service platform",Inventory!$AH:$AH,$B7)</f>
        <v>2.4125</v>
      </c>
      <c r="F7" s="18" t="n">
        <f aca="false">SUMIFS(Inventory!$AF:$AF,Inventory!$E:$E,"common service platform",Inventory!$AH:$AH,$B7)</f>
        <v>2.3375</v>
      </c>
      <c r="G7" s="36" t="n">
        <f aca="false">E7-F7</f>
        <v>0.0750000000000002</v>
      </c>
      <c r="H7" s="19" t="n">
        <f aca="false">IF(E7=0,0,F7/E7)</f>
        <v>0.968911917098446</v>
      </c>
      <c r="I7" s="17" t="n">
        <f aca="false">SUMIFS('Pod Plan'!$E:$E,'Pod Plan'!$B:$B,1,'Pod Plan'!$C:$C,$B7)</f>
        <v>0</v>
      </c>
      <c r="J7" s="17" t="n">
        <f aca="false">SUMIFS('Pod Plan'!$F:$F,'Pod Plan'!$B:$B,1,'Pod Plan'!$C:$C,$B7)</f>
        <v>1</v>
      </c>
      <c r="K7" s="35" t="n">
        <f aca="false">'Pod Plan'!H7</f>
        <v>3</v>
      </c>
    </row>
    <row r="8" customFormat="false" ht="14.25" hidden="false" customHeight="true" outlineLevel="0" collapsed="false">
      <c r="B8" s="16" t="s">
        <v>192</v>
      </c>
      <c r="C8" s="11" t="s">
        <v>548</v>
      </c>
      <c r="D8" s="17" t="n">
        <f aca="false">SUMIFS(Inventory!$U:$U,Inventory!$E:$E,"common service platform",Inventory!$AH:$AH,$B8)</f>
        <v>2</v>
      </c>
      <c r="E8" s="18" t="n">
        <f aca="false">SUMIFS(Inventory!$AD:$AD,Inventory!$E:$E,"common service platform",Inventory!$AH:$AH,$B8)</f>
        <v>18.0333333333334</v>
      </c>
      <c r="F8" s="18" t="n">
        <f aca="false">SUMIFS(Inventory!$AF:$AF,Inventory!$E:$E,"common service platform",Inventory!$AH:$AH,$B8)</f>
        <v>17.0333333333334</v>
      </c>
      <c r="G8" s="36" t="n">
        <f aca="false">E8-F8</f>
        <v>0.999999999999996</v>
      </c>
      <c r="H8" s="19" t="n">
        <f aca="false">IF(E8=0,0,F8/E8)</f>
        <v>0.944547134935305</v>
      </c>
      <c r="I8" s="17" t="n">
        <f aca="false">SUMIFS('Pod Plan'!$E:$E,'Pod Plan'!$B:$B,1,'Pod Plan'!$C:$C,$B8)</f>
        <v>2</v>
      </c>
      <c r="J8" s="17" t="n">
        <f aca="false">SUMIFS('Pod Plan'!$F:$F,'Pod Plan'!$B:$B,1,'Pod Plan'!$C:$C,$B8)</f>
        <v>0</v>
      </c>
      <c r="K8" s="35" t="n">
        <f aca="false">'Pod Plan'!H8</f>
        <v>16</v>
      </c>
    </row>
    <row r="9" customFormat="false" ht="14.25" hidden="false" customHeight="true" outlineLevel="0" collapsed="false">
      <c r="C9" s="7" t="s">
        <v>78</v>
      </c>
      <c r="D9" s="20" t="n">
        <f aca="false">SUM(D5:D8)</f>
        <v>10</v>
      </c>
      <c r="E9" s="21" t="n">
        <f aca="false">SUM(E5:E8)</f>
        <v>198.780291666667</v>
      </c>
      <c r="F9" s="21" t="n">
        <f aca="false">SUM(F5:F8)</f>
        <v>179.903625</v>
      </c>
      <c r="G9" s="21" t="n">
        <f aca="false">SUM(G5:G8)</f>
        <v>18.8766666666667</v>
      </c>
      <c r="H9" s="22" t="n">
        <f aca="false">IF(E9=0,0,F9/E9)</f>
        <v>0.905037534111677</v>
      </c>
      <c r="I9" s="20" t="n">
        <f aca="false">SUM(I5:I8)</f>
        <v>10</v>
      </c>
      <c r="J9" s="20" t="n">
        <f aca="false">SUM(J5:J8)</f>
        <v>15</v>
      </c>
      <c r="K9" s="20" t="n">
        <f aca="false">SUM(K5:K8)</f>
        <v>179</v>
      </c>
    </row>
    <row r="10" customFormat="false" ht="14.25" hidden="false" customHeight="true" outlineLevel="0" collapsed="false">
      <c r="B10" s="16"/>
      <c r="C10" s="11"/>
      <c r="D10" s="17"/>
      <c r="E10" s="18"/>
      <c r="F10" s="18"/>
      <c r="G10" s="36"/>
      <c r="H10" s="19"/>
      <c r="I10" s="17"/>
      <c r="J10" s="17"/>
      <c r="K10" s="35"/>
    </row>
    <row r="11" customFormat="false" ht="14.25" hidden="false" customHeight="true" outlineLevel="0" collapsed="false">
      <c r="C11" s="7"/>
      <c r="D11" s="20"/>
      <c r="E11" s="21"/>
      <c r="F11" s="21"/>
      <c r="G11" s="21"/>
      <c r="H11" s="22"/>
      <c r="I11" s="20"/>
      <c r="J11" s="20"/>
      <c r="K11" s="20"/>
    </row>
    <row r="13" customFormat="false" ht="14.25" hidden="false" customHeight="true" outlineLevel="0" collapsed="false">
      <c r="C13" s="37" t="s">
        <v>549</v>
      </c>
    </row>
    <row r="14" customFormat="false" ht="27.75" hidden="false" customHeight="true" outlineLevel="0" collapsed="false">
      <c r="B14" s="15" t="s">
        <v>167</v>
      </c>
      <c r="C14" s="15" t="s">
        <v>550</v>
      </c>
    </row>
    <row r="15" customFormat="false" ht="30" hidden="false" customHeight="true" outlineLevel="0" collapsed="false">
      <c r="B15" s="16" t="s">
        <v>177</v>
      </c>
      <c r="C15" s="38" t="s">
        <v>551</v>
      </c>
      <c r="D15" s="38"/>
      <c r="E15" s="38"/>
      <c r="F15" s="38"/>
      <c r="G15" s="38"/>
      <c r="H15" s="38"/>
      <c r="I15" s="38"/>
      <c r="J15" s="38"/>
      <c r="K15" s="38"/>
    </row>
    <row r="16" customFormat="false" ht="30" hidden="false" customHeight="true" outlineLevel="0" collapsed="false">
      <c r="B16" s="16" t="s">
        <v>187</v>
      </c>
      <c r="C16" s="38" t="s">
        <v>552</v>
      </c>
      <c r="D16" s="38"/>
      <c r="E16" s="38"/>
      <c r="F16" s="38"/>
      <c r="G16" s="38"/>
      <c r="H16" s="38"/>
      <c r="I16" s="38"/>
      <c r="J16" s="38"/>
      <c r="K16" s="38"/>
    </row>
    <row r="17" customFormat="false" ht="30" hidden="false" customHeight="true" outlineLevel="0" collapsed="false">
      <c r="B17" s="16" t="s">
        <v>197</v>
      </c>
      <c r="C17" s="38" t="s">
        <v>553</v>
      </c>
      <c r="D17" s="38"/>
      <c r="E17" s="38"/>
      <c r="F17" s="38"/>
      <c r="G17" s="38"/>
      <c r="H17" s="38"/>
      <c r="I17" s="38"/>
      <c r="J17" s="38"/>
      <c r="K17" s="38"/>
    </row>
    <row r="18" customFormat="false" ht="30" hidden="false" customHeight="true" outlineLevel="0" collapsed="false">
      <c r="B18" s="16" t="s">
        <v>192</v>
      </c>
      <c r="C18" s="38" t="s">
        <v>554</v>
      </c>
      <c r="D18" s="38"/>
      <c r="E18" s="38"/>
      <c r="F18" s="38"/>
      <c r="G18" s="38"/>
      <c r="H18" s="38"/>
      <c r="I18" s="38"/>
      <c r="J18" s="38"/>
      <c r="K18" s="38"/>
    </row>
    <row r="19" customFormat="false" ht="30" hidden="false" customHeight="true" outlineLevel="0" collapsed="false">
      <c r="B19" s="16" t="s">
        <v>233</v>
      </c>
      <c r="C19" s="38" t="s">
        <v>555</v>
      </c>
      <c r="D19" s="38"/>
      <c r="E19" s="38"/>
      <c r="F19" s="38"/>
      <c r="G19" s="38"/>
      <c r="H19" s="38"/>
      <c r="I19" s="38"/>
      <c r="J19" s="38"/>
      <c r="K19" s="38"/>
    </row>
    <row r="20" customFormat="false" ht="30" hidden="false" customHeight="true" outlineLevel="0" collapsed="false">
      <c r="B20" s="16" t="s">
        <v>202</v>
      </c>
      <c r="C20" s="38" t="s">
        <v>556</v>
      </c>
      <c r="D20" s="38"/>
      <c r="E20" s="38"/>
      <c r="F20" s="38"/>
      <c r="G20" s="38"/>
      <c r="H20" s="38"/>
      <c r="I20" s="38"/>
      <c r="J20" s="38"/>
      <c r="K20" s="38"/>
    </row>
  </sheetData>
  <mergeCells count="8">
    <mergeCell ref="A1:J1"/>
    <mergeCell ref="A2:J2"/>
    <mergeCell ref="C15:K15"/>
    <mergeCell ref="C16:K16"/>
    <mergeCell ref="C17:K17"/>
    <mergeCell ref="C18:K18"/>
    <mergeCell ref="C19:K19"/>
    <mergeCell ref="C20:K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L34" activeCellId="0" sqref="L34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5.82"/>
    <col collapsed="false" customWidth="true" hidden="false" outlineLevel="0" max="2" min="2" style="1" width="7.82"/>
    <col collapsed="false" customWidth="true" hidden="false" outlineLevel="0" max="3" min="3" style="1" width="10"/>
    <col collapsed="false" customWidth="true" hidden="false" outlineLevel="0" max="4" min="4" style="1" width="7"/>
    <col collapsed="false" customWidth="true" hidden="false" outlineLevel="0" max="5" min="5" style="1" width="36.73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11"/>
    <col collapsed="false" customWidth="true" hidden="false" outlineLevel="0" max="10" min="9" style="1" width="8"/>
  </cols>
  <sheetData>
    <row r="1" customFormat="false" ht="25.5" hidden="false" customHeight="true" outlineLevel="0" collapsed="false">
      <c r="A1" s="2" t="s">
        <v>557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4.25" hidden="false" customHeight="true" outlineLevel="0" collapsed="false">
      <c r="A2" s="3" t="s">
        <v>558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7.75" hidden="false" customHeight="true" outlineLevel="0" collapsed="false">
      <c r="B4" s="15" t="s">
        <v>559</v>
      </c>
      <c r="C4" s="15" t="s">
        <v>560</v>
      </c>
      <c r="D4" s="15" t="s">
        <v>561</v>
      </c>
      <c r="E4" s="15" t="s">
        <v>562</v>
      </c>
      <c r="F4" s="15" t="s">
        <v>563</v>
      </c>
      <c r="G4" s="15" t="s">
        <v>564</v>
      </c>
      <c r="H4" s="15" t="s">
        <v>118</v>
      </c>
      <c r="I4" s="15" t="s">
        <v>565</v>
      </c>
      <c r="J4" s="39" t="s">
        <v>566</v>
      </c>
    </row>
    <row r="5" customFormat="false" ht="14.25" hidden="false" customHeight="true" outlineLevel="0" collapsed="false">
      <c r="B5" s="40" t="n">
        <v>1</v>
      </c>
      <c r="C5" s="41" t="s">
        <v>177</v>
      </c>
      <c r="D5" s="32" t="s">
        <v>567</v>
      </c>
      <c r="E5" s="41" t="s">
        <v>568</v>
      </c>
      <c r="F5" s="41" t="s">
        <v>569</v>
      </c>
      <c r="G5" s="41" t="s">
        <v>128</v>
      </c>
      <c r="H5" s="41" t="s">
        <v>131</v>
      </c>
      <c r="I5" s="40" t="s">
        <v>163</v>
      </c>
      <c r="J5" s="42" t="n">
        <v>1</v>
      </c>
    </row>
    <row r="6" customFormat="false" ht="14.25" hidden="false" customHeight="true" outlineLevel="0" collapsed="false">
      <c r="B6" s="40" t="n">
        <v>1</v>
      </c>
      <c r="C6" s="41" t="s">
        <v>177</v>
      </c>
      <c r="D6" s="32" t="s">
        <v>567</v>
      </c>
      <c r="E6" s="41" t="s">
        <v>570</v>
      </c>
      <c r="F6" s="41" t="s">
        <v>571</v>
      </c>
      <c r="G6" s="41" t="s">
        <v>128</v>
      </c>
      <c r="H6" s="41" t="s">
        <v>131</v>
      </c>
      <c r="I6" s="40" t="s">
        <v>163</v>
      </c>
      <c r="J6" s="42" t="n">
        <v>1</v>
      </c>
    </row>
    <row r="7" customFormat="false" ht="14.25" hidden="false" customHeight="true" outlineLevel="0" collapsed="false">
      <c r="B7" s="40" t="n">
        <v>1</v>
      </c>
      <c r="C7" s="41" t="s">
        <v>177</v>
      </c>
      <c r="D7" s="32" t="s">
        <v>567</v>
      </c>
      <c r="E7" s="41" t="s">
        <v>572</v>
      </c>
      <c r="F7" s="41" t="s">
        <v>573</v>
      </c>
      <c r="G7" s="41" t="s">
        <v>128</v>
      </c>
      <c r="H7" s="41" t="s">
        <v>131</v>
      </c>
      <c r="I7" s="40" t="s">
        <v>163</v>
      </c>
      <c r="J7" s="42" t="n">
        <v>1</v>
      </c>
    </row>
    <row r="8" customFormat="false" ht="14.25" hidden="false" customHeight="true" outlineLevel="0" collapsed="false">
      <c r="B8" s="40" t="n">
        <v>1</v>
      </c>
      <c r="C8" s="41" t="s">
        <v>177</v>
      </c>
      <c r="D8" s="32" t="s">
        <v>567</v>
      </c>
      <c r="E8" s="41" t="s">
        <v>574</v>
      </c>
      <c r="F8" s="41" t="s">
        <v>569</v>
      </c>
      <c r="G8" s="41" t="s">
        <v>128</v>
      </c>
      <c r="H8" s="41" t="s">
        <v>131</v>
      </c>
      <c r="I8" s="40" t="s">
        <v>162</v>
      </c>
      <c r="J8" s="42" t="n">
        <v>1</v>
      </c>
    </row>
    <row r="9" customFormat="false" ht="14.25" hidden="false" customHeight="true" outlineLevel="0" collapsed="false">
      <c r="B9" s="40" t="n">
        <v>1</v>
      </c>
      <c r="C9" s="41" t="s">
        <v>177</v>
      </c>
      <c r="D9" s="32" t="s">
        <v>567</v>
      </c>
      <c r="E9" s="41" t="s">
        <v>575</v>
      </c>
      <c r="F9" s="41" t="s">
        <v>576</v>
      </c>
      <c r="G9" s="41" t="s">
        <v>127</v>
      </c>
      <c r="H9" s="41" t="s">
        <v>131</v>
      </c>
      <c r="I9" s="40" t="s">
        <v>162</v>
      </c>
      <c r="J9" s="42" t="n">
        <v>1</v>
      </c>
    </row>
    <row r="10" customFormat="false" ht="14.25" hidden="false" customHeight="true" outlineLevel="0" collapsed="false">
      <c r="B10" s="40" t="n">
        <v>1</v>
      </c>
      <c r="C10" s="41" t="s">
        <v>177</v>
      </c>
      <c r="D10" s="32" t="s">
        <v>567</v>
      </c>
      <c r="E10" s="41" t="s">
        <v>577</v>
      </c>
      <c r="F10" s="41" t="s">
        <v>578</v>
      </c>
      <c r="G10" s="41" t="s">
        <v>126</v>
      </c>
      <c r="H10" s="41" t="s">
        <v>131</v>
      </c>
      <c r="I10" s="40" t="s">
        <v>162</v>
      </c>
      <c r="J10" s="42" t="n">
        <v>1</v>
      </c>
    </row>
    <row r="11" customFormat="false" ht="14.25" hidden="false" customHeight="true" outlineLevel="0" collapsed="false">
      <c r="B11" s="40" t="n">
        <v>1</v>
      </c>
      <c r="C11" s="41" t="s">
        <v>177</v>
      </c>
      <c r="D11" s="32" t="s">
        <v>567</v>
      </c>
      <c r="E11" s="41" t="s">
        <v>579</v>
      </c>
      <c r="F11" s="41" t="s">
        <v>576</v>
      </c>
      <c r="G11" s="41" t="s">
        <v>127</v>
      </c>
      <c r="H11" s="41" t="s">
        <v>133</v>
      </c>
      <c r="I11" s="40" t="s">
        <v>164</v>
      </c>
      <c r="J11" s="42" t="n">
        <v>1</v>
      </c>
    </row>
    <row r="12" customFormat="false" ht="14.25" hidden="false" customHeight="true" outlineLevel="0" collapsed="false">
      <c r="B12" s="40" t="n">
        <v>1</v>
      </c>
      <c r="C12" s="41" t="s">
        <v>177</v>
      </c>
      <c r="D12" s="32" t="s">
        <v>567</v>
      </c>
      <c r="E12" s="41" t="s">
        <v>579</v>
      </c>
      <c r="F12" s="41" t="s">
        <v>576</v>
      </c>
      <c r="G12" s="41" t="s">
        <v>126</v>
      </c>
      <c r="H12" s="41" t="s">
        <v>133</v>
      </c>
      <c r="I12" s="40" t="s">
        <v>164</v>
      </c>
      <c r="J12" s="42" t="n">
        <v>1</v>
      </c>
    </row>
    <row r="13" customFormat="false" ht="14.25" hidden="false" customHeight="true" outlineLevel="0" collapsed="false">
      <c r="B13" s="40" t="n">
        <v>1</v>
      </c>
      <c r="C13" s="41" t="s">
        <v>177</v>
      </c>
      <c r="D13" s="32" t="s">
        <v>567</v>
      </c>
      <c r="E13" s="41" t="s">
        <v>579</v>
      </c>
      <c r="F13" s="41" t="s">
        <v>576</v>
      </c>
      <c r="G13" s="41" t="s">
        <v>126</v>
      </c>
      <c r="H13" s="41" t="s">
        <v>133</v>
      </c>
      <c r="I13" s="40" t="s">
        <v>164</v>
      </c>
      <c r="J13" s="42" t="n">
        <v>1</v>
      </c>
    </row>
    <row r="14" customFormat="false" ht="14.25" hidden="false" customHeight="true" outlineLevel="0" collapsed="false">
      <c r="B14" s="40" t="n">
        <v>1</v>
      </c>
      <c r="C14" s="41" t="s">
        <v>177</v>
      </c>
      <c r="D14" s="32" t="s">
        <v>567</v>
      </c>
      <c r="E14" s="41" t="s">
        <v>580</v>
      </c>
      <c r="F14" s="41" t="s">
        <v>578</v>
      </c>
      <c r="G14" s="41" t="s">
        <v>126</v>
      </c>
      <c r="H14" s="41" t="s">
        <v>133</v>
      </c>
      <c r="I14" s="40" t="s">
        <v>164</v>
      </c>
      <c r="J14" s="42" t="n">
        <v>1</v>
      </c>
    </row>
    <row r="15" customFormat="false" ht="14.25" hidden="false" customHeight="true" outlineLevel="0" collapsed="false">
      <c r="B15" s="43"/>
      <c r="C15" s="43"/>
      <c r="D15" s="43"/>
      <c r="E15" s="44" t="s">
        <v>581</v>
      </c>
      <c r="F15" s="43"/>
      <c r="G15" s="43"/>
      <c r="H15" s="43"/>
      <c r="I15" s="43"/>
      <c r="J15" s="45" t="n">
        <f aca="false">SUM(J5:J14)</f>
        <v>10</v>
      </c>
    </row>
    <row r="16" customFormat="false" ht="14.25" hidden="false" customHeight="true" outlineLevel="0" collapsed="false">
      <c r="B16" s="40" t="n">
        <v>1</v>
      </c>
      <c r="C16" s="41" t="s">
        <v>177</v>
      </c>
      <c r="D16" s="32" t="s">
        <v>582</v>
      </c>
      <c r="E16" s="41" t="s">
        <v>583</v>
      </c>
      <c r="F16" s="41" t="s">
        <v>569</v>
      </c>
      <c r="G16" s="41" t="s">
        <v>128</v>
      </c>
      <c r="H16" s="41" t="s">
        <v>131</v>
      </c>
      <c r="I16" s="40" t="s">
        <v>162</v>
      </c>
      <c r="J16" s="42" t="n">
        <v>1</v>
      </c>
    </row>
    <row r="17" customFormat="false" ht="14.25" hidden="false" customHeight="true" outlineLevel="0" collapsed="false">
      <c r="B17" s="40" t="n">
        <v>1</v>
      </c>
      <c r="C17" s="41" t="s">
        <v>177</v>
      </c>
      <c r="D17" s="32" t="s">
        <v>582</v>
      </c>
      <c r="E17" s="41" t="s">
        <v>584</v>
      </c>
      <c r="F17" s="41" t="s">
        <v>573</v>
      </c>
      <c r="G17" s="41" t="s">
        <v>128</v>
      </c>
      <c r="H17" s="41" t="s">
        <v>131</v>
      </c>
      <c r="I17" s="40" t="s">
        <v>162</v>
      </c>
      <c r="J17" s="42" t="n">
        <v>1</v>
      </c>
    </row>
    <row r="18" customFormat="false" ht="14.25" hidden="false" customHeight="true" outlineLevel="0" collapsed="false">
      <c r="B18" s="40" t="n">
        <v>1</v>
      </c>
      <c r="C18" s="41" t="s">
        <v>177</v>
      </c>
      <c r="D18" s="32" t="s">
        <v>582</v>
      </c>
      <c r="E18" s="41" t="s">
        <v>575</v>
      </c>
      <c r="F18" s="41" t="s">
        <v>576</v>
      </c>
      <c r="G18" s="41" t="s">
        <v>127</v>
      </c>
      <c r="H18" s="41" t="s">
        <v>131</v>
      </c>
      <c r="I18" s="40" t="s">
        <v>162</v>
      </c>
      <c r="J18" s="42" t="n">
        <v>1</v>
      </c>
    </row>
    <row r="19" customFormat="false" ht="14.25" hidden="false" customHeight="true" outlineLevel="0" collapsed="false">
      <c r="B19" s="40" t="n">
        <v>1</v>
      </c>
      <c r="C19" s="41" t="s">
        <v>177</v>
      </c>
      <c r="D19" s="32" t="s">
        <v>582</v>
      </c>
      <c r="E19" s="41" t="s">
        <v>585</v>
      </c>
      <c r="F19" s="41" t="s">
        <v>576</v>
      </c>
      <c r="G19" s="41" t="s">
        <v>126</v>
      </c>
      <c r="H19" s="41" t="s">
        <v>133</v>
      </c>
      <c r="I19" s="40" t="s">
        <v>162</v>
      </c>
      <c r="J19" s="42" t="n">
        <v>1</v>
      </c>
    </row>
    <row r="20" customFormat="false" ht="14.25" hidden="false" customHeight="true" outlineLevel="0" collapsed="false">
      <c r="B20" s="40" t="n">
        <v>1</v>
      </c>
      <c r="C20" s="41" t="s">
        <v>177</v>
      </c>
      <c r="D20" s="32" t="s">
        <v>582</v>
      </c>
      <c r="E20" s="41" t="s">
        <v>585</v>
      </c>
      <c r="F20" s="41" t="s">
        <v>576</v>
      </c>
      <c r="G20" s="41" t="s">
        <v>126</v>
      </c>
      <c r="H20" s="41" t="s">
        <v>133</v>
      </c>
      <c r="I20" s="40" t="s">
        <v>162</v>
      </c>
      <c r="J20" s="42" t="n">
        <v>1</v>
      </c>
    </row>
    <row r="21" customFormat="false" ht="14.25" hidden="false" customHeight="true" outlineLevel="0" collapsed="false">
      <c r="B21" s="40" t="n">
        <v>1</v>
      </c>
      <c r="C21" s="41" t="s">
        <v>177</v>
      </c>
      <c r="D21" s="32" t="s">
        <v>582</v>
      </c>
      <c r="E21" s="41" t="s">
        <v>586</v>
      </c>
      <c r="F21" s="41" t="s">
        <v>578</v>
      </c>
      <c r="G21" s="41" t="s">
        <v>127</v>
      </c>
      <c r="H21" s="41" t="s">
        <v>131</v>
      </c>
      <c r="I21" s="40" t="s">
        <v>162</v>
      </c>
      <c r="J21" s="42" t="n">
        <v>1</v>
      </c>
    </row>
    <row r="22" customFormat="false" ht="14.25" hidden="false" customHeight="true" outlineLevel="0" collapsed="false">
      <c r="B22" s="40" t="n">
        <v>1</v>
      </c>
      <c r="C22" s="41" t="s">
        <v>177</v>
      </c>
      <c r="D22" s="32" t="s">
        <v>582</v>
      </c>
      <c r="E22" s="41" t="s">
        <v>579</v>
      </c>
      <c r="F22" s="41" t="s">
        <v>576</v>
      </c>
      <c r="G22" s="41" t="s">
        <v>127</v>
      </c>
      <c r="H22" s="41" t="s">
        <v>133</v>
      </c>
      <c r="I22" s="40" t="s">
        <v>164</v>
      </c>
      <c r="J22" s="42" t="n">
        <v>1</v>
      </c>
    </row>
    <row r="23" customFormat="false" ht="14.25" hidden="false" customHeight="true" outlineLevel="0" collapsed="false">
      <c r="B23" s="40" t="n">
        <v>1</v>
      </c>
      <c r="C23" s="41" t="s">
        <v>177</v>
      </c>
      <c r="D23" s="32" t="s">
        <v>582</v>
      </c>
      <c r="E23" s="41" t="s">
        <v>579</v>
      </c>
      <c r="F23" s="41" t="s">
        <v>576</v>
      </c>
      <c r="G23" s="41" t="s">
        <v>126</v>
      </c>
      <c r="H23" s="41" t="s">
        <v>133</v>
      </c>
      <c r="I23" s="40" t="s">
        <v>164</v>
      </c>
      <c r="J23" s="42" t="n">
        <v>1</v>
      </c>
    </row>
    <row r="24" customFormat="false" ht="14.25" hidden="false" customHeight="true" outlineLevel="0" collapsed="false">
      <c r="B24" s="40" t="n">
        <v>1</v>
      </c>
      <c r="C24" s="41" t="s">
        <v>177</v>
      </c>
      <c r="D24" s="32" t="s">
        <v>582</v>
      </c>
      <c r="E24" s="41" t="s">
        <v>579</v>
      </c>
      <c r="F24" s="41" t="s">
        <v>576</v>
      </c>
      <c r="G24" s="41" t="s">
        <v>126</v>
      </c>
      <c r="H24" s="41" t="s">
        <v>133</v>
      </c>
      <c r="I24" s="40" t="s">
        <v>164</v>
      </c>
      <c r="J24" s="42" t="n">
        <v>1</v>
      </c>
    </row>
    <row r="25" customFormat="false" ht="14.25" hidden="false" customHeight="true" outlineLevel="0" collapsed="false">
      <c r="B25" s="40" t="n">
        <v>1</v>
      </c>
      <c r="C25" s="41" t="s">
        <v>177</v>
      </c>
      <c r="D25" s="32" t="s">
        <v>582</v>
      </c>
      <c r="E25" s="41" t="s">
        <v>580</v>
      </c>
      <c r="F25" s="41" t="s">
        <v>578</v>
      </c>
      <c r="G25" s="41" t="s">
        <v>126</v>
      </c>
      <c r="H25" s="41" t="s">
        <v>133</v>
      </c>
      <c r="I25" s="40" t="s">
        <v>164</v>
      </c>
      <c r="J25" s="42" t="n">
        <v>1</v>
      </c>
    </row>
    <row r="26" customFormat="false" ht="14.25" hidden="false" customHeight="true" outlineLevel="0" collapsed="false">
      <c r="B26" s="43"/>
      <c r="C26" s="43"/>
      <c r="D26" s="43"/>
      <c r="E26" s="44" t="s">
        <v>587</v>
      </c>
      <c r="F26" s="43"/>
      <c r="G26" s="43"/>
      <c r="H26" s="43"/>
      <c r="I26" s="43"/>
      <c r="J26" s="45" t="n">
        <f aca="false">SUM(J16:J25)</f>
        <v>10</v>
      </c>
    </row>
    <row r="27" customFormat="false" ht="14.25" hidden="false" customHeight="true" outlineLevel="0" collapsed="false">
      <c r="B27" s="40"/>
      <c r="C27" s="41"/>
      <c r="D27" s="32"/>
      <c r="E27" s="41"/>
      <c r="F27" s="41"/>
      <c r="G27" s="41"/>
      <c r="H27" s="41"/>
      <c r="I27" s="40"/>
      <c r="J27" s="42"/>
    </row>
    <row r="28" customFormat="false" ht="14.25" hidden="false" customHeight="true" outlineLevel="0" collapsed="false">
      <c r="B28" s="40" t="n">
        <v>1</v>
      </c>
      <c r="C28" s="41" t="s">
        <v>187</v>
      </c>
      <c r="D28" s="32" t="s">
        <v>567</v>
      </c>
      <c r="E28" s="41" t="s">
        <v>568</v>
      </c>
      <c r="F28" s="41" t="s">
        <v>569</v>
      </c>
      <c r="G28" s="41" t="s">
        <v>128</v>
      </c>
      <c r="H28" s="41" t="s">
        <v>131</v>
      </c>
      <c r="I28" s="40" t="s">
        <v>163</v>
      </c>
      <c r="J28" s="42" t="n">
        <v>1</v>
      </c>
    </row>
    <row r="29" customFormat="false" ht="14.25" hidden="false" customHeight="true" outlineLevel="0" collapsed="false">
      <c r="B29" s="40" t="n">
        <v>1</v>
      </c>
      <c r="C29" s="41" t="s">
        <v>187</v>
      </c>
      <c r="D29" s="32" t="s">
        <v>567</v>
      </c>
      <c r="E29" s="41" t="s">
        <v>588</v>
      </c>
      <c r="F29" s="41" t="s">
        <v>571</v>
      </c>
      <c r="G29" s="41" t="s">
        <v>128</v>
      </c>
      <c r="H29" s="41" t="s">
        <v>131</v>
      </c>
      <c r="I29" s="40" t="s">
        <v>163</v>
      </c>
      <c r="J29" s="42" t="n">
        <v>1</v>
      </c>
    </row>
    <row r="30" customFormat="false" ht="14.25" hidden="false" customHeight="true" outlineLevel="0" collapsed="false">
      <c r="B30" s="40" t="n">
        <v>1</v>
      </c>
      <c r="C30" s="41" t="s">
        <v>187</v>
      </c>
      <c r="D30" s="32" t="s">
        <v>567</v>
      </c>
      <c r="E30" s="41" t="s">
        <v>572</v>
      </c>
      <c r="F30" s="41" t="s">
        <v>573</v>
      </c>
      <c r="G30" s="41" t="s">
        <v>128</v>
      </c>
      <c r="H30" s="41" t="s">
        <v>131</v>
      </c>
      <c r="I30" s="40" t="s">
        <v>163</v>
      </c>
      <c r="J30" s="42" t="n">
        <v>1</v>
      </c>
    </row>
    <row r="31" customFormat="false" ht="14.25" hidden="false" customHeight="true" outlineLevel="0" collapsed="false">
      <c r="B31" s="40" t="n">
        <v>1</v>
      </c>
      <c r="C31" s="41" t="s">
        <v>187</v>
      </c>
      <c r="D31" s="32" t="s">
        <v>567</v>
      </c>
      <c r="E31" s="41" t="s">
        <v>574</v>
      </c>
      <c r="F31" s="41" t="s">
        <v>569</v>
      </c>
      <c r="G31" s="41" t="s">
        <v>128</v>
      </c>
      <c r="H31" s="41" t="s">
        <v>131</v>
      </c>
      <c r="I31" s="40" t="s">
        <v>162</v>
      </c>
      <c r="J31" s="42" t="n">
        <v>1</v>
      </c>
    </row>
    <row r="32" customFormat="false" ht="14.25" hidden="false" customHeight="true" outlineLevel="0" collapsed="false">
      <c r="B32" s="40" t="n">
        <v>1</v>
      </c>
      <c r="C32" s="41" t="s">
        <v>187</v>
      </c>
      <c r="D32" s="32" t="s">
        <v>567</v>
      </c>
      <c r="E32" s="41" t="s">
        <v>589</v>
      </c>
      <c r="F32" s="41" t="s">
        <v>576</v>
      </c>
      <c r="G32" s="41" t="s">
        <v>127</v>
      </c>
      <c r="H32" s="41" t="s">
        <v>133</v>
      </c>
      <c r="I32" s="40" t="s">
        <v>164</v>
      </c>
      <c r="J32" s="42" t="n">
        <v>1</v>
      </c>
    </row>
    <row r="33" customFormat="false" ht="14.25" hidden="false" customHeight="true" outlineLevel="0" collapsed="false">
      <c r="B33" s="40" t="n">
        <v>1</v>
      </c>
      <c r="C33" s="41" t="s">
        <v>187</v>
      </c>
      <c r="D33" s="32" t="s">
        <v>567</v>
      </c>
      <c r="E33" s="41" t="s">
        <v>590</v>
      </c>
      <c r="F33" s="41" t="s">
        <v>578</v>
      </c>
      <c r="G33" s="41" t="s">
        <v>126</v>
      </c>
      <c r="H33" s="41" t="s">
        <v>133</v>
      </c>
      <c r="I33" s="40" t="s">
        <v>162</v>
      </c>
      <c r="J33" s="42" t="n">
        <v>1</v>
      </c>
    </row>
    <row r="34" customFormat="false" ht="14.25" hidden="false" customHeight="true" outlineLevel="0" collapsed="false">
      <c r="B34" s="43"/>
      <c r="C34" s="43"/>
      <c r="D34" s="43"/>
      <c r="E34" s="44" t="s">
        <v>591</v>
      </c>
      <c r="F34" s="43"/>
      <c r="G34" s="43"/>
      <c r="H34" s="43"/>
      <c r="I34" s="43"/>
      <c r="J34" s="45" t="n">
        <f aca="false">SUM(J28:J33)</f>
        <v>6</v>
      </c>
    </row>
    <row r="35" customFormat="false" ht="14.25" hidden="false" customHeight="true" outlineLevel="0" collapsed="false">
      <c r="B35" s="40" t="n">
        <v>1</v>
      </c>
      <c r="C35" s="41" t="s">
        <v>187</v>
      </c>
      <c r="D35" s="32" t="s">
        <v>582</v>
      </c>
      <c r="E35" s="41" t="s">
        <v>583</v>
      </c>
      <c r="F35" s="41" t="s">
        <v>569</v>
      </c>
      <c r="G35" s="41" t="s">
        <v>128</v>
      </c>
      <c r="H35" s="41" t="s">
        <v>131</v>
      </c>
      <c r="I35" s="40" t="s">
        <v>162</v>
      </c>
      <c r="J35" s="42" t="n">
        <v>1</v>
      </c>
    </row>
    <row r="36" customFormat="false" ht="14.25" hidden="false" customHeight="true" outlineLevel="0" collapsed="false">
      <c r="B36" s="40" t="n">
        <v>1</v>
      </c>
      <c r="C36" s="41" t="s">
        <v>187</v>
      </c>
      <c r="D36" s="32" t="s">
        <v>582</v>
      </c>
      <c r="E36" s="41" t="s">
        <v>585</v>
      </c>
      <c r="F36" s="41" t="s">
        <v>576</v>
      </c>
      <c r="G36" s="41" t="s">
        <v>127</v>
      </c>
      <c r="H36" s="41" t="s">
        <v>133</v>
      </c>
      <c r="I36" s="40" t="s">
        <v>162</v>
      </c>
      <c r="J36" s="42" t="n">
        <v>1</v>
      </c>
    </row>
    <row r="37" customFormat="false" ht="14.25" hidden="false" customHeight="true" outlineLevel="0" collapsed="false">
      <c r="B37" s="40" t="n">
        <v>1</v>
      </c>
      <c r="C37" s="41" t="s">
        <v>187</v>
      </c>
      <c r="D37" s="32" t="s">
        <v>582</v>
      </c>
      <c r="E37" s="41" t="s">
        <v>579</v>
      </c>
      <c r="F37" s="41" t="s">
        <v>576</v>
      </c>
      <c r="G37" s="41" t="s">
        <v>126</v>
      </c>
      <c r="H37" s="41" t="s">
        <v>133</v>
      </c>
      <c r="I37" s="40" t="s">
        <v>164</v>
      </c>
      <c r="J37" s="42" t="n">
        <v>1</v>
      </c>
    </row>
    <row r="38" customFormat="false" ht="14.25" hidden="false" customHeight="true" outlineLevel="0" collapsed="false">
      <c r="B38" s="40" t="n">
        <v>1</v>
      </c>
      <c r="C38" s="41" t="s">
        <v>187</v>
      </c>
      <c r="D38" s="32" t="s">
        <v>582</v>
      </c>
      <c r="E38" s="41" t="s">
        <v>577</v>
      </c>
      <c r="F38" s="41" t="s">
        <v>578</v>
      </c>
      <c r="G38" s="41" t="s">
        <v>126</v>
      </c>
      <c r="H38" s="41" t="s">
        <v>133</v>
      </c>
      <c r="I38" s="40" t="s">
        <v>162</v>
      </c>
      <c r="J38" s="42" t="n">
        <v>1</v>
      </c>
    </row>
    <row r="39" customFormat="false" ht="14.25" hidden="false" customHeight="true" outlineLevel="0" collapsed="false">
      <c r="B39" s="43"/>
      <c r="C39" s="43"/>
      <c r="D39" s="43"/>
      <c r="E39" s="44" t="s">
        <v>592</v>
      </c>
      <c r="F39" s="43"/>
      <c r="G39" s="43"/>
      <c r="H39" s="43"/>
      <c r="I39" s="43"/>
      <c r="J39" s="45" t="n">
        <f aca="false">SUM(J35:J38)</f>
        <v>4</v>
      </c>
    </row>
    <row r="40" customFormat="false" ht="14.25" hidden="false" customHeight="true" outlineLevel="0" collapsed="false">
      <c r="B40" s="40"/>
      <c r="C40" s="41"/>
      <c r="D40" s="32"/>
      <c r="E40" s="41"/>
      <c r="F40" s="41"/>
      <c r="G40" s="41"/>
      <c r="H40" s="41"/>
      <c r="I40" s="40"/>
      <c r="J40" s="42"/>
    </row>
    <row r="41" customFormat="false" ht="14.25" hidden="false" customHeight="true" outlineLevel="0" collapsed="false">
      <c r="B41" s="40" t="n">
        <v>1</v>
      </c>
      <c r="C41" s="41" t="s">
        <v>197</v>
      </c>
      <c r="D41" s="32" t="s">
        <v>582</v>
      </c>
      <c r="E41" s="41" t="s">
        <v>583</v>
      </c>
      <c r="F41" s="41" t="s">
        <v>569</v>
      </c>
      <c r="G41" s="41" t="s">
        <v>128</v>
      </c>
      <c r="H41" s="41" t="s">
        <v>131</v>
      </c>
      <c r="I41" s="40" t="s">
        <v>162</v>
      </c>
      <c r="J41" s="42" t="n">
        <v>1</v>
      </c>
    </row>
    <row r="42" customFormat="false" ht="14.25" hidden="false" customHeight="true" outlineLevel="0" collapsed="false">
      <c r="B42" s="40" t="n">
        <v>1</v>
      </c>
      <c r="C42" s="41" t="s">
        <v>197</v>
      </c>
      <c r="D42" s="32" t="s">
        <v>582</v>
      </c>
      <c r="E42" s="41" t="s">
        <v>579</v>
      </c>
      <c r="F42" s="41" t="s">
        <v>576</v>
      </c>
      <c r="G42" s="41" t="s">
        <v>127</v>
      </c>
      <c r="H42" s="41" t="s">
        <v>133</v>
      </c>
      <c r="I42" s="40" t="s">
        <v>164</v>
      </c>
      <c r="J42" s="42" t="n">
        <v>1</v>
      </c>
    </row>
    <row r="43" customFormat="false" ht="14.25" hidden="false" customHeight="true" outlineLevel="0" collapsed="false">
      <c r="B43" s="40" t="n">
        <v>1</v>
      </c>
      <c r="C43" s="41" t="s">
        <v>197</v>
      </c>
      <c r="D43" s="32" t="s">
        <v>582</v>
      </c>
      <c r="E43" s="41" t="s">
        <v>577</v>
      </c>
      <c r="F43" s="41" t="s">
        <v>578</v>
      </c>
      <c r="G43" s="41" t="s">
        <v>126</v>
      </c>
      <c r="H43" s="41" t="s">
        <v>133</v>
      </c>
      <c r="I43" s="40" t="s">
        <v>162</v>
      </c>
      <c r="J43" s="42" t="n">
        <v>1</v>
      </c>
    </row>
    <row r="44" customFormat="false" ht="14.25" hidden="false" customHeight="true" outlineLevel="0" collapsed="false">
      <c r="B44" s="43"/>
      <c r="C44" s="43"/>
      <c r="D44" s="43"/>
      <c r="E44" s="44" t="s">
        <v>593</v>
      </c>
      <c r="F44" s="43"/>
      <c r="G44" s="43"/>
      <c r="H44" s="43"/>
      <c r="I44" s="43"/>
      <c r="J44" s="45" t="n">
        <f aca="false">SUM(J41:J43)</f>
        <v>3</v>
      </c>
    </row>
    <row r="45" customFormat="false" ht="14.25" hidden="false" customHeight="true" outlineLevel="0" collapsed="false">
      <c r="B45" s="40"/>
      <c r="C45" s="41"/>
      <c r="D45" s="32"/>
      <c r="E45" s="41"/>
      <c r="F45" s="41"/>
      <c r="G45" s="41"/>
      <c r="H45" s="41"/>
      <c r="I45" s="40"/>
      <c r="J45" s="42"/>
    </row>
    <row r="46" customFormat="false" ht="14.25" hidden="false" customHeight="true" outlineLevel="0" collapsed="false">
      <c r="B46" s="40" t="n">
        <v>1</v>
      </c>
      <c r="C46" s="41" t="s">
        <v>192</v>
      </c>
      <c r="D46" s="32" t="s">
        <v>567</v>
      </c>
      <c r="E46" s="41" t="s">
        <v>568</v>
      </c>
      <c r="F46" s="41" t="s">
        <v>569</v>
      </c>
      <c r="G46" s="41" t="s">
        <v>128</v>
      </c>
      <c r="H46" s="41" t="s">
        <v>131</v>
      </c>
      <c r="I46" s="40" t="s">
        <v>163</v>
      </c>
      <c r="J46" s="42" t="n">
        <v>1</v>
      </c>
    </row>
    <row r="47" customFormat="false" ht="14.25" hidden="false" customHeight="true" outlineLevel="0" collapsed="false">
      <c r="B47" s="40" t="n">
        <v>1</v>
      </c>
      <c r="C47" s="41" t="s">
        <v>192</v>
      </c>
      <c r="D47" s="32" t="s">
        <v>567</v>
      </c>
      <c r="E47" s="41" t="s">
        <v>594</v>
      </c>
      <c r="F47" s="41" t="s">
        <v>571</v>
      </c>
      <c r="G47" s="41" t="s">
        <v>129</v>
      </c>
      <c r="H47" s="41" t="s">
        <v>131</v>
      </c>
      <c r="I47" s="40" t="s">
        <v>163</v>
      </c>
      <c r="J47" s="42" t="n">
        <v>1</v>
      </c>
    </row>
    <row r="48" customFormat="false" ht="14.25" hidden="false" customHeight="true" outlineLevel="0" collapsed="false">
      <c r="B48" s="40" t="n">
        <v>1</v>
      </c>
      <c r="C48" s="41" t="s">
        <v>192</v>
      </c>
      <c r="D48" s="32" t="s">
        <v>567</v>
      </c>
      <c r="E48" s="41" t="s">
        <v>572</v>
      </c>
      <c r="F48" s="41" t="s">
        <v>573</v>
      </c>
      <c r="G48" s="41" t="s">
        <v>128</v>
      </c>
      <c r="H48" s="41" t="s">
        <v>131</v>
      </c>
      <c r="I48" s="40" t="s">
        <v>163</v>
      </c>
      <c r="J48" s="42" t="n">
        <v>1</v>
      </c>
    </row>
    <row r="49" customFormat="false" ht="14.25" hidden="false" customHeight="true" outlineLevel="0" collapsed="false">
      <c r="B49" s="40" t="n">
        <v>1</v>
      </c>
      <c r="C49" s="41" t="s">
        <v>192</v>
      </c>
      <c r="D49" s="32" t="s">
        <v>567</v>
      </c>
      <c r="E49" s="41" t="s">
        <v>574</v>
      </c>
      <c r="F49" s="41" t="s">
        <v>569</v>
      </c>
      <c r="G49" s="41" t="s">
        <v>128</v>
      </c>
      <c r="H49" s="41" t="s">
        <v>131</v>
      </c>
      <c r="I49" s="40" t="s">
        <v>162</v>
      </c>
      <c r="J49" s="42" t="n">
        <v>1</v>
      </c>
    </row>
    <row r="50" customFormat="false" ht="14.25" hidden="false" customHeight="true" outlineLevel="0" collapsed="false">
      <c r="B50" s="40" t="n">
        <v>1</v>
      </c>
      <c r="C50" s="41" t="s">
        <v>192</v>
      </c>
      <c r="D50" s="32" t="s">
        <v>567</v>
      </c>
      <c r="E50" s="41" t="s">
        <v>595</v>
      </c>
      <c r="F50" s="41" t="s">
        <v>571</v>
      </c>
      <c r="G50" s="41" t="s">
        <v>127</v>
      </c>
      <c r="H50" s="41" t="s">
        <v>131</v>
      </c>
      <c r="I50" s="40" t="s">
        <v>162</v>
      </c>
      <c r="J50" s="42" t="n">
        <v>1</v>
      </c>
    </row>
    <row r="51" customFormat="false" ht="14.25" hidden="false" customHeight="true" outlineLevel="0" collapsed="false">
      <c r="B51" s="40" t="n">
        <v>1</v>
      </c>
      <c r="C51" s="41" t="s">
        <v>192</v>
      </c>
      <c r="D51" s="32" t="s">
        <v>567</v>
      </c>
      <c r="E51" s="41" t="s">
        <v>585</v>
      </c>
      <c r="F51" s="41" t="s">
        <v>576</v>
      </c>
      <c r="G51" s="41" t="s">
        <v>127</v>
      </c>
      <c r="H51" s="41" t="s">
        <v>131</v>
      </c>
      <c r="I51" s="40" t="s">
        <v>162</v>
      </c>
      <c r="J51" s="42" t="n">
        <v>1</v>
      </c>
    </row>
    <row r="52" customFormat="false" ht="14.25" hidden="false" customHeight="true" outlineLevel="0" collapsed="false">
      <c r="B52" s="40" t="n">
        <v>1</v>
      </c>
      <c r="C52" s="41" t="s">
        <v>192</v>
      </c>
      <c r="D52" s="32" t="s">
        <v>567</v>
      </c>
      <c r="E52" s="41" t="s">
        <v>579</v>
      </c>
      <c r="F52" s="41" t="s">
        <v>576</v>
      </c>
      <c r="G52" s="41" t="s">
        <v>126</v>
      </c>
      <c r="H52" s="41" t="s">
        <v>133</v>
      </c>
      <c r="I52" s="40" t="s">
        <v>164</v>
      </c>
      <c r="J52" s="42" t="n">
        <v>1</v>
      </c>
    </row>
    <row r="53" customFormat="false" ht="14.25" hidden="false" customHeight="true" outlineLevel="0" collapsed="false">
      <c r="B53" s="40" t="n">
        <v>1</v>
      </c>
      <c r="C53" s="41" t="s">
        <v>192</v>
      </c>
      <c r="D53" s="32" t="s">
        <v>567</v>
      </c>
      <c r="E53" s="41" t="s">
        <v>577</v>
      </c>
      <c r="F53" s="41" t="s">
        <v>578</v>
      </c>
      <c r="G53" s="41" t="s">
        <v>126</v>
      </c>
      <c r="H53" s="41" t="s">
        <v>131</v>
      </c>
      <c r="I53" s="40" t="s">
        <v>162</v>
      </c>
      <c r="J53" s="42" t="n">
        <v>1</v>
      </c>
    </row>
    <row r="54" customFormat="false" ht="14.25" hidden="false" customHeight="true" outlineLevel="0" collapsed="false">
      <c r="B54" s="43"/>
      <c r="C54" s="43"/>
      <c r="D54" s="43"/>
      <c r="E54" s="44" t="s">
        <v>596</v>
      </c>
      <c r="F54" s="43"/>
      <c r="G54" s="43"/>
      <c r="H54" s="43"/>
      <c r="I54" s="43"/>
      <c r="J54" s="45" t="n">
        <f aca="false">SUM(J46:J53)</f>
        <v>8</v>
      </c>
    </row>
    <row r="55" customFormat="false" ht="14.25" hidden="false" customHeight="true" outlineLevel="0" collapsed="false">
      <c r="B55" s="43"/>
      <c r="C55" s="43"/>
      <c r="D55" s="43"/>
      <c r="E55" s="44"/>
      <c r="F55" s="43"/>
      <c r="G55" s="43"/>
      <c r="H55" s="43"/>
      <c r="I55" s="43"/>
      <c r="J55" s="45"/>
    </row>
    <row r="56" customFormat="false" ht="14.25" hidden="false" customHeight="true" outlineLevel="0" collapsed="false">
      <c r="B56" s="40" t="n">
        <v>2</v>
      </c>
      <c r="C56" s="41" t="s">
        <v>177</v>
      </c>
      <c r="D56" s="32" t="s">
        <v>567</v>
      </c>
      <c r="E56" s="41" t="s">
        <v>568</v>
      </c>
      <c r="F56" s="41" t="s">
        <v>569</v>
      </c>
      <c r="G56" s="41" t="s">
        <v>128</v>
      </c>
      <c r="H56" s="41" t="s">
        <v>131</v>
      </c>
      <c r="I56" s="40" t="s">
        <v>163</v>
      </c>
      <c r="J56" s="42" t="n">
        <v>1</v>
      </c>
    </row>
    <row r="57" customFormat="false" ht="14.25" hidden="false" customHeight="true" outlineLevel="0" collapsed="false">
      <c r="B57" s="40" t="n">
        <v>2</v>
      </c>
      <c r="C57" s="41" t="s">
        <v>177</v>
      </c>
      <c r="D57" s="32" t="s">
        <v>567</v>
      </c>
      <c r="E57" s="41" t="s">
        <v>570</v>
      </c>
      <c r="F57" s="41" t="s">
        <v>571</v>
      </c>
      <c r="G57" s="41" t="s">
        <v>128</v>
      </c>
      <c r="H57" s="41" t="s">
        <v>131</v>
      </c>
      <c r="I57" s="40" t="s">
        <v>163</v>
      </c>
      <c r="J57" s="42" t="n">
        <v>1</v>
      </c>
    </row>
    <row r="58" customFormat="false" ht="14.25" hidden="false" customHeight="true" outlineLevel="0" collapsed="false">
      <c r="B58" s="40" t="n">
        <v>2</v>
      </c>
      <c r="C58" s="41" t="s">
        <v>177</v>
      </c>
      <c r="D58" s="32" t="s">
        <v>567</v>
      </c>
      <c r="E58" s="41" t="s">
        <v>572</v>
      </c>
      <c r="F58" s="41" t="s">
        <v>573</v>
      </c>
      <c r="G58" s="41" t="s">
        <v>128</v>
      </c>
      <c r="H58" s="41" t="s">
        <v>131</v>
      </c>
      <c r="I58" s="40" t="s">
        <v>163</v>
      </c>
      <c r="J58" s="42" t="n">
        <v>1</v>
      </c>
    </row>
    <row r="59" customFormat="false" ht="14.25" hidden="false" customHeight="true" outlineLevel="0" collapsed="false">
      <c r="B59" s="40" t="n">
        <v>2</v>
      </c>
      <c r="C59" s="41" t="s">
        <v>177</v>
      </c>
      <c r="D59" s="32" t="s">
        <v>567</v>
      </c>
      <c r="E59" s="41" t="s">
        <v>574</v>
      </c>
      <c r="F59" s="41" t="s">
        <v>569</v>
      </c>
      <c r="G59" s="41" t="s">
        <v>128</v>
      </c>
      <c r="H59" s="41" t="s">
        <v>131</v>
      </c>
      <c r="I59" s="40" t="s">
        <v>162</v>
      </c>
      <c r="J59" s="42" t="n">
        <v>1</v>
      </c>
    </row>
    <row r="60" customFormat="false" ht="14.25" hidden="false" customHeight="true" outlineLevel="0" collapsed="false">
      <c r="B60" s="40" t="n">
        <v>2</v>
      </c>
      <c r="C60" s="41" t="s">
        <v>177</v>
      </c>
      <c r="D60" s="32" t="s">
        <v>567</v>
      </c>
      <c r="E60" s="41" t="s">
        <v>597</v>
      </c>
      <c r="F60" s="41" t="s">
        <v>576</v>
      </c>
      <c r="G60" s="41" t="s">
        <v>127</v>
      </c>
      <c r="H60" s="41" t="s">
        <v>131</v>
      </c>
      <c r="I60" s="40" t="s">
        <v>162</v>
      </c>
      <c r="J60" s="42" t="n">
        <v>1</v>
      </c>
    </row>
    <row r="61" customFormat="false" ht="14.25" hidden="false" customHeight="true" outlineLevel="0" collapsed="false">
      <c r="B61" s="40" t="n">
        <v>2</v>
      </c>
      <c r="C61" s="41" t="s">
        <v>177</v>
      </c>
      <c r="D61" s="32" t="s">
        <v>567</v>
      </c>
      <c r="E61" s="41" t="s">
        <v>598</v>
      </c>
      <c r="F61" s="41" t="s">
        <v>578</v>
      </c>
      <c r="G61" s="41" t="s">
        <v>127</v>
      </c>
      <c r="H61" s="41" t="s">
        <v>131</v>
      </c>
      <c r="I61" s="40" t="s">
        <v>162</v>
      </c>
      <c r="J61" s="42" t="n">
        <v>1</v>
      </c>
    </row>
    <row r="62" customFormat="false" ht="14.25" hidden="false" customHeight="true" outlineLevel="0" collapsed="false">
      <c r="B62" s="40" t="n">
        <v>2</v>
      </c>
      <c r="C62" s="41" t="s">
        <v>177</v>
      </c>
      <c r="D62" s="32" t="s">
        <v>567</v>
      </c>
      <c r="E62" s="41" t="s">
        <v>599</v>
      </c>
      <c r="F62" s="41" t="s">
        <v>576</v>
      </c>
      <c r="G62" s="41" t="s">
        <v>127</v>
      </c>
      <c r="H62" s="41" t="s">
        <v>133</v>
      </c>
      <c r="I62" s="40" t="s">
        <v>164</v>
      </c>
      <c r="J62" s="42" t="n">
        <v>1</v>
      </c>
    </row>
    <row r="63" customFormat="false" ht="14.25" hidden="false" customHeight="true" outlineLevel="0" collapsed="false">
      <c r="B63" s="40" t="n">
        <v>2</v>
      </c>
      <c r="C63" s="41" t="s">
        <v>177</v>
      </c>
      <c r="D63" s="32" t="s">
        <v>567</v>
      </c>
      <c r="E63" s="41" t="s">
        <v>579</v>
      </c>
      <c r="F63" s="41" t="s">
        <v>576</v>
      </c>
      <c r="G63" s="41" t="s">
        <v>126</v>
      </c>
      <c r="H63" s="41" t="s">
        <v>133</v>
      </c>
      <c r="I63" s="40" t="s">
        <v>164</v>
      </c>
      <c r="J63" s="42" t="n">
        <v>1</v>
      </c>
    </row>
    <row r="64" customFormat="false" ht="14.25" hidden="false" customHeight="true" outlineLevel="0" collapsed="false">
      <c r="B64" s="40" t="n">
        <v>2</v>
      </c>
      <c r="C64" s="41" t="s">
        <v>177</v>
      </c>
      <c r="D64" s="32" t="s">
        <v>567</v>
      </c>
      <c r="E64" s="41" t="s">
        <v>580</v>
      </c>
      <c r="F64" s="41" t="s">
        <v>578</v>
      </c>
      <c r="G64" s="41" t="s">
        <v>126</v>
      </c>
      <c r="H64" s="41" t="s">
        <v>133</v>
      </c>
      <c r="I64" s="40" t="s">
        <v>164</v>
      </c>
      <c r="J64" s="42" t="n">
        <v>1</v>
      </c>
    </row>
    <row r="65" customFormat="false" ht="14.25" hidden="false" customHeight="true" outlineLevel="0" collapsed="false">
      <c r="B65" s="43"/>
      <c r="C65" s="43"/>
      <c r="D65" s="43"/>
      <c r="E65" s="44" t="s">
        <v>600</v>
      </c>
      <c r="F65" s="43"/>
      <c r="G65" s="43"/>
      <c r="H65" s="43"/>
      <c r="I65" s="43"/>
      <c r="J65" s="45" t="n">
        <f aca="false">SUM(J56:J64)</f>
        <v>9</v>
      </c>
    </row>
    <row r="66" customFormat="false" ht="14.25" hidden="false" customHeight="true" outlineLevel="0" collapsed="false">
      <c r="B66" s="40" t="n">
        <v>2</v>
      </c>
      <c r="C66" s="41" t="s">
        <v>177</v>
      </c>
      <c r="D66" s="32" t="s">
        <v>582</v>
      </c>
      <c r="E66" s="41" t="s">
        <v>601</v>
      </c>
      <c r="F66" s="41" t="s">
        <v>569</v>
      </c>
      <c r="G66" s="41" t="s">
        <v>128</v>
      </c>
      <c r="H66" s="41" t="s">
        <v>131</v>
      </c>
      <c r="I66" s="40" t="s">
        <v>162</v>
      </c>
      <c r="J66" s="42" t="n">
        <v>1</v>
      </c>
    </row>
    <row r="67" customFormat="false" ht="14.25" hidden="false" customHeight="true" outlineLevel="0" collapsed="false">
      <c r="B67" s="40" t="n">
        <v>2</v>
      </c>
      <c r="C67" s="41" t="s">
        <v>177</v>
      </c>
      <c r="D67" s="32" t="s">
        <v>582</v>
      </c>
      <c r="E67" s="41" t="s">
        <v>584</v>
      </c>
      <c r="F67" s="41" t="s">
        <v>573</v>
      </c>
      <c r="G67" s="41" t="s">
        <v>128</v>
      </c>
      <c r="H67" s="41" t="s">
        <v>131</v>
      </c>
      <c r="I67" s="40" t="s">
        <v>162</v>
      </c>
      <c r="J67" s="42" t="n">
        <v>1</v>
      </c>
    </row>
    <row r="68" customFormat="false" ht="14.25" hidden="false" customHeight="true" outlineLevel="0" collapsed="false">
      <c r="B68" s="40" t="n">
        <v>2</v>
      </c>
      <c r="C68" s="41" t="s">
        <v>177</v>
      </c>
      <c r="D68" s="32" t="s">
        <v>582</v>
      </c>
      <c r="E68" s="41" t="s">
        <v>597</v>
      </c>
      <c r="F68" s="41" t="s">
        <v>576</v>
      </c>
      <c r="G68" s="41" t="s">
        <v>127</v>
      </c>
      <c r="H68" s="41" t="s">
        <v>133</v>
      </c>
      <c r="I68" s="40" t="s">
        <v>162</v>
      </c>
      <c r="J68" s="42" t="n">
        <v>1</v>
      </c>
    </row>
    <row r="69" customFormat="false" ht="14.25" hidden="false" customHeight="true" outlineLevel="0" collapsed="false">
      <c r="B69" s="40" t="n">
        <v>2</v>
      </c>
      <c r="C69" s="41" t="s">
        <v>177</v>
      </c>
      <c r="D69" s="32" t="s">
        <v>582</v>
      </c>
      <c r="E69" s="41" t="s">
        <v>585</v>
      </c>
      <c r="F69" s="41" t="s">
        <v>576</v>
      </c>
      <c r="G69" s="41" t="s">
        <v>126</v>
      </c>
      <c r="H69" s="41" t="s">
        <v>133</v>
      </c>
      <c r="I69" s="40" t="s">
        <v>162</v>
      </c>
      <c r="J69" s="42" t="n">
        <v>1</v>
      </c>
    </row>
    <row r="70" customFormat="false" ht="14.25" hidden="false" customHeight="true" outlineLevel="0" collapsed="false">
      <c r="B70" s="40" t="n">
        <v>2</v>
      </c>
      <c r="C70" s="41" t="s">
        <v>177</v>
      </c>
      <c r="D70" s="32" t="s">
        <v>582</v>
      </c>
      <c r="E70" s="41" t="s">
        <v>586</v>
      </c>
      <c r="F70" s="41" t="s">
        <v>578</v>
      </c>
      <c r="G70" s="41" t="s">
        <v>127</v>
      </c>
      <c r="H70" s="41" t="s">
        <v>131</v>
      </c>
      <c r="I70" s="40" t="s">
        <v>162</v>
      </c>
      <c r="J70" s="42" t="n">
        <v>1</v>
      </c>
    </row>
    <row r="71" customFormat="false" ht="14.25" hidden="false" customHeight="true" outlineLevel="0" collapsed="false">
      <c r="B71" s="40" t="n">
        <v>2</v>
      </c>
      <c r="C71" s="41" t="s">
        <v>177</v>
      </c>
      <c r="D71" s="32" t="s">
        <v>582</v>
      </c>
      <c r="E71" s="41" t="s">
        <v>598</v>
      </c>
      <c r="F71" s="41" t="s">
        <v>578</v>
      </c>
      <c r="G71" s="41" t="s">
        <v>126</v>
      </c>
      <c r="H71" s="41" t="s">
        <v>133</v>
      </c>
      <c r="I71" s="40" t="s">
        <v>162</v>
      </c>
      <c r="J71" s="42" t="n">
        <v>1</v>
      </c>
    </row>
    <row r="72" customFormat="false" ht="14.25" hidden="false" customHeight="true" outlineLevel="0" collapsed="false">
      <c r="B72" s="40" t="n">
        <v>2</v>
      </c>
      <c r="C72" s="41" t="s">
        <v>177</v>
      </c>
      <c r="D72" s="32" t="s">
        <v>582</v>
      </c>
      <c r="E72" s="41" t="s">
        <v>599</v>
      </c>
      <c r="F72" s="41" t="s">
        <v>576</v>
      </c>
      <c r="G72" s="41" t="s">
        <v>127</v>
      </c>
      <c r="H72" s="41" t="s">
        <v>133</v>
      </c>
      <c r="I72" s="40" t="s">
        <v>164</v>
      </c>
      <c r="J72" s="42" t="n">
        <v>1</v>
      </c>
    </row>
    <row r="73" customFormat="false" ht="14.25" hidden="false" customHeight="true" outlineLevel="0" collapsed="false">
      <c r="B73" s="40" t="n">
        <v>2</v>
      </c>
      <c r="C73" s="41" t="s">
        <v>177</v>
      </c>
      <c r="D73" s="32" t="s">
        <v>582</v>
      </c>
      <c r="E73" s="41" t="s">
        <v>579</v>
      </c>
      <c r="F73" s="41" t="s">
        <v>576</v>
      </c>
      <c r="G73" s="41" t="s">
        <v>126</v>
      </c>
      <c r="H73" s="41" t="s">
        <v>133</v>
      </c>
      <c r="I73" s="40" t="s">
        <v>164</v>
      </c>
      <c r="J73" s="42" t="n">
        <v>1</v>
      </c>
    </row>
    <row r="74" customFormat="false" ht="14.25" hidden="false" customHeight="true" outlineLevel="0" collapsed="false">
      <c r="B74" s="40" t="n">
        <v>2</v>
      </c>
      <c r="C74" s="41" t="s">
        <v>177</v>
      </c>
      <c r="D74" s="32" t="s">
        <v>582</v>
      </c>
      <c r="E74" s="41" t="s">
        <v>580</v>
      </c>
      <c r="F74" s="41" t="s">
        <v>578</v>
      </c>
      <c r="G74" s="41" t="s">
        <v>126</v>
      </c>
      <c r="H74" s="41" t="s">
        <v>133</v>
      </c>
      <c r="I74" s="40" t="s">
        <v>164</v>
      </c>
      <c r="J74" s="42" t="n">
        <v>1</v>
      </c>
    </row>
    <row r="75" customFormat="false" ht="14.25" hidden="false" customHeight="true" outlineLevel="0" collapsed="false">
      <c r="B75" s="43"/>
      <c r="C75" s="43"/>
      <c r="D75" s="43"/>
      <c r="E75" s="44" t="s">
        <v>602</v>
      </c>
      <c r="F75" s="43"/>
      <c r="G75" s="43"/>
      <c r="H75" s="43"/>
      <c r="I75" s="43"/>
      <c r="J75" s="45" t="n">
        <f aca="false">SUM(J66:J74)</f>
        <v>9</v>
      </c>
    </row>
    <row r="76" customFormat="false" ht="14.25" hidden="false" customHeight="true" outlineLevel="0" collapsed="false">
      <c r="B76" s="40"/>
      <c r="C76" s="41"/>
      <c r="D76" s="32"/>
      <c r="E76" s="41"/>
      <c r="F76" s="41"/>
      <c r="G76" s="41"/>
      <c r="H76" s="41"/>
      <c r="I76" s="40"/>
      <c r="J76" s="42"/>
    </row>
    <row r="77" customFormat="false" ht="14.25" hidden="false" customHeight="true" outlineLevel="0" collapsed="false">
      <c r="B77" s="40" t="n">
        <v>2</v>
      </c>
      <c r="C77" s="41" t="s">
        <v>187</v>
      </c>
      <c r="D77" s="32" t="s">
        <v>567</v>
      </c>
      <c r="E77" s="41" t="s">
        <v>568</v>
      </c>
      <c r="F77" s="41" t="s">
        <v>569</v>
      </c>
      <c r="G77" s="41" t="s">
        <v>128</v>
      </c>
      <c r="H77" s="41" t="s">
        <v>131</v>
      </c>
      <c r="I77" s="40" t="s">
        <v>163</v>
      </c>
      <c r="J77" s="42" t="n">
        <v>1</v>
      </c>
    </row>
    <row r="78" customFormat="false" ht="14.25" hidden="false" customHeight="true" outlineLevel="0" collapsed="false">
      <c r="B78" s="40" t="n">
        <v>2</v>
      </c>
      <c r="C78" s="41" t="s">
        <v>187</v>
      </c>
      <c r="D78" s="32" t="s">
        <v>567</v>
      </c>
      <c r="E78" s="41" t="s">
        <v>588</v>
      </c>
      <c r="F78" s="41" t="s">
        <v>571</v>
      </c>
      <c r="G78" s="41" t="s">
        <v>128</v>
      </c>
      <c r="H78" s="41" t="s">
        <v>131</v>
      </c>
      <c r="I78" s="40" t="s">
        <v>163</v>
      </c>
      <c r="J78" s="42" t="n">
        <v>1</v>
      </c>
    </row>
    <row r="79" customFormat="false" ht="14.25" hidden="false" customHeight="true" outlineLevel="0" collapsed="false">
      <c r="B79" s="40" t="n">
        <v>2</v>
      </c>
      <c r="C79" s="41" t="s">
        <v>187</v>
      </c>
      <c r="D79" s="32" t="s">
        <v>567</v>
      </c>
      <c r="E79" s="41" t="s">
        <v>572</v>
      </c>
      <c r="F79" s="41" t="s">
        <v>573</v>
      </c>
      <c r="G79" s="41" t="s">
        <v>128</v>
      </c>
      <c r="H79" s="41" t="s">
        <v>131</v>
      </c>
      <c r="I79" s="40" t="s">
        <v>163</v>
      </c>
      <c r="J79" s="42" t="n">
        <v>1</v>
      </c>
    </row>
    <row r="80" customFormat="false" ht="14.25" hidden="false" customHeight="true" outlineLevel="0" collapsed="false">
      <c r="B80" s="40" t="n">
        <v>2</v>
      </c>
      <c r="C80" s="41" t="s">
        <v>187</v>
      </c>
      <c r="D80" s="32" t="s">
        <v>567</v>
      </c>
      <c r="E80" s="41" t="s">
        <v>599</v>
      </c>
      <c r="F80" s="41" t="s">
        <v>576</v>
      </c>
      <c r="G80" s="41" t="s">
        <v>127</v>
      </c>
      <c r="H80" s="41" t="s">
        <v>133</v>
      </c>
      <c r="I80" s="40" t="s">
        <v>164</v>
      </c>
      <c r="J80" s="42" t="n">
        <v>1</v>
      </c>
    </row>
    <row r="81" customFormat="false" ht="14.25" hidden="false" customHeight="true" outlineLevel="0" collapsed="false">
      <c r="B81" s="40" t="n">
        <v>2</v>
      </c>
      <c r="C81" s="41" t="s">
        <v>187</v>
      </c>
      <c r="D81" s="32" t="s">
        <v>567</v>
      </c>
      <c r="E81" s="41" t="s">
        <v>598</v>
      </c>
      <c r="F81" s="41" t="s">
        <v>578</v>
      </c>
      <c r="G81" s="41" t="s">
        <v>127</v>
      </c>
      <c r="H81" s="41" t="s">
        <v>133</v>
      </c>
      <c r="I81" s="40" t="s">
        <v>162</v>
      </c>
      <c r="J81" s="42" t="n">
        <v>1</v>
      </c>
    </row>
    <row r="82" customFormat="false" ht="14.25" hidden="false" customHeight="true" outlineLevel="0" collapsed="false">
      <c r="B82" s="43"/>
      <c r="C82" s="43"/>
      <c r="D82" s="43"/>
      <c r="E82" s="44" t="s">
        <v>603</v>
      </c>
      <c r="F82" s="43"/>
      <c r="G82" s="43"/>
      <c r="H82" s="43"/>
      <c r="I82" s="43"/>
      <c r="J82" s="45" t="n">
        <f aca="false">SUM(J77:J81)</f>
        <v>5</v>
      </c>
    </row>
    <row r="83" customFormat="false" ht="14.25" hidden="false" customHeight="true" outlineLevel="0" collapsed="false">
      <c r="B83" s="40" t="n">
        <v>2</v>
      </c>
      <c r="C83" s="41" t="s">
        <v>187</v>
      </c>
      <c r="D83" s="32" t="s">
        <v>582</v>
      </c>
      <c r="E83" s="41" t="s">
        <v>601</v>
      </c>
      <c r="F83" s="41" t="s">
        <v>569</v>
      </c>
      <c r="G83" s="41" t="s">
        <v>128</v>
      </c>
      <c r="H83" s="41" t="s">
        <v>133</v>
      </c>
      <c r="I83" s="40" t="s">
        <v>162</v>
      </c>
      <c r="J83" s="42" t="n">
        <v>1</v>
      </c>
    </row>
    <row r="84" customFormat="false" ht="14.25" hidden="false" customHeight="true" outlineLevel="0" collapsed="false">
      <c r="B84" s="40" t="n">
        <v>2</v>
      </c>
      <c r="C84" s="41" t="s">
        <v>187</v>
      </c>
      <c r="D84" s="32" t="s">
        <v>582</v>
      </c>
      <c r="E84" s="41" t="s">
        <v>599</v>
      </c>
      <c r="F84" s="41" t="s">
        <v>576</v>
      </c>
      <c r="G84" s="41" t="s">
        <v>127</v>
      </c>
      <c r="H84" s="41" t="s">
        <v>133</v>
      </c>
      <c r="I84" s="40" t="s">
        <v>164</v>
      </c>
      <c r="J84" s="42" t="n">
        <v>1</v>
      </c>
    </row>
    <row r="85" customFormat="false" ht="14.25" hidden="false" customHeight="true" outlineLevel="0" collapsed="false">
      <c r="B85" s="40" t="n">
        <v>2</v>
      </c>
      <c r="C85" s="41" t="s">
        <v>187</v>
      </c>
      <c r="D85" s="32" t="s">
        <v>582</v>
      </c>
      <c r="E85" s="41" t="s">
        <v>577</v>
      </c>
      <c r="F85" s="41" t="s">
        <v>578</v>
      </c>
      <c r="G85" s="41" t="s">
        <v>126</v>
      </c>
      <c r="H85" s="41" t="s">
        <v>133</v>
      </c>
      <c r="I85" s="40" t="s">
        <v>162</v>
      </c>
      <c r="J85" s="42" t="n">
        <v>1</v>
      </c>
    </row>
    <row r="86" customFormat="false" ht="14.25" hidden="false" customHeight="true" outlineLevel="0" collapsed="false">
      <c r="B86" s="43"/>
      <c r="C86" s="43"/>
      <c r="D86" s="43"/>
      <c r="E86" s="44" t="s">
        <v>604</v>
      </c>
      <c r="F86" s="43"/>
      <c r="G86" s="43"/>
      <c r="H86" s="43"/>
      <c r="I86" s="43"/>
      <c r="J86" s="45" t="n">
        <f aca="false">SUM(J83:J85)</f>
        <v>3</v>
      </c>
    </row>
    <row r="87" customFormat="false" ht="14.25" hidden="false" customHeight="true" outlineLevel="0" collapsed="false">
      <c r="B87" s="40"/>
      <c r="C87" s="41"/>
      <c r="D87" s="32"/>
      <c r="E87" s="41"/>
      <c r="F87" s="41"/>
      <c r="G87" s="41"/>
      <c r="H87" s="41"/>
      <c r="I87" s="40"/>
      <c r="J87" s="42"/>
    </row>
    <row r="88" customFormat="false" ht="14.25" hidden="false" customHeight="true" outlineLevel="0" collapsed="false">
      <c r="B88" s="40" t="n">
        <v>2</v>
      </c>
      <c r="C88" s="41" t="s">
        <v>197</v>
      </c>
      <c r="D88" s="32" t="s">
        <v>582</v>
      </c>
      <c r="E88" s="41" t="s">
        <v>601</v>
      </c>
      <c r="F88" s="41" t="s">
        <v>569</v>
      </c>
      <c r="G88" s="41" t="s">
        <v>128</v>
      </c>
      <c r="H88" s="41" t="s">
        <v>133</v>
      </c>
      <c r="I88" s="40" t="s">
        <v>162</v>
      </c>
      <c r="J88" s="42" t="n">
        <v>1</v>
      </c>
    </row>
    <row r="89" customFormat="false" ht="14.25" hidden="false" customHeight="true" outlineLevel="0" collapsed="false">
      <c r="B89" s="40" t="n">
        <v>2</v>
      </c>
      <c r="C89" s="41" t="s">
        <v>197</v>
      </c>
      <c r="D89" s="32" t="s">
        <v>582</v>
      </c>
      <c r="E89" s="41" t="s">
        <v>599</v>
      </c>
      <c r="F89" s="41" t="s">
        <v>576</v>
      </c>
      <c r="G89" s="41" t="s">
        <v>127</v>
      </c>
      <c r="H89" s="41" t="s">
        <v>133</v>
      </c>
      <c r="I89" s="40" t="s">
        <v>164</v>
      </c>
      <c r="J89" s="42" t="n">
        <v>1</v>
      </c>
    </row>
    <row r="90" customFormat="false" ht="14.25" hidden="false" customHeight="true" outlineLevel="0" collapsed="false">
      <c r="B90" s="43"/>
      <c r="C90" s="43"/>
      <c r="D90" s="43"/>
      <c r="E90" s="44" t="s">
        <v>605</v>
      </c>
      <c r="F90" s="43"/>
      <c r="G90" s="43"/>
      <c r="H90" s="43"/>
      <c r="I90" s="43"/>
      <c r="J90" s="45" t="n">
        <f aca="false">SUM(J88:J89)</f>
        <v>2</v>
      </c>
    </row>
    <row r="91" customFormat="false" ht="14.25" hidden="false" customHeight="true" outlineLevel="0" collapsed="false">
      <c r="B91" s="40"/>
      <c r="C91" s="41"/>
      <c r="D91" s="32"/>
      <c r="E91" s="41"/>
      <c r="F91" s="41"/>
      <c r="G91" s="41"/>
      <c r="H91" s="41"/>
      <c r="I91" s="40"/>
      <c r="J91" s="42"/>
    </row>
    <row r="92" customFormat="false" ht="14.25" hidden="false" customHeight="true" outlineLevel="0" collapsed="false">
      <c r="B92" s="40" t="n">
        <v>2</v>
      </c>
      <c r="C92" s="41" t="s">
        <v>192</v>
      </c>
      <c r="D92" s="32" t="s">
        <v>567</v>
      </c>
      <c r="E92" s="41" t="s">
        <v>568</v>
      </c>
      <c r="F92" s="41" t="s">
        <v>569</v>
      </c>
      <c r="G92" s="41" t="s">
        <v>128</v>
      </c>
      <c r="H92" s="41" t="s">
        <v>131</v>
      </c>
      <c r="I92" s="40" t="s">
        <v>163</v>
      </c>
      <c r="J92" s="42" t="n">
        <v>1</v>
      </c>
    </row>
    <row r="93" customFormat="false" ht="14.25" hidden="false" customHeight="true" outlineLevel="0" collapsed="false">
      <c r="B93" s="40" t="n">
        <v>2</v>
      </c>
      <c r="C93" s="41" t="s">
        <v>192</v>
      </c>
      <c r="D93" s="32" t="s">
        <v>567</v>
      </c>
      <c r="E93" s="41" t="s">
        <v>594</v>
      </c>
      <c r="F93" s="41" t="s">
        <v>571</v>
      </c>
      <c r="G93" s="41" t="s">
        <v>129</v>
      </c>
      <c r="H93" s="41" t="s">
        <v>131</v>
      </c>
      <c r="I93" s="40" t="s">
        <v>163</v>
      </c>
      <c r="J93" s="42" t="n">
        <v>1</v>
      </c>
    </row>
    <row r="94" customFormat="false" ht="14.25" hidden="false" customHeight="true" outlineLevel="0" collapsed="false">
      <c r="B94" s="40" t="n">
        <v>2</v>
      </c>
      <c r="C94" s="41" t="s">
        <v>192</v>
      </c>
      <c r="D94" s="32" t="s">
        <v>567</v>
      </c>
      <c r="E94" s="41" t="s">
        <v>572</v>
      </c>
      <c r="F94" s="41" t="s">
        <v>573</v>
      </c>
      <c r="G94" s="41" t="s">
        <v>128</v>
      </c>
      <c r="H94" s="41" t="s">
        <v>131</v>
      </c>
      <c r="I94" s="40" t="s">
        <v>163</v>
      </c>
      <c r="J94" s="42" t="n">
        <v>1</v>
      </c>
    </row>
    <row r="95" customFormat="false" ht="14.25" hidden="false" customHeight="true" outlineLevel="0" collapsed="false">
      <c r="B95" s="40" t="n">
        <v>2</v>
      </c>
      <c r="C95" s="41" t="s">
        <v>192</v>
      </c>
      <c r="D95" s="32" t="s">
        <v>567</v>
      </c>
      <c r="E95" s="41" t="s">
        <v>606</v>
      </c>
      <c r="F95" s="41" t="s">
        <v>569</v>
      </c>
      <c r="G95" s="41" t="s">
        <v>128</v>
      </c>
      <c r="H95" s="41" t="s">
        <v>131</v>
      </c>
      <c r="I95" s="40" t="s">
        <v>162</v>
      </c>
      <c r="J95" s="42" t="n">
        <v>1</v>
      </c>
    </row>
    <row r="96" customFormat="false" ht="14.25" hidden="false" customHeight="true" outlineLevel="0" collapsed="false">
      <c r="B96" s="40" t="n">
        <v>2</v>
      </c>
      <c r="C96" s="41" t="s">
        <v>192</v>
      </c>
      <c r="D96" s="32" t="s">
        <v>567</v>
      </c>
      <c r="E96" s="41" t="s">
        <v>579</v>
      </c>
      <c r="F96" s="41" t="s">
        <v>576</v>
      </c>
      <c r="G96" s="41" t="s">
        <v>126</v>
      </c>
      <c r="H96" s="41" t="s">
        <v>133</v>
      </c>
      <c r="I96" s="40" t="s">
        <v>164</v>
      </c>
      <c r="J96" s="42" t="n">
        <v>1</v>
      </c>
    </row>
    <row r="97" customFormat="false" ht="14.25" hidden="false" customHeight="true" outlineLevel="0" collapsed="false">
      <c r="B97" s="40" t="n">
        <v>2</v>
      </c>
      <c r="C97" s="41" t="s">
        <v>192</v>
      </c>
      <c r="D97" s="32" t="s">
        <v>567</v>
      </c>
      <c r="E97" s="41" t="s">
        <v>577</v>
      </c>
      <c r="F97" s="41" t="s">
        <v>578</v>
      </c>
      <c r="G97" s="41" t="s">
        <v>126</v>
      </c>
      <c r="H97" s="41" t="s">
        <v>131</v>
      </c>
      <c r="I97" s="40" t="s">
        <v>162</v>
      </c>
      <c r="J97" s="42" t="n">
        <v>1</v>
      </c>
    </row>
    <row r="98" customFormat="false" ht="14.25" hidden="false" customHeight="true" outlineLevel="0" collapsed="false">
      <c r="B98" s="43"/>
      <c r="C98" s="43"/>
      <c r="D98" s="43"/>
      <c r="E98" s="44" t="s">
        <v>607</v>
      </c>
      <c r="F98" s="43"/>
      <c r="G98" s="43"/>
      <c r="H98" s="43"/>
      <c r="I98" s="43"/>
      <c r="J98" s="45" t="n">
        <f aca="false">SUM(J92:J97)</f>
        <v>6</v>
      </c>
    </row>
    <row r="99" customFormat="false" ht="14.25" hidden="false" customHeight="true" outlineLevel="0" collapsed="false">
      <c r="B99" s="43"/>
      <c r="C99" s="43"/>
      <c r="D99" s="43"/>
      <c r="E99" s="44"/>
      <c r="F99" s="43"/>
      <c r="G99" s="43"/>
      <c r="H99" s="43"/>
      <c r="I99" s="43"/>
      <c r="J99" s="45"/>
    </row>
    <row r="100" customFormat="false" ht="14.25" hidden="false" customHeight="true" outlineLevel="0" collapsed="false">
      <c r="B100" s="40" t="n">
        <v>3</v>
      </c>
      <c r="C100" s="41" t="s">
        <v>177</v>
      </c>
      <c r="D100" s="32" t="s">
        <v>567</v>
      </c>
      <c r="E100" s="41" t="s">
        <v>568</v>
      </c>
      <c r="F100" s="41" t="s">
        <v>569</v>
      </c>
      <c r="G100" s="41" t="s">
        <v>128</v>
      </c>
      <c r="H100" s="41" t="s">
        <v>131</v>
      </c>
      <c r="I100" s="40" t="s">
        <v>163</v>
      </c>
      <c r="J100" s="42" t="n">
        <v>1</v>
      </c>
    </row>
    <row r="101" customFormat="false" ht="14.25" hidden="false" customHeight="true" outlineLevel="0" collapsed="false">
      <c r="B101" s="40" t="n">
        <v>3</v>
      </c>
      <c r="C101" s="41" t="s">
        <v>177</v>
      </c>
      <c r="D101" s="32" t="s">
        <v>567</v>
      </c>
      <c r="E101" s="41" t="s">
        <v>570</v>
      </c>
      <c r="F101" s="41" t="s">
        <v>571</v>
      </c>
      <c r="G101" s="41" t="s">
        <v>128</v>
      </c>
      <c r="H101" s="41" t="s">
        <v>131</v>
      </c>
      <c r="I101" s="40" t="s">
        <v>163</v>
      </c>
      <c r="J101" s="42" t="n">
        <v>1</v>
      </c>
    </row>
    <row r="102" customFormat="false" ht="14.25" hidden="false" customHeight="true" outlineLevel="0" collapsed="false">
      <c r="B102" s="40" t="n">
        <v>3</v>
      </c>
      <c r="C102" s="41" t="s">
        <v>177</v>
      </c>
      <c r="D102" s="32" t="s">
        <v>567</v>
      </c>
      <c r="E102" s="41" t="s">
        <v>572</v>
      </c>
      <c r="F102" s="41" t="s">
        <v>573</v>
      </c>
      <c r="G102" s="41" t="s">
        <v>128</v>
      </c>
      <c r="H102" s="41" t="s">
        <v>131</v>
      </c>
      <c r="I102" s="40" t="s">
        <v>163</v>
      </c>
      <c r="J102" s="42" t="n">
        <v>1</v>
      </c>
    </row>
    <row r="103" customFormat="false" ht="14.25" hidden="false" customHeight="true" outlineLevel="0" collapsed="false">
      <c r="B103" s="40" t="n">
        <v>3</v>
      </c>
      <c r="C103" s="41" t="s">
        <v>177</v>
      </c>
      <c r="D103" s="32" t="s">
        <v>567</v>
      </c>
      <c r="E103" s="41" t="s">
        <v>608</v>
      </c>
      <c r="F103" s="41" t="s">
        <v>573</v>
      </c>
      <c r="G103" s="41" t="s">
        <v>127</v>
      </c>
      <c r="H103" s="41" t="s">
        <v>131</v>
      </c>
      <c r="I103" s="40" t="s">
        <v>162</v>
      </c>
      <c r="J103" s="42" t="n">
        <v>1</v>
      </c>
    </row>
    <row r="104" customFormat="false" ht="14.25" hidden="false" customHeight="true" outlineLevel="0" collapsed="false">
      <c r="B104" s="40" t="n">
        <v>3</v>
      </c>
      <c r="C104" s="41" t="s">
        <v>177</v>
      </c>
      <c r="D104" s="32" t="s">
        <v>567</v>
      </c>
      <c r="E104" s="41" t="s">
        <v>598</v>
      </c>
      <c r="F104" s="41" t="s">
        <v>578</v>
      </c>
      <c r="G104" s="41" t="s">
        <v>127</v>
      </c>
      <c r="H104" s="41" t="s">
        <v>131</v>
      </c>
      <c r="I104" s="40" t="s">
        <v>162</v>
      </c>
      <c r="J104" s="42" t="n">
        <v>1</v>
      </c>
    </row>
    <row r="105" customFormat="false" ht="14.25" hidden="false" customHeight="true" outlineLevel="0" collapsed="false">
      <c r="B105" s="40" t="n">
        <v>3</v>
      </c>
      <c r="C105" s="41" t="s">
        <v>177</v>
      </c>
      <c r="D105" s="32" t="s">
        <v>567</v>
      </c>
      <c r="E105" s="41" t="s">
        <v>609</v>
      </c>
      <c r="F105" s="41" t="s">
        <v>573</v>
      </c>
      <c r="G105" s="41" t="s">
        <v>127</v>
      </c>
      <c r="H105" s="41" t="s">
        <v>133</v>
      </c>
      <c r="I105" s="40" t="s">
        <v>164</v>
      </c>
      <c r="J105" s="42" t="n">
        <v>1</v>
      </c>
    </row>
    <row r="106" customFormat="false" ht="14.25" hidden="false" customHeight="true" outlineLevel="0" collapsed="false">
      <c r="B106" s="40" t="n">
        <v>3</v>
      </c>
      <c r="C106" s="41" t="s">
        <v>177</v>
      </c>
      <c r="D106" s="32" t="s">
        <v>567</v>
      </c>
      <c r="E106" s="41" t="s">
        <v>599</v>
      </c>
      <c r="F106" s="41" t="s">
        <v>576</v>
      </c>
      <c r="G106" s="41" t="s">
        <v>127</v>
      </c>
      <c r="H106" s="41" t="s">
        <v>133</v>
      </c>
      <c r="I106" s="40" t="s">
        <v>164</v>
      </c>
      <c r="J106" s="42" t="n">
        <v>1</v>
      </c>
    </row>
    <row r="107" customFormat="false" ht="14.25" hidden="false" customHeight="true" outlineLevel="0" collapsed="false">
      <c r="B107" s="40" t="n">
        <v>3</v>
      </c>
      <c r="C107" s="41" t="s">
        <v>177</v>
      </c>
      <c r="D107" s="32" t="s">
        <v>567</v>
      </c>
      <c r="E107" s="41" t="s">
        <v>580</v>
      </c>
      <c r="F107" s="41" t="s">
        <v>578</v>
      </c>
      <c r="G107" s="41" t="s">
        <v>126</v>
      </c>
      <c r="H107" s="41" t="s">
        <v>133</v>
      </c>
      <c r="I107" s="40" t="s">
        <v>164</v>
      </c>
      <c r="J107" s="42" t="n">
        <v>1</v>
      </c>
    </row>
    <row r="108" customFormat="false" ht="14.25" hidden="false" customHeight="true" outlineLevel="0" collapsed="false">
      <c r="B108" s="43"/>
      <c r="C108" s="43"/>
      <c r="D108" s="43"/>
      <c r="E108" s="44" t="s">
        <v>610</v>
      </c>
      <c r="F108" s="43"/>
      <c r="G108" s="43"/>
      <c r="H108" s="43"/>
      <c r="I108" s="43"/>
      <c r="J108" s="45" t="n">
        <f aca="false">SUM(J100:J107)</f>
        <v>8</v>
      </c>
    </row>
    <row r="109" customFormat="false" ht="14.25" hidden="false" customHeight="true" outlineLevel="0" collapsed="false">
      <c r="B109" s="40" t="n">
        <v>3</v>
      </c>
      <c r="C109" s="41" t="s">
        <v>177</v>
      </c>
      <c r="D109" s="32" t="s">
        <v>582</v>
      </c>
      <c r="E109" s="41" t="s">
        <v>611</v>
      </c>
      <c r="F109" s="41" t="s">
        <v>573</v>
      </c>
      <c r="G109" s="41" t="s">
        <v>128</v>
      </c>
      <c r="H109" s="41" t="s">
        <v>131</v>
      </c>
      <c r="I109" s="40" t="s">
        <v>162</v>
      </c>
      <c r="J109" s="42" t="n">
        <v>1</v>
      </c>
    </row>
    <row r="110" customFormat="false" ht="14.25" hidden="false" customHeight="true" outlineLevel="0" collapsed="false">
      <c r="B110" s="40" t="n">
        <v>3</v>
      </c>
      <c r="C110" s="41" t="s">
        <v>177</v>
      </c>
      <c r="D110" s="32" t="s">
        <v>582</v>
      </c>
      <c r="E110" s="41" t="s">
        <v>597</v>
      </c>
      <c r="F110" s="41" t="s">
        <v>576</v>
      </c>
      <c r="G110" s="41" t="s">
        <v>127</v>
      </c>
      <c r="H110" s="41" t="s">
        <v>133</v>
      </c>
      <c r="I110" s="40" t="s">
        <v>162</v>
      </c>
      <c r="J110" s="42" t="n">
        <v>1</v>
      </c>
    </row>
    <row r="111" customFormat="false" ht="14.25" hidden="false" customHeight="true" outlineLevel="0" collapsed="false">
      <c r="B111" s="40" t="n">
        <v>3</v>
      </c>
      <c r="C111" s="41" t="s">
        <v>177</v>
      </c>
      <c r="D111" s="32" t="s">
        <v>582</v>
      </c>
      <c r="E111" s="41" t="s">
        <v>585</v>
      </c>
      <c r="F111" s="41" t="s">
        <v>576</v>
      </c>
      <c r="G111" s="41" t="s">
        <v>126</v>
      </c>
      <c r="H111" s="41" t="s">
        <v>133</v>
      </c>
      <c r="I111" s="40" t="s">
        <v>162</v>
      </c>
      <c r="J111" s="42" t="n">
        <v>1</v>
      </c>
    </row>
    <row r="112" customFormat="false" ht="14.25" hidden="false" customHeight="true" outlineLevel="0" collapsed="false">
      <c r="B112" s="40" t="n">
        <v>3</v>
      </c>
      <c r="C112" s="41" t="s">
        <v>177</v>
      </c>
      <c r="D112" s="32" t="s">
        <v>582</v>
      </c>
      <c r="E112" s="41" t="s">
        <v>598</v>
      </c>
      <c r="F112" s="41" t="s">
        <v>578</v>
      </c>
      <c r="G112" s="41" t="s">
        <v>126</v>
      </c>
      <c r="H112" s="41" t="s">
        <v>133</v>
      </c>
      <c r="I112" s="40" t="s">
        <v>162</v>
      </c>
      <c r="J112" s="42" t="n">
        <v>1</v>
      </c>
    </row>
    <row r="113" customFormat="false" ht="14.25" hidden="false" customHeight="true" outlineLevel="0" collapsed="false">
      <c r="B113" s="40" t="n">
        <v>3</v>
      </c>
      <c r="C113" s="41" t="s">
        <v>177</v>
      </c>
      <c r="D113" s="32" t="s">
        <v>582</v>
      </c>
      <c r="E113" s="41" t="s">
        <v>612</v>
      </c>
      <c r="F113" s="41" t="s">
        <v>576</v>
      </c>
      <c r="G113" s="41" t="s">
        <v>126</v>
      </c>
      <c r="H113" s="41" t="s">
        <v>133</v>
      </c>
      <c r="I113" s="40" t="s">
        <v>162</v>
      </c>
      <c r="J113" s="42" t="n">
        <v>1</v>
      </c>
    </row>
    <row r="114" customFormat="false" ht="14.25" hidden="false" customHeight="true" outlineLevel="0" collapsed="false">
      <c r="B114" s="40" t="n">
        <v>3</v>
      </c>
      <c r="C114" s="41" t="s">
        <v>177</v>
      </c>
      <c r="D114" s="32" t="s">
        <v>582</v>
      </c>
      <c r="E114" s="41" t="s">
        <v>609</v>
      </c>
      <c r="F114" s="41" t="s">
        <v>573</v>
      </c>
      <c r="G114" s="41" t="s">
        <v>127</v>
      </c>
      <c r="H114" s="41" t="s">
        <v>133</v>
      </c>
      <c r="I114" s="40" t="s">
        <v>164</v>
      </c>
      <c r="J114" s="42" t="n">
        <v>1</v>
      </c>
    </row>
    <row r="115" customFormat="false" ht="14.25" hidden="false" customHeight="true" outlineLevel="0" collapsed="false">
      <c r="B115" s="40" t="n">
        <v>3</v>
      </c>
      <c r="C115" s="41" t="s">
        <v>177</v>
      </c>
      <c r="D115" s="32" t="s">
        <v>582</v>
      </c>
      <c r="E115" s="41" t="s">
        <v>599</v>
      </c>
      <c r="F115" s="41" t="s">
        <v>576</v>
      </c>
      <c r="G115" s="41" t="s">
        <v>127</v>
      </c>
      <c r="H115" s="41" t="s">
        <v>133</v>
      </c>
      <c r="I115" s="40" t="s">
        <v>164</v>
      </c>
      <c r="J115" s="42" t="n">
        <v>1</v>
      </c>
    </row>
    <row r="116" customFormat="false" ht="14.25" hidden="false" customHeight="true" outlineLevel="0" collapsed="false">
      <c r="B116" s="40" t="n">
        <v>3</v>
      </c>
      <c r="C116" s="41" t="s">
        <v>177</v>
      </c>
      <c r="D116" s="32" t="s">
        <v>582</v>
      </c>
      <c r="E116" s="41" t="s">
        <v>580</v>
      </c>
      <c r="F116" s="41" t="s">
        <v>578</v>
      </c>
      <c r="G116" s="41" t="s">
        <v>126</v>
      </c>
      <c r="H116" s="41" t="s">
        <v>133</v>
      </c>
      <c r="I116" s="40" t="s">
        <v>164</v>
      </c>
      <c r="J116" s="42" t="n">
        <v>1</v>
      </c>
    </row>
    <row r="117" customFormat="false" ht="14.25" hidden="false" customHeight="true" outlineLevel="0" collapsed="false">
      <c r="B117" s="43"/>
      <c r="C117" s="43"/>
      <c r="D117" s="43"/>
      <c r="E117" s="44" t="s">
        <v>613</v>
      </c>
      <c r="F117" s="43"/>
      <c r="G117" s="43"/>
      <c r="H117" s="43"/>
      <c r="I117" s="43"/>
      <c r="J117" s="45" t="n">
        <f aca="false">SUM(J109:J116)</f>
        <v>8</v>
      </c>
    </row>
    <row r="118" customFormat="false" ht="14.25" hidden="false" customHeight="true" outlineLevel="0" collapsed="false">
      <c r="B118" s="40"/>
      <c r="C118" s="41"/>
      <c r="D118" s="32"/>
      <c r="E118" s="41"/>
      <c r="F118" s="41"/>
      <c r="G118" s="41"/>
      <c r="H118" s="41"/>
      <c r="I118" s="40"/>
    </row>
    <row r="119" customFormat="false" ht="14.25" hidden="false" customHeight="true" outlineLevel="0" collapsed="false">
      <c r="B119" s="40" t="n">
        <v>3</v>
      </c>
      <c r="C119" s="41" t="s">
        <v>187</v>
      </c>
      <c r="D119" s="32" t="s">
        <v>567</v>
      </c>
      <c r="E119" s="41" t="s">
        <v>568</v>
      </c>
      <c r="F119" s="41" t="s">
        <v>569</v>
      </c>
      <c r="G119" s="41" t="s">
        <v>128</v>
      </c>
      <c r="H119" s="41" t="s">
        <v>131</v>
      </c>
      <c r="I119" s="40" t="s">
        <v>163</v>
      </c>
      <c r="J119" s="42" t="n">
        <v>1</v>
      </c>
    </row>
    <row r="120" customFormat="false" ht="14.25" hidden="false" customHeight="true" outlineLevel="0" collapsed="false">
      <c r="B120" s="40" t="n">
        <v>3</v>
      </c>
      <c r="C120" s="41" t="s">
        <v>187</v>
      </c>
      <c r="D120" s="32" t="s">
        <v>567</v>
      </c>
      <c r="E120" s="41" t="s">
        <v>588</v>
      </c>
      <c r="F120" s="41" t="s">
        <v>571</v>
      </c>
      <c r="G120" s="41" t="s">
        <v>128</v>
      </c>
      <c r="H120" s="41" t="s">
        <v>131</v>
      </c>
      <c r="I120" s="40" t="s">
        <v>163</v>
      </c>
      <c r="J120" s="42" t="n">
        <v>1</v>
      </c>
    </row>
    <row r="121" customFormat="false" ht="14.25" hidden="false" customHeight="true" outlineLevel="0" collapsed="false">
      <c r="B121" s="40" t="n">
        <v>3</v>
      </c>
      <c r="C121" s="41" t="s">
        <v>187</v>
      </c>
      <c r="D121" s="32" t="s">
        <v>567</v>
      </c>
      <c r="E121" s="41" t="s">
        <v>572</v>
      </c>
      <c r="F121" s="41" t="s">
        <v>573</v>
      </c>
      <c r="G121" s="41" t="s">
        <v>128</v>
      </c>
      <c r="H121" s="41" t="s">
        <v>131</v>
      </c>
      <c r="I121" s="40" t="s">
        <v>163</v>
      </c>
      <c r="J121" s="42" t="n">
        <v>1</v>
      </c>
    </row>
    <row r="122" customFormat="false" ht="14.25" hidden="false" customHeight="true" outlineLevel="0" collapsed="false">
      <c r="B122" s="40" t="n">
        <v>3</v>
      </c>
      <c r="C122" s="41" t="s">
        <v>187</v>
      </c>
      <c r="D122" s="32" t="s">
        <v>567</v>
      </c>
      <c r="E122" s="41" t="s">
        <v>608</v>
      </c>
      <c r="F122" s="41" t="s">
        <v>573</v>
      </c>
      <c r="G122" s="41" t="s">
        <v>127</v>
      </c>
      <c r="H122" s="41" t="s">
        <v>133</v>
      </c>
      <c r="I122" s="40" t="s">
        <v>162</v>
      </c>
      <c r="J122" s="42" t="n">
        <v>1</v>
      </c>
    </row>
    <row r="123" customFormat="false" ht="14.25" hidden="false" customHeight="true" outlineLevel="0" collapsed="false">
      <c r="B123" s="43"/>
      <c r="C123" s="43"/>
      <c r="D123" s="43"/>
      <c r="E123" s="44" t="s">
        <v>614</v>
      </c>
      <c r="F123" s="43"/>
      <c r="G123" s="43"/>
      <c r="H123" s="43"/>
      <c r="I123" s="43"/>
      <c r="J123" s="45" t="n">
        <f aca="false">SUM(J119:J122)</f>
        <v>4</v>
      </c>
    </row>
    <row r="124" customFormat="false" ht="14.25" hidden="false" customHeight="true" outlineLevel="0" collapsed="false">
      <c r="B124" s="40" t="n">
        <v>3</v>
      </c>
      <c r="C124" s="41" t="s">
        <v>187</v>
      </c>
      <c r="D124" s="32" t="s">
        <v>582</v>
      </c>
      <c r="E124" s="41" t="s">
        <v>611</v>
      </c>
      <c r="F124" s="41" t="s">
        <v>573</v>
      </c>
      <c r="G124" s="41" t="s">
        <v>128</v>
      </c>
      <c r="H124" s="41" t="s">
        <v>133</v>
      </c>
      <c r="I124" s="40" t="s">
        <v>162</v>
      </c>
      <c r="J124" s="42" t="n">
        <v>1</v>
      </c>
    </row>
    <row r="125" customFormat="false" ht="14.25" hidden="false" customHeight="true" outlineLevel="0" collapsed="false">
      <c r="B125" s="40" t="n">
        <v>3</v>
      </c>
      <c r="C125" s="41" t="s">
        <v>187</v>
      </c>
      <c r="D125" s="32" t="s">
        <v>582</v>
      </c>
      <c r="E125" s="41" t="s">
        <v>599</v>
      </c>
      <c r="F125" s="41" t="s">
        <v>576</v>
      </c>
      <c r="G125" s="41" t="s">
        <v>127</v>
      </c>
      <c r="H125" s="41" t="s">
        <v>133</v>
      </c>
      <c r="I125" s="40" t="s">
        <v>164</v>
      </c>
      <c r="J125" s="42" t="n">
        <v>1</v>
      </c>
    </row>
    <row r="126" customFormat="false" ht="14.25" hidden="false" customHeight="true" outlineLevel="0" collapsed="false">
      <c r="B126" s="43"/>
      <c r="C126" s="43"/>
      <c r="D126" s="43"/>
      <c r="E126" s="44" t="s">
        <v>615</v>
      </c>
      <c r="F126" s="43"/>
      <c r="G126" s="43"/>
      <c r="H126" s="43"/>
      <c r="I126" s="43"/>
      <c r="J126" s="45" t="n">
        <f aca="false">SUM(J124:J125)</f>
        <v>2</v>
      </c>
    </row>
    <row r="127" customFormat="false" ht="14.25" hidden="false" customHeight="true" outlineLevel="0" collapsed="false">
      <c r="B127" s="40"/>
      <c r="C127" s="41"/>
      <c r="D127" s="32"/>
      <c r="E127" s="41"/>
      <c r="F127" s="41"/>
      <c r="G127" s="41"/>
      <c r="H127" s="41"/>
      <c r="I127" s="40"/>
    </row>
    <row r="128" customFormat="false" ht="14.25" hidden="false" customHeight="true" outlineLevel="0" collapsed="false">
      <c r="B128" s="40" t="n">
        <v>3</v>
      </c>
      <c r="C128" s="41" t="s">
        <v>197</v>
      </c>
      <c r="D128" s="32" t="s">
        <v>582</v>
      </c>
      <c r="E128" s="41" t="s">
        <v>609</v>
      </c>
      <c r="F128" s="41" t="s">
        <v>573</v>
      </c>
      <c r="G128" s="41" t="s">
        <v>127</v>
      </c>
      <c r="H128" s="41" t="s">
        <v>133</v>
      </c>
      <c r="I128" s="40" t="s">
        <v>164</v>
      </c>
      <c r="J128" s="42" t="n">
        <v>1</v>
      </c>
    </row>
    <row r="129" customFormat="false" ht="14.25" hidden="false" customHeight="true" outlineLevel="0" collapsed="false">
      <c r="B129" s="43"/>
      <c r="C129" s="43"/>
      <c r="D129" s="43"/>
      <c r="E129" s="44" t="s">
        <v>616</v>
      </c>
      <c r="F129" s="43"/>
      <c r="G129" s="43"/>
      <c r="H129" s="43"/>
      <c r="I129" s="43"/>
      <c r="J129" s="45" t="n">
        <f aca="false">SUM(J128:J128)</f>
        <v>1</v>
      </c>
    </row>
    <row r="130" customFormat="false" ht="14.25" hidden="false" customHeight="true" outlineLevel="0" collapsed="false">
      <c r="B130" s="40"/>
      <c r="C130" s="41"/>
      <c r="D130" s="32"/>
      <c r="E130" s="41"/>
      <c r="F130" s="41"/>
      <c r="G130" s="41"/>
      <c r="H130" s="41"/>
      <c r="I130" s="40"/>
      <c r="J130" s="42"/>
    </row>
    <row r="131" customFormat="false" ht="14.25" hidden="false" customHeight="true" outlineLevel="0" collapsed="false">
      <c r="B131" s="40" t="n">
        <v>3</v>
      </c>
      <c r="C131" s="41" t="s">
        <v>192</v>
      </c>
      <c r="D131" s="32" t="s">
        <v>567</v>
      </c>
      <c r="E131" s="41" t="s">
        <v>568</v>
      </c>
      <c r="F131" s="41" t="s">
        <v>569</v>
      </c>
      <c r="G131" s="41" t="s">
        <v>128</v>
      </c>
      <c r="H131" s="41" t="s">
        <v>131</v>
      </c>
      <c r="I131" s="40" t="s">
        <v>163</v>
      </c>
      <c r="J131" s="42" t="n">
        <v>1</v>
      </c>
    </row>
    <row r="132" customFormat="false" ht="14.25" hidden="false" customHeight="true" outlineLevel="0" collapsed="false">
      <c r="B132" s="40" t="n">
        <v>3</v>
      </c>
      <c r="C132" s="41" t="s">
        <v>192</v>
      </c>
      <c r="D132" s="32" t="s">
        <v>567</v>
      </c>
      <c r="E132" s="41" t="s">
        <v>594</v>
      </c>
      <c r="F132" s="41" t="s">
        <v>571</v>
      </c>
      <c r="G132" s="41" t="s">
        <v>129</v>
      </c>
      <c r="H132" s="41" t="s">
        <v>131</v>
      </c>
      <c r="I132" s="40" t="s">
        <v>163</v>
      </c>
      <c r="J132" s="42" t="n">
        <v>1</v>
      </c>
    </row>
    <row r="133" customFormat="false" ht="14.25" hidden="false" customHeight="true" outlineLevel="0" collapsed="false">
      <c r="B133" s="40" t="n">
        <v>3</v>
      </c>
      <c r="C133" s="41" t="s">
        <v>192</v>
      </c>
      <c r="D133" s="32" t="s">
        <v>567</v>
      </c>
      <c r="E133" s="41" t="s">
        <v>572</v>
      </c>
      <c r="F133" s="41" t="s">
        <v>573</v>
      </c>
      <c r="G133" s="41" t="s">
        <v>128</v>
      </c>
      <c r="H133" s="41" t="s">
        <v>131</v>
      </c>
      <c r="I133" s="40" t="s">
        <v>163</v>
      </c>
      <c r="J133" s="42" t="n">
        <v>1</v>
      </c>
    </row>
    <row r="134" customFormat="false" ht="14.25" hidden="false" customHeight="true" outlineLevel="0" collapsed="false">
      <c r="B134" s="40" t="n">
        <v>3</v>
      </c>
      <c r="C134" s="41" t="s">
        <v>192</v>
      </c>
      <c r="D134" s="32" t="s">
        <v>567</v>
      </c>
      <c r="E134" s="41" t="s">
        <v>609</v>
      </c>
      <c r="F134" s="41" t="s">
        <v>573</v>
      </c>
      <c r="G134" s="41" t="s">
        <v>127</v>
      </c>
      <c r="H134" s="41" t="s">
        <v>133</v>
      </c>
      <c r="I134" s="40" t="s">
        <v>164</v>
      </c>
      <c r="J134" s="42" t="n">
        <v>1</v>
      </c>
    </row>
    <row r="135" customFormat="false" ht="14.25" hidden="false" customHeight="true" outlineLevel="0" collapsed="false">
      <c r="B135" s="40" t="n">
        <v>3</v>
      </c>
      <c r="C135" s="41" t="s">
        <v>192</v>
      </c>
      <c r="D135" s="32" t="s">
        <v>567</v>
      </c>
      <c r="E135" s="41" t="s">
        <v>577</v>
      </c>
      <c r="F135" s="41" t="s">
        <v>578</v>
      </c>
      <c r="G135" s="41" t="s">
        <v>126</v>
      </c>
      <c r="H135" s="41" t="s">
        <v>131</v>
      </c>
      <c r="I135" s="40" t="s">
        <v>162</v>
      </c>
      <c r="J135" s="42" t="n">
        <v>1</v>
      </c>
    </row>
    <row r="136" customFormat="false" ht="14.25" hidden="false" customHeight="true" outlineLevel="0" collapsed="false">
      <c r="B136" s="46"/>
      <c r="C136" s="46"/>
      <c r="D136" s="46"/>
      <c r="E136" s="47" t="s">
        <v>617</v>
      </c>
      <c r="F136" s="46"/>
      <c r="G136" s="46"/>
      <c r="H136" s="46"/>
      <c r="I136" s="46"/>
      <c r="J136" s="48" t="n">
        <f aca="false">SUM(J131:J135)</f>
        <v>5</v>
      </c>
    </row>
    <row r="137" customFormat="false" ht="14.25" hidden="false" customHeight="true" outlineLevel="0" collapsed="false">
      <c r="B137" s="40"/>
      <c r="C137" s="41"/>
      <c r="D137" s="32"/>
      <c r="E137" s="41"/>
      <c r="F137" s="41"/>
      <c r="G137" s="41"/>
      <c r="H137" s="41"/>
      <c r="I137" s="40"/>
    </row>
    <row r="138" customFormat="false" ht="14.25" hidden="false" customHeight="true" outlineLevel="0" collapsed="false">
      <c r="B138" s="40"/>
      <c r="C138" s="41"/>
      <c r="D138" s="32"/>
      <c r="E138" s="41"/>
      <c r="F138" s="41"/>
      <c r="G138" s="41"/>
      <c r="H138" s="41"/>
      <c r="I138" s="40"/>
    </row>
    <row r="139" customFormat="false" ht="14.25" hidden="false" customHeight="true" outlineLevel="0" collapsed="false">
      <c r="B139" s="40"/>
      <c r="C139" s="41"/>
      <c r="D139" s="32"/>
      <c r="E139" s="41"/>
      <c r="F139" s="41"/>
      <c r="G139" s="41"/>
      <c r="H139" s="41"/>
      <c r="I139" s="40"/>
    </row>
    <row r="140" customFormat="false" ht="14.25" hidden="false" customHeight="true" outlineLevel="0" collapsed="false">
      <c r="B140" s="40"/>
      <c r="C140" s="41"/>
      <c r="D140" s="32"/>
      <c r="E140" s="41"/>
      <c r="F140" s="41"/>
      <c r="G140" s="41"/>
      <c r="H140" s="41"/>
      <c r="I140" s="40"/>
    </row>
    <row r="141" customFormat="false" ht="14.25" hidden="false" customHeight="true" outlineLevel="0" collapsed="false">
      <c r="B141" s="40"/>
      <c r="C141" s="41"/>
      <c r="D141" s="32"/>
      <c r="E141" s="41"/>
      <c r="F141" s="41"/>
      <c r="G141" s="41"/>
      <c r="H141" s="41"/>
      <c r="I141" s="40"/>
    </row>
    <row r="142" customFormat="false" ht="14.25" hidden="false" customHeight="true" outlineLevel="0" collapsed="false">
      <c r="E142" s="49"/>
      <c r="J142" s="50"/>
    </row>
    <row r="143" customFormat="false" ht="14.25" hidden="false" customHeight="true" outlineLevel="0" collapsed="false">
      <c r="B143" s="40"/>
      <c r="C143" s="41"/>
      <c r="D143" s="32"/>
      <c r="E143" s="41"/>
      <c r="F143" s="41"/>
      <c r="G143" s="41"/>
      <c r="H143" s="41"/>
      <c r="I143" s="40"/>
    </row>
    <row r="144" customFormat="false" ht="14.25" hidden="false" customHeight="true" outlineLevel="0" collapsed="false">
      <c r="B144" s="40"/>
      <c r="C144" s="41"/>
      <c r="D144" s="32"/>
      <c r="E144" s="41"/>
      <c r="F144" s="41"/>
      <c r="G144" s="41"/>
      <c r="H144" s="41"/>
      <c r="I144" s="40"/>
    </row>
    <row r="145" customFormat="false" ht="14.25" hidden="false" customHeight="true" outlineLevel="0" collapsed="false">
      <c r="B145" s="40"/>
      <c r="C145" s="41"/>
      <c r="D145" s="32"/>
      <c r="E145" s="41"/>
      <c r="F145" s="41"/>
      <c r="G145" s="41"/>
      <c r="H145" s="41"/>
      <c r="I145" s="40"/>
    </row>
    <row r="146" customFormat="false" ht="14.25" hidden="false" customHeight="true" outlineLevel="0" collapsed="false">
      <c r="E146" s="49"/>
      <c r="J146" s="50"/>
    </row>
    <row r="148" customFormat="false" ht="14.25" hidden="false" customHeight="true" outlineLevel="0" collapsed="false">
      <c r="B148" s="40"/>
      <c r="C148" s="41"/>
      <c r="D148" s="32"/>
      <c r="E148" s="41"/>
      <c r="F148" s="41"/>
      <c r="G148" s="41"/>
      <c r="H148" s="41"/>
      <c r="I148" s="40"/>
    </row>
    <row r="149" customFormat="false" ht="14.25" hidden="false" customHeight="true" outlineLevel="0" collapsed="false">
      <c r="B149" s="40"/>
      <c r="C149" s="41"/>
      <c r="D149" s="32"/>
      <c r="E149" s="41"/>
      <c r="F149" s="41"/>
      <c r="G149" s="41"/>
      <c r="H149" s="41"/>
      <c r="I149" s="40"/>
    </row>
    <row r="150" customFormat="false" ht="14.25" hidden="false" customHeight="true" outlineLevel="0" collapsed="false">
      <c r="B150" s="40"/>
      <c r="C150" s="41"/>
      <c r="D150" s="32"/>
      <c r="E150" s="41"/>
      <c r="F150" s="41"/>
      <c r="G150" s="41"/>
      <c r="H150" s="41"/>
      <c r="I150" s="40"/>
    </row>
    <row r="151" customFormat="false" ht="14.25" hidden="false" customHeight="true" outlineLevel="0" collapsed="false">
      <c r="B151" s="40"/>
      <c r="C151" s="41"/>
      <c r="D151" s="32"/>
      <c r="E151" s="41"/>
      <c r="F151" s="41"/>
      <c r="G151" s="41"/>
      <c r="H151" s="41"/>
      <c r="I151" s="40"/>
    </row>
    <row r="152" customFormat="false" ht="14.25" hidden="false" customHeight="true" outlineLevel="0" collapsed="false">
      <c r="B152" s="40"/>
      <c r="C152" s="41"/>
      <c r="D152" s="32"/>
      <c r="E152" s="41"/>
      <c r="F152" s="41"/>
      <c r="G152" s="41"/>
      <c r="H152" s="41"/>
      <c r="I152" s="40"/>
    </row>
    <row r="153" customFormat="false" ht="14.25" hidden="false" customHeight="true" outlineLevel="0" collapsed="false">
      <c r="B153" s="40"/>
      <c r="C153" s="41"/>
      <c r="D153" s="32"/>
      <c r="E153" s="41"/>
      <c r="F153" s="41"/>
      <c r="G153" s="41"/>
      <c r="H153" s="41"/>
      <c r="I153" s="40"/>
    </row>
    <row r="154" customFormat="false" ht="14.25" hidden="false" customHeight="true" outlineLevel="0" collapsed="false">
      <c r="B154" s="40"/>
      <c r="C154" s="41"/>
      <c r="D154" s="32"/>
      <c r="E154" s="41"/>
      <c r="F154" s="41"/>
      <c r="G154" s="41"/>
      <c r="H154" s="41"/>
      <c r="I154" s="40"/>
    </row>
    <row r="155" customFormat="false" ht="14.25" hidden="false" customHeight="true" outlineLevel="0" collapsed="false">
      <c r="B155" s="40"/>
      <c r="C155" s="41"/>
      <c r="D155" s="32"/>
      <c r="E155" s="41"/>
      <c r="F155" s="41"/>
      <c r="G155" s="41"/>
      <c r="H155" s="41"/>
      <c r="I155" s="40"/>
    </row>
    <row r="156" customFormat="false" ht="14.25" hidden="false" customHeight="true" outlineLevel="0" collapsed="false">
      <c r="B156" s="40"/>
      <c r="C156" s="41"/>
      <c r="D156" s="32"/>
      <c r="E156" s="41"/>
      <c r="F156" s="41"/>
      <c r="G156" s="41"/>
      <c r="H156" s="41"/>
      <c r="I156" s="40"/>
    </row>
    <row r="157" customFormat="false" ht="14.25" hidden="false" customHeight="true" outlineLevel="0" collapsed="false">
      <c r="E157" s="49"/>
      <c r="J157" s="50"/>
    </row>
    <row r="158" customFormat="false" ht="14.25" hidden="false" customHeight="true" outlineLevel="0" collapsed="false">
      <c r="B158" s="40"/>
      <c r="C158" s="41"/>
      <c r="D158" s="32"/>
      <c r="E158" s="41"/>
      <c r="F158" s="41"/>
      <c r="G158" s="41"/>
      <c r="H158" s="41"/>
      <c r="I158" s="40"/>
    </row>
    <row r="159" customFormat="false" ht="14.25" hidden="false" customHeight="true" outlineLevel="0" collapsed="false">
      <c r="B159" s="40"/>
      <c r="C159" s="41"/>
      <c r="D159" s="32"/>
      <c r="E159" s="41"/>
      <c r="F159" s="41"/>
      <c r="G159" s="41"/>
      <c r="H159" s="41"/>
      <c r="I159" s="40"/>
    </row>
    <row r="160" customFormat="false" ht="14.25" hidden="false" customHeight="true" outlineLevel="0" collapsed="false">
      <c r="B160" s="40"/>
      <c r="C160" s="41"/>
      <c r="D160" s="32"/>
      <c r="E160" s="41"/>
      <c r="F160" s="41"/>
      <c r="G160" s="41"/>
      <c r="H160" s="41"/>
      <c r="I160" s="40"/>
    </row>
    <row r="161" customFormat="false" ht="14.25" hidden="false" customHeight="true" outlineLevel="0" collapsed="false">
      <c r="B161" s="40"/>
      <c r="C161" s="41"/>
      <c r="D161" s="32"/>
      <c r="E161" s="41"/>
      <c r="F161" s="41"/>
      <c r="G161" s="41"/>
      <c r="H161" s="41"/>
      <c r="I161" s="40"/>
    </row>
    <row r="162" customFormat="false" ht="14.25" hidden="false" customHeight="true" outlineLevel="0" collapsed="false">
      <c r="B162" s="40"/>
      <c r="C162" s="41"/>
      <c r="D162" s="32"/>
      <c r="E162" s="41"/>
      <c r="F162" s="41"/>
      <c r="G162" s="41"/>
      <c r="H162" s="41"/>
      <c r="I162" s="40"/>
    </row>
    <row r="163" customFormat="false" ht="14.25" hidden="false" customHeight="true" outlineLevel="0" collapsed="false">
      <c r="B163" s="40"/>
      <c r="C163" s="41"/>
      <c r="D163" s="32"/>
      <c r="E163" s="41"/>
      <c r="F163" s="41"/>
      <c r="G163" s="41"/>
      <c r="H163" s="41"/>
      <c r="I163" s="40"/>
    </row>
    <row r="164" customFormat="false" ht="14.25" hidden="false" customHeight="true" outlineLevel="0" collapsed="false">
      <c r="B164" s="40"/>
      <c r="C164" s="41"/>
      <c r="D164" s="32"/>
      <c r="E164" s="41"/>
      <c r="F164" s="41"/>
      <c r="G164" s="41"/>
      <c r="H164" s="41"/>
      <c r="I164" s="40"/>
    </row>
    <row r="165" customFormat="false" ht="14.25" hidden="false" customHeight="true" outlineLevel="0" collapsed="false">
      <c r="B165" s="40"/>
      <c r="C165" s="41"/>
      <c r="D165" s="32"/>
      <c r="E165" s="41"/>
      <c r="F165" s="41"/>
      <c r="G165" s="41"/>
      <c r="H165" s="41"/>
      <c r="I165" s="40"/>
    </row>
    <row r="166" customFormat="false" ht="14.25" hidden="false" customHeight="true" outlineLevel="0" collapsed="false">
      <c r="B166" s="40"/>
      <c r="C166" s="41"/>
      <c r="D166" s="32"/>
      <c r="E166" s="41"/>
      <c r="F166" s="41"/>
      <c r="G166" s="41"/>
      <c r="H166" s="41"/>
      <c r="I166" s="40"/>
    </row>
    <row r="167" customFormat="false" ht="14.25" hidden="false" customHeight="true" outlineLevel="0" collapsed="false">
      <c r="E167" s="49"/>
      <c r="J167" s="50"/>
    </row>
    <row r="169" customFormat="false" ht="14.25" hidden="false" customHeight="true" outlineLevel="0" collapsed="false">
      <c r="B169" s="40"/>
      <c r="C169" s="41"/>
      <c r="D169" s="32"/>
      <c r="E169" s="41"/>
      <c r="F169" s="41"/>
      <c r="G169" s="41"/>
      <c r="H169" s="41"/>
      <c r="I169" s="40"/>
    </row>
    <row r="170" customFormat="false" ht="14.25" hidden="false" customHeight="true" outlineLevel="0" collapsed="false">
      <c r="B170" s="40"/>
      <c r="C170" s="41"/>
      <c r="D170" s="32"/>
      <c r="E170" s="41"/>
      <c r="F170" s="41"/>
      <c r="G170" s="41"/>
      <c r="H170" s="41"/>
      <c r="I170" s="40"/>
    </row>
    <row r="171" customFormat="false" ht="14.25" hidden="false" customHeight="true" outlineLevel="0" collapsed="false">
      <c r="B171" s="40"/>
      <c r="C171" s="41"/>
      <c r="D171" s="32"/>
      <c r="E171" s="41"/>
      <c r="F171" s="41"/>
      <c r="G171" s="41"/>
      <c r="H171" s="41"/>
      <c r="I171" s="40"/>
    </row>
    <row r="172" customFormat="false" ht="14.25" hidden="false" customHeight="true" outlineLevel="0" collapsed="false">
      <c r="B172" s="40"/>
      <c r="C172" s="41"/>
      <c r="D172" s="32"/>
      <c r="E172" s="41"/>
      <c r="F172" s="41"/>
      <c r="G172" s="41"/>
      <c r="H172" s="41"/>
      <c r="I172" s="40"/>
    </row>
    <row r="173" customFormat="false" ht="14.25" hidden="false" customHeight="true" outlineLevel="0" collapsed="false">
      <c r="I173" s="51"/>
    </row>
    <row r="174" customFormat="false" ht="14.25" hidden="false" customHeight="true" outlineLevel="0" collapsed="false">
      <c r="B174" s="40"/>
      <c r="C174" s="41"/>
      <c r="D174" s="32"/>
      <c r="E174" s="41"/>
      <c r="F174" s="41"/>
      <c r="G174" s="41"/>
      <c r="H174" s="41"/>
      <c r="I174" s="40"/>
    </row>
    <row r="175" customFormat="false" ht="14.25" hidden="false" customHeight="true" outlineLevel="0" collapsed="false">
      <c r="B175" s="40"/>
      <c r="C175" s="41"/>
      <c r="D175" s="32"/>
      <c r="E175" s="41"/>
      <c r="F175" s="41"/>
      <c r="G175" s="41"/>
      <c r="H175" s="41"/>
      <c r="I175" s="40"/>
    </row>
    <row r="176" customFormat="false" ht="14.25" hidden="false" customHeight="true" outlineLevel="0" collapsed="false">
      <c r="I176" s="51"/>
    </row>
    <row r="178" customFormat="false" ht="14.25" hidden="false" customHeight="true" outlineLevel="0" collapsed="false">
      <c r="B178" s="40"/>
      <c r="C178" s="41"/>
      <c r="D178" s="32"/>
      <c r="E178" s="41"/>
      <c r="F178" s="41"/>
      <c r="G178" s="41"/>
      <c r="H178" s="41"/>
      <c r="I178" s="40"/>
    </row>
    <row r="179" customFormat="false" ht="14.25" hidden="false" customHeight="true" outlineLevel="0" collapsed="false">
      <c r="B179" s="40"/>
      <c r="C179" s="41"/>
      <c r="D179" s="32"/>
      <c r="E179" s="41"/>
      <c r="F179" s="41"/>
      <c r="G179" s="41"/>
      <c r="H179" s="41"/>
      <c r="I179" s="40"/>
    </row>
    <row r="180" customFormat="false" ht="14.25" hidden="false" customHeight="true" outlineLevel="0" collapsed="false">
      <c r="B180" s="40"/>
      <c r="C180" s="41"/>
      <c r="D180" s="32"/>
      <c r="E180" s="41"/>
      <c r="F180" s="41"/>
      <c r="G180" s="41"/>
      <c r="H180" s="41"/>
      <c r="I180" s="40"/>
    </row>
    <row r="181" customFormat="false" ht="14.25" hidden="false" customHeight="true" outlineLevel="0" collapsed="false">
      <c r="B181" s="40"/>
      <c r="C181" s="41"/>
      <c r="D181" s="32"/>
      <c r="E181" s="41"/>
      <c r="F181" s="41"/>
      <c r="G181" s="41"/>
      <c r="H181" s="41"/>
      <c r="I181" s="40"/>
    </row>
    <row r="182" customFormat="false" ht="14.25" hidden="false" customHeight="true" outlineLevel="0" collapsed="false">
      <c r="I182" s="51"/>
    </row>
    <row r="183" customFormat="false" ht="14.25" hidden="false" customHeight="true" outlineLevel="0" collapsed="false">
      <c r="B183" s="40"/>
      <c r="C183" s="41"/>
      <c r="D183" s="32"/>
      <c r="E183" s="41"/>
      <c r="F183" s="41"/>
      <c r="G183" s="41"/>
      <c r="H183" s="41"/>
      <c r="I183" s="40"/>
    </row>
    <row r="184" customFormat="false" ht="14.25" hidden="false" customHeight="true" outlineLevel="0" collapsed="false">
      <c r="B184" s="40"/>
      <c r="C184" s="41"/>
      <c r="D184" s="32"/>
      <c r="E184" s="41"/>
      <c r="F184" s="41"/>
      <c r="G184" s="41"/>
      <c r="H184" s="41"/>
      <c r="I184" s="40"/>
    </row>
    <row r="185" customFormat="false" ht="14.25" hidden="false" customHeight="true" outlineLevel="0" collapsed="false">
      <c r="I185" s="51"/>
    </row>
    <row r="187" customFormat="false" ht="14.25" hidden="false" customHeight="true" outlineLevel="0" collapsed="false">
      <c r="B187" s="40"/>
      <c r="C187" s="41"/>
      <c r="D187" s="32"/>
      <c r="E187" s="41"/>
      <c r="F187" s="41"/>
      <c r="G187" s="41"/>
      <c r="H187" s="41"/>
      <c r="I187" s="40"/>
    </row>
    <row r="188" customFormat="false" ht="14.25" hidden="false" customHeight="true" outlineLevel="0" collapsed="false">
      <c r="B188" s="40"/>
      <c r="C188" s="41"/>
      <c r="D188" s="32"/>
      <c r="E188" s="41"/>
      <c r="F188" s="41"/>
      <c r="G188" s="41"/>
      <c r="H188" s="41"/>
      <c r="I188" s="40"/>
    </row>
    <row r="189" customFormat="false" ht="14.25" hidden="false" customHeight="true" outlineLevel="0" collapsed="false">
      <c r="B189" s="40"/>
      <c r="C189" s="41"/>
      <c r="D189" s="32"/>
      <c r="E189" s="41"/>
      <c r="F189" s="41"/>
      <c r="G189" s="41"/>
      <c r="H189" s="41"/>
      <c r="I189" s="40"/>
    </row>
    <row r="190" customFormat="false" ht="14.25" hidden="false" customHeight="true" outlineLevel="0" collapsed="false">
      <c r="B190" s="40"/>
      <c r="C190" s="41"/>
      <c r="D190" s="32"/>
      <c r="E190" s="41"/>
      <c r="F190" s="41"/>
      <c r="G190" s="41"/>
      <c r="H190" s="41"/>
      <c r="I190" s="40"/>
    </row>
    <row r="191" customFormat="false" ht="14.25" hidden="false" customHeight="true" outlineLevel="0" collapsed="false">
      <c r="I191" s="51"/>
    </row>
    <row r="192" customFormat="false" ht="14.25" hidden="false" customHeight="true" outlineLevel="0" collapsed="false">
      <c r="B192" s="40"/>
      <c r="C192" s="41"/>
      <c r="D192" s="32"/>
      <c r="E192" s="41"/>
      <c r="F192" s="41"/>
      <c r="G192" s="41"/>
      <c r="H192" s="41"/>
      <c r="I192" s="40"/>
    </row>
    <row r="193" customFormat="false" ht="14.25" hidden="false" customHeight="true" outlineLevel="0" collapsed="false">
      <c r="B193" s="40"/>
      <c r="C193" s="41"/>
      <c r="D193" s="32"/>
      <c r="E193" s="41"/>
      <c r="F193" s="41"/>
      <c r="G193" s="41"/>
      <c r="H193" s="41"/>
      <c r="I193" s="40"/>
    </row>
    <row r="194" customFormat="false" ht="14.25" hidden="false" customHeight="true" outlineLevel="0" collapsed="false">
      <c r="I194" s="51"/>
    </row>
    <row r="196" customFormat="false" ht="14.25" hidden="false" customHeight="true" outlineLevel="0" collapsed="false">
      <c r="B196" s="40"/>
      <c r="C196" s="41"/>
      <c r="D196" s="32"/>
      <c r="E196" s="41"/>
      <c r="F196" s="41"/>
      <c r="G196" s="41"/>
      <c r="H196" s="41"/>
      <c r="I196" s="40"/>
    </row>
    <row r="197" customFormat="false" ht="14.25" hidden="false" customHeight="true" outlineLevel="0" collapsed="false">
      <c r="B197" s="40"/>
      <c r="C197" s="41"/>
      <c r="D197" s="32"/>
      <c r="E197" s="41"/>
      <c r="F197" s="41"/>
      <c r="G197" s="41"/>
      <c r="H197" s="41"/>
      <c r="I197" s="40"/>
    </row>
    <row r="198" customFormat="false" ht="14.25" hidden="false" customHeight="true" outlineLevel="0" collapsed="false">
      <c r="B198" s="40"/>
      <c r="C198" s="41"/>
      <c r="D198" s="32"/>
      <c r="E198" s="41"/>
      <c r="F198" s="41"/>
      <c r="G198" s="41"/>
      <c r="H198" s="41"/>
      <c r="I198" s="40"/>
    </row>
    <row r="199" customFormat="false" ht="14.25" hidden="false" customHeight="true" outlineLevel="0" collapsed="false">
      <c r="B199" s="40"/>
      <c r="C199" s="41"/>
      <c r="D199" s="32"/>
      <c r="E199" s="41"/>
      <c r="F199" s="41"/>
      <c r="G199" s="41"/>
      <c r="H199" s="41"/>
      <c r="I199" s="40"/>
    </row>
    <row r="200" customFormat="false" ht="14.25" hidden="false" customHeight="true" outlineLevel="0" collapsed="false">
      <c r="I200" s="51"/>
    </row>
    <row r="201" customFormat="false" ht="14.25" hidden="false" customHeight="true" outlineLevel="0" collapsed="false">
      <c r="B201" s="40"/>
      <c r="C201" s="41"/>
      <c r="D201" s="32"/>
      <c r="E201" s="41"/>
      <c r="F201" s="41"/>
      <c r="G201" s="41"/>
      <c r="H201" s="41"/>
      <c r="I201" s="40"/>
    </row>
    <row r="202" customFormat="false" ht="14.25" hidden="false" customHeight="true" outlineLevel="0" collapsed="false">
      <c r="B202" s="40"/>
      <c r="C202" s="41"/>
      <c r="D202" s="32"/>
      <c r="E202" s="41"/>
      <c r="F202" s="41"/>
      <c r="G202" s="41"/>
      <c r="H202" s="41"/>
      <c r="I202" s="40"/>
    </row>
    <row r="203" customFormat="false" ht="14.25" hidden="false" customHeight="true" outlineLevel="0" collapsed="false">
      <c r="I203" s="51"/>
    </row>
    <row r="205" customFormat="false" ht="14.25" hidden="false" customHeight="true" outlineLevel="0" collapsed="false">
      <c r="B205" s="40"/>
      <c r="C205" s="41"/>
      <c r="D205" s="32"/>
      <c r="E205" s="41"/>
      <c r="F205" s="41"/>
      <c r="G205" s="41"/>
      <c r="H205" s="41"/>
      <c r="I205" s="40"/>
    </row>
    <row r="206" customFormat="false" ht="14.25" hidden="false" customHeight="true" outlineLevel="0" collapsed="false">
      <c r="B206" s="40"/>
      <c r="C206" s="41"/>
      <c r="D206" s="32"/>
      <c r="E206" s="41"/>
      <c r="F206" s="41"/>
      <c r="G206" s="41"/>
      <c r="H206" s="41"/>
      <c r="I206" s="40"/>
    </row>
    <row r="207" customFormat="false" ht="14.25" hidden="false" customHeight="true" outlineLevel="0" collapsed="false">
      <c r="B207" s="40"/>
      <c r="C207" s="41"/>
      <c r="D207" s="32"/>
      <c r="E207" s="41"/>
      <c r="F207" s="41"/>
      <c r="G207" s="41"/>
      <c r="H207" s="41"/>
      <c r="I207" s="40"/>
    </row>
    <row r="208" customFormat="false" ht="14.25" hidden="false" customHeight="true" outlineLevel="0" collapsed="false">
      <c r="B208" s="40"/>
      <c r="C208" s="41"/>
      <c r="D208" s="32"/>
      <c r="E208" s="41"/>
      <c r="F208" s="41"/>
      <c r="G208" s="41"/>
      <c r="H208" s="41"/>
      <c r="I208" s="40"/>
    </row>
    <row r="209" customFormat="false" ht="14.25" hidden="false" customHeight="true" outlineLevel="0" collapsed="false">
      <c r="I209" s="51"/>
    </row>
    <row r="210" customFormat="false" ht="14.25" hidden="false" customHeight="true" outlineLevel="0" collapsed="false">
      <c r="B210" s="40"/>
      <c r="C210" s="41"/>
      <c r="D210" s="32"/>
      <c r="E210" s="41"/>
      <c r="F210" s="41"/>
      <c r="G210" s="41"/>
      <c r="H210" s="41"/>
      <c r="I210" s="40"/>
    </row>
    <row r="211" customFormat="false" ht="14.25" hidden="false" customHeight="true" outlineLevel="0" collapsed="false">
      <c r="B211" s="40"/>
      <c r="C211" s="41"/>
      <c r="D211" s="32"/>
      <c r="E211" s="41"/>
      <c r="F211" s="41"/>
      <c r="G211" s="41"/>
      <c r="H211" s="41"/>
      <c r="I211" s="40"/>
    </row>
    <row r="212" customFormat="false" ht="14.25" hidden="false" customHeight="true" outlineLevel="0" collapsed="false">
      <c r="I212" s="51"/>
    </row>
    <row r="214" customFormat="false" ht="14.25" hidden="false" customHeight="true" outlineLevel="0" collapsed="false">
      <c r="B214" s="40"/>
      <c r="C214" s="41"/>
      <c r="D214" s="32"/>
      <c r="E214" s="41"/>
      <c r="F214" s="41"/>
      <c r="G214" s="41"/>
      <c r="H214" s="41"/>
      <c r="I214" s="40"/>
    </row>
    <row r="215" customFormat="false" ht="14.25" hidden="false" customHeight="true" outlineLevel="0" collapsed="false">
      <c r="B215" s="40"/>
      <c r="C215" s="41"/>
      <c r="D215" s="32"/>
      <c r="E215" s="41"/>
      <c r="F215" s="41"/>
      <c r="G215" s="41"/>
      <c r="H215" s="41"/>
      <c r="I215" s="40"/>
    </row>
    <row r="216" customFormat="false" ht="14.25" hidden="false" customHeight="true" outlineLevel="0" collapsed="false">
      <c r="B216" s="40"/>
      <c r="C216" s="41"/>
      <c r="D216" s="32"/>
      <c r="E216" s="41"/>
      <c r="F216" s="41"/>
      <c r="G216" s="41"/>
      <c r="H216" s="41"/>
      <c r="I216" s="40"/>
    </row>
    <row r="217" customFormat="false" ht="14.25" hidden="false" customHeight="true" outlineLevel="0" collapsed="false">
      <c r="B217" s="40"/>
      <c r="C217" s="41"/>
      <c r="D217" s="32"/>
      <c r="E217" s="41"/>
      <c r="F217" s="41"/>
      <c r="G217" s="41"/>
      <c r="H217" s="41"/>
      <c r="I217" s="40"/>
    </row>
    <row r="218" customFormat="false" ht="14.25" hidden="false" customHeight="true" outlineLevel="0" collapsed="false">
      <c r="B218" s="40"/>
      <c r="C218" s="41"/>
      <c r="D218" s="32"/>
      <c r="E218" s="41"/>
      <c r="F218" s="41"/>
      <c r="G218" s="41"/>
      <c r="H218" s="41"/>
      <c r="I218" s="40"/>
    </row>
    <row r="219" customFormat="false" ht="14.25" hidden="false" customHeight="true" outlineLevel="0" collapsed="false">
      <c r="B219" s="40"/>
      <c r="C219" s="41"/>
      <c r="D219" s="32"/>
      <c r="E219" s="41"/>
      <c r="F219" s="41"/>
      <c r="G219" s="41"/>
      <c r="H219" s="41"/>
      <c r="I219" s="40"/>
    </row>
    <row r="220" customFormat="false" ht="14.25" hidden="false" customHeight="true" outlineLevel="0" collapsed="false">
      <c r="B220" s="40"/>
      <c r="C220" s="41"/>
      <c r="D220" s="32"/>
      <c r="E220" s="41"/>
      <c r="F220" s="41"/>
      <c r="G220" s="41"/>
      <c r="H220" s="41"/>
      <c r="I220" s="40"/>
    </row>
    <row r="221" customFormat="false" ht="14.25" hidden="false" customHeight="true" outlineLevel="0" collapsed="false">
      <c r="B221" s="40"/>
      <c r="C221" s="41"/>
      <c r="D221" s="32"/>
      <c r="E221" s="41"/>
      <c r="F221" s="41"/>
      <c r="G221" s="41"/>
      <c r="H221" s="41"/>
      <c r="I221" s="40"/>
    </row>
    <row r="222" customFormat="false" ht="14.25" hidden="false" customHeight="true" outlineLevel="0" collapsed="false">
      <c r="I222" s="51"/>
    </row>
    <row r="223" customFormat="false" ht="14.25" hidden="false" customHeight="true" outlineLevel="0" collapsed="false">
      <c r="B223" s="40"/>
      <c r="C223" s="41"/>
      <c r="D223" s="32"/>
      <c r="E223" s="41"/>
      <c r="F223" s="41"/>
      <c r="G223" s="41"/>
      <c r="H223" s="41"/>
      <c r="I223" s="40"/>
    </row>
    <row r="224" customFormat="false" ht="14.25" hidden="false" customHeight="true" outlineLevel="0" collapsed="false">
      <c r="B224" s="40"/>
      <c r="C224" s="41"/>
      <c r="D224" s="32"/>
      <c r="E224" s="41"/>
      <c r="F224" s="41"/>
      <c r="G224" s="41"/>
      <c r="H224" s="41"/>
      <c r="I224" s="40"/>
    </row>
    <row r="225" customFormat="false" ht="14.25" hidden="false" customHeight="true" outlineLevel="0" collapsed="false">
      <c r="B225" s="40"/>
      <c r="C225" s="41"/>
      <c r="D225" s="32"/>
      <c r="E225" s="41"/>
      <c r="F225" s="41"/>
      <c r="G225" s="41"/>
      <c r="H225" s="41"/>
      <c r="I225" s="40"/>
    </row>
    <row r="226" customFormat="false" ht="14.25" hidden="false" customHeight="true" outlineLevel="0" collapsed="false">
      <c r="B226" s="40"/>
      <c r="C226" s="41"/>
      <c r="D226" s="32"/>
      <c r="E226" s="41"/>
      <c r="F226" s="41"/>
      <c r="G226" s="41"/>
      <c r="H226" s="41"/>
      <c r="I226" s="40"/>
    </row>
    <row r="227" customFormat="false" ht="14.25" hidden="false" customHeight="true" outlineLevel="0" collapsed="false">
      <c r="B227" s="40"/>
      <c r="C227" s="41"/>
      <c r="D227" s="32"/>
      <c r="E227" s="41"/>
      <c r="F227" s="41"/>
      <c r="G227" s="41"/>
      <c r="H227" s="41"/>
      <c r="I227" s="40"/>
    </row>
    <row r="228" customFormat="false" ht="14.25" hidden="false" customHeight="true" outlineLevel="0" collapsed="false">
      <c r="B228" s="40"/>
      <c r="C228" s="41"/>
      <c r="D228" s="32"/>
      <c r="E228" s="41"/>
      <c r="F228" s="41"/>
      <c r="G228" s="41"/>
      <c r="H228" s="41"/>
      <c r="I228" s="40"/>
    </row>
    <row r="229" customFormat="false" ht="14.25" hidden="false" customHeight="true" outlineLevel="0" collapsed="false">
      <c r="B229" s="40"/>
      <c r="C229" s="41"/>
      <c r="D229" s="32"/>
      <c r="E229" s="41"/>
      <c r="F229" s="41"/>
      <c r="G229" s="41"/>
      <c r="H229" s="41"/>
      <c r="I229" s="40"/>
    </row>
    <row r="230" customFormat="false" ht="14.25" hidden="false" customHeight="true" outlineLevel="0" collapsed="false">
      <c r="B230" s="40"/>
      <c r="C230" s="41"/>
      <c r="D230" s="32"/>
      <c r="E230" s="41"/>
      <c r="F230" s="41"/>
      <c r="G230" s="41"/>
      <c r="H230" s="41"/>
      <c r="I230" s="40"/>
    </row>
    <row r="231" customFormat="false" ht="14.25" hidden="false" customHeight="true" outlineLevel="0" collapsed="false">
      <c r="I231" s="51"/>
    </row>
  </sheetData>
  <mergeCells count="2">
    <mergeCell ref="A1:J1"/>
    <mergeCell ref="A2:J2"/>
  </mergeCells>
  <dataValidations count="4">
    <dataValidation allowBlank="false" errorStyle="stop" operator="between" showDropDown="false" showErrorMessage="false" showInputMessage="false" sqref="G5:G71" type="list">
      <formula1>"ON,OFF"</formula1>
      <formula2>0</formula2>
    </dataValidation>
    <dataValidation allowBlank="false" errorStyle="stop" operator="between" showDropDown="false" showErrorMessage="false" showInputMessage="false" sqref="H5:H71" type="list">
      <formula1>"FTC,FTE,MGCC"</formula1>
      <formula2>0</formula2>
    </dataValidation>
    <dataValidation allowBlank="false" errorStyle="stop" operator="between" showDropDown="false" showErrorMessage="false" showInputMessage="false" sqref="F5:F71" type="list">
      <formula1>"E1,E2,E3,E4,E5"</formula1>
      <formula2>0</formula2>
    </dataValidation>
    <dataValidation allowBlank="false" errorStyle="stop" operator="between" showDropDown="false" showErrorMessage="false" showInputMessage="false" sqref="E5:E71" type="list">
      <formula1>"LEAD,BA,DEV,ENG,TEST,OPS"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K22" activeCellId="0" sqref="K22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8"/>
    <col collapsed="false" customWidth="true" hidden="false" outlineLevel="0" max="4" min="4" style="1" width="42"/>
    <col collapsed="false" customWidth="true" hidden="false" outlineLevel="0" max="6" min="5" style="1" width="14"/>
    <col collapsed="false" customWidth="true" hidden="false" outlineLevel="0" max="9" min="7" style="1" width="12"/>
  </cols>
  <sheetData>
    <row r="1" customFormat="false" ht="25.5" hidden="false" customHeight="true" outlineLevel="0" collapsed="false">
      <c r="A1" s="2" t="s">
        <v>618</v>
      </c>
      <c r="B1" s="2"/>
      <c r="C1" s="2"/>
      <c r="D1" s="2"/>
      <c r="E1" s="2"/>
      <c r="F1" s="2"/>
      <c r="G1" s="2"/>
      <c r="H1" s="2"/>
      <c r="I1" s="2"/>
    </row>
    <row r="2" customFormat="false" ht="14.25" hidden="false" customHeight="true" outlineLevel="0" collapsed="false">
      <c r="A2" s="3" t="s">
        <v>619</v>
      </c>
      <c r="B2" s="3"/>
      <c r="C2" s="3"/>
      <c r="D2" s="3"/>
      <c r="E2" s="3"/>
      <c r="F2" s="3"/>
      <c r="G2" s="3"/>
      <c r="H2" s="3"/>
      <c r="I2" s="3"/>
    </row>
    <row r="4" customFormat="false" ht="27.75" hidden="false" customHeight="true" outlineLevel="0" collapsed="false">
      <c r="B4" s="15" t="s">
        <v>559</v>
      </c>
      <c r="C4" s="15" t="s">
        <v>560</v>
      </c>
      <c r="D4" s="15" t="s">
        <v>167</v>
      </c>
      <c r="E4" s="15" t="s">
        <v>620</v>
      </c>
      <c r="F4" s="15" t="s">
        <v>621</v>
      </c>
      <c r="G4" s="15" t="s">
        <v>622</v>
      </c>
      <c r="H4" s="15" t="s">
        <v>623</v>
      </c>
    </row>
    <row r="5" customFormat="false" ht="14.25" hidden="false" customHeight="true" outlineLevel="0" collapsed="false">
      <c r="B5" s="40" t="n">
        <v>1</v>
      </c>
      <c r="C5" s="41" t="s">
        <v>177</v>
      </c>
      <c r="D5" s="11" t="s">
        <v>483</v>
      </c>
      <c r="E5" s="40" t="n">
        <v>5</v>
      </c>
      <c r="F5" s="40" t="n">
        <v>6</v>
      </c>
      <c r="G5" s="35" t="n">
        <f aca="false">E5+F5</f>
        <v>11</v>
      </c>
      <c r="H5" s="17" t="n">
        <f aca="false">E5*SUMIFS('Pod Library'!$J:$J,'Pod Library'!$B:$B,$B5,'Pod Library'!$C:$C,$C5,'Pod Library'!$D:$D,"CO")+F5*SUMIFS('Pod Library'!$J:$J,'Pod Library'!$B:$B,$B5,'Pod Library'!$C:$C,$C5,'Pod Library'!$D:$D,"FS")</f>
        <v>110</v>
      </c>
    </row>
    <row r="6" customFormat="false" ht="14.25" hidden="false" customHeight="true" outlineLevel="0" collapsed="false">
      <c r="B6" s="40" t="n">
        <v>1</v>
      </c>
      <c r="C6" s="41" t="s">
        <v>187</v>
      </c>
      <c r="D6" s="11" t="s">
        <v>546</v>
      </c>
      <c r="E6" s="40" t="n">
        <v>3</v>
      </c>
      <c r="F6" s="40" t="n">
        <v>8</v>
      </c>
      <c r="G6" s="35" t="n">
        <f aca="false">E6+F6</f>
        <v>11</v>
      </c>
      <c r="H6" s="17" t="n">
        <f aca="false">E6*SUMIFS('Pod Library'!$J:$J,'Pod Library'!$B:$B,$B6,'Pod Library'!$C:$C,$C6,'Pod Library'!$D:$D,"CO")+F6*SUMIFS('Pod Library'!$J:$J,'Pod Library'!$B:$B,$B6,'Pod Library'!$C:$C,$C6,'Pod Library'!$D:$D,"FS")</f>
        <v>50</v>
      </c>
    </row>
    <row r="7" customFormat="false" ht="14.25" hidden="false" customHeight="true" outlineLevel="0" collapsed="false">
      <c r="B7" s="40" t="n">
        <v>1</v>
      </c>
      <c r="C7" s="41" t="s">
        <v>197</v>
      </c>
      <c r="D7" s="11" t="s">
        <v>547</v>
      </c>
      <c r="E7" s="40" t="n">
        <v>0</v>
      </c>
      <c r="F7" s="40" t="n">
        <v>1</v>
      </c>
      <c r="G7" s="35" t="n">
        <f aca="false">E7+F7</f>
        <v>1</v>
      </c>
      <c r="H7" s="17" t="n">
        <f aca="false">E7*SUMIFS('Pod Library'!$J:$J,'Pod Library'!$B:$B,$B7,'Pod Library'!$C:$C,$C7,'Pod Library'!$D:$D,"CO")+F7*SUMIFS('Pod Library'!$J:$J,'Pod Library'!$B:$B,$B7,'Pod Library'!$C:$C,$C7,'Pod Library'!$D:$D,"FS")</f>
        <v>3</v>
      </c>
    </row>
    <row r="8" customFormat="false" ht="14.25" hidden="false" customHeight="true" outlineLevel="0" collapsed="false">
      <c r="B8" s="40" t="n">
        <v>1</v>
      </c>
      <c r="C8" s="41" t="s">
        <v>192</v>
      </c>
      <c r="D8" s="11" t="s">
        <v>548</v>
      </c>
      <c r="E8" s="40" t="n">
        <v>2</v>
      </c>
      <c r="F8" s="40" t="n">
        <v>0</v>
      </c>
      <c r="G8" s="35" t="n">
        <f aca="false">E8+F8</f>
        <v>2</v>
      </c>
      <c r="H8" s="17" t="n">
        <f aca="false">E8*SUMIFS('Pod Library'!$J:$J,'Pod Library'!$B:$B,$B8,'Pod Library'!$C:$C,$C8,'Pod Library'!$D:$D,"CO")+F8*SUMIFS('Pod Library'!$J:$J,'Pod Library'!$B:$B,$B8,'Pod Library'!$C:$C,$C8,'Pod Library'!$D:$D,"FS")</f>
        <v>16</v>
      </c>
    </row>
    <row r="9" customFormat="false" ht="14.25" hidden="false" customHeight="true" outlineLevel="0" collapsed="false">
      <c r="B9" s="40"/>
      <c r="C9" s="41"/>
      <c r="D9" s="11" t="s">
        <v>624</v>
      </c>
      <c r="E9" s="40" t="n">
        <f aca="false">SUM(E5:E8)</f>
        <v>10</v>
      </c>
      <c r="F9" s="40" t="n">
        <f aca="false">SUM(F5:F8)</f>
        <v>15</v>
      </c>
      <c r="G9" s="35" t="n">
        <f aca="false">SUM(G5:G8)</f>
        <v>25</v>
      </c>
      <c r="H9" s="17" t="n">
        <f aca="false">SUM(H5:H8)</f>
        <v>179</v>
      </c>
    </row>
    <row r="10" customFormat="false" ht="14.25" hidden="false" customHeight="true" outlineLevel="0" collapsed="false">
      <c r="B10" s="40"/>
      <c r="C10" s="41"/>
      <c r="D10" s="11"/>
      <c r="E10" s="40"/>
      <c r="F10" s="40"/>
      <c r="G10" s="35"/>
      <c r="H10" s="17"/>
    </row>
    <row r="11" customFormat="false" ht="14.25" hidden="false" customHeight="true" outlineLevel="0" collapsed="false">
      <c r="B11" s="40" t="n">
        <v>2</v>
      </c>
      <c r="C11" s="41" t="s">
        <v>177</v>
      </c>
      <c r="D11" s="11" t="s">
        <v>483</v>
      </c>
      <c r="E11" s="40" t="n">
        <v>4</v>
      </c>
      <c r="F11" s="40" t="n">
        <v>5</v>
      </c>
      <c r="G11" s="35" t="n">
        <f aca="false">E11+F11</f>
        <v>9</v>
      </c>
      <c r="H11" s="17" t="n">
        <f aca="false">E11*SUMIFS('Pod Library'!$J:$J,'Pod Library'!$B:$B,$B11,'Pod Library'!$C:$C,$C11,'Pod Library'!$D:$D,"CO")+F11*SUMIFS('Pod Library'!$J:$J,'Pod Library'!$B:$B,$B11,'Pod Library'!$C:$C,$C11,'Pod Library'!$D:$D,"FS")</f>
        <v>81</v>
      </c>
    </row>
    <row r="12" customFormat="false" ht="14.25" hidden="false" customHeight="true" outlineLevel="0" collapsed="false">
      <c r="B12" s="40" t="n">
        <v>2</v>
      </c>
      <c r="C12" s="41" t="s">
        <v>187</v>
      </c>
      <c r="D12" s="11" t="s">
        <v>546</v>
      </c>
      <c r="E12" s="40" t="n">
        <v>5</v>
      </c>
      <c r="F12" s="40" t="n">
        <v>4</v>
      </c>
      <c r="G12" s="35" t="n">
        <f aca="false">E12+F12</f>
        <v>9</v>
      </c>
      <c r="H12" s="17" t="n">
        <f aca="false">E12*SUMIFS('Pod Library'!$J:$J,'Pod Library'!$B:$B,$B12,'Pod Library'!$C:$C,$C12,'Pod Library'!$D:$D,"CO")+F12*SUMIFS('Pod Library'!$J:$J,'Pod Library'!$B:$B,$B12,'Pod Library'!$C:$C,$C12,'Pod Library'!$D:$D,"FS")</f>
        <v>37</v>
      </c>
    </row>
    <row r="13" customFormat="false" ht="14.25" hidden="false" customHeight="true" outlineLevel="0" collapsed="false">
      <c r="B13" s="40" t="n">
        <v>2</v>
      </c>
      <c r="C13" s="41" t="s">
        <v>197</v>
      </c>
      <c r="D13" s="11" t="s">
        <v>547</v>
      </c>
      <c r="E13" s="40" t="n">
        <v>0</v>
      </c>
      <c r="F13" s="40" t="n">
        <v>1</v>
      </c>
      <c r="G13" s="35" t="n">
        <f aca="false">E13+F13</f>
        <v>1</v>
      </c>
      <c r="H13" s="17" t="n">
        <f aca="false">E13*SUMIFS('Pod Library'!$J:$J,'Pod Library'!$B:$B,$B13,'Pod Library'!$C:$C,$C13,'Pod Library'!$D:$D,"CO")+F13*SUMIFS('Pod Library'!$J:$J,'Pod Library'!$B:$B,$B13,'Pod Library'!$C:$C,$C13,'Pod Library'!$D:$D,"FS")</f>
        <v>2</v>
      </c>
    </row>
    <row r="14" customFormat="false" ht="14.25" hidden="false" customHeight="true" outlineLevel="0" collapsed="false">
      <c r="B14" s="40" t="n">
        <v>2</v>
      </c>
      <c r="C14" s="41" t="s">
        <v>192</v>
      </c>
      <c r="D14" s="11" t="s">
        <v>548</v>
      </c>
      <c r="E14" s="40" t="n">
        <v>2</v>
      </c>
      <c r="F14" s="40" t="n">
        <v>0</v>
      </c>
      <c r="G14" s="35" t="n">
        <f aca="false">E14+F14</f>
        <v>2</v>
      </c>
      <c r="H14" s="17" t="n">
        <f aca="false">E14*SUMIFS('Pod Library'!$J:$J,'Pod Library'!$B:$B,$B14,'Pod Library'!$C:$C,$C14,'Pod Library'!$D:$D,"CO")+F14*SUMIFS('Pod Library'!$J:$J,'Pod Library'!$B:$B,$B14,'Pod Library'!$C:$C,$C14,'Pod Library'!$D:$D,"FS")</f>
        <v>12</v>
      </c>
    </row>
    <row r="15" customFormat="false" ht="14.25" hidden="false" customHeight="true" outlineLevel="0" collapsed="false">
      <c r="B15" s="40"/>
      <c r="C15" s="41"/>
      <c r="D15" s="11" t="s">
        <v>625</v>
      </c>
      <c r="E15" s="40" t="n">
        <f aca="false">SUM(E11:E14)</f>
        <v>11</v>
      </c>
      <c r="F15" s="40" t="n">
        <f aca="false">SUM(F11:F14)</f>
        <v>10</v>
      </c>
      <c r="G15" s="35" t="n">
        <f aca="false">SUM(G11:G14)</f>
        <v>21</v>
      </c>
      <c r="H15" s="17" t="n">
        <f aca="false">SUM(H11:H14)</f>
        <v>132</v>
      </c>
    </row>
    <row r="16" customFormat="false" ht="14.25" hidden="false" customHeight="true" outlineLevel="0" collapsed="false"/>
    <row r="17" customFormat="false" ht="14.25" hidden="false" customHeight="true" outlineLevel="0" collapsed="false">
      <c r="B17" s="40" t="n">
        <v>3</v>
      </c>
      <c r="C17" s="41" t="s">
        <v>177</v>
      </c>
      <c r="D17" s="11" t="s">
        <v>483</v>
      </c>
      <c r="E17" s="40" t="n">
        <v>4</v>
      </c>
      <c r="F17" s="40" t="n">
        <v>4</v>
      </c>
      <c r="G17" s="35" t="n">
        <f aca="false">E17+F17</f>
        <v>8</v>
      </c>
      <c r="H17" s="17" t="n">
        <f aca="false">E17*SUMIFS('Pod Library'!$J:$J,'Pod Library'!$B:$B,$B17,'Pod Library'!$C:$C,$C17,'Pod Library'!$D:$D,"CO")+F17*SUMIFS('Pod Library'!$J:$J,'Pod Library'!$B:$B,$B17,'Pod Library'!$C:$C,$C17,'Pod Library'!$D:$D,"FS")</f>
        <v>64</v>
      </c>
    </row>
    <row r="18" customFormat="false" ht="14.25" hidden="false" customHeight="true" outlineLevel="0" collapsed="false">
      <c r="B18" s="40" t="n">
        <v>3</v>
      </c>
      <c r="C18" s="41" t="s">
        <v>187</v>
      </c>
      <c r="D18" s="11" t="s">
        <v>546</v>
      </c>
      <c r="E18" s="40" t="n">
        <v>5</v>
      </c>
      <c r="F18" s="40" t="n">
        <v>5</v>
      </c>
      <c r="G18" s="35" t="n">
        <f aca="false">E18+F18</f>
        <v>10</v>
      </c>
      <c r="H18" s="17" t="n">
        <f aca="false">E18*SUMIFS('Pod Library'!$J:$J,'Pod Library'!$B:$B,$B18,'Pod Library'!$C:$C,$C18,'Pod Library'!$D:$D,"CO")+F18*SUMIFS('Pod Library'!$J:$J,'Pod Library'!$B:$B,$B18,'Pod Library'!$C:$C,$C18,'Pod Library'!$D:$D,"FS")</f>
        <v>30</v>
      </c>
    </row>
    <row r="19" customFormat="false" ht="14.25" hidden="false" customHeight="true" outlineLevel="0" collapsed="false">
      <c r="B19" s="40" t="n">
        <v>3</v>
      </c>
      <c r="C19" s="41" t="s">
        <v>197</v>
      </c>
      <c r="D19" s="11" t="s">
        <v>547</v>
      </c>
      <c r="E19" s="40" t="n">
        <v>0</v>
      </c>
      <c r="F19" s="40" t="n">
        <v>1</v>
      </c>
      <c r="G19" s="35" t="n">
        <f aca="false">E19+F19</f>
        <v>1</v>
      </c>
      <c r="H19" s="17" t="n">
        <f aca="false">E19*SUMIFS('Pod Library'!$J:$J,'Pod Library'!$B:$B,$B19,'Pod Library'!$C:$C,$C19,'Pod Library'!$D:$D,"CO")+F19*SUMIFS('Pod Library'!$J:$J,'Pod Library'!$B:$B,$B19,'Pod Library'!$C:$C,$C19,'Pod Library'!$D:$D,"FS")</f>
        <v>1</v>
      </c>
    </row>
    <row r="20" customFormat="false" ht="14.25" hidden="false" customHeight="true" outlineLevel="0" collapsed="false">
      <c r="B20" s="40" t="n">
        <v>3</v>
      </c>
      <c r="C20" s="41" t="s">
        <v>192</v>
      </c>
      <c r="D20" s="11" t="s">
        <v>548</v>
      </c>
      <c r="E20" s="40" t="n">
        <v>2</v>
      </c>
      <c r="F20" s="40" t="n">
        <v>0</v>
      </c>
      <c r="G20" s="35" t="n">
        <f aca="false">E20+F20</f>
        <v>2</v>
      </c>
      <c r="H20" s="17" t="n">
        <f aca="false">E20*SUMIFS('Pod Library'!$J:$J,'Pod Library'!$B:$B,$B20,'Pod Library'!$C:$C,$C20,'Pod Library'!$D:$D,"CO")+F20*SUMIFS('Pod Library'!$J:$J,'Pod Library'!$B:$B,$B20,'Pod Library'!$C:$C,$C20,'Pod Library'!$D:$D,"FS")</f>
        <v>10</v>
      </c>
    </row>
    <row r="21" customFormat="false" ht="14.25" hidden="false" customHeight="true" outlineLevel="0" collapsed="false">
      <c r="B21" s="40"/>
      <c r="C21" s="41"/>
      <c r="D21" s="11" t="s">
        <v>626</v>
      </c>
      <c r="E21" s="40" t="n">
        <f aca="false">SUM(E17:E20)</f>
        <v>11</v>
      </c>
      <c r="F21" s="40" t="n">
        <f aca="false">SUM(F17:F20)</f>
        <v>10</v>
      </c>
      <c r="G21" s="35" t="n">
        <f aca="false">SUM(G17:G20)</f>
        <v>21</v>
      </c>
      <c r="H21" s="17" t="n">
        <f aca="false">SUM(H17:H20)</f>
        <v>105</v>
      </c>
    </row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E31" activeCellId="0" sqref="E3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7"/>
    <col collapsed="false" customWidth="true" hidden="false" outlineLevel="0" max="3" min="3" style="1" width="8"/>
    <col collapsed="false" customWidth="true" hidden="false" outlineLevel="0" max="4" min="4" style="1" width="44"/>
    <col collapsed="false" customWidth="true" hidden="false" outlineLevel="0" max="5" min="5" style="1" width="42"/>
    <col collapsed="false" customWidth="true" hidden="false" outlineLevel="0" max="6" min="6" style="1" width="9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0" min="10" style="1" width="8"/>
  </cols>
  <sheetData>
    <row r="1" customFormat="false" ht="25.5" hidden="false" customHeight="true" outlineLevel="0" collapsed="false">
      <c r="A1" s="2" t="s">
        <v>627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4.25" hidden="false" customHeight="true" outlineLevel="0" collapsed="false">
      <c r="A2" s="3" t="s">
        <v>628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7.75" hidden="false" customHeight="true" outlineLevel="0" collapsed="false">
      <c r="B4" s="15"/>
      <c r="C4" s="15"/>
      <c r="D4" s="15"/>
      <c r="E4" s="15"/>
      <c r="F4" s="15"/>
      <c r="G4" s="15"/>
      <c r="H4" s="15"/>
      <c r="I4" s="15"/>
      <c r="J4" s="15"/>
    </row>
    <row r="5" customFormat="false" ht="14.25" hidden="false" customHeight="true" outlineLevel="0" collapsed="false">
      <c r="B5" s="40" t="n">
        <v>1</v>
      </c>
      <c r="C5" s="41" t="s">
        <v>629</v>
      </c>
      <c r="D5" s="11" t="s">
        <v>630</v>
      </c>
      <c r="E5" s="52" t="s">
        <v>631</v>
      </c>
      <c r="F5" s="41" t="s">
        <v>569</v>
      </c>
      <c r="G5" s="41" t="s">
        <v>128</v>
      </c>
      <c r="H5" s="41" t="s">
        <v>131</v>
      </c>
      <c r="I5" s="41" t="s">
        <v>162</v>
      </c>
      <c r="J5" s="40" t="n">
        <v>1</v>
      </c>
    </row>
    <row r="6" customFormat="false" ht="14.25" hidden="false" customHeight="true" outlineLevel="0" collapsed="false">
      <c r="B6" s="40" t="n">
        <v>1</v>
      </c>
      <c r="C6" s="41" t="s">
        <v>629</v>
      </c>
      <c r="D6" s="11" t="s">
        <v>630</v>
      </c>
      <c r="E6" s="52" t="s">
        <v>632</v>
      </c>
      <c r="F6" s="41" t="s">
        <v>573</v>
      </c>
      <c r="G6" s="41" t="s">
        <v>127</v>
      </c>
      <c r="H6" s="41" t="s">
        <v>131</v>
      </c>
      <c r="I6" s="41" t="s">
        <v>162</v>
      </c>
      <c r="J6" s="40" t="n">
        <v>1</v>
      </c>
    </row>
    <row r="7" customFormat="false" ht="14.25" hidden="false" customHeight="true" outlineLevel="0" collapsed="false">
      <c r="B7" s="40" t="n">
        <v>1</v>
      </c>
      <c r="C7" s="41" t="s">
        <v>629</v>
      </c>
      <c r="D7" s="11" t="s">
        <v>630</v>
      </c>
      <c r="E7" s="52" t="s">
        <v>633</v>
      </c>
      <c r="F7" s="41" t="s">
        <v>569</v>
      </c>
      <c r="G7" s="41" t="s">
        <v>127</v>
      </c>
      <c r="H7" s="41" t="s">
        <v>131</v>
      </c>
      <c r="I7" s="41" t="s">
        <v>162</v>
      </c>
      <c r="J7" s="40" t="n">
        <v>1</v>
      </c>
    </row>
    <row r="8" customFormat="false" ht="14.25" hidden="false" customHeight="true" outlineLevel="0" collapsed="false">
      <c r="B8" s="40" t="n">
        <v>1</v>
      </c>
      <c r="C8" s="41" t="s">
        <v>629</v>
      </c>
      <c r="D8" s="11" t="s">
        <v>630</v>
      </c>
      <c r="E8" s="52" t="s">
        <v>634</v>
      </c>
      <c r="F8" s="41" t="s">
        <v>573</v>
      </c>
      <c r="G8" s="41" t="s">
        <v>127</v>
      </c>
      <c r="H8" s="41" t="s">
        <v>133</v>
      </c>
      <c r="I8" s="41" t="s">
        <v>164</v>
      </c>
      <c r="J8" s="40" t="n">
        <v>1</v>
      </c>
    </row>
    <row r="9" customFormat="false" ht="14.25" hidden="false" customHeight="true" outlineLevel="0" collapsed="false">
      <c r="B9" s="40" t="n">
        <v>1</v>
      </c>
      <c r="C9" s="41" t="s">
        <v>629</v>
      </c>
      <c r="D9" s="11" t="s">
        <v>630</v>
      </c>
      <c r="E9" s="52" t="s">
        <v>634</v>
      </c>
      <c r="F9" s="41" t="s">
        <v>573</v>
      </c>
      <c r="G9" s="41" t="s">
        <v>126</v>
      </c>
      <c r="H9" s="41" t="s">
        <v>133</v>
      </c>
      <c r="I9" s="41" t="s">
        <v>164</v>
      </c>
      <c r="J9" s="40" t="n">
        <v>1</v>
      </c>
    </row>
    <row r="10" customFormat="false" ht="14.25" hidden="false" customHeight="true" outlineLevel="0" collapsed="false">
      <c r="B10" s="40" t="n">
        <v>1</v>
      </c>
      <c r="C10" s="41" t="s">
        <v>629</v>
      </c>
      <c r="D10" s="11" t="s">
        <v>630</v>
      </c>
      <c r="E10" s="52" t="s">
        <v>635</v>
      </c>
      <c r="F10" s="41" t="s">
        <v>573</v>
      </c>
      <c r="G10" s="41" t="s">
        <v>126</v>
      </c>
      <c r="H10" s="41" t="s">
        <v>133</v>
      </c>
      <c r="I10" s="41" t="s">
        <v>162</v>
      </c>
      <c r="J10" s="40" t="n">
        <v>1</v>
      </c>
    </row>
    <row r="11" customFormat="false" ht="14.25" hidden="false" customHeight="true" outlineLevel="0" collapsed="false">
      <c r="B11" s="43"/>
      <c r="C11" s="43"/>
      <c r="D11" s="53"/>
      <c r="E11" s="25" t="s">
        <v>636</v>
      </c>
      <c r="F11" s="43"/>
      <c r="G11" s="43"/>
      <c r="H11" s="43"/>
      <c r="I11" s="43"/>
      <c r="J11" s="54" t="n">
        <f aca="false">SUM(J5:J10)</f>
        <v>6</v>
      </c>
    </row>
    <row r="12" customFormat="false" ht="14.25" hidden="false" customHeight="true" outlineLevel="0" collapsed="false">
      <c r="B12" s="40" t="n">
        <v>1</v>
      </c>
      <c r="C12" s="41" t="s">
        <v>637</v>
      </c>
      <c r="D12" s="11" t="s">
        <v>638</v>
      </c>
      <c r="E12" s="52" t="s">
        <v>639</v>
      </c>
      <c r="F12" s="41" t="s">
        <v>569</v>
      </c>
      <c r="G12" s="41" t="s">
        <v>128</v>
      </c>
      <c r="H12" s="41" t="s">
        <v>131</v>
      </c>
      <c r="I12" s="41" t="s">
        <v>162</v>
      </c>
      <c r="J12" s="40" t="n">
        <v>1</v>
      </c>
    </row>
    <row r="13" customFormat="false" ht="14.25" hidden="false" customHeight="true" outlineLevel="0" collapsed="false">
      <c r="B13" s="40" t="n">
        <v>1</v>
      </c>
      <c r="C13" s="41" t="s">
        <v>637</v>
      </c>
      <c r="D13" s="11" t="s">
        <v>638</v>
      </c>
      <c r="E13" s="52" t="s">
        <v>640</v>
      </c>
      <c r="F13" s="41" t="s">
        <v>573</v>
      </c>
      <c r="G13" s="41" t="s">
        <v>128</v>
      </c>
      <c r="H13" s="41" t="s">
        <v>131</v>
      </c>
      <c r="I13" s="41" t="s">
        <v>163</v>
      </c>
      <c r="J13" s="40" t="n">
        <v>1</v>
      </c>
    </row>
    <row r="14" customFormat="false" ht="14.25" hidden="false" customHeight="true" outlineLevel="0" collapsed="false">
      <c r="B14" s="40" t="n">
        <v>1</v>
      </c>
      <c r="C14" s="41" t="s">
        <v>637</v>
      </c>
      <c r="D14" s="11" t="s">
        <v>638</v>
      </c>
      <c r="E14" s="52" t="s">
        <v>641</v>
      </c>
      <c r="F14" s="41" t="s">
        <v>571</v>
      </c>
      <c r="G14" s="41" t="s">
        <v>127</v>
      </c>
      <c r="H14" s="41" t="s">
        <v>131</v>
      </c>
      <c r="I14" s="41" t="s">
        <v>162</v>
      </c>
      <c r="J14" s="40" t="n">
        <v>1</v>
      </c>
    </row>
    <row r="15" customFormat="false" ht="14.25" hidden="false" customHeight="true" outlineLevel="0" collapsed="false">
      <c r="B15" s="40" t="n">
        <v>1</v>
      </c>
      <c r="C15" s="41" t="s">
        <v>637</v>
      </c>
      <c r="D15" s="11" t="s">
        <v>638</v>
      </c>
      <c r="E15" s="52" t="s">
        <v>642</v>
      </c>
      <c r="F15" s="41" t="s">
        <v>573</v>
      </c>
      <c r="G15" s="41" t="s">
        <v>127</v>
      </c>
      <c r="H15" s="41" t="s">
        <v>133</v>
      </c>
      <c r="I15" s="41" t="s">
        <v>164</v>
      </c>
      <c r="J15" s="40" t="n">
        <v>1</v>
      </c>
    </row>
    <row r="16" customFormat="false" ht="14.25" hidden="false" customHeight="true" outlineLevel="0" collapsed="false">
      <c r="B16" s="40" t="n">
        <v>1</v>
      </c>
      <c r="C16" s="41" t="s">
        <v>637</v>
      </c>
      <c r="D16" s="11" t="s">
        <v>638</v>
      </c>
      <c r="E16" s="52" t="s">
        <v>643</v>
      </c>
      <c r="F16" s="41" t="s">
        <v>578</v>
      </c>
      <c r="G16" s="41" t="s">
        <v>126</v>
      </c>
      <c r="H16" s="41" t="s">
        <v>133</v>
      </c>
      <c r="I16" s="41" t="s">
        <v>162</v>
      </c>
      <c r="J16" s="40" t="n">
        <v>1</v>
      </c>
    </row>
    <row r="17" customFormat="false" ht="14.25" hidden="false" customHeight="true" outlineLevel="0" collapsed="false">
      <c r="B17" s="43"/>
      <c r="C17" s="43"/>
      <c r="D17" s="53"/>
      <c r="E17" s="25" t="s">
        <v>644</v>
      </c>
      <c r="F17" s="43"/>
      <c r="G17" s="43"/>
      <c r="H17" s="43"/>
      <c r="I17" s="43"/>
      <c r="J17" s="54" t="n">
        <f aca="false">SUM(J12:J16)</f>
        <v>5</v>
      </c>
    </row>
    <row r="18" customFormat="false" ht="14.25" hidden="false" customHeight="true" outlineLevel="0" collapsed="false">
      <c r="B18" s="40" t="n">
        <v>1</v>
      </c>
      <c r="C18" s="41" t="s">
        <v>645</v>
      </c>
      <c r="D18" s="11" t="s">
        <v>646</v>
      </c>
      <c r="E18" s="52" t="s">
        <v>647</v>
      </c>
      <c r="F18" s="41" t="s">
        <v>569</v>
      </c>
      <c r="G18" s="41" t="s">
        <v>129</v>
      </c>
      <c r="H18" s="41" t="s">
        <v>131</v>
      </c>
      <c r="I18" s="41" t="s">
        <v>162</v>
      </c>
      <c r="J18" s="40" t="n">
        <v>1</v>
      </c>
    </row>
    <row r="19" customFormat="false" ht="14.25" hidden="false" customHeight="true" outlineLevel="0" collapsed="false">
      <c r="B19" s="40" t="n">
        <v>1</v>
      </c>
      <c r="C19" s="41" t="s">
        <v>645</v>
      </c>
      <c r="D19" s="11" t="s">
        <v>646</v>
      </c>
      <c r="E19" s="52" t="s">
        <v>648</v>
      </c>
      <c r="F19" s="41" t="s">
        <v>573</v>
      </c>
      <c r="G19" s="41" t="s">
        <v>129</v>
      </c>
      <c r="H19" s="41" t="s">
        <v>131</v>
      </c>
      <c r="I19" s="41" t="s">
        <v>163</v>
      </c>
      <c r="J19" s="40" t="n">
        <v>1</v>
      </c>
    </row>
    <row r="20" customFormat="false" ht="14.25" hidden="false" customHeight="true" outlineLevel="0" collapsed="false">
      <c r="B20" s="40" t="n">
        <v>1</v>
      </c>
      <c r="C20" s="41" t="s">
        <v>645</v>
      </c>
      <c r="D20" s="11" t="s">
        <v>646</v>
      </c>
      <c r="E20" s="52" t="s">
        <v>649</v>
      </c>
      <c r="F20" s="41" t="s">
        <v>573</v>
      </c>
      <c r="G20" s="41" t="s">
        <v>128</v>
      </c>
      <c r="H20" s="41" t="s">
        <v>131</v>
      </c>
      <c r="I20" s="41" t="s">
        <v>162</v>
      </c>
      <c r="J20" s="40" t="n">
        <v>1</v>
      </c>
    </row>
    <row r="21" customFormat="false" ht="14.25" hidden="false" customHeight="true" outlineLevel="0" collapsed="false">
      <c r="B21" s="40" t="n">
        <v>1</v>
      </c>
      <c r="C21" s="41" t="s">
        <v>645</v>
      </c>
      <c r="D21" s="11" t="s">
        <v>646</v>
      </c>
      <c r="E21" s="52" t="s">
        <v>650</v>
      </c>
      <c r="F21" s="41" t="s">
        <v>569</v>
      </c>
      <c r="G21" s="41" t="s">
        <v>127</v>
      </c>
      <c r="H21" s="41" t="s">
        <v>131</v>
      </c>
      <c r="I21" s="41" t="s">
        <v>162</v>
      </c>
      <c r="J21" s="40" t="n">
        <v>1</v>
      </c>
    </row>
    <row r="22" customFormat="false" ht="14.25" hidden="false" customHeight="true" outlineLevel="0" collapsed="false">
      <c r="B22" s="40" t="n">
        <v>1</v>
      </c>
      <c r="C22" s="41" t="s">
        <v>645</v>
      </c>
      <c r="D22" s="11" t="s">
        <v>646</v>
      </c>
      <c r="E22" s="52" t="s">
        <v>651</v>
      </c>
      <c r="F22" s="41" t="s">
        <v>571</v>
      </c>
      <c r="G22" s="41" t="s">
        <v>126</v>
      </c>
      <c r="H22" s="41" t="s">
        <v>133</v>
      </c>
      <c r="I22" s="41" t="s">
        <v>164</v>
      </c>
      <c r="J22" s="40" t="n">
        <v>1</v>
      </c>
    </row>
    <row r="23" customFormat="false" ht="14.25" hidden="false" customHeight="true" outlineLevel="0" collapsed="false">
      <c r="B23" s="43"/>
      <c r="C23" s="43"/>
      <c r="D23" s="53"/>
      <c r="E23" s="25" t="s">
        <v>652</v>
      </c>
      <c r="F23" s="43"/>
      <c r="G23" s="43"/>
      <c r="H23" s="43"/>
      <c r="I23" s="43"/>
      <c r="J23" s="54" t="n">
        <f aca="false">SUM(J18:J22)</f>
        <v>5</v>
      </c>
    </row>
    <row r="24" customFormat="false" ht="14.25" hidden="false" customHeight="true" outlineLevel="0" collapsed="false">
      <c r="B24" s="43"/>
      <c r="C24" s="43"/>
      <c r="D24" s="53"/>
      <c r="E24" s="55" t="s">
        <v>653</v>
      </c>
      <c r="F24" s="43"/>
      <c r="G24" s="43"/>
      <c r="H24" s="43"/>
      <c r="I24" s="43"/>
      <c r="J24" s="56" t="n">
        <f aca="false">SUMIFS($J$5:$J$23,$B$5:$B$23,1)</f>
        <v>16</v>
      </c>
    </row>
    <row r="25" customFormat="false" ht="14.25" hidden="false" customHeight="true" outlineLevel="0" collapsed="false">
      <c r="B25" s="43"/>
      <c r="C25" s="43"/>
      <c r="D25" s="53"/>
      <c r="E25" s="55"/>
      <c r="F25" s="43"/>
      <c r="G25" s="43"/>
      <c r="H25" s="43"/>
      <c r="I25" s="43"/>
      <c r="J25" s="56"/>
    </row>
    <row r="26" customFormat="false" ht="14.25" hidden="false" customHeight="true" outlineLevel="0" collapsed="false">
      <c r="B26" s="40" t="n">
        <v>2</v>
      </c>
      <c r="C26" s="41" t="s">
        <v>629</v>
      </c>
      <c r="D26" s="11" t="s">
        <v>630</v>
      </c>
      <c r="E26" s="52" t="s">
        <v>631</v>
      </c>
      <c r="F26" s="41" t="s">
        <v>569</v>
      </c>
      <c r="G26" s="41" t="s">
        <v>128</v>
      </c>
      <c r="H26" s="41" t="s">
        <v>131</v>
      </c>
      <c r="I26" s="41" t="s">
        <v>162</v>
      </c>
      <c r="J26" s="40" t="n">
        <v>1</v>
      </c>
    </row>
    <row r="27" customFormat="false" ht="14.25" hidden="false" customHeight="true" outlineLevel="0" collapsed="false">
      <c r="B27" s="40" t="n">
        <v>2</v>
      </c>
      <c r="C27" s="41" t="s">
        <v>629</v>
      </c>
      <c r="D27" s="11" t="s">
        <v>630</v>
      </c>
      <c r="E27" s="52" t="s">
        <v>632</v>
      </c>
      <c r="F27" s="41" t="s">
        <v>573</v>
      </c>
      <c r="G27" s="41" t="s">
        <v>127</v>
      </c>
      <c r="H27" s="41" t="s">
        <v>131</v>
      </c>
      <c r="I27" s="41" t="s">
        <v>162</v>
      </c>
      <c r="J27" s="40" t="n">
        <v>1</v>
      </c>
    </row>
    <row r="28" customFormat="false" ht="14.25" hidden="false" customHeight="true" outlineLevel="0" collapsed="false">
      <c r="B28" s="40" t="n">
        <v>2</v>
      </c>
      <c r="C28" s="41" t="s">
        <v>629</v>
      </c>
      <c r="D28" s="11" t="s">
        <v>630</v>
      </c>
      <c r="E28" s="52" t="s">
        <v>633</v>
      </c>
      <c r="F28" s="41" t="s">
        <v>569</v>
      </c>
      <c r="G28" s="41" t="s">
        <v>127</v>
      </c>
      <c r="H28" s="41" t="s">
        <v>131</v>
      </c>
      <c r="I28" s="41" t="s">
        <v>162</v>
      </c>
      <c r="J28" s="40" t="n">
        <v>1</v>
      </c>
    </row>
    <row r="29" customFormat="false" ht="14.25" hidden="false" customHeight="true" outlineLevel="0" collapsed="false">
      <c r="B29" s="40" t="n">
        <v>2</v>
      </c>
      <c r="C29" s="41" t="s">
        <v>629</v>
      </c>
      <c r="D29" s="11" t="s">
        <v>630</v>
      </c>
      <c r="E29" s="52" t="s">
        <v>634</v>
      </c>
      <c r="F29" s="41" t="s">
        <v>573</v>
      </c>
      <c r="G29" s="41" t="s">
        <v>127</v>
      </c>
      <c r="H29" s="41" t="s">
        <v>133</v>
      </c>
      <c r="I29" s="41" t="s">
        <v>164</v>
      </c>
      <c r="J29" s="40" t="n">
        <v>1</v>
      </c>
    </row>
    <row r="30" customFormat="false" ht="14.25" hidden="false" customHeight="true" outlineLevel="0" collapsed="false">
      <c r="B30" s="40" t="n">
        <v>2</v>
      </c>
      <c r="C30" s="41" t="s">
        <v>629</v>
      </c>
      <c r="D30" s="11" t="s">
        <v>630</v>
      </c>
      <c r="E30" s="52" t="s">
        <v>654</v>
      </c>
      <c r="F30" s="41" t="s">
        <v>573</v>
      </c>
      <c r="G30" s="41" t="s">
        <v>126</v>
      </c>
      <c r="H30" s="41" t="s">
        <v>133</v>
      </c>
      <c r="I30" s="41" t="s">
        <v>164</v>
      </c>
      <c r="J30" s="40" t="n">
        <v>1</v>
      </c>
    </row>
    <row r="31" customFormat="false" ht="14.25" hidden="false" customHeight="true" outlineLevel="0" collapsed="false">
      <c r="B31" s="43"/>
      <c r="C31" s="43"/>
      <c r="D31" s="53"/>
      <c r="E31" s="25" t="s">
        <v>636</v>
      </c>
      <c r="F31" s="43"/>
      <c r="G31" s="43"/>
      <c r="H31" s="43"/>
      <c r="I31" s="43"/>
      <c r="J31" s="54" t="n">
        <f aca="false">SUM(J26:J30)</f>
        <v>5</v>
      </c>
    </row>
    <row r="32" customFormat="false" ht="14.25" hidden="false" customHeight="true" outlineLevel="0" collapsed="false">
      <c r="B32" s="40" t="n">
        <v>2</v>
      </c>
      <c r="C32" s="41" t="s">
        <v>637</v>
      </c>
      <c r="D32" s="11" t="s">
        <v>638</v>
      </c>
      <c r="E32" s="52" t="s">
        <v>639</v>
      </c>
      <c r="F32" s="41" t="s">
        <v>569</v>
      </c>
      <c r="G32" s="41" t="s">
        <v>128</v>
      </c>
      <c r="H32" s="41" t="s">
        <v>131</v>
      </c>
      <c r="I32" s="41" t="s">
        <v>162</v>
      </c>
      <c r="J32" s="40" t="n">
        <v>1</v>
      </c>
    </row>
    <row r="33" customFormat="false" ht="14.25" hidden="false" customHeight="true" outlineLevel="0" collapsed="false">
      <c r="B33" s="40" t="n">
        <v>2</v>
      </c>
      <c r="C33" s="41" t="s">
        <v>637</v>
      </c>
      <c r="D33" s="11" t="s">
        <v>638</v>
      </c>
      <c r="E33" s="52" t="s">
        <v>640</v>
      </c>
      <c r="F33" s="41" t="s">
        <v>573</v>
      </c>
      <c r="G33" s="41" t="s">
        <v>128</v>
      </c>
      <c r="H33" s="41" t="s">
        <v>131</v>
      </c>
      <c r="I33" s="41" t="s">
        <v>163</v>
      </c>
      <c r="J33" s="40" t="n">
        <v>1</v>
      </c>
    </row>
    <row r="34" customFormat="false" ht="14.25" hidden="false" customHeight="true" outlineLevel="0" collapsed="false">
      <c r="B34" s="40" t="n">
        <v>2</v>
      </c>
      <c r="C34" s="41" t="s">
        <v>637</v>
      </c>
      <c r="D34" s="11" t="s">
        <v>638</v>
      </c>
      <c r="E34" s="52" t="s">
        <v>641</v>
      </c>
      <c r="F34" s="41" t="s">
        <v>571</v>
      </c>
      <c r="G34" s="41" t="s">
        <v>127</v>
      </c>
      <c r="H34" s="41" t="s">
        <v>131</v>
      </c>
      <c r="I34" s="41" t="s">
        <v>162</v>
      </c>
      <c r="J34" s="40" t="n">
        <v>1</v>
      </c>
    </row>
    <row r="35" customFormat="false" ht="14.25" hidden="false" customHeight="true" outlineLevel="0" collapsed="false">
      <c r="B35" s="40" t="n">
        <v>2</v>
      </c>
      <c r="C35" s="41" t="s">
        <v>637</v>
      </c>
      <c r="D35" s="11" t="s">
        <v>638</v>
      </c>
      <c r="E35" s="52" t="s">
        <v>642</v>
      </c>
      <c r="F35" s="41" t="s">
        <v>573</v>
      </c>
      <c r="G35" s="41" t="s">
        <v>127</v>
      </c>
      <c r="H35" s="41" t="s">
        <v>133</v>
      </c>
      <c r="I35" s="41" t="s">
        <v>164</v>
      </c>
      <c r="J35" s="40" t="n">
        <v>1</v>
      </c>
    </row>
    <row r="36" customFormat="false" ht="14.25" hidden="false" customHeight="true" outlineLevel="0" collapsed="false">
      <c r="B36" s="43"/>
      <c r="C36" s="43"/>
      <c r="D36" s="53"/>
      <c r="E36" s="25" t="s">
        <v>644</v>
      </c>
      <c r="F36" s="43"/>
      <c r="G36" s="43"/>
      <c r="H36" s="43"/>
      <c r="I36" s="43"/>
      <c r="J36" s="54" t="n">
        <f aca="false">SUM(J32:J35)</f>
        <v>4</v>
      </c>
    </row>
    <row r="37" customFormat="false" ht="14.25" hidden="false" customHeight="true" outlineLevel="0" collapsed="false">
      <c r="B37" s="40" t="n">
        <v>2</v>
      </c>
      <c r="C37" s="41" t="s">
        <v>645</v>
      </c>
      <c r="D37" s="11" t="s">
        <v>646</v>
      </c>
      <c r="E37" s="52" t="s">
        <v>647</v>
      </c>
      <c r="F37" s="41" t="s">
        <v>569</v>
      </c>
      <c r="G37" s="41" t="s">
        <v>129</v>
      </c>
      <c r="H37" s="41" t="s">
        <v>131</v>
      </c>
      <c r="I37" s="41" t="s">
        <v>162</v>
      </c>
      <c r="J37" s="40" t="n">
        <v>1</v>
      </c>
    </row>
    <row r="38" customFormat="false" ht="14.25" hidden="false" customHeight="true" outlineLevel="0" collapsed="false">
      <c r="B38" s="40" t="n">
        <v>2</v>
      </c>
      <c r="C38" s="41" t="s">
        <v>645</v>
      </c>
      <c r="D38" s="11" t="s">
        <v>646</v>
      </c>
      <c r="E38" s="52" t="s">
        <v>648</v>
      </c>
      <c r="F38" s="41" t="s">
        <v>573</v>
      </c>
      <c r="G38" s="41" t="s">
        <v>129</v>
      </c>
      <c r="H38" s="41" t="s">
        <v>131</v>
      </c>
      <c r="I38" s="41" t="s">
        <v>163</v>
      </c>
      <c r="J38" s="40" t="n">
        <v>1</v>
      </c>
    </row>
    <row r="39" customFormat="false" ht="14.25" hidden="false" customHeight="true" outlineLevel="0" collapsed="false">
      <c r="B39" s="40" t="n">
        <v>2</v>
      </c>
      <c r="C39" s="41" t="s">
        <v>645</v>
      </c>
      <c r="D39" s="11" t="s">
        <v>646</v>
      </c>
      <c r="E39" s="52" t="s">
        <v>649</v>
      </c>
      <c r="F39" s="41" t="s">
        <v>573</v>
      </c>
      <c r="G39" s="41" t="s">
        <v>128</v>
      </c>
      <c r="H39" s="41" t="s">
        <v>131</v>
      </c>
      <c r="I39" s="41" t="s">
        <v>162</v>
      </c>
      <c r="J39" s="40" t="n">
        <v>1</v>
      </c>
    </row>
    <row r="40" customFormat="false" ht="14.25" hidden="false" customHeight="true" outlineLevel="0" collapsed="false">
      <c r="B40" s="40" t="n">
        <v>2</v>
      </c>
      <c r="C40" s="41" t="s">
        <v>645</v>
      </c>
      <c r="D40" s="11" t="s">
        <v>646</v>
      </c>
      <c r="E40" s="52" t="s">
        <v>651</v>
      </c>
      <c r="F40" s="41" t="s">
        <v>571</v>
      </c>
      <c r="G40" s="41" t="s">
        <v>126</v>
      </c>
      <c r="H40" s="41" t="s">
        <v>133</v>
      </c>
      <c r="I40" s="41" t="s">
        <v>164</v>
      </c>
      <c r="J40" s="40" t="n">
        <v>1</v>
      </c>
    </row>
    <row r="41" customFormat="false" ht="14.25" hidden="false" customHeight="true" outlineLevel="0" collapsed="false">
      <c r="B41" s="43"/>
      <c r="C41" s="43"/>
      <c r="D41" s="53"/>
      <c r="E41" s="25" t="s">
        <v>652</v>
      </c>
      <c r="F41" s="43"/>
      <c r="G41" s="43"/>
      <c r="H41" s="43"/>
      <c r="I41" s="43"/>
      <c r="J41" s="54" t="n">
        <f aca="false">SUM(J37:J40)</f>
        <v>4</v>
      </c>
    </row>
    <row r="42" customFormat="false" ht="14.25" hidden="false" customHeight="true" outlineLevel="0" collapsed="false">
      <c r="B42" s="43"/>
      <c r="C42" s="43"/>
      <c r="D42" s="53"/>
      <c r="E42" s="55" t="s">
        <v>655</v>
      </c>
      <c r="F42" s="43"/>
      <c r="G42" s="43"/>
      <c r="H42" s="43"/>
      <c r="I42" s="43"/>
      <c r="J42" s="56" t="n">
        <f aca="false">SUMIFS($J$26:$J$41,$B$26:$B$41,2)</f>
        <v>13</v>
      </c>
    </row>
    <row r="43" customFormat="false" ht="14.25" hidden="false" customHeight="true" outlineLevel="0" collapsed="false">
      <c r="B43" s="43"/>
      <c r="C43" s="43"/>
      <c r="D43" s="53"/>
      <c r="E43" s="25"/>
      <c r="F43" s="43"/>
      <c r="G43" s="43"/>
      <c r="H43" s="43"/>
      <c r="I43" s="43"/>
      <c r="J43" s="54"/>
    </row>
    <row r="44" customFormat="false" ht="14.25" hidden="false" customHeight="true" outlineLevel="0" collapsed="false">
      <c r="B44" s="40" t="n">
        <v>3</v>
      </c>
      <c r="C44" s="41" t="s">
        <v>629</v>
      </c>
      <c r="D44" s="11" t="s">
        <v>630</v>
      </c>
      <c r="E44" s="52" t="s">
        <v>631</v>
      </c>
      <c r="F44" s="41" t="s">
        <v>569</v>
      </c>
      <c r="G44" s="41" t="s">
        <v>128</v>
      </c>
      <c r="H44" s="41" t="s">
        <v>131</v>
      </c>
      <c r="I44" s="41" t="s">
        <v>162</v>
      </c>
      <c r="J44" s="40" t="n">
        <v>1</v>
      </c>
    </row>
    <row r="45" customFormat="false" ht="14.25" hidden="false" customHeight="true" outlineLevel="0" collapsed="false">
      <c r="B45" s="40" t="n">
        <v>3</v>
      </c>
      <c r="C45" s="41" t="s">
        <v>629</v>
      </c>
      <c r="D45" s="11" t="s">
        <v>630</v>
      </c>
      <c r="E45" s="52" t="s">
        <v>656</v>
      </c>
      <c r="F45" s="41" t="s">
        <v>573</v>
      </c>
      <c r="G45" s="41" t="s">
        <v>127</v>
      </c>
      <c r="H45" s="41" t="s">
        <v>131</v>
      </c>
      <c r="I45" s="41" t="s">
        <v>162</v>
      </c>
      <c r="J45" s="40" t="n">
        <v>1</v>
      </c>
    </row>
    <row r="46" customFormat="false" ht="14.25" hidden="false" customHeight="true" outlineLevel="0" collapsed="false">
      <c r="B46" s="40" t="n">
        <v>3</v>
      </c>
      <c r="C46" s="41" t="s">
        <v>629</v>
      </c>
      <c r="D46" s="11" t="s">
        <v>630</v>
      </c>
      <c r="E46" s="52" t="s">
        <v>634</v>
      </c>
      <c r="F46" s="41" t="s">
        <v>573</v>
      </c>
      <c r="G46" s="41" t="s">
        <v>127</v>
      </c>
      <c r="H46" s="41" t="s">
        <v>133</v>
      </c>
      <c r="I46" s="41" t="s">
        <v>164</v>
      </c>
      <c r="J46" s="40" t="n">
        <v>1</v>
      </c>
    </row>
    <row r="47" customFormat="false" ht="14.25" hidden="false" customHeight="true" outlineLevel="0" collapsed="false">
      <c r="B47" s="40" t="n">
        <v>3</v>
      </c>
      <c r="C47" s="41" t="s">
        <v>629</v>
      </c>
      <c r="D47" s="11" t="s">
        <v>630</v>
      </c>
      <c r="E47" s="52" t="s">
        <v>654</v>
      </c>
      <c r="F47" s="41" t="s">
        <v>573</v>
      </c>
      <c r="G47" s="41" t="s">
        <v>126</v>
      </c>
      <c r="H47" s="41" t="s">
        <v>133</v>
      </c>
      <c r="I47" s="41" t="s">
        <v>164</v>
      </c>
      <c r="J47" s="40" t="n">
        <v>1</v>
      </c>
    </row>
    <row r="48" customFormat="false" ht="14.25" hidden="false" customHeight="true" outlineLevel="0" collapsed="false">
      <c r="B48" s="43"/>
      <c r="C48" s="43"/>
      <c r="D48" s="53"/>
      <c r="E48" s="25" t="s">
        <v>636</v>
      </c>
      <c r="F48" s="43"/>
      <c r="G48" s="43"/>
      <c r="H48" s="43"/>
      <c r="I48" s="43"/>
      <c r="J48" s="54" t="n">
        <f aca="false">SUM(J44:J47)</f>
        <v>4</v>
      </c>
    </row>
    <row r="49" customFormat="false" ht="14.25" hidden="false" customHeight="true" outlineLevel="0" collapsed="false">
      <c r="B49" s="40" t="n">
        <v>3</v>
      </c>
      <c r="C49" s="41" t="s">
        <v>637</v>
      </c>
      <c r="D49" s="11" t="s">
        <v>638</v>
      </c>
      <c r="E49" s="52" t="s">
        <v>640</v>
      </c>
      <c r="F49" s="41" t="s">
        <v>573</v>
      </c>
      <c r="G49" s="41" t="s">
        <v>128</v>
      </c>
      <c r="H49" s="41" t="s">
        <v>131</v>
      </c>
      <c r="I49" s="41" t="s">
        <v>163</v>
      </c>
      <c r="J49" s="40" t="n">
        <v>1</v>
      </c>
    </row>
    <row r="50" customFormat="false" ht="14.25" hidden="false" customHeight="true" outlineLevel="0" collapsed="false">
      <c r="B50" s="40" t="n">
        <v>3</v>
      </c>
      <c r="C50" s="41" t="s">
        <v>637</v>
      </c>
      <c r="D50" s="11" t="s">
        <v>638</v>
      </c>
      <c r="E50" s="52" t="s">
        <v>641</v>
      </c>
      <c r="F50" s="41" t="s">
        <v>571</v>
      </c>
      <c r="G50" s="41" t="s">
        <v>127</v>
      </c>
      <c r="H50" s="41" t="s">
        <v>133</v>
      </c>
      <c r="I50" s="41" t="s">
        <v>162</v>
      </c>
      <c r="J50" s="40" t="n">
        <v>1</v>
      </c>
    </row>
    <row r="51" customFormat="false" ht="14.25" hidden="false" customHeight="true" outlineLevel="0" collapsed="false">
      <c r="B51" s="40" t="n">
        <v>3</v>
      </c>
      <c r="C51" s="41" t="s">
        <v>637</v>
      </c>
      <c r="D51" s="11" t="s">
        <v>638</v>
      </c>
      <c r="E51" s="52" t="s">
        <v>642</v>
      </c>
      <c r="F51" s="41" t="s">
        <v>573</v>
      </c>
      <c r="G51" s="41" t="s">
        <v>127</v>
      </c>
      <c r="H51" s="41" t="s">
        <v>133</v>
      </c>
      <c r="I51" s="41" t="s">
        <v>164</v>
      </c>
      <c r="J51" s="40" t="n">
        <v>1</v>
      </c>
    </row>
    <row r="52" customFormat="false" ht="14.25" hidden="false" customHeight="true" outlineLevel="0" collapsed="false">
      <c r="B52" s="43"/>
      <c r="C52" s="43"/>
      <c r="D52" s="53"/>
      <c r="E52" s="25" t="s">
        <v>644</v>
      </c>
      <c r="F52" s="43"/>
      <c r="G52" s="43"/>
      <c r="H52" s="43"/>
      <c r="I52" s="43"/>
      <c r="J52" s="54" t="n">
        <f aca="false">SUM(J49:J51)</f>
        <v>3</v>
      </c>
    </row>
    <row r="53" customFormat="false" ht="14.25" hidden="false" customHeight="true" outlineLevel="0" collapsed="false">
      <c r="B53" s="40" t="n">
        <v>3</v>
      </c>
      <c r="C53" s="41" t="s">
        <v>645</v>
      </c>
      <c r="D53" s="11" t="s">
        <v>646</v>
      </c>
      <c r="E53" s="52" t="s">
        <v>647</v>
      </c>
      <c r="F53" s="41" t="s">
        <v>569</v>
      </c>
      <c r="G53" s="41" t="s">
        <v>129</v>
      </c>
      <c r="H53" s="41" t="s">
        <v>133</v>
      </c>
      <c r="I53" s="41" t="s">
        <v>162</v>
      </c>
      <c r="J53" s="40" t="n">
        <v>1</v>
      </c>
    </row>
    <row r="54" customFormat="false" ht="14.25" hidden="false" customHeight="true" outlineLevel="0" collapsed="false">
      <c r="B54" s="40" t="n">
        <v>3</v>
      </c>
      <c r="C54" s="41" t="s">
        <v>645</v>
      </c>
      <c r="D54" s="11" t="s">
        <v>646</v>
      </c>
      <c r="E54" s="52" t="s">
        <v>648</v>
      </c>
      <c r="F54" s="41" t="s">
        <v>573</v>
      </c>
      <c r="G54" s="41" t="s">
        <v>129</v>
      </c>
      <c r="H54" s="41" t="s">
        <v>131</v>
      </c>
      <c r="I54" s="41" t="s">
        <v>163</v>
      </c>
      <c r="J54" s="40" t="n">
        <v>1</v>
      </c>
    </row>
    <row r="55" customFormat="false" ht="14.25" hidden="false" customHeight="true" outlineLevel="0" collapsed="false">
      <c r="B55" s="40" t="n">
        <v>3</v>
      </c>
      <c r="C55" s="41" t="s">
        <v>645</v>
      </c>
      <c r="D55" s="11" t="s">
        <v>646</v>
      </c>
      <c r="E55" s="52" t="s">
        <v>651</v>
      </c>
      <c r="F55" s="41" t="s">
        <v>571</v>
      </c>
      <c r="G55" s="41" t="s">
        <v>126</v>
      </c>
      <c r="H55" s="41" t="s">
        <v>133</v>
      </c>
      <c r="I55" s="41" t="s">
        <v>164</v>
      </c>
      <c r="J55" s="40" t="n">
        <v>1</v>
      </c>
    </row>
    <row r="56" customFormat="false" ht="14.25" hidden="false" customHeight="true" outlineLevel="0" collapsed="false">
      <c r="B56" s="43"/>
      <c r="C56" s="43"/>
      <c r="D56" s="53"/>
      <c r="E56" s="25" t="s">
        <v>652</v>
      </c>
      <c r="F56" s="43"/>
      <c r="G56" s="43"/>
      <c r="H56" s="43"/>
      <c r="I56" s="43"/>
      <c r="J56" s="54" t="n">
        <f aca="false">SUM(J53:J55)</f>
        <v>3</v>
      </c>
    </row>
    <row r="57" customFormat="false" ht="14.25" hidden="false" customHeight="true" outlineLevel="0" collapsed="false">
      <c r="B57" s="43"/>
      <c r="C57" s="43"/>
      <c r="D57" s="53"/>
      <c r="E57" s="55" t="s">
        <v>657</v>
      </c>
      <c r="F57" s="43"/>
      <c r="G57" s="43"/>
      <c r="H57" s="43"/>
      <c r="I57" s="43"/>
      <c r="J57" s="56" t="n">
        <f aca="false">SUMIFS($J$44:$J$56,$B$44:$B$56,3)</f>
        <v>10</v>
      </c>
    </row>
    <row r="58" customFormat="false" ht="14.25" hidden="false" customHeight="true" outlineLevel="0" collapsed="false">
      <c r="B58" s="40"/>
      <c r="C58" s="41"/>
      <c r="D58" s="11"/>
      <c r="E58" s="52"/>
      <c r="F58" s="41"/>
      <c r="G58" s="41"/>
      <c r="H58" s="41"/>
      <c r="I58" s="41"/>
      <c r="J58" s="40"/>
    </row>
    <row r="59" customFormat="false" ht="14.25" hidden="false" customHeight="true" outlineLevel="0" collapsed="false">
      <c r="B59" s="40"/>
      <c r="C59" s="41"/>
      <c r="D59" s="11"/>
      <c r="E59" s="52"/>
      <c r="F59" s="41"/>
      <c r="G59" s="41"/>
      <c r="H59" s="41"/>
      <c r="I59" s="41"/>
      <c r="J59" s="40"/>
    </row>
    <row r="60" customFormat="false" ht="14.25" hidden="false" customHeight="true" outlineLevel="0" collapsed="false">
      <c r="B60" s="43"/>
      <c r="C60" s="43"/>
      <c r="D60" s="53"/>
      <c r="E60" s="25"/>
      <c r="F60" s="43"/>
      <c r="G60" s="43"/>
      <c r="H60" s="43"/>
      <c r="I60" s="43"/>
      <c r="J60" s="54"/>
    </row>
    <row r="61" customFormat="false" ht="14.25" hidden="false" customHeight="true" outlineLevel="0" collapsed="false">
      <c r="B61" s="43"/>
      <c r="C61" s="43"/>
      <c r="D61" s="53"/>
      <c r="E61" s="55"/>
      <c r="F61" s="43"/>
      <c r="G61" s="43"/>
      <c r="H61" s="43"/>
      <c r="I61" s="43"/>
      <c r="J61" s="56"/>
    </row>
    <row r="62" customFormat="false" ht="14.25" hidden="false" customHeight="true" outlineLevel="0" collapsed="false">
      <c r="B62" s="40"/>
      <c r="C62" s="41"/>
      <c r="D62" s="11"/>
      <c r="E62" s="52"/>
      <c r="F62" s="41"/>
      <c r="G62" s="41"/>
      <c r="H62" s="41"/>
      <c r="I62" s="41"/>
      <c r="J62" s="40"/>
    </row>
    <row r="63" customFormat="false" ht="14.25" hidden="false" customHeight="true" outlineLevel="0" collapsed="false">
      <c r="B63" s="40"/>
      <c r="C63" s="41"/>
      <c r="D63" s="11"/>
      <c r="E63" s="52"/>
      <c r="F63" s="41"/>
      <c r="G63" s="41"/>
      <c r="H63" s="41"/>
      <c r="I63" s="41"/>
      <c r="J63" s="40"/>
    </row>
    <row r="64" customFormat="false" ht="14.25" hidden="false" customHeight="true" outlineLevel="0" collapsed="false">
      <c r="B64" s="40"/>
      <c r="C64" s="41"/>
      <c r="D64" s="11"/>
      <c r="E64" s="52"/>
      <c r="F64" s="41"/>
      <c r="G64" s="41"/>
      <c r="H64" s="41"/>
      <c r="I64" s="41"/>
      <c r="J64" s="40"/>
    </row>
    <row r="65" customFormat="false" ht="14.25" hidden="false" customHeight="true" outlineLevel="0" collapsed="false">
      <c r="B65" s="40"/>
      <c r="C65" s="41"/>
      <c r="D65" s="11"/>
      <c r="E65" s="52"/>
      <c r="F65" s="41"/>
      <c r="G65" s="41"/>
      <c r="H65" s="41"/>
      <c r="I65" s="41"/>
      <c r="J65" s="40"/>
    </row>
    <row r="66" customFormat="false" ht="14.25" hidden="false" customHeight="true" outlineLevel="0" collapsed="false">
      <c r="B66" s="40"/>
      <c r="C66" s="41"/>
      <c r="D66" s="11"/>
      <c r="E66" s="52"/>
      <c r="F66" s="41"/>
      <c r="G66" s="41"/>
      <c r="H66" s="41"/>
      <c r="I66" s="41"/>
      <c r="J66" s="40"/>
    </row>
    <row r="67" customFormat="false" ht="14.25" hidden="false" customHeight="true" outlineLevel="0" collapsed="false">
      <c r="B67" s="40"/>
      <c r="C67" s="41"/>
      <c r="D67" s="11"/>
      <c r="E67" s="52"/>
      <c r="F67" s="41"/>
      <c r="G67" s="41"/>
      <c r="H67" s="41"/>
      <c r="I67" s="41"/>
      <c r="J67" s="40"/>
    </row>
    <row r="68" customFormat="false" ht="14.25" hidden="false" customHeight="true" outlineLevel="0" collapsed="false">
      <c r="B68" s="40"/>
      <c r="C68" s="41"/>
      <c r="D68" s="11"/>
      <c r="E68" s="52"/>
      <c r="F68" s="41"/>
      <c r="G68" s="41"/>
      <c r="H68" s="41"/>
      <c r="I68" s="41"/>
      <c r="J68" s="40"/>
    </row>
    <row r="69" customFormat="false" ht="14.25" hidden="false" customHeight="true" outlineLevel="0" collapsed="false">
      <c r="E69" s="25"/>
      <c r="J69" s="51"/>
    </row>
    <row r="70" customFormat="false" ht="14.25" hidden="false" customHeight="true" outlineLevel="0" collapsed="false">
      <c r="B70" s="40"/>
      <c r="C70" s="41"/>
      <c r="D70" s="11"/>
      <c r="E70" s="52"/>
      <c r="F70" s="41"/>
      <c r="G70" s="41"/>
      <c r="H70" s="41"/>
      <c r="I70" s="41"/>
      <c r="J70" s="40"/>
    </row>
    <row r="71" customFormat="false" ht="14.25" hidden="false" customHeight="true" outlineLevel="0" collapsed="false">
      <c r="B71" s="40"/>
      <c r="C71" s="41"/>
      <c r="D71" s="11"/>
      <c r="E71" s="52"/>
      <c r="F71" s="41"/>
      <c r="G71" s="41"/>
      <c r="H71" s="41"/>
      <c r="I71" s="41"/>
      <c r="J71" s="40"/>
    </row>
    <row r="72" customFormat="false" ht="14.25" hidden="false" customHeight="true" outlineLevel="0" collapsed="false">
      <c r="B72" s="40"/>
      <c r="C72" s="41"/>
      <c r="D72" s="11"/>
      <c r="E72" s="52"/>
      <c r="F72" s="41"/>
      <c r="G72" s="41"/>
      <c r="H72" s="41"/>
      <c r="I72" s="41"/>
      <c r="J72" s="40"/>
    </row>
    <row r="73" customFormat="false" ht="14.25" hidden="false" customHeight="true" outlineLevel="0" collapsed="false">
      <c r="B73" s="40"/>
      <c r="C73" s="41"/>
      <c r="D73" s="11"/>
      <c r="E73" s="52"/>
      <c r="F73" s="41"/>
      <c r="G73" s="41"/>
      <c r="H73" s="41"/>
      <c r="I73" s="41"/>
      <c r="J73" s="40"/>
    </row>
    <row r="74" customFormat="false" ht="14.25" hidden="false" customHeight="true" outlineLevel="0" collapsed="false">
      <c r="B74" s="40"/>
      <c r="C74" s="41"/>
      <c r="D74" s="11"/>
      <c r="E74" s="52"/>
      <c r="F74" s="41"/>
      <c r="G74" s="41"/>
      <c r="H74" s="41"/>
      <c r="I74" s="41"/>
      <c r="J74" s="40"/>
    </row>
    <row r="75" customFormat="false" ht="14.25" hidden="false" customHeight="true" outlineLevel="0" collapsed="false">
      <c r="E75" s="25"/>
      <c r="J75" s="51"/>
    </row>
    <row r="76" customFormat="false" ht="14.25" hidden="false" customHeight="true" outlineLevel="0" collapsed="false">
      <c r="B76" s="40"/>
      <c r="C76" s="41"/>
      <c r="D76" s="11"/>
      <c r="E76" s="52"/>
      <c r="F76" s="41"/>
      <c r="G76" s="41"/>
      <c r="H76" s="41"/>
      <c r="I76" s="41"/>
      <c r="J76" s="40"/>
    </row>
    <row r="77" customFormat="false" ht="14.25" hidden="false" customHeight="true" outlineLevel="0" collapsed="false">
      <c r="B77" s="40"/>
      <c r="C77" s="41"/>
      <c r="D77" s="11"/>
      <c r="E77" s="52"/>
      <c r="F77" s="41"/>
      <c r="G77" s="41"/>
      <c r="H77" s="41"/>
      <c r="I77" s="41"/>
      <c r="J77" s="40"/>
    </row>
    <row r="78" customFormat="false" ht="14.25" hidden="false" customHeight="true" outlineLevel="0" collapsed="false">
      <c r="B78" s="40"/>
      <c r="C78" s="41"/>
      <c r="D78" s="11"/>
      <c r="E78" s="52"/>
      <c r="F78" s="41"/>
      <c r="G78" s="41"/>
      <c r="H78" s="41"/>
      <c r="I78" s="41"/>
      <c r="J78" s="40"/>
    </row>
    <row r="79" customFormat="false" ht="14.25" hidden="false" customHeight="true" outlineLevel="0" collapsed="false">
      <c r="B79" s="40"/>
      <c r="C79" s="41"/>
      <c r="D79" s="11"/>
      <c r="E79" s="52"/>
      <c r="F79" s="41"/>
      <c r="G79" s="41"/>
      <c r="H79" s="41"/>
      <c r="I79" s="41"/>
      <c r="J79" s="40"/>
    </row>
    <row r="80" customFormat="false" ht="14.25" hidden="false" customHeight="true" outlineLevel="0" collapsed="false">
      <c r="B80" s="40"/>
      <c r="C80" s="41"/>
      <c r="D80" s="11"/>
      <c r="E80" s="52"/>
      <c r="F80" s="41"/>
      <c r="G80" s="41"/>
      <c r="H80" s="41"/>
      <c r="I80" s="41"/>
      <c r="J80" s="40"/>
    </row>
    <row r="81" customFormat="false" ht="14.25" hidden="false" customHeight="true" outlineLevel="0" collapsed="false">
      <c r="B81" s="40"/>
      <c r="C81" s="41"/>
      <c r="D81" s="11"/>
      <c r="E81" s="52"/>
      <c r="F81" s="41"/>
      <c r="G81" s="41"/>
      <c r="H81" s="41"/>
      <c r="I81" s="41"/>
      <c r="J81" s="40"/>
    </row>
    <row r="82" customFormat="false" ht="14.25" hidden="false" customHeight="true" outlineLevel="0" collapsed="false">
      <c r="E82" s="25"/>
      <c r="J82" s="51"/>
    </row>
    <row r="83" customFormat="false" ht="14.25" hidden="false" customHeight="true" outlineLevel="0" collapsed="false">
      <c r="E83" s="55"/>
      <c r="J83" s="57"/>
    </row>
  </sheetData>
  <mergeCells count="2">
    <mergeCell ref="A1:J1"/>
    <mergeCell ref="A2:J2"/>
  </mergeCells>
  <dataValidations count="2">
    <dataValidation allowBlank="false" errorStyle="stop" operator="between" showDropDown="false" showErrorMessage="false" showInputMessage="false" sqref="H5:H85" type="list">
      <formula1>"ON,OFF"</formula1>
      <formula2>0</formula2>
    </dataValidation>
    <dataValidation allowBlank="false" errorStyle="stop" operator="between" showDropDown="false" showErrorMessage="false" showInputMessage="false" sqref="I5:I85" type="list">
      <formula1>"FTC,FTE,MGCC"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false" showOutlineSymbols="true" defaultGridColor="true" view="normal" topLeftCell="A45" colorId="64" zoomScale="100" zoomScaleNormal="100" zoomScalePageLayoutView="100" workbookViewId="0">
      <selection pane="topLeft" activeCell="C26" activeCellId="0" sqref="C26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8" min="3" style="1" width="13"/>
    <col collapsed="false" customWidth="true" hidden="false" outlineLevel="0" max="9" min="9" style="1" width="10.73"/>
    <col collapsed="false" customWidth="true" hidden="false" outlineLevel="0" max="10" min="10" style="1" width="44"/>
  </cols>
  <sheetData>
    <row r="1" customFormat="false" ht="25.5" hidden="false" customHeight="true" outlineLevel="0" collapsed="false">
      <c r="A1" s="2" t="s">
        <v>658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4.25" hidden="false" customHeight="true" outlineLevel="0" collapsed="false">
      <c r="A2" s="3" t="s">
        <v>659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8.75" hidden="false" customHeight="true" outlineLevel="0" collapsed="false">
      <c r="A4" s="4" t="s">
        <v>660</v>
      </c>
      <c r="B4" s="4"/>
      <c r="C4" s="4"/>
      <c r="D4" s="4"/>
      <c r="E4" s="4"/>
      <c r="F4" s="4"/>
      <c r="G4" s="4"/>
      <c r="H4" s="4"/>
    </row>
    <row r="5" customFormat="false" ht="27.75" hidden="false" customHeight="true" outlineLevel="0" collapsed="false">
      <c r="B5" s="15" t="s">
        <v>661</v>
      </c>
      <c r="C5" s="15" t="s">
        <v>662</v>
      </c>
      <c r="D5" s="15" t="s">
        <v>663</v>
      </c>
      <c r="E5" s="15" t="s">
        <v>664</v>
      </c>
      <c r="F5" s="15" t="s">
        <v>665</v>
      </c>
      <c r="G5" s="15" t="s">
        <v>666</v>
      </c>
      <c r="H5" s="15" t="s">
        <v>667</v>
      </c>
    </row>
    <row r="6" customFormat="false" ht="14.25" hidden="false" customHeight="true" outlineLevel="0" collapsed="false">
      <c r="B6" s="7" t="s">
        <v>668</v>
      </c>
      <c r="C6" s="17" t="n">
        <f aca="false">SUMIFS('Pod Library'!$J:$J,'Pod Library'!$B:$B,1,'Pod Library'!$D:$D,"CO")/2</f>
        <v>12</v>
      </c>
      <c r="D6" s="17" t="n">
        <f aca="false">SUMIFS('Pod Library'!$J:$J,'Pod Library'!$B:$B,1,'Pod Library'!$D:$D,"FS")/3</f>
        <v>5.66666666666667</v>
      </c>
      <c r="E6" s="17" t="n">
        <f aca="false">SUMIFS('Pod Library'!$J:$J,'Pod Library'!$B:$B,2,'Pod Library'!$D:$D,"CO")/2</f>
        <v>10</v>
      </c>
      <c r="F6" s="17" t="n">
        <f aca="false">SUMIFS('Pod Library'!$J:$J,'Pod Library'!$B:$B,2,'Pod Library'!$D:$D,"FS")/3</f>
        <v>4.66666666666667</v>
      </c>
      <c r="G6" s="17" t="n">
        <f aca="false">SUMIFS('Pod Library'!$J:$J,'Pod Library'!$B:$B,3,'Pod Library'!$D:$D,"CO")/2</f>
        <v>8.5</v>
      </c>
      <c r="H6" s="17" t="n">
        <f aca="false">SUMIFS('Pod Library'!$J:$J,'Pod Library'!$B:$B,3,'Pod Library'!$D:$D,"FS")/3</f>
        <v>3.66666666666667</v>
      </c>
    </row>
    <row r="8" customFormat="false" ht="18.75" hidden="false" customHeight="true" outlineLevel="0" collapsed="false">
      <c r="A8" s="4" t="s">
        <v>669</v>
      </c>
      <c r="B8" s="4"/>
      <c r="C8" s="4"/>
      <c r="D8" s="4"/>
      <c r="E8" s="4"/>
      <c r="F8" s="4"/>
      <c r="G8" s="4"/>
      <c r="H8" s="4"/>
    </row>
    <row r="9" customFormat="false" ht="27.75" hidden="false" customHeight="true" outlineLevel="0" collapsed="false">
      <c r="B9" s="15" t="s">
        <v>670</v>
      </c>
      <c r="C9" s="15" t="s">
        <v>94</v>
      </c>
      <c r="D9" s="15" t="s">
        <v>95</v>
      </c>
      <c r="E9" s="15" t="s">
        <v>96</v>
      </c>
    </row>
    <row r="10" customFormat="false" ht="14.25" hidden="false" customHeight="true" outlineLevel="0" collapsed="false">
      <c r="B10" s="11" t="s">
        <v>671</v>
      </c>
      <c r="C10" s="32" t="n">
        <f aca="false">SUMIFS('Seat Ledger'!$L$5:$L$146,'Seat Ledger'!$A$5:$A$146,1,'Seat Ledger'!$B$5:$B$146,"POD")</f>
        <v>179</v>
      </c>
      <c r="D10" s="32" t="n">
        <f aca="false">SUMIFS('Seat Ledger'!$L$5:$L$146,'Seat Ledger'!$A$5:$A$146,2,'Seat Ledger'!$B$5:$B$146,"POD")</f>
        <v>132</v>
      </c>
      <c r="E10" s="32" t="n">
        <f aca="false">SUMIFS('Seat Ledger'!$L$5:$L$146,'Seat Ledger'!$A$5:$A$146,3,'Seat Ledger'!$B$5:$B$146,"POD")</f>
        <v>105</v>
      </c>
    </row>
    <row r="11" customFormat="false" ht="14.25" hidden="false" customHeight="true" outlineLevel="0" collapsed="false">
      <c r="B11" s="11" t="s">
        <v>672</v>
      </c>
      <c r="C11" s="32" t="n">
        <f aca="false">SUMIFS('Seat Ledger'!$L$5:$L$146,'Seat Ledger'!$A$5:$A$146,1,'Seat Ledger'!$B$5:$B$146,"HZ")</f>
        <v>16</v>
      </c>
      <c r="D11" s="32" t="n">
        <f aca="false">SUMIFS('Seat Ledger'!$L$5:$L$146,'Seat Ledger'!$A$5:$A$146,2,'Seat Ledger'!$B$5:$B$146,"HZ")</f>
        <v>13</v>
      </c>
      <c r="E11" s="32" t="n">
        <f aca="false">SUMIFS('Seat Ledger'!$L$5:$L$146,'Seat Ledger'!$A$5:$A$146,3,'Seat Ledger'!$B$5:$B$146,"HZ")</f>
        <v>10</v>
      </c>
    </row>
    <row r="12" customFormat="false" ht="14.25" hidden="false" customHeight="true" outlineLevel="0" collapsed="false">
      <c r="B12" s="25" t="s">
        <v>673</v>
      </c>
      <c r="C12" s="51" t="n">
        <f aca="false">C10+C11</f>
        <v>195</v>
      </c>
      <c r="D12" s="51" t="n">
        <f aca="false">D10+D11</f>
        <v>145</v>
      </c>
      <c r="E12" s="51" t="n">
        <f aca="false">E10+E11</f>
        <v>115</v>
      </c>
    </row>
    <row r="13" customFormat="false" ht="14.25" hidden="false" customHeight="true" outlineLevel="0" collapsed="false">
      <c r="B13" s="11" t="s">
        <v>674</v>
      </c>
      <c r="C13" s="32" t="n">
        <f aca="false">SUMIFS('Pod Plan'!$G:$G,'Pod Plan'!$B:$B,1)</f>
        <v>25</v>
      </c>
      <c r="D13" s="32" t="n">
        <f aca="false">SUMIFS('Pod Plan'!$G:$G,'Pod Plan'!$B:$B,2)</f>
        <v>21</v>
      </c>
      <c r="E13" s="32" t="n">
        <f aca="false">SUMIFS('Pod Plan'!$G:$G,'Pod Plan'!$B:$B,3)</f>
        <v>21</v>
      </c>
    </row>
    <row r="14" customFormat="false" ht="14.25" hidden="false" customHeight="true" outlineLevel="0" collapsed="false">
      <c r="B14" s="11" t="s">
        <v>675</v>
      </c>
      <c r="C14" s="58" t="n">
        <f aca="false">IF(C13=0,0,C10/C13)</f>
        <v>7.16</v>
      </c>
      <c r="D14" s="58" t="n">
        <f aca="false">IF(D13=0,0,D10/D13)</f>
        <v>6.28571428571429</v>
      </c>
      <c r="E14" s="58" t="n">
        <f aca="false">IF(E13=0,0,E10/E13)</f>
        <v>5</v>
      </c>
    </row>
    <row r="16" customFormat="false" ht="18.75" hidden="false" customHeight="true" outlineLevel="0" collapsed="false">
      <c r="A16" s="4" t="s">
        <v>676</v>
      </c>
      <c r="B16" s="4"/>
      <c r="C16" s="4"/>
      <c r="D16" s="4"/>
      <c r="E16" s="4"/>
      <c r="F16" s="4"/>
      <c r="G16" s="4"/>
      <c r="H16" s="4"/>
    </row>
    <row r="17" customFormat="false" ht="27.75" hidden="false" customHeight="true" outlineLevel="0" collapsed="false">
      <c r="B17" s="15" t="s">
        <v>670</v>
      </c>
      <c r="C17" s="15" t="s">
        <v>94</v>
      </c>
      <c r="D17" s="15" t="s">
        <v>95</v>
      </c>
      <c r="E17" s="15" t="s">
        <v>96</v>
      </c>
    </row>
    <row r="18" customFormat="false" ht="14.25" hidden="false" customHeight="true" outlineLevel="0" collapsed="false">
      <c r="B18" s="11" t="s">
        <v>677</v>
      </c>
      <c r="C18" s="32" t="n">
        <f aca="false">SUMIFS('Seat Ledger'!$L$5:$L$146,'Seat Ledger'!$A$5:$A$146,1,'Seat Ledger'!$I$5:$I$146,"FTC")</f>
        <v>101</v>
      </c>
      <c r="D18" s="32" t="n">
        <f aca="false">SUMIFS('Seat Ledger'!$L$5:$L$146,'Seat Ledger'!$A$5:$A$146,2,'Seat Ledger'!$I$5:$I$146,"FTC")</f>
        <v>67</v>
      </c>
      <c r="E18" s="32" t="n">
        <f aca="false">SUMIFS('Seat Ledger'!$L$5:$L$146,'Seat Ledger'!$A$5:$A$146,3,'Seat Ledger'!$I$5:$I$146,"FTC")</f>
        <v>44</v>
      </c>
    </row>
    <row r="19" customFormat="false" ht="14.25" hidden="false" customHeight="true" outlineLevel="0" collapsed="false">
      <c r="B19" s="11" t="s">
        <v>678</v>
      </c>
      <c r="C19" s="32" t="n">
        <f aca="false">SUMIFS('Seat Ledger'!$L$5:$L$146,'Seat Ledger'!$A$5:$A$146,1,'Seat Ledger'!$I$5:$I$146,"FTE")</f>
        <v>32</v>
      </c>
      <c r="D19" s="32" t="n">
        <f aca="false">SUMIFS('Seat Ledger'!$L$5:$L$146,'Seat Ledger'!$A$5:$A$146,2,'Seat Ledger'!$I$5:$I$146,"FTE")</f>
        <v>35</v>
      </c>
      <c r="E19" s="32" t="n">
        <f aca="false">SUMIFS('Seat Ledger'!$L$5:$L$146,'Seat Ledger'!$A$5:$A$146,3,'Seat Ledger'!$I$5:$I$146,"FTE")</f>
        <v>35</v>
      </c>
    </row>
    <row r="20" customFormat="false" ht="14.25" hidden="false" customHeight="true" outlineLevel="0" collapsed="false">
      <c r="B20" s="11" t="s">
        <v>679</v>
      </c>
      <c r="C20" s="32" t="n">
        <f aca="false">SUMIFS('Seat Ledger'!$L$5:$L$146,'Seat Ledger'!$A$5:$A$146,1,'Seat Ledger'!$I$5:$I$146,"MGCC")</f>
        <v>62</v>
      </c>
      <c r="D20" s="32" t="n">
        <f aca="false">SUMIFS('Seat Ledger'!$L$5:$L$146,'Seat Ledger'!$A$5:$A$146,2,'Seat Ledger'!$I$5:$I$146,"MGCC")</f>
        <v>43</v>
      </c>
      <c r="E20" s="32" t="n">
        <f aca="false">SUMIFS('Seat Ledger'!$L$5:$L$146,'Seat Ledger'!$A$5:$A$146,3,'Seat Ledger'!$I$5:$I$146,"MGCC")</f>
        <v>36</v>
      </c>
    </row>
    <row r="21" customFormat="false" ht="14.25" hidden="false" customHeight="true" outlineLevel="0" collapsed="false">
      <c r="B21" s="7" t="s">
        <v>680</v>
      </c>
      <c r="C21" s="20" t="n">
        <f aca="false">C18+C19+C20-C12</f>
        <v>0</v>
      </c>
      <c r="D21" s="20" t="n">
        <f aca="false">D18+D19+D20-D12</f>
        <v>0</v>
      </c>
      <c r="E21" s="20" t="n">
        <f aca="false">E18+E19+E20-E12</f>
        <v>0</v>
      </c>
    </row>
    <row r="23" customFormat="false" ht="18.75" hidden="false" customHeight="true" outlineLevel="0" collapsed="false">
      <c r="A23" s="4" t="s">
        <v>681</v>
      </c>
      <c r="B23" s="4"/>
      <c r="C23" s="4"/>
      <c r="D23" s="4"/>
      <c r="E23" s="4"/>
      <c r="F23" s="4"/>
      <c r="G23" s="4"/>
      <c r="H23" s="4"/>
    </row>
    <row r="24" customFormat="false" ht="27.75" hidden="false" customHeight="true" outlineLevel="0" collapsed="false">
      <c r="B24" s="15" t="s">
        <v>670</v>
      </c>
      <c r="C24" s="15" t="s">
        <v>94</v>
      </c>
      <c r="D24" s="15" t="s">
        <v>95</v>
      </c>
      <c r="E24" s="15" t="s">
        <v>96</v>
      </c>
    </row>
    <row r="25" customFormat="false" ht="14.25" hidden="false" customHeight="true" outlineLevel="0" collapsed="false">
      <c r="B25" s="11" t="s">
        <v>130</v>
      </c>
      <c r="C25" s="32" t="n">
        <f aca="false">SUMIFS('Seat Ledger'!$L$5:$L$146,'Seat Ledger'!$A$5:$A$146,1,'Seat Ledger'!$H$5:$H$146,"ON")</f>
        <v>99</v>
      </c>
      <c r="D25" s="32" t="n">
        <f aca="false">SUMIFS('Seat Ledger'!$L$5:$L$146,'Seat Ledger'!$A$5:$A$146,2,'Seat Ledger'!$H$5:$H$146,"ON")</f>
        <v>73</v>
      </c>
      <c r="E25" s="32" t="n">
        <f aca="false">SUMIFS('Seat Ledger'!$L$5:$L$146,'Seat Ledger'!$A$5:$A$146,3,'Seat Ledger'!$H$5:$H$146,"ON")</f>
        <v>51</v>
      </c>
    </row>
    <row r="26" customFormat="false" ht="14.25" hidden="false" customHeight="true" outlineLevel="0" collapsed="false">
      <c r="B26" s="11" t="s">
        <v>132</v>
      </c>
      <c r="C26" s="32" t="n">
        <f aca="false">SUMIFS('Seat Ledger'!$L$5:$L$146,'Seat Ledger'!$A$5:$A$146,1,'Seat Ledger'!$H$5:$H$146,"OFF")</f>
        <v>96</v>
      </c>
      <c r="D26" s="32" t="n">
        <f aca="false">SUMIFS('Seat Ledger'!$L$5:$L$146,'Seat Ledger'!$A$5:$A$146,2,'Seat Ledger'!$H$5:$H$146,"OFF")</f>
        <v>72</v>
      </c>
      <c r="E26" s="32" t="n">
        <f aca="false">SUMIFS('Seat Ledger'!$L$5:$L$146,'Seat Ledger'!$A$5:$A$146,3,'Seat Ledger'!$H$5:$H$146,"OFF")</f>
        <v>64</v>
      </c>
    </row>
    <row r="27" customFormat="false" ht="14.25" hidden="false" customHeight="true" outlineLevel="0" collapsed="false">
      <c r="B27" s="25" t="s">
        <v>682</v>
      </c>
      <c r="C27" s="26" t="n">
        <f aca="false">IF(C12=0,0,C26/C12)</f>
        <v>0.492307692307692</v>
      </c>
      <c r="D27" s="26" t="n">
        <f aca="false">IF(D12=0,0,D26/D12)</f>
        <v>0.496551724137931</v>
      </c>
      <c r="E27" s="26" t="n">
        <f aca="false">IF(E12=0,0,E26/E12)</f>
        <v>0.556521739130435</v>
      </c>
    </row>
    <row r="29" customFormat="false" ht="18.75" hidden="false" customHeight="true" outlineLevel="0" collapsed="false">
      <c r="A29" s="4" t="s">
        <v>683</v>
      </c>
      <c r="B29" s="4"/>
      <c r="C29" s="4"/>
      <c r="D29" s="4"/>
      <c r="E29" s="4"/>
      <c r="F29" s="4"/>
      <c r="G29" s="4"/>
      <c r="H29" s="4"/>
    </row>
    <row r="30" customFormat="false" ht="27.75" hidden="false" customHeight="true" outlineLevel="0" collapsed="false">
      <c r="B30" s="15" t="s">
        <v>684</v>
      </c>
      <c r="C30" s="15" t="s">
        <v>94</v>
      </c>
      <c r="D30" s="15" t="s">
        <v>95</v>
      </c>
      <c r="E30" s="15" t="s">
        <v>96</v>
      </c>
      <c r="F30" s="15"/>
      <c r="G30" s="15" t="s">
        <v>685</v>
      </c>
      <c r="H30" s="15" t="s">
        <v>686</v>
      </c>
      <c r="I30" s="15" t="s">
        <v>687</v>
      </c>
    </row>
    <row r="31" customFormat="false" ht="14.25" hidden="false" customHeight="true" outlineLevel="0" collapsed="false">
      <c r="B31" s="11" t="s">
        <v>688</v>
      </c>
      <c r="C31" s="32" t="n">
        <f aca="false">SUMIFS('Seat Ledger'!$L$5:$L$146,'Seat Ledger'!$A$5:$A$146,1,'Seat Ledger'!$G$5:$G$146,"E1")</f>
        <v>0</v>
      </c>
      <c r="D31" s="32" t="n">
        <f aca="false">SUMIFS('Seat Ledger'!$L$5:$L$146,'Seat Ledger'!$A$5:$A$146,2,'Seat Ledger'!$G$5:$G$146,"E1")</f>
        <v>0</v>
      </c>
      <c r="E31" s="32" t="n">
        <f aca="false">SUMIFS('Seat Ledger'!$L$5:$L$146,'Seat Ledger'!$A$5:$A$146,3,'Seat Ledger'!$G$5:$G$146,"E1")</f>
        <v>0</v>
      </c>
      <c r="G31" s="59" t="n">
        <f aca="false">IF(C$12=0,0,C31/C$12)</f>
        <v>0</v>
      </c>
      <c r="H31" s="59" t="n">
        <f aca="false">IF(D$12=0,0,D31/D$12)</f>
        <v>0</v>
      </c>
      <c r="I31" s="59" t="n">
        <f aca="false">IF(E$12=0,0,E31/E$12)</f>
        <v>0</v>
      </c>
    </row>
    <row r="32" customFormat="false" ht="14.25" hidden="false" customHeight="true" outlineLevel="0" collapsed="false">
      <c r="B32" s="11" t="s">
        <v>689</v>
      </c>
      <c r="C32" s="32" t="n">
        <f aca="false">SUMIFS('Seat Ledger'!$L$5:$L$146,'Seat Ledger'!$A$5:$A$146,1,'Seat Ledger'!$G$5:$G$146,"E2")</f>
        <v>78</v>
      </c>
      <c r="D32" s="32" t="n">
        <f aca="false">SUMIFS('Seat Ledger'!$L$5:$L$146,'Seat Ledger'!$A$5:$A$146,2,'Seat Ledger'!$G$5:$G$146,"E2")</f>
        <v>38</v>
      </c>
      <c r="E32" s="32" t="n">
        <f aca="false">SUMIFS('Seat Ledger'!$L$5:$L$146,'Seat Ledger'!$A$5:$A$146,3,'Seat Ledger'!$G$5:$G$146,"E2")</f>
        <v>24</v>
      </c>
      <c r="G32" s="59" t="n">
        <f aca="false">IF(C$12=0,0,C32/C$12)</f>
        <v>0.4</v>
      </c>
      <c r="H32" s="59" t="n">
        <f aca="false">IF(D$12=0,0,D32/D$12)</f>
        <v>0.262068965517241</v>
      </c>
      <c r="I32" s="59" t="n">
        <f aca="false">IF(E$12=0,0,E32/E$12)</f>
        <v>0.208695652173913</v>
      </c>
    </row>
    <row r="33" customFormat="false" ht="14.25" hidden="false" customHeight="true" outlineLevel="0" collapsed="false">
      <c r="B33" s="11" t="s">
        <v>690</v>
      </c>
      <c r="C33" s="32" t="n">
        <f aca="false">SUMIFS('Seat Ledger'!$L$5:$L$146,'Seat Ledger'!$A$5:$A$146,1,'Seat Ledger'!$G$5:$G$146,"E3")</f>
        <v>50</v>
      </c>
      <c r="D33" s="32" t="n">
        <f aca="false">SUMIFS('Seat Ledger'!$L$5:$L$146,'Seat Ledger'!$A$5:$A$146,2,'Seat Ledger'!$G$5:$G$146,"E3")</f>
        <v>47</v>
      </c>
      <c r="E33" s="32" t="n">
        <f aca="false">SUMIFS('Seat Ledger'!$L$5:$L$146,'Seat Ledger'!$A$5:$A$146,3,'Seat Ledger'!$G$5:$G$146,"E3")</f>
        <v>45</v>
      </c>
      <c r="G33" s="59" t="n">
        <f aca="false">IF(C$12=0,0,C33/C$12)</f>
        <v>0.256410256410256</v>
      </c>
      <c r="H33" s="59" t="n">
        <f aca="false">IF(D$12=0,0,D33/D$12)</f>
        <v>0.324137931034483</v>
      </c>
      <c r="I33" s="59" t="n">
        <f aca="false">IF(E$12=0,0,E33/E$12)</f>
        <v>0.391304347826087</v>
      </c>
    </row>
    <row r="34" customFormat="false" ht="14.25" hidden="false" customHeight="true" outlineLevel="0" collapsed="false">
      <c r="B34" s="11" t="s">
        <v>691</v>
      </c>
      <c r="C34" s="32" t="n">
        <f aca="false">SUMIFS('Seat Ledger'!$L$5:$L$146,'Seat Ledger'!$A$5:$A$146,1,'Seat Ledger'!$G$5:$G$146,"E4")</f>
        <v>63</v>
      </c>
      <c r="D34" s="32" t="n">
        <f aca="false">SUMIFS('Seat Ledger'!$L$5:$L$146,'Seat Ledger'!$A$5:$A$146,2,'Seat Ledger'!$G$5:$G$146,"E4")</f>
        <v>56</v>
      </c>
      <c r="E34" s="32" t="n">
        <f aca="false">SUMIFS('Seat Ledger'!$L$5:$L$146,'Seat Ledger'!$A$5:$A$146,3,'Seat Ledger'!$G$5:$G$146,"E4")</f>
        <v>42</v>
      </c>
      <c r="G34" s="59" t="n">
        <f aca="false">IF(C$12=0,0,C34/C$12)</f>
        <v>0.323076923076923</v>
      </c>
      <c r="H34" s="59" t="n">
        <f aca="false">IF(D$12=0,0,D34/D$12)</f>
        <v>0.386206896551724</v>
      </c>
      <c r="I34" s="59" t="n">
        <f aca="false">IF(E$12=0,0,E34/E$12)</f>
        <v>0.365217391304348</v>
      </c>
    </row>
    <row r="35" customFormat="false" ht="14.25" hidden="false" customHeight="true" outlineLevel="0" collapsed="false">
      <c r="B35" s="11" t="s">
        <v>692</v>
      </c>
      <c r="C35" s="32" t="n">
        <f aca="false">SUMIFS('Seat Ledger'!$L$5:$L$146,'Seat Ledger'!$A$5:$A$146,1,'Seat Ledger'!$G$5:$G$146,"E5")</f>
        <v>4</v>
      </c>
      <c r="D35" s="32" t="n">
        <f aca="false">SUMIFS('Seat Ledger'!$L$5:$L$146,'Seat Ledger'!$A$5:$A$146,2,'Seat Ledger'!$G$5:$G$146,"E5")</f>
        <v>4</v>
      </c>
      <c r="E35" s="32" t="n">
        <f aca="false">SUMIFS('Seat Ledger'!$L$5:$L$146,'Seat Ledger'!$A$5:$A$146,3,'Seat Ledger'!$G$5:$G$146,"E5")</f>
        <v>4</v>
      </c>
      <c r="G35" s="59" t="n">
        <f aca="false">IF(C$12=0,0,C35/C$12)</f>
        <v>0.0205128205128205</v>
      </c>
      <c r="H35" s="59" t="n">
        <f aca="false">IF(D$12=0,0,D35/D$12)</f>
        <v>0.0275862068965517</v>
      </c>
      <c r="I35" s="59" t="n">
        <f aca="false">IF(E$12=0,0,E35/E$12)</f>
        <v>0.0347826086956522</v>
      </c>
    </row>
    <row r="36" customFormat="false" ht="14.25" hidden="false" customHeight="true" outlineLevel="0" collapsed="false">
      <c r="B36" s="25" t="s">
        <v>693</v>
      </c>
      <c r="C36" s="44" t="str">
        <f aca="false">IF((C34+C35)/C12&gt;0.55,"Obelisk",IF((C34+C35)/C12&gt;0.4,"Diamond","Pyramid"))</f>
        <v>Pyramid</v>
      </c>
      <c r="D36" s="44" t="str">
        <f aca="false">IF((D34+D35)/D12&gt;0.55,"Obelisk",IF((D34+D35)/D12&gt;0.4,"Diamond","Pyramid"))</f>
        <v>Diamond</v>
      </c>
      <c r="E36" s="44" t="str">
        <f aca="false">IF((E34+E35)/E12&gt;0.55,"Obelisk",IF((E34+E35)/E12&gt;0.4,"Diamond","Pyramid"))</f>
        <v>Pyramid</v>
      </c>
    </row>
    <row r="37" customFormat="false" ht="14.25" hidden="false" customHeight="true" outlineLevel="0" collapsed="false">
      <c r="B37" s="7" t="s">
        <v>694</v>
      </c>
      <c r="C37" s="22" t="n">
        <f aca="false">IF(C12=0,0,(C34+C35)/C12)</f>
        <v>0.343589743589744</v>
      </c>
      <c r="D37" s="22" t="n">
        <f aca="false">IF(D12=0,0,(D34+D35)/D12)</f>
        <v>0.413793103448276</v>
      </c>
      <c r="E37" s="22" t="n">
        <f aca="false">IF(E12=0,0,(E34+E35)/E12)</f>
        <v>0.4</v>
      </c>
    </row>
    <row r="39" customFormat="false" ht="18.75" hidden="false" customHeight="true" outlineLevel="0" collapsed="false">
      <c r="A39" s="4" t="s">
        <v>695</v>
      </c>
      <c r="B39" s="4"/>
      <c r="C39" s="4"/>
      <c r="D39" s="4"/>
      <c r="E39" s="4"/>
      <c r="F39" s="4"/>
      <c r="G39" s="4"/>
      <c r="H39" s="4"/>
    </row>
    <row r="40" customFormat="false" ht="27.75" hidden="false" customHeight="true" outlineLevel="0" collapsed="false">
      <c r="B40" s="15" t="s">
        <v>696</v>
      </c>
      <c r="C40" s="15" t="s">
        <v>94</v>
      </c>
      <c r="D40" s="15" t="s">
        <v>95</v>
      </c>
      <c r="E40" s="15" t="s">
        <v>96</v>
      </c>
      <c r="F40" s="15"/>
      <c r="G40" s="15" t="s">
        <v>685</v>
      </c>
      <c r="H40" s="15" t="s">
        <v>686</v>
      </c>
      <c r="I40" s="15" t="s">
        <v>687</v>
      </c>
    </row>
    <row r="41" customFormat="false" ht="14.25" hidden="false" customHeight="true" outlineLevel="0" collapsed="false">
      <c r="B41" s="11" t="s">
        <v>697</v>
      </c>
      <c r="C41" s="32" t="n">
        <f aca="false">SUMIFS('Seat Ledger'!$L$5:$L$146,'Seat Ledger'!$A$5:$A$146,1,'Seat Ledger'!$F$5:$F$146,"LEAD")</f>
        <v>40</v>
      </c>
      <c r="D41" s="32" t="n">
        <f aca="false">SUMIFS('Seat Ledger'!$L$5:$L$146,'Seat Ledger'!$A$5:$A$146,2,'Seat Ledger'!$F$5:$F$146,"LEAD")</f>
        <v>31</v>
      </c>
      <c r="E41" s="32" t="n">
        <f aca="false">SUMIFS('Seat Ledger'!$L$5:$L$146,'Seat Ledger'!$A$5:$A$146,3,'Seat Ledger'!$F$5:$F$146,"LEAD")</f>
        <v>13</v>
      </c>
      <c r="G41" s="59" t="n">
        <f aca="false">IF(C$12=0,0,C41/C$12)</f>
        <v>0.205128205128205</v>
      </c>
      <c r="H41" s="59" t="n">
        <f aca="false">IF(D$12=0,0,D41/D$12)</f>
        <v>0.213793103448276</v>
      </c>
      <c r="I41" s="59" t="n">
        <f aca="false">IF(E$12=0,0,E41/E$12)</f>
        <v>0.11304347826087</v>
      </c>
    </row>
    <row r="42" customFormat="false" ht="14.25" hidden="false" customHeight="true" outlineLevel="0" collapsed="false">
      <c r="B42" s="11" t="s">
        <v>698</v>
      </c>
      <c r="C42" s="32" t="n">
        <f aca="false">SUMIFS('Seat Ledger'!$L$5:$L$146,'Seat Ledger'!$A$5:$A$146,1,'Seat Ledger'!$F$5:$F$146,"BA")</f>
        <v>14</v>
      </c>
      <c r="D42" s="32" t="n">
        <f aca="false">SUMIFS('Seat Ledger'!$L$5:$L$146,'Seat Ledger'!$A$5:$A$146,2,'Seat Ledger'!$F$5:$F$146,"BA")</f>
        <v>13</v>
      </c>
      <c r="E42" s="32" t="n">
        <f aca="false">SUMIFS('Seat Ledger'!$L$5:$L$146,'Seat Ledger'!$A$5:$A$146,3,'Seat Ledger'!$F$5:$F$146,"BA")</f>
        <v>13</v>
      </c>
      <c r="G42" s="59" t="n">
        <f aca="false">IF(C$12=0,0,C42/C$12)</f>
        <v>0.0717948717948718</v>
      </c>
      <c r="H42" s="59" t="n">
        <f aca="false">IF(D$12=0,0,D42/D$12)</f>
        <v>0.0896551724137931</v>
      </c>
      <c r="I42" s="59" t="n">
        <f aca="false">IF(E$12=0,0,E42/E$12)</f>
        <v>0.11304347826087</v>
      </c>
    </row>
    <row r="43" customFormat="false" ht="14.25" hidden="false" customHeight="true" outlineLevel="0" collapsed="false">
      <c r="B43" s="11" t="s">
        <v>699</v>
      </c>
      <c r="C43" s="32" t="n">
        <f aca="false">SUMIFS('Seat Ledger'!$L$5:$L$146,'Seat Ledger'!$A$5:$A$146,1,'Seat Ledger'!$F$5:$F$146,"DEV")</f>
        <v>80</v>
      </c>
      <c r="D43" s="32" t="n">
        <f aca="false">SUMIFS('Seat Ledger'!$L$5:$L$146,'Seat Ledger'!$A$5:$A$146,2,'Seat Ledger'!$F$5:$F$146,"DEV")</f>
        <v>44</v>
      </c>
      <c r="E43" s="32" t="n">
        <f aca="false">SUMIFS('Seat Ledger'!$L$5:$L$146,'Seat Ledger'!$A$5:$A$146,3,'Seat Ledger'!$F$5:$F$146,"DEV")</f>
        <v>25</v>
      </c>
      <c r="G43" s="59" t="n">
        <f aca="false">IF(C$12=0,0,C43/C$12)</f>
        <v>0.41025641025641</v>
      </c>
      <c r="H43" s="59" t="n">
        <f aca="false">IF(D$12=0,0,D43/D$12)</f>
        <v>0.303448275862069</v>
      </c>
      <c r="I43" s="59" t="n">
        <f aca="false">IF(E$12=0,0,E43/E$12)</f>
        <v>0.217391304347826</v>
      </c>
    </row>
    <row r="44" customFormat="false" ht="14.25" hidden="false" customHeight="true" outlineLevel="0" collapsed="false">
      <c r="B44" s="11" t="s">
        <v>700</v>
      </c>
      <c r="C44" s="32" t="n">
        <f aca="false">SUMIFS('Seat Ledger'!$L$5:$L$146,'Seat Ledger'!$A$5:$A$146,1,'Seat Ledger'!$F$5:$F$146,"ENG")</f>
        <v>24</v>
      </c>
      <c r="D44" s="32" t="n">
        <f aca="false">SUMIFS('Seat Ledger'!$L$5:$L$146,'Seat Ledger'!$A$5:$A$146,2,'Seat Ledger'!$F$5:$F$146,"ENG")</f>
        <v>23</v>
      </c>
      <c r="E44" s="32" t="n">
        <f aca="false">SUMIFS('Seat Ledger'!$L$5:$L$146,'Seat Ledger'!$A$5:$A$146,3,'Seat Ledger'!$F$5:$F$146,"ENG")</f>
        <v>46</v>
      </c>
      <c r="G44" s="59" t="n">
        <f aca="false">IF(C$12=0,0,C44/C$12)</f>
        <v>0.123076923076923</v>
      </c>
      <c r="H44" s="59" t="n">
        <f aca="false">IF(D$12=0,0,D44/D$12)</f>
        <v>0.158620689655172</v>
      </c>
      <c r="I44" s="59" t="n">
        <f aca="false">IF(E$12=0,0,E44/E$12)</f>
        <v>0.4</v>
      </c>
    </row>
    <row r="45" customFormat="false" ht="14.25" hidden="false" customHeight="true" outlineLevel="0" collapsed="false">
      <c r="B45" s="11" t="s">
        <v>701</v>
      </c>
      <c r="C45" s="32" t="n">
        <f aca="false">SUMIFS('Seat Ledger'!$L$5:$L$146,'Seat Ledger'!$A$5:$A$146,1,'Seat Ledger'!$F$5:$F$146,"TEST")</f>
        <v>37</v>
      </c>
      <c r="D45" s="32" t="n">
        <f aca="false">SUMIFS('Seat Ledger'!$L$5:$L$146,'Seat Ledger'!$A$5:$A$146,2,'Seat Ledger'!$F$5:$F$146,"TEST")</f>
        <v>34</v>
      </c>
      <c r="E45" s="32" t="n">
        <f aca="false">SUMIFS('Seat Ledger'!$L$5:$L$146,'Seat Ledger'!$A$5:$A$146,3,'Seat Ledger'!$F$5:$F$146,"TEST")</f>
        <v>18</v>
      </c>
      <c r="G45" s="59" t="n">
        <f aca="false">IF(C$12=0,0,C45/C$12)</f>
        <v>0.18974358974359</v>
      </c>
      <c r="H45" s="59" t="n">
        <f aca="false">IF(D$12=0,0,D45/D$12)</f>
        <v>0.23448275862069</v>
      </c>
      <c r="I45" s="59" t="n">
        <f aca="false">IF(E$12=0,0,E45/E$12)</f>
        <v>0.156521739130435</v>
      </c>
    </row>
    <row r="46" customFormat="false" ht="14.25" hidden="false" customHeight="true" outlineLevel="0" collapsed="false">
      <c r="B46" s="11" t="s">
        <v>702</v>
      </c>
      <c r="C46" s="32" t="n">
        <f aca="false">SUMIFS('Seat Ledger'!$L$5:$L$146,'Seat Ledger'!$A$5:$A$146,1,'Seat Ledger'!$F$5:$F$146,"OPS")</f>
        <v>0</v>
      </c>
      <c r="D46" s="32" t="n">
        <f aca="false">SUMIFS('Seat Ledger'!$L$5:$L$146,'Seat Ledger'!$A$5:$A$146,2,'Seat Ledger'!$F$5:$F$146,"OPS")</f>
        <v>0</v>
      </c>
      <c r="E46" s="32" t="n">
        <f aca="false">SUMIFS('Seat Ledger'!$L$5:$L$146,'Seat Ledger'!$A$5:$A$146,3,'Seat Ledger'!$F$5:$F$146,"OPS")</f>
        <v>0</v>
      </c>
      <c r="G46" s="59" t="n">
        <f aca="false">IF(C$12=0,0,C46/C$12)</f>
        <v>0</v>
      </c>
      <c r="H46" s="59" t="n">
        <f aca="false">IF(D$12=0,0,D46/D$12)</f>
        <v>0</v>
      </c>
      <c r="I46" s="59" t="n">
        <f aca="false">IF(E$12=0,0,E46/E$12)</f>
        <v>0</v>
      </c>
    </row>
    <row r="47" customFormat="false" ht="14.25" hidden="false" customHeight="true" outlineLevel="0" collapsed="false">
      <c r="B47" s="7" t="s">
        <v>680</v>
      </c>
      <c r="C47" s="20" t="n">
        <f aca="false">SUM(C41:C46)-C12</f>
        <v>0</v>
      </c>
      <c r="D47" s="20" t="n">
        <f aca="false">SUM(D41:D46)-D12</f>
        <v>0</v>
      </c>
      <c r="E47" s="20" t="n">
        <f aca="false">SUM(E41:E46)-E12</f>
        <v>0</v>
      </c>
    </row>
    <row r="49" customFormat="false" ht="18.75" hidden="false" customHeight="true" outlineLevel="0" collapsed="false">
      <c r="A49" s="4" t="s">
        <v>703</v>
      </c>
      <c r="B49" s="4"/>
      <c r="C49" s="4"/>
      <c r="D49" s="4"/>
      <c r="E49" s="4"/>
      <c r="F49" s="4"/>
      <c r="G49" s="4"/>
      <c r="H49" s="4"/>
    </row>
    <row r="50" customFormat="false" ht="27.75" hidden="false" customHeight="true" outlineLevel="0" collapsed="false">
      <c r="B50" s="15" t="s">
        <v>704</v>
      </c>
      <c r="C50" s="15" t="s">
        <v>94</v>
      </c>
      <c r="D50" s="15" t="s">
        <v>95</v>
      </c>
      <c r="E50" s="15" t="s">
        <v>96</v>
      </c>
      <c r="F50" s="15"/>
      <c r="G50" s="15" t="s">
        <v>543</v>
      </c>
      <c r="H50" s="15" t="s">
        <v>705</v>
      </c>
      <c r="I50" s="15" t="s">
        <v>706</v>
      </c>
    </row>
    <row r="51" customFormat="false" ht="14.25" hidden="false" customHeight="true" outlineLevel="0" collapsed="false">
      <c r="B51" s="11" t="s">
        <v>707</v>
      </c>
      <c r="C51" s="32" t="n">
        <f aca="false">SUMIFS('Seat Ledger'!$L$5:$L$146,'Seat Ledger'!$A$5:$A$146,1,'Seat Ledger'!$C$5:$C$146,"VS1")</f>
        <v>110</v>
      </c>
      <c r="D51" s="32" t="n">
        <f aca="false">SUMIFS('Seat Ledger'!$L$5:$L$146,'Seat Ledger'!$A$5:$A$146,2,'Seat Ledger'!$C$5:$C$146,"VS1")</f>
        <v>81</v>
      </c>
      <c r="E51" s="32" t="n">
        <f aca="false">SUMIFS('Seat Ledger'!$L$5:$L$146,'Seat Ledger'!$A$5:$A$146,3,'Seat Ledger'!$C$5:$C$146,"VS1")</f>
        <v>64</v>
      </c>
      <c r="G51" s="17" t="n">
        <f aca="false">SUMIFS('Pod Plan'!$E:$E,'Pod Plan'!$B:$B,1,'Pod Plan'!$C:$C,"VS1")</f>
        <v>5</v>
      </c>
      <c r="H51" s="17" t="n">
        <f aca="false">SUMIFS('Pod Plan'!$G:$G,'Pod Plan'!$B:$B,1,'Pod Plan'!$C:$C,"VS1")</f>
        <v>11</v>
      </c>
      <c r="I51" s="17" t="n">
        <f aca="false">SUMIFS('Pod Plan'!$G:$G,'Pod Plan'!$B:$B,3,'Pod Plan'!$C:$C,"VS1")</f>
        <v>8</v>
      </c>
    </row>
    <row r="52" customFormat="false" ht="14.25" hidden="false" customHeight="true" outlineLevel="0" collapsed="false">
      <c r="B52" s="11" t="s">
        <v>708</v>
      </c>
      <c r="C52" s="32" t="n">
        <f aca="false">SUMIFS('Seat Ledger'!$L$5:$L$146,'Seat Ledger'!$A$5:$A$146,1,'Seat Ledger'!$C$5:$C$146,"VS2")</f>
        <v>50</v>
      </c>
      <c r="D52" s="32" t="n">
        <f aca="false">SUMIFS('Seat Ledger'!$L$5:$L$146,'Seat Ledger'!$A$5:$A$146,2,'Seat Ledger'!$C$5:$C$146,"VS2")</f>
        <v>37</v>
      </c>
      <c r="E52" s="32" t="n">
        <f aca="false">SUMIFS('Seat Ledger'!$L$5:$L$146,'Seat Ledger'!$A$5:$A$146,3,'Seat Ledger'!$C$5:$C$146,"VS2")</f>
        <v>30</v>
      </c>
      <c r="G52" s="17" t="n">
        <f aca="false">SUMIFS('Pod Plan'!$E:$E,'Pod Plan'!$B:$B,1,'Pod Plan'!$C:$C,"VS2")</f>
        <v>3</v>
      </c>
      <c r="H52" s="17" t="n">
        <f aca="false">SUMIFS('Pod Plan'!$G:$G,'Pod Plan'!$B:$B,1,'Pod Plan'!$C:$C,"VS2")</f>
        <v>11</v>
      </c>
      <c r="I52" s="17" t="n">
        <f aca="false">SUMIFS('Pod Plan'!$G:$G,'Pod Plan'!$B:$B,3,'Pod Plan'!$C:$C,"VS2")</f>
        <v>10</v>
      </c>
    </row>
    <row r="53" customFormat="false" ht="14.25" hidden="false" customHeight="true" outlineLevel="0" collapsed="false">
      <c r="B53" s="11" t="s">
        <v>709</v>
      </c>
      <c r="C53" s="32" t="n">
        <f aca="false">SUMIFS('Seat Ledger'!$L$5:$L$146,'Seat Ledger'!$A$5:$A$146,1,'Seat Ledger'!$C$5:$C$146,"VS3")</f>
        <v>3</v>
      </c>
      <c r="D53" s="32" t="n">
        <f aca="false">SUMIFS('Seat Ledger'!$L$5:$L$146,'Seat Ledger'!$A$5:$A$146,2,'Seat Ledger'!$C$5:$C$146,"VS3")</f>
        <v>2</v>
      </c>
      <c r="E53" s="32" t="n">
        <f aca="false">SUMIFS('Seat Ledger'!$L$5:$L$146,'Seat Ledger'!$A$5:$A$146,3,'Seat Ledger'!$C$5:$C$146,"VS3")</f>
        <v>1</v>
      </c>
      <c r="G53" s="17" t="n">
        <f aca="false">SUMIFS('Pod Plan'!$E:$E,'Pod Plan'!$B:$B,1,'Pod Plan'!$C:$C,"VS3")</f>
        <v>0</v>
      </c>
      <c r="H53" s="17" t="n">
        <f aca="false">SUMIFS('Pod Plan'!$G:$G,'Pod Plan'!$B:$B,1,'Pod Plan'!$C:$C,"VS3")</f>
        <v>1</v>
      </c>
      <c r="I53" s="17" t="n">
        <f aca="false">SUMIFS('Pod Plan'!$G:$G,'Pod Plan'!$B:$B,3,'Pod Plan'!$C:$C,"VS3")</f>
        <v>1</v>
      </c>
    </row>
    <row r="54" customFormat="false" ht="14.25" hidden="false" customHeight="true" outlineLevel="0" collapsed="false">
      <c r="B54" s="11" t="s">
        <v>710</v>
      </c>
      <c r="C54" s="32" t="n">
        <f aca="false">SUMIFS('Seat Ledger'!$L$5:$L$146,'Seat Ledger'!$A$5:$A$146,1,'Seat Ledger'!$C$5:$C$146,"VS4")</f>
        <v>16</v>
      </c>
      <c r="D54" s="32" t="n">
        <f aca="false">SUMIFS('Seat Ledger'!$L$5:$L$146,'Seat Ledger'!$A$5:$A$146,2,'Seat Ledger'!$C$5:$C$146,"VS4")</f>
        <v>12</v>
      </c>
      <c r="E54" s="32" t="n">
        <f aca="false">SUMIFS('Seat Ledger'!$L$5:$L$146,'Seat Ledger'!$A$5:$A$146,3,'Seat Ledger'!$C$5:$C$146,"VS4")</f>
        <v>10</v>
      </c>
      <c r="G54" s="17" t="n">
        <f aca="false">SUMIFS('Pod Plan'!$E:$E,'Pod Plan'!$B:$B,1,'Pod Plan'!$C:$C,"VS4")</f>
        <v>2</v>
      </c>
      <c r="H54" s="17" t="n">
        <f aca="false">SUMIFS('Pod Plan'!$G:$G,'Pod Plan'!$B:$B,1,'Pod Plan'!$C:$C,"VS4")</f>
        <v>2</v>
      </c>
      <c r="I54" s="17" t="n">
        <f aca="false">SUMIFS('Pod Plan'!$G:$G,'Pod Plan'!$B:$B,3,'Pod Plan'!$C:$C,"VS4")</f>
        <v>2</v>
      </c>
    </row>
    <row r="55" customFormat="false" ht="14.25" hidden="false" customHeight="true" outlineLevel="0" collapsed="false">
      <c r="B55" s="11" t="s">
        <v>711</v>
      </c>
      <c r="C55" s="32" t="n">
        <f aca="false">SUMIFS('Seat Ledger'!$L$5:$L$146,'Seat Ledger'!$A$5:$A$146,1,'Seat Ledger'!$C$5:$C$146,"VS5")</f>
        <v>0</v>
      </c>
      <c r="D55" s="32" t="n">
        <f aca="false">SUMIFS('Seat Ledger'!$L$5:$L$146,'Seat Ledger'!$A$5:$A$146,2,'Seat Ledger'!$C$5:$C$146,"VS5")</f>
        <v>0</v>
      </c>
      <c r="E55" s="32" t="n">
        <f aca="false">SUMIFS('Seat Ledger'!$L$5:$L$146,'Seat Ledger'!$A$5:$A$146,3,'Seat Ledger'!$C$5:$C$146,"VS5")</f>
        <v>0</v>
      </c>
      <c r="G55" s="17" t="n">
        <f aca="false">SUMIFS('Pod Plan'!$E:$E,'Pod Plan'!$B:$B,1,'Pod Plan'!$C:$C,"VS5")</f>
        <v>0</v>
      </c>
      <c r="H55" s="17" t="n">
        <f aca="false">SUMIFS('Pod Plan'!$G:$G,'Pod Plan'!$B:$B,1,'Pod Plan'!$C:$C,"VS5")</f>
        <v>0</v>
      </c>
      <c r="I55" s="17" t="n">
        <f aca="false">SUMIFS('Pod Plan'!$G:$G,'Pod Plan'!$B:$B,3,'Pod Plan'!$C:$C,"VS5")</f>
        <v>0</v>
      </c>
    </row>
    <row r="56" customFormat="false" ht="14.25" hidden="false" customHeight="true" outlineLevel="0" collapsed="false">
      <c r="B56" s="11" t="s">
        <v>712</v>
      </c>
      <c r="C56" s="32" t="n">
        <f aca="false">SUMIFS('Seat Ledger'!$L$5:$L$146,'Seat Ledger'!$A$5:$A$146,1,'Seat Ledger'!$C$5:$C$146,"VS6")</f>
        <v>0</v>
      </c>
      <c r="D56" s="32" t="n">
        <f aca="false">SUMIFS('Seat Ledger'!$L$5:$L$146,'Seat Ledger'!$A$5:$A$146,2,'Seat Ledger'!$C$5:$C$146,"VS6")</f>
        <v>0</v>
      </c>
      <c r="E56" s="32" t="n">
        <f aca="false">SUMIFS('Seat Ledger'!$L$5:$L$146,'Seat Ledger'!$A$5:$A$146,3,'Seat Ledger'!$C$5:$C$146,"VS6")</f>
        <v>0</v>
      </c>
      <c r="G56" s="17" t="n">
        <f aca="false">SUMIFS('Pod Plan'!$E:$E,'Pod Plan'!$B:$B,1,'Pod Plan'!$C:$C,"VS6")</f>
        <v>0</v>
      </c>
      <c r="H56" s="17" t="n">
        <f aca="false">SUMIFS('Pod Plan'!$G:$G,'Pod Plan'!$B:$B,1,'Pod Plan'!$C:$C,"VS6")</f>
        <v>0</v>
      </c>
      <c r="I56" s="17" t="n">
        <f aca="false">SUMIFS('Pod Plan'!$G:$G,'Pod Plan'!$B:$B,3,'Pod Plan'!$C:$C,"VS6")</f>
        <v>0</v>
      </c>
    </row>
    <row r="57" customFormat="false" ht="14.25" hidden="false" customHeight="true" outlineLevel="0" collapsed="false">
      <c r="B57" s="11" t="s">
        <v>713</v>
      </c>
      <c r="C57" s="32" t="n">
        <f aca="false">SUMIFS('Seat Ledger'!$L$5:$L$146,'Seat Ledger'!$A$5:$A$146,1,'Seat Ledger'!$C$5:$C$146,"H1")</f>
        <v>6</v>
      </c>
      <c r="D57" s="32" t="n">
        <f aca="false">SUMIFS('Seat Ledger'!$L$5:$L$146,'Seat Ledger'!$A$5:$A$146,2,'Seat Ledger'!$C$5:$C$146,"H1")</f>
        <v>5</v>
      </c>
      <c r="E57" s="32" t="n">
        <f aca="false">SUMIFS('Seat Ledger'!$L$5:$L$146,'Seat Ledger'!$A$5:$A$146,3,'Seat Ledger'!$C$5:$C$146,"H1")</f>
        <v>4</v>
      </c>
    </row>
    <row r="58" customFormat="false" ht="14.25" hidden="false" customHeight="true" outlineLevel="0" collapsed="false">
      <c r="B58" s="11" t="s">
        <v>714</v>
      </c>
      <c r="C58" s="32" t="n">
        <f aca="false">SUMIFS('Seat Ledger'!$L$5:$L$146,'Seat Ledger'!$A$5:$A$146,1,'Seat Ledger'!$C$5:$C$146,"H2")</f>
        <v>5</v>
      </c>
      <c r="D58" s="32" t="n">
        <f aca="false">SUMIFS('Seat Ledger'!$L$5:$L$146,'Seat Ledger'!$A$5:$A$146,2,'Seat Ledger'!$C$5:$C$146,"H2")</f>
        <v>4</v>
      </c>
      <c r="E58" s="32" t="n">
        <f aca="false">SUMIFS('Seat Ledger'!$L$5:$L$146,'Seat Ledger'!$A$5:$A$146,3,'Seat Ledger'!$C$5:$C$146,"H2")</f>
        <v>3</v>
      </c>
    </row>
    <row r="59" customFormat="false" ht="14.25" hidden="false" customHeight="true" outlineLevel="0" collapsed="false">
      <c r="B59" s="11" t="s">
        <v>715</v>
      </c>
      <c r="C59" s="32" t="n">
        <f aca="false">SUMIFS('Seat Ledger'!$L$5:$L$146,'Seat Ledger'!$A$5:$A$146,1,'Seat Ledger'!$C$5:$C$146,"H3")</f>
        <v>5</v>
      </c>
      <c r="D59" s="32" t="n">
        <f aca="false">SUMIFS('Seat Ledger'!$L$5:$L$146,'Seat Ledger'!$A$5:$A$146,2,'Seat Ledger'!$C$5:$C$146,"H3")</f>
        <v>4</v>
      </c>
      <c r="E59" s="32" t="n">
        <f aca="false">SUMIFS('Seat Ledger'!$L$5:$L$146,'Seat Ledger'!$A$5:$A$146,3,'Seat Ledger'!$C$5:$C$146,"H3")</f>
        <v>3</v>
      </c>
    </row>
    <row r="60" customFormat="false" ht="14.25" hidden="false" customHeight="true" outlineLevel="0" collapsed="false">
      <c r="B60" s="25" t="s">
        <v>716</v>
      </c>
      <c r="C60" s="51" t="n">
        <f aca="false">SUM(C51:C59)</f>
        <v>195</v>
      </c>
      <c r="D60" s="51" t="n">
        <f aca="false">SUM(D51:D59)</f>
        <v>145</v>
      </c>
      <c r="E60" s="51" t="n">
        <f aca="false">SUM(E51:E59)</f>
        <v>115</v>
      </c>
    </row>
  </sheetData>
  <mergeCells count="9">
    <mergeCell ref="A1:J1"/>
    <mergeCell ref="A2:J2"/>
    <mergeCell ref="A4:H4"/>
    <mergeCell ref="A8:H8"/>
    <mergeCell ref="A16:H16"/>
    <mergeCell ref="A23:H23"/>
    <mergeCell ref="A29:H29"/>
    <mergeCell ref="A39:H39"/>
    <mergeCell ref="A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6" min="3" style="1" width="14"/>
    <col collapsed="false" customWidth="true" hidden="false" outlineLevel="0" max="7" min="7" style="1" width="3"/>
    <col collapsed="false" customWidth="true" hidden="false" outlineLevel="0" max="8" min="8" style="1" width="56"/>
  </cols>
  <sheetData>
    <row r="1" customFormat="false" ht="25.5" hidden="false" customHeight="true" outlineLevel="0" collapsed="false">
      <c r="A1" s="2" t="s">
        <v>717</v>
      </c>
      <c r="B1" s="2"/>
      <c r="C1" s="2"/>
      <c r="D1" s="2"/>
      <c r="E1" s="2"/>
      <c r="F1" s="2"/>
      <c r="G1" s="2"/>
      <c r="H1" s="2"/>
      <c r="I1" s="2"/>
    </row>
    <row r="2" customFormat="false" ht="14.25" hidden="false" customHeight="true" outlineLevel="0" collapsed="false">
      <c r="A2" s="3" t="s">
        <v>718</v>
      </c>
      <c r="B2" s="3"/>
      <c r="C2" s="3"/>
      <c r="D2" s="3"/>
      <c r="E2" s="3"/>
      <c r="F2" s="3"/>
      <c r="G2" s="3"/>
      <c r="H2" s="3"/>
      <c r="I2" s="3"/>
    </row>
    <row r="4" customFormat="false" ht="18.75" hidden="false" customHeight="true" outlineLevel="0" collapsed="false">
      <c r="A4" s="4" t="s">
        <v>719</v>
      </c>
      <c r="B4" s="4"/>
      <c r="C4" s="4"/>
      <c r="D4" s="4"/>
      <c r="E4" s="4"/>
      <c r="F4" s="4"/>
      <c r="G4" s="4"/>
      <c r="H4" s="4"/>
    </row>
    <row r="5" customFormat="false" ht="27.75" hidden="false" customHeight="true" outlineLevel="0" collapsed="false">
      <c r="B5" s="15" t="s">
        <v>670</v>
      </c>
      <c r="C5" s="15" t="s">
        <v>720</v>
      </c>
    </row>
    <row r="6" customFormat="false" ht="14.25" hidden="false" customHeight="true" outlineLevel="0" collapsed="false">
      <c r="B6" s="11" t="s">
        <v>550</v>
      </c>
      <c r="C6" s="17" t="n">
        <f aca="false">'Logic Tree'!C6</f>
        <v>10</v>
      </c>
    </row>
    <row r="7" customFormat="false" ht="14.25" hidden="false" customHeight="true" outlineLevel="0" collapsed="false">
      <c r="B7" s="11" t="s">
        <v>57</v>
      </c>
      <c r="C7" s="18" t="n">
        <f aca="false">'Logic Tree'!C7</f>
        <v>198.780291666667</v>
      </c>
    </row>
    <row r="8" customFormat="false" ht="14.25" hidden="false" customHeight="true" outlineLevel="0" collapsed="false">
      <c r="B8" s="11" t="s">
        <v>721</v>
      </c>
      <c r="C8" s="18" t="n">
        <f aca="false">'Logic Tree'!C8</f>
        <v>98.0957083333334</v>
      </c>
    </row>
    <row r="9" customFormat="false" ht="14.25" hidden="false" customHeight="true" outlineLevel="0" collapsed="false">
      <c r="B9" s="11" t="s">
        <v>722</v>
      </c>
      <c r="C9" s="18" t="n">
        <f aca="false">'Logic Tree'!C9</f>
        <v>35.3145833333333</v>
      </c>
    </row>
    <row r="10" customFormat="false" ht="14.25" hidden="false" customHeight="true" outlineLevel="0" collapsed="false">
      <c r="B10" s="11" t="s">
        <v>723</v>
      </c>
      <c r="C10" s="18" t="n">
        <f aca="false">'Logic Tree'!C10</f>
        <v>65.3700000000001</v>
      </c>
    </row>
    <row r="11" customFormat="false" ht="14.25" hidden="false" customHeight="true" outlineLevel="0" collapsed="false">
      <c r="B11" s="11" t="s">
        <v>724</v>
      </c>
      <c r="C11" s="18" t="n">
        <f aca="false">'Logic Tree'!C7/2</f>
        <v>99.3901458333334</v>
      </c>
    </row>
    <row r="12" customFormat="false" ht="14.25" hidden="false" customHeight="true" outlineLevel="0" collapsed="false">
      <c r="B12" s="11" t="s">
        <v>725</v>
      </c>
      <c r="C12" s="60" t="n">
        <f aca="false">0</f>
        <v>0</v>
      </c>
      <c r="H12" s="10" t="s">
        <v>726</v>
      </c>
    </row>
    <row r="14" customFormat="false" ht="18.75" hidden="false" customHeight="true" outlineLevel="0" collapsed="false">
      <c r="A14" s="4" t="s">
        <v>727</v>
      </c>
      <c r="B14" s="4"/>
      <c r="C14" s="4"/>
      <c r="D14" s="4"/>
      <c r="E14" s="4"/>
      <c r="F14" s="4"/>
      <c r="G14" s="4"/>
      <c r="H14" s="4"/>
    </row>
    <row r="15" customFormat="false" ht="27.75" hidden="false" customHeight="true" outlineLevel="0" collapsed="false">
      <c r="B15" s="15" t="s">
        <v>670</v>
      </c>
      <c r="C15" s="15" t="s">
        <v>94</v>
      </c>
      <c r="D15" s="15" t="s">
        <v>95</v>
      </c>
      <c r="E15" s="15" t="s">
        <v>96</v>
      </c>
    </row>
    <row r="16" customFormat="false" ht="14.25" hidden="false" customHeight="true" outlineLevel="0" collapsed="false">
      <c r="B16" s="11" t="s">
        <v>728</v>
      </c>
      <c r="C16" s="32" t="n">
        <f aca="false">'Team Build-Up'!C12</f>
        <v>195</v>
      </c>
      <c r="D16" s="32" t="n">
        <f aca="false">'Team Build-Up'!D12</f>
        <v>145</v>
      </c>
      <c r="E16" s="32" t="n">
        <f aca="false">'Team Build-Up'!E12</f>
        <v>115</v>
      </c>
      <c r="H16" s="10" t="s">
        <v>729</v>
      </c>
    </row>
    <row r="17" customFormat="false" ht="14.25" hidden="false" customHeight="true" outlineLevel="0" collapsed="false">
      <c r="B17" s="25" t="s">
        <v>730</v>
      </c>
      <c r="C17" s="26" t="n">
        <f aca="false">IF($C$7=0,0,1-'Team Build-Up'!C12/$C$7)</f>
        <v>0.0190174369650582</v>
      </c>
      <c r="D17" s="26" t="n">
        <f aca="false">IF($C$7=0,0,1-'Team Build-Up'!D12/$C$7)</f>
        <v>0.270551427486838</v>
      </c>
      <c r="E17" s="26" t="n">
        <f aca="false">IF($C$7=0,0,1-'Team Build-Up'!E12/$C$7)</f>
        <v>0.421471821799906</v>
      </c>
    </row>
    <row r="18" customFormat="false" ht="14.25" hidden="false" customHeight="true" outlineLevel="0" collapsed="false">
      <c r="B18" s="11" t="s">
        <v>731</v>
      </c>
      <c r="C18" s="59" t="n">
        <f aca="false">'Logic Tree'!C53</f>
        <v>0.156247769187249</v>
      </c>
      <c r="D18" s="59" t="n">
        <f aca="false">'Logic Tree'!D53</f>
        <v>0.327821720329548</v>
      </c>
      <c r="E18" s="59" t="n">
        <f aca="false">'Logic Tree'!E53</f>
        <v>0.432909208867904</v>
      </c>
    </row>
    <row r="19" customFormat="false" ht="14.25" hidden="false" customHeight="true" outlineLevel="0" collapsed="false">
      <c r="B19" s="7" t="s">
        <v>732</v>
      </c>
      <c r="C19" s="22" t="n">
        <f aca="false">C18-C17</f>
        <v>0.13723033222219</v>
      </c>
      <c r="D19" s="22" t="n">
        <f aca="false">D18-D17</f>
        <v>0.0572702928427102</v>
      </c>
      <c r="E19" s="22" t="n">
        <f aca="false">E18-E17</f>
        <v>0.011437387067998</v>
      </c>
    </row>
    <row r="22" customFormat="false" ht="18.75" hidden="false" customHeight="true" outlineLevel="0" collapsed="false">
      <c r="A22" s="4" t="s">
        <v>733</v>
      </c>
      <c r="B22" s="4"/>
      <c r="C22" s="4"/>
      <c r="D22" s="4"/>
      <c r="E22" s="4"/>
      <c r="F22" s="4"/>
      <c r="G22" s="4"/>
      <c r="H22" s="4"/>
    </row>
    <row r="23" customFormat="false" ht="27.75" hidden="false" customHeight="true" outlineLevel="0" collapsed="false">
      <c r="B23" s="15" t="s">
        <v>670</v>
      </c>
      <c r="C23" s="15" t="s">
        <v>94</v>
      </c>
      <c r="D23" s="15" t="s">
        <v>95</v>
      </c>
      <c r="E23" s="15" t="s">
        <v>96</v>
      </c>
    </row>
    <row r="24" customFormat="false" ht="14.25" hidden="false" customHeight="true" outlineLevel="0" collapsed="false">
      <c r="B24" s="25" t="s">
        <v>734</v>
      </c>
      <c r="C24" s="61" t="n">
        <f aca="false">'Team Build-Up'!C27</f>
        <v>0.492307692307692</v>
      </c>
      <c r="D24" s="61" t="n">
        <f aca="false">'Team Build-Up'!D27</f>
        <v>0.496551724137931</v>
      </c>
      <c r="E24" s="61" t="n">
        <f aca="false">'Team Build-Up'!E27</f>
        <v>0.556521739130435</v>
      </c>
    </row>
    <row r="25" customFormat="false" ht="14.25" hidden="false" customHeight="true" outlineLevel="0" collapsed="false">
      <c r="B25" s="11" t="s">
        <v>735</v>
      </c>
      <c r="C25" s="60" t="n">
        <f aca="false">'Logic Tree'!C62</f>
        <v>0.44021691274726</v>
      </c>
      <c r="D25" s="60" t="n">
        <f aca="false">'Logic Tree'!D62</f>
        <v>0.656463817254687</v>
      </c>
      <c r="E25" s="60" t="n">
        <f aca="false">'Logic Tree'!E62</f>
        <v>0.718248647113951</v>
      </c>
    </row>
    <row r="26" customFormat="false" ht="14.25" hidden="false" customHeight="true" outlineLevel="0" collapsed="false">
      <c r="B26" s="11" t="s">
        <v>736</v>
      </c>
      <c r="C26" s="59" t="n">
        <f aca="false">C24-C25</f>
        <v>0.0520907795604319</v>
      </c>
      <c r="D26" s="59" t="n">
        <f aca="false">D24-D25</f>
        <v>-0.159912093116756</v>
      </c>
      <c r="E26" s="59" t="n">
        <f aca="false">E24-E25</f>
        <v>-0.161726907983517</v>
      </c>
    </row>
    <row r="28" customFormat="false" ht="18.75" hidden="false" customHeight="true" outlineLevel="0" collapsed="false">
      <c r="A28" s="4" t="s">
        <v>737</v>
      </c>
      <c r="B28" s="4"/>
      <c r="C28" s="4"/>
      <c r="D28" s="4"/>
      <c r="E28" s="4"/>
      <c r="F28" s="4"/>
      <c r="G28" s="4"/>
      <c r="H28" s="4"/>
    </row>
    <row r="29" customFormat="false" ht="14.25" hidden="false" customHeight="true" outlineLevel="0" collapsed="false">
      <c r="B29" s="10" t="s">
        <v>738</v>
      </c>
    </row>
    <row r="30" customFormat="false" ht="27.75" hidden="false" customHeight="true" outlineLevel="0" collapsed="false">
      <c r="B30" s="15" t="s">
        <v>670</v>
      </c>
      <c r="C30" s="15" t="s">
        <v>94</v>
      </c>
      <c r="D30" s="15" t="s">
        <v>95</v>
      </c>
      <c r="E30" s="15" t="s">
        <v>96</v>
      </c>
    </row>
    <row r="31" customFormat="false" ht="14.25" hidden="false" customHeight="true" outlineLevel="0" collapsed="false">
      <c r="B31" s="11" t="s">
        <v>739</v>
      </c>
      <c r="C31" s="32" t="n">
        <f aca="false">'Team Build-Up'!C12</f>
        <v>195</v>
      </c>
      <c r="D31" s="32" t="n">
        <f aca="false">'Team Build-Up'!D12</f>
        <v>145</v>
      </c>
      <c r="E31" s="32" t="n">
        <f aca="false">'Team Build-Up'!E12</f>
        <v>115</v>
      </c>
    </row>
    <row r="32" customFormat="false" ht="14.25" hidden="false" customHeight="true" outlineLevel="0" collapsed="false">
      <c r="B32" s="11" t="s">
        <v>740</v>
      </c>
      <c r="C32" s="32" t="n">
        <f aca="false">'Team Build-Up'!C18</f>
        <v>101</v>
      </c>
      <c r="D32" s="32" t="n">
        <f aca="false">'Team Build-Up'!D18</f>
        <v>67</v>
      </c>
      <c r="E32" s="32" t="n">
        <f aca="false">'Team Build-Up'!E18</f>
        <v>44</v>
      </c>
    </row>
    <row r="33" customFormat="false" ht="14.25" hidden="false" customHeight="true" outlineLevel="0" collapsed="false">
      <c r="B33" s="11" t="s">
        <v>741</v>
      </c>
      <c r="C33" s="32" t="n">
        <f aca="false">'Team Build-Up'!C19</f>
        <v>32</v>
      </c>
      <c r="D33" s="32" t="n">
        <f aca="false">'Team Build-Up'!D19</f>
        <v>35</v>
      </c>
      <c r="E33" s="32" t="n">
        <f aca="false">'Team Build-Up'!E19</f>
        <v>35</v>
      </c>
    </row>
    <row r="34" customFormat="false" ht="14.25" hidden="false" customHeight="true" outlineLevel="0" collapsed="false">
      <c r="B34" s="11" t="s">
        <v>742</v>
      </c>
      <c r="C34" s="32" t="n">
        <f aca="false">'Team Build-Up'!C20</f>
        <v>62</v>
      </c>
      <c r="D34" s="32" t="n">
        <f aca="false">'Team Build-Up'!D20</f>
        <v>43</v>
      </c>
      <c r="E34" s="32" t="n">
        <f aca="false">'Team Build-Up'!E20</f>
        <v>36</v>
      </c>
    </row>
    <row r="35" customFormat="false" ht="14.25" hidden="false" customHeight="true" outlineLevel="0" collapsed="false">
      <c r="B35" s="7" t="s">
        <v>743</v>
      </c>
      <c r="C35" s="59" t="n">
        <f aca="false">IF(C31=0,0,C32/C31)</f>
        <v>0.517948717948718</v>
      </c>
      <c r="D35" s="59" t="n">
        <f aca="false">IF(D31=0,0,D32/D31)</f>
        <v>0.462068965517241</v>
      </c>
      <c r="E35" s="59" t="n">
        <f aca="false">IF(E31=0,0,E32/E31)</f>
        <v>0.382608695652174</v>
      </c>
    </row>
    <row r="36" customFormat="false" ht="14.25" hidden="false" customHeight="true" outlineLevel="0" collapsed="false">
      <c r="B36" s="11" t="s">
        <v>744</v>
      </c>
      <c r="C36" s="32" t="n">
        <f aca="false">'Logic Tree'!C67</f>
        <v>0</v>
      </c>
      <c r="D36" s="32" t="n">
        <f aca="false">'Logic Tree'!D67</f>
        <v>0</v>
      </c>
      <c r="E36" s="32" t="n">
        <f aca="false">'Logic Tree'!E67</f>
        <v>0</v>
      </c>
    </row>
    <row r="37" customFormat="false" ht="14.25" hidden="false" customHeight="true" outlineLevel="0" collapsed="false">
      <c r="B37" s="11" t="s">
        <v>745</v>
      </c>
      <c r="C37" s="32" t="n">
        <f aca="false">'Logic Tree'!C68</f>
        <v>0</v>
      </c>
      <c r="D37" s="32" t="n">
        <f aca="false">'Logic Tree'!D68</f>
        <v>0</v>
      </c>
      <c r="E37" s="32" t="n">
        <f aca="false">'Logic Tree'!E68</f>
        <v>0</v>
      </c>
    </row>
    <row r="38" customFormat="false" ht="14.25" hidden="false" customHeight="true" outlineLevel="0" collapsed="false">
      <c r="B38" s="11" t="s">
        <v>116</v>
      </c>
      <c r="C38" s="32" t="n">
        <f aca="false">'Logic Tree'!C69</f>
        <v>0</v>
      </c>
      <c r="D38" s="32" t="n">
        <f aca="false">'Logic Tree'!D69</f>
        <v>0</v>
      </c>
      <c r="E38" s="32" t="n">
        <f aca="false">'Logic Tree'!E69</f>
        <v>0</v>
      </c>
    </row>
    <row r="39" customFormat="false" ht="14.25" hidden="false" customHeight="true" outlineLevel="0" collapsed="false">
      <c r="B39" s="11" t="s">
        <v>746</v>
      </c>
      <c r="C39" s="32" t="n">
        <f aca="false">C32-C38</f>
        <v>101</v>
      </c>
      <c r="D39" s="32" t="n">
        <f aca="false">D32-D38</f>
        <v>67</v>
      </c>
      <c r="E39" s="32" t="n">
        <f aca="false">E32-E38</f>
        <v>44</v>
      </c>
    </row>
    <row r="40" customFormat="false" ht="14.25" hidden="false" customHeight="true" outlineLevel="0" collapsed="false">
      <c r="B40" s="11" t="s">
        <v>747</v>
      </c>
      <c r="C40" s="32" t="n">
        <f aca="false">C33+C34+C38</f>
        <v>94</v>
      </c>
      <c r="D40" s="32" t="n">
        <f aca="false">D33+D34+D38</f>
        <v>78</v>
      </c>
      <c r="E40" s="32" t="n">
        <f aca="false">E33+E34+E38</f>
        <v>71</v>
      </c>
    </row>
    <row r="41" customFormat="false" ht="14.25" hidden="false" customHeight="true" outlineLevel="0" collapsed="false">
      <c r="B41" s="25" t="s">
        <v>748</v>
      </c>
      <c r="C41" s="26" t="n">
        <f aca="false">IF(C31=0,0,C39/C31)</f>
        <v>0.517948717948718</v>
      </c>
      <c r="D41" s="26" t="n">
        <f aca="false">IF(D31=0,0,D39/D31)</f>
        <v>0.462068965517241</v>
      </c>
      <c r="E41" s="26" t="n">
        <f aca="false">IF(E31=0,0,E39/E31)</f>
        <v>0.382608695652174</v>
      </c>
      <c r="H41" s="10" t="s">
        <v>749</v>
      </c>
    </row>
    <row r="42" customFormat="false" ht="14.25" hidden="false" customHeight="true" outlineLevel="0" collapsed="false">
      <c r="B42" s="11" t="s">
        <v>750</v>
      </c>
      <c r="C42" s="32" t="n">
        <f aca="false">C31/2-C33-C34</f>
        <v>3.5</v>
      </c>
      <c r="D42" s="32" t="n">
        <f aca="false">D31/2-D33-D34</f>
        <v>-5.5</v>
      </c>
      <c r="E42" s="32" t="n">
        <f aca="false">E31/2-E33-E34</f>
        <v>-13.5</v>
      </c>
    </row>
    <row r="43" customFormat="false" ht="14.25" hidden="false" customHeight="true" outlineLevel="0" collapsed="false">
      <c r="B43" s="11" t="s">
        <v>751</v>
      </c>
      <c r="C43" s="32" t="n">
        <f aca="false">C42-C38</f>
        <v>3.5</v>
      </c>
      <c r="D43" s="32" t="n">
        <f aca="false">D42-D38</f>
        <v>-5.5</v>
      </c>
      <c r="E43" s="32" t="n">
        <f aca="false">E42-E38</f>
        <v>-13.5</v>
      </c>
    </row>
    <row r="45" customFormat="false" ht="14.25" hidden="false" customHeight="true" outlineLevel="0" collapsed="false">
      <c r="B45" s="37" t="s">
        <v>752</v>
      </c>
    </row>
    <row r="46" customFormat="false" ht="14.25" hidden="false" customHeight="true" outlineLevel="0" collapsed="false">
      <c r="B46" s="11" t="s">
        <v>753</v>
      </c>
      <c r="C46" s="20" t="n">
        <f aca="false">C32-E32</f>
        <v>57</v>
      </c>
      <c r="H46" s="10" t="s">
        <v>754</v>
      </c>
    </row>
    <row r="47" customFormat="false" ht="14.25" hidden="false" customHeight="true" outlineLevel="0" collapsed="false">
      <c r="B47" s="11" t="s">
        <v>755</v>
      </c>
      <c r="C47" s="20" t="n">
        <f aca="false">E38</f>
        <v>0</v>
      </c>
    </row>
    <row r="48" customFormat="false" ht="14.25" hidden="false" customHeight="true" outlineLevel="0" collapsed="false">
      <c r="B48" s="25" t="s">
        <v>756</v>
      </c>
      <c r="C48" s="51" t="n">
        <f aca="false">C32-E39</f>
        <v>57</v>
      </c>
    </row>
  </sheetData>
  <mergeCells count="6">
    <mergeCell ref="A1:I1"/>
    <mergeCell ref="A2:I2"/>
    <mergeCell ref="A4:H4"/>
    <mergeCell ref="A14:H14"/>
    <mergeCell ref="A22:H22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A18" activeCellId="0" sqref="A18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2"/>
    <col collapsed="false" customWidth="true" hidden="false" outlineLevel="0" max="5" min="3" style="1" width="14"/>
    <col collapsed="false" customWidth="true" hidden="false" outlineLevel="0" max="6" min="6" style="1" width="3"/>
    <col collapsed="false" customWidth="true" hidden="false" outlineLevel="0" max="7" min="7" style="1" width="60"/>
  </cols>
  <sheetData>
    <row r="1" customFormat="false" ht="25.5" hidden="false" customHeight="true" outlineLevel="0" collapsed="false">
      <c r="A1" s="2" t="s">
        <v>757</v>
      </c>
      <c r="B1" s="2"/>
      <c r="C1" s="2"/>
      <c r="D1" s="2"/>
      <c r="E1" s="2"/>
      <c r="F1" s="2"/>
      <c r="G1" s="2"/>
      <c r="H1" s="2"/>
      <c r="I1" s="2"/>
    </row>
    <row r="2" customFormat="false" ht="14.25" hidden="false" customHeight="true" outlineLevel="0" collapsed="false">
      <c r="A2" s="3" t="s">
        <v>758</v>
      </c>
      <c r="B2" s="3"/>
      <c r="C2" s="3"/>
      <c r="D2" s="3"/>
      <c r="E2" s="3"/>
      <c r="F2" s="3"/>
      <c r="G2" s="3"/>
      <c r="H2" s="3"/>
      <c r="I2" s="3"/>
    </row>
    <row r="4" customFormat="false" ht="18.75" hidden="false" customHeight="true" outlineLevel="0" collapsed="false">
      <c r="A4" s="4" t="s">
        <v>759</v>
      </c>
      <c r="B4" s="4"/>
      <c r="C4" s="4"/>
      <c r="D4" s="4"/>
      <c r="E4" s="4"/>
      <c r="F4" s="4"/>
      <c r="G4" s="4"/>
    </row>
    <row r="5" customFormat="false" ht="27.75" hidden="false" customHeight="true" outlineLevel="0" collapsed="false">
      <c r="B5" s="15" t="s">
        <v>670</v>
      </c>
      <c r="C5" s="15" t="s">
        <v>94</v>
      </c>
      <c r="D5" s="15" t="s">
        <v>95</v>
      </c>
      <c r="E5" s="15" t="s">
        <v>96</v>
      </c>
    </row>
    <row r="6" customFormat="false" ht="14.25" hidden="false" customHeight="true" outlineLevel="0" collapsed="false">
      <c r="B6" s="11" t="s">
        <v>760</v>
      </c>
      <c r="C6" s="58" t="n">
        <f aca="false">SUMIFS('Seat Ledger'!$M$5:$M$146,'Seat Ledger'!$A$5:$A$146,1)</f>
        <v>199.3</v>
      </c>
      <c r="D6" s="58" t="n">
        <f aca="false">SUMIFS('Seat Ledger'!$M$5:$M$146,'Seat Ledger'!$A$5:$A$146,2)</f>
        <v>154.97</v>
      </c>
      <c r="E6" s="58" t="n">
        <f aca="false">SUMIFS('Seat Ledger'!$M$5:$M$146,'Seat Ledger'!$A$5:$A$146,3)</f>
        <v>115.82</v>
      </c>
    </row>
    <row r="7" customFormat="false" ht="14.25" hidden="false" customHeight="true" outlineLevel="0" collapsed="false">
      <c r="B7" s="11" t="s">
        <v>761</v>
      </c>
      <c r="C7" s="32" t="n">
        <f aca="false">'Team Build-Up'!C12</f>
        <v>195</v>
      </c>
      <c r="D7" s="32" t="n">
        <f aca="false">'Team Build-Up'!D12</f>
        <v>145</v>
      </c>
      <c r="E7" s="32" t="n">
        <f aca="false">'Team Build-Up'!E12</f>
        <v>115</v>
      </c>
    </row>
    <row r="8" customFormat="false" ht="14.25" hidden="false" customHeight="true" outlineLevel="0" collapsed="false">
      <c r="B8" s="11" t="s">
        <v>762</v>
      </c>
      <c r="C8" s="62" t="n">
        <f aca="false">IF(C7=0,0,C6/C7)</f>
        <v>1.02205128205128</v>
      </c>
      <c r="D8" s="62" t="n">
        <f aca="false">IF(D7=0,0,D6/D7)</f>
        <v>1.06875862068966</v>
      </c>
      <c r="E8" s="62" t="n">
        <f aca="false">IF(E7=0,0,E6/E7)</f>
        <v>1.00713043478261</v>
      </c>
      <c r="G8" s="10" t="s">
        <v>763</v>
      </c>
    </row>
    <row r="9" customFormat="false" ht="14.25" hidden="false" customHeight="true" outlineLevel="0" collapsed="false">
      <c r="B9" s="11" t="s">
        <v>764</v>
      </c>
      <c r="C9" s="63" t="n">
        <f aca="false">IF('Glidepath &amp; 50-50'!$C$7=0,0,C6/'Glidepath &amp; 50-50'!$C$7)</f>
        <v>1.00261448621982</v>
      </c>
      <c r="D9" s="63" t="n">
        <f aca="false">IF('Glidepath &amp; 50-50'!$C$7=0,0,D6/'Glidepath &amp; 50-50'!$C$7)</f>
        <v>0.779604450223205</v>
      </c>
      <c r="E9" s="63" t="n">
        <f aca="false">IF('Glidepath &amp; 50-50'!$C$7=0,0,E6/'Glidepath &amp; 50-50'!$C$7)</f>
        <v>0.582653335644651</v>
      </c>
    </row>
    <row r="10" customFormat="false" ht="14.25" hidden="false" customHeight="true" outlineLevel="0" collapsed="false">
      <c r="B10" s="25" t="s">
        <v>765</v>
      </c>
      <c r="C10" s="26" t="n">
        <f aca="false">IF($C$9=0,0,1-C9/$C$9)</f>
        <v>0</v>
      </c>
      <c r="D10" s="26" t="n">
        <f aca="false">IF($C$9=0,0,1-D9/$C$9)</f>
        <v>0.222428499749122</v>
      </c>
      <c r="E10" s="26" t="n">
        <f aca="false">IF($C$9=0,0,1-E9/$C$9)</f>
        <v>0.418866031108881</v>
      </c>
      <c r="G10" s="10" t="s">
        <v>766</v>
      </c>
    </row>
    <row r="12" customFormat="false" ht="18.75" hidden="false" customHeight="true" outlineLevel="0" collapsed="false">
      <c r="A12" s="4" t="s">
        <v>767</v>
      </c>
      <c r="B12" s="4"/>
      <c r="C12" s="4"/>
      <c r="D12" s="4"/>
      <c r="E12" s="4"/>
      <c r="F12" s="4"/>
      <c r="G12" s="4"/>
    </row>
    <row r="13" customFormat="false" ht="27.75" hidden="false" customHeight="true" outlineLevel="0" collapsed="false">
      <c r="B13" s="15" t="s">
        <v>670</v>
      </c>
      <c r="C13" s="15" t="s">
        <v>94</v>
      </c>
      <c r="D13" s="15" t="s">
        <v>95</v>
      </c>
      <c r="E13" s="15" t="s">
        <v>96</v>
      </c>
    </row>
    <row r="14" customFormat="false" ht="14.25" hidden="false" customHeight="true" outlineLevel="0" collapsed="false">
      <c r="B14" s="11" t="s">
        <v>768</v>
      </c>
      <c r="C14" s="17" t="n">
        <f aca="false">'Glidepath &amp; 50-50'!C39</f>
        <v>101</v>
      </c>
      <c r="D14" s="17" t="n">
        <f aca="false">'Glidepath &amp; 50-50'!D39</f>
        <v>67</v>
      </c>
      <c r="E14" s="17" t="n">
        <f aca="false">'Glidepath &amp; 50-50'!E39</f>
        <v>44</v>
      </c>
    </row>
    <row r="15" customFormat="false" ht="14.25" hidden="false" customHeight="true" outlineLevel="0" collapsed="false">
      <c r="B15" s="11" t="s">
        <v>769</v>
      </c>
      <c r="C15" s="58" t="n">
        <f aca="false">SUMIFS('Seat Ledger'!$M$5:$M$146,'Seat Ledger'!$A$5:$A$146,1,'Seat Ledger'!$I$5:$I$146,"FTC")*IF(SUMIFS('Seat Ledger'!$L$5:$L$146,'Seat Ledger'!$A$5:$A$146,1,'Seat Ledger'!$I$5:$I$146,"FTC")=0,0,C14/SUMIFS('Seat Ledger'!$L$5:$L$146,'Seat Ledger'!$A$5:$A$146,1,'Seat Ledger'!$I$5:$I$146,"FTC"))</f>
        <v>117.36</v>
      </c>
      <c r="D15" s="58" t="n">
        <f aca="false">SUMIFS('Seat Ledger'!$M$5:$M$146,'Seat Ledger'!$A$5:$A$146,2,'Seat Ledger'!$I$5:$I$146,"FTC")*IF(SUMIFS('Seat Ledger'!$L$5:$L$146,'Seat Ledger'!$A$5:$A$146,2,'Seat Ledger'!$I$5:$I$146,"FTC")=0,0,D14/SUMIFS('Seat Ledger'!$L$5:$L$146,'Seat Ledger'!$A$5:$A$146,2,'Seat Ledger'!$I$5:$I$146,"FTC"))</f>
        <v>72.7</v>
      </c>
      <c r="E15" s="58" t="n">
        <f aca="false">SUMIFS('Seat Ledger'!$M$5:$M$146,'Seat Ledger'!$A$5:$A$146,3,'Seat Ledger'!$I$5:$I$146,"FTC")*IF(SUMIFS('Seat Ledger'!$L$5:$L$146,'Seat Ledger'!$A$5:$A$146,3,'Seat Ledger'!$I$5:$I$146,"FTC")=0,0,E14/SUMIFS('Seat Ledger'!$L$5:$L$146,'Seat Ledger'!$A$5:$A$146,3,'Seat Ledger'!$I$5:$I$146,"FTC"))</f>
        <v>35.05</v>
      </c>
    </row>
    <row r="16" customFormat="false" ht="14.25" hidden="false" customHeight="true" outlineLevel="0" collapsed="false">
      <c r="B16" s="25" t="s">
        <v>770</v>
      </c>
      <c r="C16" s="26" t="n">
        <f aca="false">IF($C$15=0,0,C15/$C$15-1)</f>
        <v>0</v>
      </c>
      <c r="D16" s="26" t="n">
        <f aca="false">IF($C$15=0,0,D15/$C$15-1)</f>
        <v>-0.380538513974097</v>
      </c>
      <c r="E16" s="26" t="n">
        <f aca="false">IF($C$15=0,0,E15/$C$15-1)</f>
        <v>-0.701346284935242</v>
      </c>
      <c r="G16" s="10" t="s">
        <v>771</v>
      </c>
    </row>
    <row r="18" customFormat="false" ht="18.75" hidden="false" customHeight="true" outlineLevel="0" collapsed="false">
      <c r="A18" s="4" t="s">
        <v>772</v>
      </c>
      <c r="B18" s="4"/>
      <c r="C18" s="4"/>
      <c r="D18" s="4"/>
      <c r="E18" s="4"/>
      <c r="F18" s="4"/>
      <c r="G18" s="4"/>
    </row>
    <row r="19" customFormat="false" ht="27.75" hidden="false" customHeight="true" outlineLevel="0" collapsed="false">
      <c r="B19" s="15" t="s">
        <v>773</v>
      </c>
      <c r="C19" s="15" t="s">
        <v>94</v>
      </c>
      <c r="D19" s="15" t="s">
        <v>95</v>
      </c>
      <c r="E19" s="15" t="s">
        <v>96</v>
      </c>
    </row>
    <row r="20" customFormat="false" ht="14.25" hidden="false" customHeight="true" outlineLevel="0" collapsed="false">
      <c r="B20" s="11" t="s">
        <v>774</v>
      </c>
      <c r="C20" s="58" t="n">
        <f aca="false">SUMIFS('Seat Ledger'!$M$5:$M$146,'Seat Ledger'!$A$5:$A$146,1,'Seat Ledger'!$H$5:$H$146,"ON")</f>
        <v>167.5</v>
      </c>
      <c r="D20" s="58" t="n">
        <f aca="false">SUMIFS('Seat Ledger'!$M$5:$M$146,'Seat Ledger'!$A$5:$A$146,2,'Seat Ledger'!$H$5:$H$146,"ON")</f>
        <v>128.15</v>
      </c>
      <c r="E20" s="58" t="n">
        <f aca="false">SUMIFS('Seat Ledger'!$M$5:$M$146,'Seat Ledger'!$A$5:$A$146,3,'Seat Ledger'!$H$5:$H$146,"ON")</f>
        <v>90.25</v>
      </c>
    </row>
    <row r="21" customFormat="false" ht="14.25" hidden="false" customHeight="true" outlineLevel="0" collapsed="false">
      <c r="B21" s="11" t="s">
        <v>775</v>
      </c>
      <c r="C21" s="58" t="n">
        <f aca="false">SUMIFS('Seat Ledger'!$M$5:$M$146,'Seat Ledger'!$A$5:$A$146,1,'Seat Ledger'!$H$5:$H$146,"OFF")</f>
        <v>31.8</v>
      </c>
      <c r="D21" s="58" t="n">
        <f aca="false">SUMIFS('Seat Ledger'!$M$5:$M$146,'Seat Ledger'!$A$5:$A$146,2,'Seat Ledger'!$H$5:$H$146,"OFF")</f>
        <v>26.82</v>
      </c>
      <c r="E21" s="58" t="n">
        <f aca="false">SUMIFS('Seat Ledger'!$M$5:$M$146,'Seat Ledger'!$A$5:$A$146,3,'Seat Ledger'!$H$5:$H$146,"OFF")</f>
        <v>25.57</v>
      </c>
    </row>
    <row r="22" customFormat="false" ht="14.25" hidden="false" customHeight="true" outlineLevel="0" collapsed="false">
      <c r="B22" s="7" t="s">
        <v>776</v>
      </c>
      <c r="C22" s="22" t="n">
        <f aca="false">IF((C20+C21)=0,0,C20/(C20+C21))</f>
        <v>0.840441545408931</v>
      </c>
      <c r="D22" s="22" t="n">
        <f aca="false">IF((D20+D21)=0,0,D20/(D20+D21))</f>
        <v>0.826934245337807</v>
      </c>
      <c r="E22" s="22" t="n">
        <f aca="false">IF((E20+E21)=0,0,E20/(E20+E21))</f>
        <v>0.779226385771024</v>
      </c>
    </row>
    <row r="24" customFormat="false" ht="14.25" hidden="false" customHeight="true" outlineLevel="0" collapsed="false">
      <c r="B24" s="11" t="s">
        <v>777</v>
      </c>
      <c r="C24" s="58" t="n">
        <f aca="false">SUMIFS('Seat Ledger'!$M$5:$M$146,'Seat Ledger'!$A$5:$A$146,1,'Seat Ledger'!$G$5:$G$146,"E1")</f>
        <v>0</v>
      </c>
      <c r="D24" s="58" t="n">
        <f aca="false">SUMIFS('Seat Ledger'!$M$5:$M$146,'Seat Ledger'!$A$5:$A$146,2,'Seat Ledger'!$G$5:$G$146,"E1")</f>
        <v>0</v>
      </c>
      <c r="E24" s="58" t="n">
        <f aca="false">SUMIFS('Seat Ledger'!$M$5:$M$146,'Seat Ledger'!$A$5:$A$146,3,'Seat Ledger'!$G$5:$G$146,"E1")</f>
        <v>0</v>
      </c>
    </row>
    <row r="25" customFormat="false" ht="14.25" hidden="false" customHeight="true" outlineLevel="0" collapsed="false">
      <c r="B25" s="11" t="s">
        <v>778</v>
      </c>
      <c r="C25" s="58" t="n">
        <f aca="false">SUMIFS('Seat Ledger'!$M$5:$M$146,'Seat Ledger'!$A$5:$A$146,1,'Seat Ledger'!$G$5:$G$146,"E2")</f>
        <v>28.3</v>
      </c>
      <c r="D25" s="58" t="n">
        <f aca="false">SUMIFS('Seat Ledger'!$M$5:$M$146,'Seat Ledger'!$A$5:$A$146,2,'Seat Ledger'!$G$5:$G$146,"E2")</f>
        <v>12.8</v>
      </c>
      <c r="E25" s="58" t="n">
        <f aca="false">SUMIFS('Seat Ledger'!$M$5:$M$146,'Seat Ledger'!$A$5:$A$146,3,'Seat Ledger'!$G$5:$G$146,"E2")</f>
        <v>8.6</v>
      </c>
    </row>
    <row r="26" customFormat="false" ht="14.25" hidden="false" customHeight="true" outlineLevel="0" collapsed="false">
      <c r="B26" s="11" t="s">
        <v>779</v>
      </c>
      <c r="C26" s="58" t="n">
        <f aca="false">SUMIFS('Seat Ledger'!$M$5:$M$146,'Seat Ledger'!$A$5:$A$146,1,'Seat Ledger'!$G$5:$G$146,"E3")</f>
        <v>44.25</v>
      </c>
      <c r="D26" s="58" t="n">
        <f aca="false">SUMIFS('Seat Ledger'!$M$5:$M$146,'Seat Ledger'!$A$5:$A$146,2,'Seat Ledger'!$G$5:$G$146,"E3")</f>
        <v>34.62</v>
      </c>
      <c r="E26" s="58" t="n">
        <f aca="false">SUMIFS('Seat Ledger'!$M$5:$M$146,'Seat Ledger'!$A$5:$A$146,3,'Seat Ledger'!$G$5:$G$146,"E3")</f>
        <v>27.27</v>
      </c>
    </row>
    <row r="27" customFormat="false" ht="14.25" hidden="false" customHeight="true" outlineLevel="0" collapsed="false">
      <c r="B27" s="11" t="s">
        <v>780</v>
      </c>
      <c r="C27" s="58" t="n">
        <f aca="false">SUMIFS('Seat Ledger'!$M$5:$M$146,'Seat Ledger'!$A$5:$A$146,1,'Seat Ledger'!$G$5:$G$146,"E4")</f>
        <v>116.55</v>
      </c>
      <c r="D27" s="58" t="n">
        <f aca="false">SUMIFS('Seat Ledger'!$M$5:$M$146,'Seat Ledger'!$A$5:$A$146,2,'Seat Ledger'!$G$5:$G$146,"E4")</f>
        <v>97.35</v>
      </c>
      <c r="E27" s="58" t="n">
        <f aca="false">SUMIFS('Seat Ledger'!$M$5:$M$146,'Seat Ledger'!$A$5:$A$146,3,'Seat Ledger'!$G$5:$G$146,"E4")</f>
        <v>71.45</v>
      </c>
    </row>
    <row r="28" customFormat="false" ht="14.25" hidden="false" customHeight="true" outlineLevel="0" collapsed="false">
      <c r="B28" s="11" t="s">
        <v>781</v>
      </c>
      <c r="C28" s="58" t="n">
        <f aca="false">SUMIFS('Seat Ledger'!$M$5:$M$146,'Seat Ledger'!$A$5:$A$146,1,'Seat Ledger'!$G$5:$G$146,"E5")</f>
        <v>10.2</v>
      </c>
      <c r="D28" s="58" t="n">
        <f aca="false">SUMIFS('Seat Ledger'!$M$5:$M$146,'Seat Ledger'!$A$5:$A$146,2,'Seat Ledger'!$G$5:$G$146,"E5")</f>
        <v>10.2</v>
      </c>
      <c r="E28" s="58" t="n">
        <f aca="false">SUMIFS('Seat Ledger'!$M$5:$M$146,'Seat Ledger'!$A$5:$A$146,3,'Seat Ledger'!$G$5:$G$146,"E5")</f>
        <v>8.5</v>
      </c>
    </row>
    <row r="30" customFormat="false" ht="18.75" hidden="false" customHeight="true" outlineLevel="0" collapsed="false">
      <c r="A30" s="4" t="s">
        <v>782</v>
      </c>
      <c r="B30" s="4"/>
      <c r="C30" s="4"/>
      <c r="D30" s="4"/>
      <c r="E30" s="4"/>
      <c r="F30" s="4"/>
      <c r="G30" s="4"/>
    </row>
    <row r="31" customFormat="false" ht="25.5" hidden="false" customHeight="true" outlineLevel="0" collapsed="false">
      <c r="B31" s="38" t="s">
        <v>783</v>
      </c>
      <c r="C31" s="38"/>
      <c r="D31" s="38"/>
      <c r="E31" s="38"/>
      <c r="F31" s="38"/>
      <c r="G31" s="38"/>
    </row>
    <row r="32" customFormat="false" ht="25.5" hidden="false" customHeight="true" outlineLevel="0" collapsed="false">
      <c r="B32" s="38" t="s">
        <v>784</v>
      </c>
      <c r="C32" s="38"/>
      <c r="D32" s="38"/>
      <c r="E32" s="38"/>
      <c r="F32" s="38"/>
      <c r="G32" s="38"/>
    </row>
    <row r="33" customFormat="false" ht="25.5" hidden="false" customHeight="true" outlineLevel="0" collapsed="false">
      <c r="B33" s="38" t="s">
        <v>785</v>
      </c>
      <c r="C33" s="38"/>
      <c r="D33" s="38"/>
      <c r="E33" s="38"/>
      <c r="F33" s="38"/>
      <c r="G33" s="38"/>
    </row>
    <row r="34" customFormat="false" ht="25.5" hidden="false" customHeight="true" outlineLevel="0" collapsed="false">
      <c r="B34" s="38" t="s">
        <v>786</v>
      </c>
      <c r="C34" s="38"/>
      <c r="D34" s="38"/>
      <c r="E34" s="38"/>
      <c r="F34" s="38"/>
      <c r="G34" s="38"/>
    </row>
  </sheetData>
  <mergeCells count="10">
    <mergeCell ref="A1:I1"/>
    <mergeCell ref="A2:I2"/>
    <mergeCell ref="A4:G4"/>
    <mergeCell ref="A12:G12"/>
    <mergeCell ref="A18:G18"/>
    <mergeCell ref="A30:G30"/>
    <mergeCell ref="B31:G31"/>
    <mergeCell ref="B32:G32"/>
    <mergeCell ref="B33:G33"/>
    <mergeCell ref="B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N4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233" activePane="bottomLeft" state="frozen"/>
      <selection pane="topLeft" activeCell="A1" activeCellId="0" sqref="A1"/>
      <selection pane="bottomLeft" activeCell="O235" activeCellId="0" sqref="O235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9"/>
    <col collapsed="false" customWidth="true" hidden="false" outlineLevel="0" max="4" min="4" style="1" width="10"/>
    <col collapsed="false" customWidth="true" hidden="false" outlineLevel="0" max="5" min="5" style="1" width="44"/>
    <col collapsed="false" customWidth="true" hidden="false" outlineLevel="0" max="6" min="6" style="1" width="9"/>
    <col collapsed="false" customWidth="true" hidden="false" outlineLevel="0" max="7" min="7" style="1" width="7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0" min="10" style="1" width="9"/>
    <col collapsed="false" customWidth="true" hidden="false" outlineLevel="0" max="11" min="11" style="1" width="8"/>
    <col collapsed="false" customWidth="true" hidden="false" outlineLevel="0" max="12" min="12" style="1" width="9"/>
    <col collapsed="false" customWidth="true" hidden="false" outlineLevel="0" max="13" min="13" style="1" width="11"/>
  </cols>
  <sheetData>
    <row r="1" customFormat="false" ht="25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7.75" hidden="false" customHeight="true" outlineLevel="0" collapsed="false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customFormat="false" ht="14.25" hidden="true" customHeight="true" outlineLevel="0" collapsed="false">
      <c r="A5" s="32" t="n">
        <v>1</v>
      </c>
      <c r="B5" s="31" t="s">
        <v>787</v>
      </c>
      <c r="C5" s="31" t="s">
        <v>177</v>
      </c>
      <c r="D5" s="31" t="s">
        <v>567</v>
      </c>
      <c r="E5" s="64" t="str">
        <f aca="false">'Pod Library'!E5</f>
        <v>Product Owner</v>
      </c>
      <c r="F5" s="65" t="str">
        <f aca="false">'Pod Library'!F5</f>
        <v>LEAD</v>
      </c>
      <c r="G5" s="65" t="str">
        <f aca="false">'Pod Library'!G5</f>
        <v>E4</v>
      </c>
      <c r="H5" s="65" t="str">
        <f aca="false">'Pod Library'!H5</f>
        <v>ON</v>
      </c>
      <c r="I5" s="65" t="str">
        <f aca="false">'Pod Library'!I5</f>
        <v>FTE</v>
      </c>
      <c r="J5" s="18" t="n">
        <f aca="false">'Pod Library'!J5</f>
        <v>1</v>
      </c>
      <c r="K5" s="18" t="n">
        <f aca="false">SUMIFS('Pod Plan'!$E:$E,'Pod Plan'!$B:$B,$A5,'Pod Plan'!$C:$C,$C5)</f>
        <v>5</v>
      </c>
      <c r="L5" s="58" t="n">
        <f aca="false">J5*K5</f>
        <v>5</v>
      </c>
      <c r="M5" s="62" t="n">
        <f aca="false">L5*INDEX('Logic Tree'!$J$73:$N$74,MATCH(H5,'Logic Tree'!$I$73:$I$74,0),MATCH(G5,'Logic Tree'!$J$72:$N$72,0))</f>
        <v>9.25</v>
      </c>
    </row>
    <row r="6" customFormat="false" ht="14.25" hidden="true" customHeight="true" outlineLevel="0" collapsed="false">
      <c r="A6" s="32" t="n">
        <v>1</v>
      </c>
      <c r="B6" s="31" t="s">
        <v>787</v>
      </c>
      <c r="C6" s="31" t="s">
        <v>177</v>
      </c>
      <c r="D6" s="31" t="s">
        <v>567</v>
      </c>
      <c r="E6" s="64" t="str">
        <f aca="false">'Pod Library'!E6</f>
        <v>Portal Platform SME</v>
      </c>
      <c r="F6" s="65" t="str">
        <f aca="false">'Pod Library'!F6</f>
        <v>BA</v>
      </c>
      <c r="G6" s="65" t="str">
        <f aca="false">'Pod Library'!G6</f>
        <v>E4</v>
      </c>
      <c r="H6" s="65" t="str">
        <f aca="false">'Pod Library'!H6</f>
        <v>ON</v>
      </c>
      <c r="I6" s="65" t="str">
        <f aca="false">'Pod Library'!I6</f>
        <v>FTE</v>
      </c>
      <c r="J6" s="18" t="n">
        <f aca="false">'Pod Library'!J6</f>
        <v>1</v>
      </c>
      <c r="K6" s="18" t="n">
        <f aca="false">SUMIFS('Pod Plan'!$E:$E,'Pod Plan'!$B:$B,$A6,'Pod Plan'!$C:$C,$C6)</f>
        <v>5</v>
      </c>
      <c r="L6" s="58" t="n">
        <f aca="false">J6*K6</f>
        <v>5</v>
      </c>
      <c r="M6" s="62" t="n">
        <f aca="false">L6*INDEX('Logic Tree'!$J$73:$N$74,MATCH(H6,'Logic Tree'!$I$73:$I$74,0),MATCH(G6,'Logic Tree'!$J$72:$N$72,0))</f>
        <v>9.25</v>
      </c>
    </row>
    <row r="7" customFormat="false" ht="14.25" hidden="true" customHeight="true" outlineLevel="0" collapsed="false">
      <c r="A7" s="32" t="n">
        <v>1</v>
      </c>
      <c r="B7" s="31" t="s">
        <v>787</v>
      </c>
      <c r="C7" s="31" t="s">
        <v>177</v>
      </c>
      <c r="D7" s="31" t="s">
        <v>567</v>
      </c>
      <c r="E7" s="64" t="str">
        <f aca="false">'Pod Library'!E7</f>
        <v>Application Owner (Technical)</v>
      </c>
      <c r="F7" s="65" t="str">
        <f aca="false">'Pod Library'!F7</f>
        <v>ENG</v>
      </c>
      <c r="G7" s="65" t="str">
        <f aca="false">'Pod Library'!G7</f>
        <v>E4</v>
      </c>
      <c r="H7" s="65" t="str">
        <f aca="false">'Pod Library'!H7</f>
        <v>ON</v>
      </c>
      <c r="I7" s="65" t="str">
        <f aca="false">'Pod Library'!I7</f>
        <v>FTE</v>
      </c>
      <c r="J7" s="18" t="n">
        <f aca="false">'Pod Library'!J7</f>
        <v>1</v>
      </c>
      <c r="K7" s="18" t="n">
        <f aca="false">SUMIFS('Pod Plan'!$E:$E,'Pod Plan'!$B:$B,$A7,'Pod Plan'!$C:$C,$C7)</f>
        <v>5</v>
      </c>
      <c r="L7" s="58" t="n">
        <f aca="false">J7*K7</f>
        <v>5</v>
      </c>
      <c r="M7" s="62" t="n">
        <f aca="false">L7*INDEX('Logic Tree'!$J$73:$N$74,MATCH(H7,'Logic Tree'!$I$73:$I$74,0),MATCH(G7,'Logic Tree'!$J$72:$N$72,0))</f>
        <v>9.25</v>
      </c>
    </row>
    <row r="8" customFormat="false" ht="14.25" hidden="true" customHeight="true" outlineLevel="0" collapsed="false">
      <c r="A8" s="32" t="n">
        <v>1</v>
      </c>
      <c r="B8" s="31" t="s">
        <v>787</v>
      </c>
      <c r="C8" s="31" t="s">
        <v>177</v>
      </c>
      <c r="D8" s="31" t="s">
        <v>567</v>
      </c>
      <c r="E8" s="64" t="str">
        <f aca="false">'Pod Library'!E8</f>
        <v>Pod Delivery Lead</v>
      </c>
      <c r="F8" s="65" t="str">
        <f aca="false">'Pod Library'!F8</f>
        <v>LEAD</v>
      </c>
      <c r="G8" s="65" t="str">
        <f aca="false">'Pod Library'!G8</f>
        <v>E4</v>
      </c>
      <c r="H8" s="65" t="str">
        <f aca="false">'Pod Library'!H8</f>
        <v>ON</v>
      </c>
      <c r="I8" s="65" t="str">
        <f aca="false">'Pod Library'!I8</f>
        <v>FTC</v>
      </c>
      <c r="J8" s="18" t="n">
        <f aca="false">'Pod Library'!J8</f>
        <v>1</v>
      </c>
      <c r="K8" s="18" t="n">
        <f aca="false">SUMIFS('Pod Plan'!$E:$E,'Pod Plan'!$B:$B,$A8,'Pod Plan'!$C:$C,$C8)</f>
        <v>5</v>
      </c>
      <c r="L8" s="58" t="n">
        <f aca="false">J8*K8</f>
        <v>5</v>
      </c>
      <c r="M8" s="62" t="n">
        <f aca="false">L8*INDEX('Logic Tree'!$J$73:$N$74,MATCH(H8,'Logic Tree'!$I$73:$I$74,0),MATCH(G8,'Logic Tree'!$J$72:$N$72,0))</f>
        <v>9.25</v>
      </c>
    </row>
    <row r="9" customFormat="false" ht="14.25" hidden="true" customHeight="true" outlineLevel="0" collapsed="false">
      <c r="A9" s="32" t="n">
        <v>1</v>
      </c>
      <c r="B9" s="31" t="s">
        <v>787</v>
      </c>
      <c r="C9" s="31" t="s">
        <v>177</v>
      </c>
      <c r="D9" s="31" t="s">
        <v>567</v>
      </c>
      <c r="E9" s="64" t="str">
        <f aca="false">'Pod Library'!E9</f>
        <v>Senior Developer</v>
      </c>
      <c r="F9" s="65" t="str">
        <f aca="false">'Pod Library'!F9</f>
        <v>DEV</v>
      </c>
      <c r="G9" s="65" t="str">
        <f aca="false">'Pod Library'!G9</f>
        <v>E3</v>
      </c>
      <c r="H9" s="65" t="str">
        <f aca="false">'Pod Library'!H9</f>
        <v>ON</v>
      </c>
      <c r="I9" s="65" t="str">
        <f aca="false">'Pod Library'!I9</f>
        <v>FTC</v>
      </c>
      <c r="J9" s="18" t="n">
        <f aca="false">'Pod Library'!J9</f>
        <v>1</v>
      </c>
      <c r="K9" s="18" t="n">
        <f aca="false">SUMIFS('Pod Plan'!$E:$E,'Pod Plan'!$B:$B,$A9,'Pod Plan'!$C:$C,$C9)</f>
        <v>5</v>
      </c>
      <c r="L9" s="58" t="n">
        <f aca="false">J9*K9</f>
        <v>5</v>
      </c>
      <c r="M9" s="62" t="n">
        <f aca="false">L9*INDEX('Logic Tree'!$J$73:$N$74,MATCH(H9,'Logic Tree'!$I$73:$I$74,0),MATCH(G9,'Logic Tree'!$J$72:$N$72,0))</f>
        <v>6.75</v>
      </c>
    </row>
    <row r="10" customFormat="false" ht="14.25" hidden="true" customHeight="true" outlineLevel="0" collapsed="false">
      <c r="A10" s="32" t="n">
        <v>1</v>
      </c>
      <c r="B10" s="31" t="s">
        <v>787</v>
      </c>
      <c r="C10" s="31" t="s">
        <v>177</v>
      </c>
      <c r="D10" s="31" t="s">
        <v>567</v>
      </c>
      <c r="E10" s="64" t="str">
        <f aca="false">'Pod Library'!E10</f>
        <v>QA Engineer</v>
      </c>
      <c r="F10" s="65" t="str">
        <f aca="false">'Pod Library'!F10</f>
        <v>TEST</v>
      </c>
      <c r="G10" s="65" t="str">
        <f aca="false">'Pod Library'!G10</f>
        <v>E2</v>
      </c>
      <c r="H10" s="65" t="str">
        <f aca="false">'Pod Library'!H10</f>
        <v>ON</v>
      </c>
      <c r="I10" s="65" t="str">
        <f aca="false">'Pod Library'!I10</f>
        <v>FTC</v>
      </c>
      <c r="J10" s="18" t="n">
        <f aca="false">'Pod Library'!J10</f>
        <v>1</v>
      </c>
      <c r="K10" s="18" t="n">
        <f aca="false">SUMIFS('Pod Plan'!$E:$E,'Pod Plan'!$B:$B,$A10,'Pod Plan'!$C:$C,$C10)</f>
        <v>5</v>
      </c>
      <c r="L10" s="58" t="n">
        <f aca="false">J10*K10</f>
        <v>5</v>
      </c>
      <c r="M10" s="62" t="n">
        <f aca="false">L10*INDEX('Logic Tree'!$J$73:$N$74,MATCH(H10,'Logic Tree'!$I$73:$I$74,0),MATCH(G10,'Logic Tree'!$J$72:$N$72,0))</f>
        <v>5</v>
      </c>
    </row>
    <row r="11" customFormat="false" ht="14.25" hidden="true" customHeight="true" outlineLevel="0" collapsed="false">
      <c r="A11" s="32" t="n">
        <v>1</v>
      </c>
      <c r="B11" s="31" t="s">
        <v>787</v>
      </c>
      <c r="C11" s="31" t="s">
        <v>177</v>
      </c>
      <c r="D11" s="31" t="s">
        <v>567</v>
      </c>
      <c r="E11" s="64" t="str">
        <f aca="false">'Pod Library'!E11</f>
        <v>Developer — MGCC Hyderabad</v>
      </c>
      <c r="F11" s="65" t="str">
        <f aca="false">'Pod Library'!F11</f>
        <v>DEV</v>
      </c>
      <c r="G11" s="65" t="str">
        <f aca="false">'Pod Library'!G11</f>
        <v>E3</v>
      </c>
      <c r="H11" s="65" t="str">
        <f aca="false">'Pod Library'!H11</f>
        <v>OFF</v>
      </c>
      <c r="I11" s="65" t="str">
        <f aca="false">'Pod Library'!I11</f>
        <v>MGCC</v>
      </c>
      <c r="J11" s="18" t="n">
        <f aca="false">'Pod Library'!J11</f>
        <v>1</v>
      </c>
      <c r="K11" s="18" t="n">
        <f aca="false">SUMIFS('Pod Plan'!$E:$E,'Pod Plan'!$B:$B,$A11,'Pod Plan'!$C:$C,$C11)</f>
        <v>5</v>
      </c>
      <c r="L11" s="58" t="n">
        <f aca="false">J11*K11</f>
        <v>5</v>
      </c>
      <c r="M11" s="62" t="n">
        <f aca="false">L11*INDEX('Logic Tree'!$J$73:$N$74,MATCH(H11,'Logic Tree'!$I$73:$I$74,0),MATCH(G11,'Logic Tree'!$J$72:$N$72,0))</f>
        <v>2.1</v>
      </c>
    </row>
    <row r="12" customFormat="false" ht="14.25" hidden="true" customHeight="true" outlineLevel="0" collapsed="false">
      <c r="A12" s="32" t="n">
        <v>1</v>
      </c>
      <c r="B12" s="31" t="s">
        <v>787</v>
      </c>
      <c r="C12" s="31" t="s">
        <v>177</v>
      </c>
      <c r="D12" s="31" t="s">
        <v>567</v>
      </c>
      <c r="E12" s="64" t="str">
        <f aca="false">'Pod Library'!E12</f>
        <v>Developer — MGCC Hyderabad</v>
      </c>
      <c r="F12" s="65" t="str">
        <f aca="false">'Pod Library'!F12</f>
        <v>DEV</v>
      </c>
      <c r="G12" s="65" t="str">
        <f aca="false">'Pod Library'!G12</f>
        <v>E2</v>
      </c>
      <c r="H12" s="65" t="str">
        <f aca="false">'Pod Library'!H12</f>
        <v>OFF</v>
      </c>
      <c r="I12" s="65" t="str">
        <f aca="false">'Pod Library'!I12</f>
        <v>MGCC</v>
      </c>
      <c r="J12" s="18" t="n">
        <f aca="false">'Pod Library'!J12</f>
        <v>1</v>
      </c>
      <c r="K12" s="18" t="n">
        <f aca="false">SUMIFS('Pod Plan'!$E:$E,'Pod Plan'!$B:$B,$A12,'Pod Plan'!$C:$C,$C12)</f>
        <v>5</v>
      </c>
      <c r="L12" s="58" t="n">
        <f aca="false">J12*K12</f>
        <v>5</v>
      </c>
      <c r="M12" s="62" t="n">
        <f aca="false">L12*INDEX('Logic Tree'!$J$73:$N$74,MATCH(H12,'Logic Tree'!$I$73:$I$74,0),MATCH(G12,'Logic Tree'!$J$72:$N$72,0))</f>
        <v>1.5</v>
      </c>
    </row>
    <row r="13" customFormat="false" ht="14.25" hidden="true" customHeight="true" outlineLevel="0" collapsed="false">
      <c r="A13" s="32" t="n">
        <v>1</v>
      </c>
      <c r="B13" s="31" t="s">
        <v>787</v>
      </c>
      <c r="C13" s="31" t="s">
        <v>177</v>
      </c>
      <c r="D13" s="31" t="s">
        <v>567</v>
      </c>
      <c r="E13" s="64" t="str">
        <f aca="false">'Pod Library'!E13</f>
        <v>Developer — MGCC Hyderabad</v>
      </c>
      <c r="F13" s="65" t="str">
        <f aca="false">'Pod Library'!F13</f>
        <v>DEV</v>
      </c>
      <c r="G13" s="65" t="str">
        <f aca="false">'Pod Library'!G13</f>
        <v>E2</v>
      </c>
      <c r="H13" s="65" t="str">
        <f aca="false">'Pod Library'!H13</f>
        <v>OFF</v>
      </c>
      <c r="I13" s="65" t="str">
        <f aca="false">'Pod Library'!I13</f>
        <v>MGCC</v>
      </c>
      <c r="J13" s="18" t="n">
        <f aca="false">'Pod Library'!J13</f>
        <v>1</v>
      </c>
      <c r="K13" s="18" t="n">
        <f aca="false">SUMIFS('Pod Plan'!$E:$E,'Pod Plan'!$B:$B,$A13,'Pod Plan'!$C:$C,$C13)</f>
        <v>5</v>
      </c>
      <c r="L13" s="58" t="n">
        <f aca="false">J13*K13</f>
        <v>5</v>
      </c>
      <c r="M13" s="62" t="n">
        <f aca="false">L13*INDEX('Logic Tree'!$J$73:$N$74,MATCH(H13,'Logic Tree'!$I$73:$I$74,0),MATCH(G13,'Logic Tree'!$J$72:$N$72,0))</f>
        <v>1.5</v>
      </c>
    </row>
    <row r="14" customFormat="false" ht="14.25" hidden="true" customHeight="true" outlineLevel="0" collapsed="false">
      <c r="A14" s="32" t="n">
        <v>1</v>
      </c>
      <c r="B14" s="31" t="s">
        <v>787</v>
      </c>
      <c r="C14" s="31" t="s">
        <v>177</v>
      </c>
      <c r="D14" s="31" t="s">
        <v>567</v>
      </c>
      <c r="E14" s="64" t="str">
        <f aca="false">'Pod Library'!E14</f>
        <v>QA Engineer — MGCC Hyderabad</v>
      </c>
      <c r="F14" s="65" t="str">
        <f aca="false">'Pod Library'!F14</f>
        <v>TEST</v>
      </c>
      <c r="G14" s="65" t="str">
        <f aca="false">'Pod Library'!G14</f>
        <v>E2</v>
      </c>
      <c r="H14" s="65" t="str">
        <f aca="false">'Pod Library'!H14</f>
        <v>OFF</v>
      </c>
      <c r="I14" s="65" t="str">
        <f aca="false">'Pod Library'!I14</f>
        <v>MGCC</v>
      </c>
      <c r="J14" s="18" t="n">
        <f aca="false">'Pod Library'!J14</f>
        <v>1</v>
      </c>
      <c r="K14" s="18" t="n">
        <f aca="false">SUMIFS('Pod Plan'!$E:$E,'Pod Plan'!$B:$B,$A14,'Pod Plan'!$C:$C,$C14)</f>
        <v>5</v>
      </c>
      <c r="L14" s="58" t="n">
        <f aca="false">J14*K14</f>
        <v>5</v>
      </c>
      <c r="M14" s="62" t="n">
        <f aca="false">L14*INDEX('Logic Tree'!$J$73:$N$74,MATCH(H14,'Logic Tree'!$I$73:$I$74,0),MATCH(G14,'Logic Tree'!$J$72:$N$72,0))</f>
        <v>1.5</v>
      </c>
    </row>
    <row r="15" customFormat="false" ht="14.25" hidden="true" customHeight="true" outlineLevel="0" collapsed="false">
      <c r="A15" s="32" t="n">
        <v>1</v>
      </c>
      <c r="B15" s="31" t="s">
        <v>787</v>
      </c>
      <c r="C15" s="31" t="s">
        <v>177</v>
      </c>
      <c r="D15" s="31" t="s">
        <v>582</v>
      </c>
      <c r="E15" s="64" t="str">
        <f aca="false">'Pod Library'!E16</f>
        <v>Pod Lead (output owner)</v>
      </c>
      <c r="F15" s="65" t="str">
        <f aca="false">'Pod Library'!F16</f>
        <v>LEAD</v>
      </c>
      <c r="G15" s="65" t="str">
        <f aca="false">'Pod Library'!G16</f>
        <v>E4</v>
      </c>
      <c r="H15" s="65" t="str">
        <f aca="false">'Pod Library'!H16</f>
        <v>ON</v>
      </c>
      <c r="I15" s="65" t="str">
        <f aca="false">'Pod Library'!I16</f>
        <v>FTC</v>
      </c>
      <c r="J15" s="18" t="n">
        <f aca="false">'Pod Library'!J16</f>
        <v>1</v>
      </c>
      <c r="K15" s="18" t="n">
        <f aca="false">SUMIFS('Pod Plan'!$F:$F,'Pod Plan'!$B:$B,$A15,'Pod Plan'!$C:$C,$C15)</f>
        <v>6</v>
      </c>
      <c r="L15" s="58" t="n">
        <f aca="false">J15*K15</f>
        <v>6</v>
      </c>
      <c r="M15" s="62" t="n">
        <f aca="false">L15*INDEX('Logic Tree'!$J$73:$N$74,MATCH(H15,'Logic Tree'!$I$73:$I$74,0),MATCH(G15,'Logic Tree'!$J$72:$N$72,0))</f>
        <v>11.1</v>
      </c>
    </row>
    <row r="16" customFormat="false" ht="14.25" hidden="true" customHeight="true" outlineLevel="0" collapsed="false">
      <c r="A16" s="32" t="n">
        <v>1</v>
      </c>
      <c r="B16" s="31" t="s">
        <v>787</v>
      </c>
      <c r="C16" s="31" t="s">
        <v>177</v>
      </c>
      <c r="D16" s="31" t="s">
        <v>582</v>
      </c>
      <c r="E16" s="64" t="str">
        <f aca="false">'Pod Library'!E17</f>
        <v>Solution Architect</v>
      </c>
      <c r="F16" s="65" t="str">
        <f aca="false">'Pod Library'!F17</f>
        <v>ENG</v>
      </c>
      <c r="G16" s="65" t="str">
        <f aca="false">'Pod Library'!G17</f>
        <v>E4</v>
      </c>
      <c r="H16" s="65" t="str">
        <f aca="false">'Pod Library'!H17</f>
        <v>ON</v>
      </c>
      <c r="I16" s="65" t="str">
        <f aca="false">'Pod Library'!I17</f>
        <v>FTC</v>
      </c>
      <c r="J16" s="18" t="n">
        <f aca="false">'Pod Library'!J17</f>
        <v>1</v>
      </c>
      <c r="K16" s="18" t="n">
        <f aca="false">SUMIFS('Pod Plan'!$F:$F,'Pod Plan'!$B:$B,$A16,'Pod Plan'!$C:$C,$C16)</f>
        <v>6</v>
      </c>
      <c r="L16" s="58" t="n">
        <f aca="false">J16*K16</f>
        <v>6</v>
      </c>
      <c r="M16" s="62" t="n">
        <f aca="false">L16*INDEX('Logic Tree'!$J$73:$N$74,MATCH(H16,'Logic Tree'!$I$73:$I$74,0),MATCH(G16,'Logic Tree'!$J$72:$N$72,0))</f>
        <v>11.1</v>
      </c>
    </row>
    <row r="17" customFormat="false" ht="14.25" hidden="true" customHeight="true" outlineLevel="0" collapsed="false">
      <c r="A17" s="32" t="n">
        <v>1</v>
      </c>
      <c r="B17" s="31" t="s">
        <v>787</v>
      </c>
      <c r="C17" s="31" t="s">
        <v>177</v>
      </c>
      <c r="D17" s="31" t="s">
        <v>582</v>
      </c>
      <c r="E17" s="64" t="str">
        <f aca="false">'Pod Library'!E18</f>
        <v>Senior Developer</v>
      </c>
      <c r="F17" s="65" t="str">
        <f aca="false">'Pod Library'!F18</f>
        <v>DEV</v>
      </c>
      <c r="G17" s="65" t="str">
        <f aca="false">'Pod Library'!G18</f>
        <v>E3</v>
      </c>
      <c r="H17" s="65" t="str">
        <f aca="false">'Pod Library'!H18</f>
        <v>ON</v>
      </c>
      <c r="I17" s="65" t="str">
        <f aca="false">'Pod Library'!I18</f>
        <v>FTC</v>
      </c>
      <c r="J17" s="18" t="n">
        <f aca="false">'Pod Library'!J18</f>
        <v>1</v>
      </c>
      <c r="K17" s="18" t="n">
        <f aca="false">SUMIFS('Pod Plan'!$F:$F,'Pod Plan'!$B:$B,$A17,'Pod Plan'!$C:$C,$C17)</f>
        <v>6</v>
      </c>
      <c r="L17" s="58" t="n">
        <f aca="false">J17*K17</f>
        <v>6</v>
      </c>
      <c r="M17" s="62" t="n">
        <f aca="false">L17*INDEX('Logic Tree'!$J$73:$N$74,MATCH(H17,'Logic Tree'!$I$73:$I$74,0),MATCH(G17,'Logic Tree'!$J$72:$N$72,0))</f>
        <v>8.1</v>
      </c>
    </row>
    <row r="18" customFormat="false" ht="14.25" hidden="true" customHeight="true" outlineLevel="0" collapsed="false">
      <c r="A18" s="32" t="n">
        <v>1</v>
      </c>
      <c r="B18" s="31" t="s">
        <v>787</v>
      </c>
      <c r="C18" s="31" t="s">
        <v>177</v>
      </c>
      <c r="D18" s="31" t="s">
        <v>582</v>
      </c>
      <c r="E18" s="64" t="str">
        <f aca="false">'Pod Library'!E19</f>
        <v>Developer</v>
      </c>
      <c r="F18" s="65" t="str">
        <f aca="false">'Pod Library'!F19</f>
        <v>DEV</v>
      </c>
      <c r="G18" s="65" t="str">
        <f aca="false">'Pod Library'!G19</f>
        <v>E2</v>
      </c>
      <c r="H18" s="65" t="str">
        <f aca="false">'Pod Library'!H19</f>
        <v>OFF</v>
      </c>
      <c r="I18" s="65" t="str">
        <f aca="false">'Pod Library'!I19</f>
        <v>FTC</v>
      </c>
      <c r="J18" s="18" t="n">
        <f aca="false">'Pod Library'!J19</f>
        <v>1</v>
      </c>
      <c r="K18" s="18" t="n">
        <f aca="false">SUMIFS('Pod Plan'!$F:$F,'Pod Plan'!$B:$B,$A18,'Pod Plan'!$C:$C,$C18)</f>
        <v>6</v>
      </c>
      <c r="L18" s="58" t="n">
        <f aca="false">J18*K18</f>
        <v>6</v>
      </c>
      <c r="M18" s="62" t="n">
        <f aca="false">L18*INDEX('Logic Tree'!$J$73:$N$74,MATCH(H18,'Logic Tree'!$I$73:$I$74,0),MATCH(G18,'Logic Tree'!$J$72:$N$72,0))</f>
        <v>1.8</v>
      </c>
    </row>
    <row r="19" customFormat="false" ht="14.25" hidden="true" customHeight="true" outlineLevel="0" collapsed="false">
      <c r="A19" s="32" t="n">
        <v>1</v>
      </c>
      <c r="B19" s="31" t="s">
        <v>787</v>
      </c>
      <c r="C19" s="31" t="s">
        <v>177</v>
      </c>
      <c r="D19" s="31" t="s">
        <v>582</v>
      </c>
      <c r="E19" s="64" t="str">
        <f aca="false">'Pod Library'!E20</f>
        <v>Developer</v>
      </c>
      <c r="F19" s="65" t="str">
        <f aca="false">'Pod Library'!F20</f>
        <v>DEV</v>
      </c>
      <c r="G19" s="65" t="str">
        <f aca="false">'Pod Library'!G20</f>
        <v>E2</v>
      </c>
      <c r="H19" s="65" t="str">
        <f aca="false">'Pod Library'!H20</f>
        <v>OFF</v>
      </c>
      <c r="I19" s="65" t="str">
        <f aca="false">'Pod Library'!I20</f>
        <v>FTC</v>
      </c>
      <c r="J19" s="18" t="n">
        <f aca="false">'Pod Library'!J20</f>
        <v>1</v>
      </c>
      <c r="K19" s="18" t="n">
        <f aca="false">SUMIFS('Pod Plan'!$F:$F,'Pod Plan'!$B:$B,$A19,'Pod Plan'!$C:$C,$C19)</f>
        <v>6</v>
      </c>
      <c r="L19" s="58" t="n">
        <f aca="false">J19*K19</f>
        <v>6</v>
      </c>
      <c r="M19" s="62" t="n">
        <f aca="false">L19*INDEX('Logic Tree'!$J$73:$N$74,MATCH(H19,'Logic Tree'!$I$73:$I$74,0),MATCH(G19,'Logic Tree'!$J$72:$N$72,0))</f>
        <v>1.8</v>
      </c>
    </row>
    <row r="20" customFormat="false" ht="14.25" hidden="true" customHeight="true" outlineLevel="0" collapsed="false">
      <c r="A20" s="32" t="n">
        <v>1</v>
      </c>
      <c r="B20" s="31" t="s">
        <v>787</v>
      </c>
      <c r="C20" s="31" t="s">
        <v>177</v>
      </c>
      <c r="D20" s="31" t="s">
        <v>582</v>
      </c>
      <c r="E20" s="64" t="str">
        <f aca="false">'Pod Library'!E21</f>
        <v>Test Lead</v>
      </c>
      <c r="F20" s="65" t="str">
        <f aca="false">'Pod Library'!F21</f>
        <v>TEST</v>
      </c>
      <c r="G20" s="65" t="str">
        <f aca="false">'Pod Library'!G21</f>
        <v>E3</v>
      </c>
      <c r="H20" s="65" t="str">
        <f aca="false">'Pod Library'!H21</f>
        <v>ON</v>
      </c>
      <c r="I20" s="65" t="str">
        <f aca="false">'Pod Library'!I21</f>
        <v>FTC</v>
      </c>
      <c r="J20" s="18" t="n">
        <f aca="false">'Pod Library'!J21</f>
        <v>1</v>
      </c>
      <c r="K20" s="18" t="n">
        <f aca="false">SUMIFS('Pod Plan'!$F:$F,'Pod Plan'!$B:$B,$A20,'Pod Plan'!$C:$C,$C20)</f>
        <v>6</v>
      </c>
      <c r="L20" s="58" t="n">
        <f aca="false">J20*K20</f>
        <v>6</v>
      </c>
      <c r="M20" s="62" t="n">
        <f aca="false">L20*INDEX('Logic Tree'!$J$73:$N$74,MATCH(H20,'Logic Tree'!$I$73:$I$74,0),MATCH(G20,'Logic Tree'!$J$72:$N$72,0))</f>
        <v>8.1</v>
      </c>
    </row>
    <row r="21" customFormat="false" ht="14.25" hidden="true" customHeight="true" outlineLevel="0" collapsed="false">
      <c r="A21" s="32" t="n">
        <v>1</v>
      </c>
      <c r="B21" s="31" t="s">
        <v>787</v>
      </c>
      <c r="C21" s="31" t="s">
        <v>177</v>
      </c>
      <c r="D21" s="31" t="s">
        <v>582</v>
      </c>
      <c r="E21" s="64" t="str">
        <f aca="false">'Pod Library'!E22</f>
        <v>Developer — MGCC Hyderabad</v>
      </c>
      <c r="F21" s="65" t="str">
        <f aca="false">'Pod Library'!F22</f>
        <v>DEV</v>
      </c>
      <c r="G21" s="65" t="str">
        <f aca="false">'Pod Library'!G22</f>
        <v>E3</v>
      </c>
      <c r="H21" s="65" t="str">
        <f aca="false">'Pod Library'!H22</f>
        <v>OFF</v>
      </c>
      <c r="I21" s="65" t="str">
        <f aca="false">'Pod Library'!I22</f>
        <v>MGCC</v>
      </c>
      <c r="J21" s="18" t="n">
        <f aca="false">'Pod Library'!J22</f>
        <v>1</v>
      </c>
      <c r="K21" s="18" t="n">
        <f aca="false">SUMIFS('Pod Plan'!$F:$F,'Pod Plan'!$B:$B,$A21,'Pod Plan'!$C:$C,$C21)</f>
        <v>6</v>
      </c>
      <c r="L21" s="58" t="n">
        <f aca="false">J21*K21</f>
        <v>6</v>
      </c>
      <c r="M21" s="62" t="n">
        <f aca="false">L21*INDEX('Logic Tree'!$J$73:$N$74,MATCH(H21,'Logic Tree'!$I$73:$I$74,0),MATCH(G21,'Logic Tree'!$J$72:$N$72,0))</f>
        <v>2.52</v>
      </c>
    </row>
    <row r="22" customFormat="false" ht="14.25" hidden="true" customHeight="true" outlineLevel="0" collapsed="false">
      <c r="A22" s="32" t="n">
        <v>1</v>
      </c>
      <c r="B22" s="31" t="s">
        <v>787</v>
      </c>
      <c r="C22" s="31" t="s">
        <v>177</v>
      </c>
      <c r="D22" s="31" t="s">
        <v>582</v>
      </c>
      <c r="E22" s="64" t="str">
        <f aca="false">'Pod Library'!E23</f>
        <v>Developer — MGCC Hyderabad</v>
      </c>
      <c r="F22" s="65" t="str">
        <f aca="false">'Pod Library'!F23</f>
        <v>DEV</v>
      </c>
      <c r="G22" s="65" t="str">
        <f aca="false">'Pod Library'!G23</f>
        <v>E2</v>
      </c>
      <c r="H22" s="65" t="str">
        <f aca="false">'Pod Library'!H23</f>
        <v>OFF</v>
      </c>
      <c r="I22" s="65" t="str">
        <f aca="false">'Pod Library'!I23</f>
        <v>MGCC</v>
      </c>
      <c r="J22" s="18" t="n">
        <f aca="false">'Pod Library'!J23</f>
        <v>1</v>
      </c>
      <c r="K22" s="18" t="n">
        <f aca="false">SUMIFS('Pod Plan'!$F:$F,'Pod Plan'!$B:$B,$A22,'Pod Plan'!$C:$C,$C22)</f>
        <v>6</v>
      </c>
      <c r="L22" s="58" t="n">
        <f aca="false">J22*K22</f>
        <v>6</v>
      </c>
      <c r="M22" s="62" t="n">
        <f aca="false">L22*INDEX('Logic Tree'!$J$73:$N$74,MATCH(H22,'Logic Tree'!$I$73:$I$74,0),MATCH(G22,'Logic Tree'!$J$72:$N$72,0))</f>
        <v>1.8</v>
      </c>
    </row>
    <row r="23" customFormat="false" ht="14.25" hidden="true" customHeight="true" outlineLevel="0" collapsed="false">
      <c r="A23" s="32" t="n">
        <v>1</v>
      </c>
      <c r="B23" s="31" t="s">
        <v>787</v>
      </c>
      <c r="C23" s="31" t="s">
        <v>177</v>
      </c>
      <c r="D23" s="31" t="s">
        <v>582</v>
      </c>
      <c r="E23" s="64" t="str">
        <f aca="false">'Pod Library'!E24</f>
        <v>Developer — MGCC Hyderabad</v>
      </c>
      <c r="F23" s="65" t="str">
        <f aca="false">'Pod Library'!F24</f>
        <v>DEV</v>
      </c>
      <c r="G23" s="65" t="str">
        <f aca="false">'Pod Library'!G24</f>
        <v>E2</v>
      </c>
      <c r="H23" s="65" t="str">
        <f aca="false">'Pod Library'!H24</f>
        <v>OFF</v>
      </c>
      <c r="I23" s="65" t="str">
        <f aca="false">'Pod Library'!I24</f>
        <v>MGCC</v>
      </c>
      <c r="J23" s="18" t="n">
        <f aca="false">'Pod Library'!J24</f>
        <v>1</v>
      </c>
      <c r="K23" s="18" t="n">
        <f aca="false">SUMIFS('Pod Plan'!$F:$F,'Pod Plan'!$B:$B,$A23,'Pod Plan'!$C:$C,$C23)</f>
        <v>6</v>
      </c>
      <c r="L23" s="58" t="n">
        <f aca="false">J23*K23</f>
        <v>6</v>
      </c>
      <c r="M23" s="62" t="n">
        <f aca="false">L23*INDEX('Logic Tree'!$J$73:$N$74,MATCH(H23,'Logic Tree'!$I$73:$I$74,0),MATCH(G23,'Logic Tree'!$J$72:$N$72,0))</f>
        <v>1.8</v>
      </c>
    </row>
    <row r="24" customFormat="false" ht="14.25" hidden="true" customHeight="true" outlineLevel="0" collapsed="false">
      <c r="A24" s="32" t="n">
        <v>1</v>
      </c>
      <c r="B24" s="31" t="s">
        <v>787</v>
      </c>
      <c r="C24" s="31" t="s">
        <v>177</v>
      </c>
      <c r="D24" s="31" t="s">
        <v>582</v>
      </c>
      <c r="E24" s="64" t="str">
        <f aca="false">'Pod Library'!E25</f>
        <v>QA Engineer — MGCC Hyderabad</v>
      </c>
      <c r="F24" s="65" t="str">
        <f aca="false">'Pod Library'!F25</f>
        <v>TEST</v>
      </c>
      <c r="G24" s="65" t="str">
        <f aca="false">'Pod Library'!G25</f>
        <v>E2</v>
      </c>
      <c r="H24" s="65" t="str">
        <f aca="false">'Pod Library'!H25</f>
        <v>OFF</v>
      </c>
      <c r="I24" s="65" t="str">
        <f aca="false">'Pod Library'!I25</f>
        <v>MGCC</v>
      </c>
      <c r="J24" s="18" t="n">
        <f aca="false">'Pod Library'!J25</f>
        <v>1</v>
      </c>
      <c r="K24" s="18" t="n">
        <f aca="false">SUMIFS('Pod Plan'!$F:$F,'Pod Plan'!$B:$B,$A24,'Pod Plan'!$C:$C,$C24)</f>
        <v>6</v>
      </c>
      <c r="L24" s="58" t="n">
        <f aca="false">J24*K24</f>
        <v>6</v>
      </c>
      <c r="M24" s="62" t="n">
        <f aca="false">L24*INDEX('Logic Tree'!$J$73:$N$74,MATCH(H24,'Logic Tree'!$I$73:$I$74,0),MATCH(G24,'Logic Tree'!$J$72:$N$72,0))</f>
        <v>1.8</v>
      </c>
    </row>
    <row r="25" customFormat="false" ht="14.25" hidden="true" customHeight="true" outlineLevel="0" collapsed="false">
      <c r="A25" s="32" t="n">
        <v>1</v>
      </c>
      <c r="B25" s="31" t="s">
        <v>787</v>
      </c>
      <c r="C25" s="31" t="s">
        <v>187</v>
      </c>
      <c r="D25" s="31" t="s">
        <v>567</v>
      </c>
      <c r="E25" s="64" t="str">
        <f aca="false">'Pod Library'!E28</f>
        <v>Product Owner</v>
      </c>
      <c r="F25" s="65" t="str">
        <f aca="false">'Pod Library'!F28</f>
        <v>LEAD</v>
      </c>
      <c r="G25" s="65" t="str">
        <f aca="false">'Pod Library'!G28</f>
        <v>E4</v>
      </c>
      <c r="H25" s="65" t="str">
        <f aca="false">'Pod Library'!H28</f>
        <v>ON</v>
      </c>
      <c r="I25" s="65" t="str">
        <f aca="false">'Pod Library'!I28</f>
        <v>FTE</v>
      </c>
      <c r="J25" s="18" t="n">
        <f aca="false">'Pod Library'!J28</f>
        <v>1</v>
      </c>
      <c r="K25" s="18" t="n">
        <f aca="false">SUMIFS('Pod Plan'!$E:$E,'Pod Plan'!$B:$B,$A25,'Pod Plan'!$C:$C,$C25)</f>
        <v>3</v>
      </c>
      <c r="L25" s="58" t="n">
        <f aca="false">J25*K25</f>
        <v>3</v>
      </c>
      <c r="M25" s="62" t="n">
        <f aca="false">L25*INDEX('Logic Tree'!$J$73:$N$74,MATCH(H25,'Logic Tree'!$I$73:$I$74,0),MATCH(G25,'Logic Tree'!$J$72:$N$72,0))</f>
        <v>5.55</v>
      </c>
    </row>
    <row r="26" customFormat="false" ht="14.25" hidden="true" customHeight="true" outlineLevel="0" collapsed="false">
      <c r="A26" s="32" t="n">
        <v>1</v>
      </c>
      <c r="B26" s="31" t="s">
        <v>787</v>
      </c>
      <c r="C26" s="31" t="s">
        <v>187</v>
      </c>
      <c r="D26" s="31" t="s">
        <v>567</v>
      </c>
      <c r="E26" s="64" t="str">
        <f aca="false">'Pod Library'!E29</f>
        <v>Integration SME</v>
      </c>
      <c r="F26" s="65" t="str">
        <f aca="false">'Pod Library'!F29</f>
        <v>BA</v>
      </c>
      <c r="G26" s="65" t="str">
        <f aca="false">'Pod Library'!G29</f>
        <v>E4</v>
      </c>
      <c r="H26" s="65" t="str">
        <f aca="false">'Pod Library'!H29</f>
        <v>ON</v>
      </c>
      <c r="I26" s="65" t="str">
        <f aca="false">'Pod Library'!I29</f>
        <v>FTE</v>
      </c>
      <c r="J26" s="18" t="n">
        <f aca="false">'Pod Library'!J29</f>
        <v>1</v>
      </c>
      <c r="K26" s="18" t="n">
        <f aca="false">SUMIFS('Pod Plan'!$E:$E,'Pod Plan'!$B:$B,$A26,'Pod Plan'!$C:$C,$C26)</f>
        <v>3</v>
      </c>
      <c r="L26" s="58" t="n">
        <f aca="false">J26*K26</f>
        <v>3</v>
      </c>
      <c r="M26" s="62" t="n">
        <f aca="false">L26*INDEX('Logic Tree'!$J$73:$N$74,MATCH(H26,'Logic Tree'!$I$73:$I$74,0),MATCH(G26,'Logic Tree'!$J$72:$N$72,0))</f>
        <v>5.55</v>
      </c>
    </row>
    <row r="27" customFormat="false" ht="14.25" hidden="true" customHeight="true" outlineLevel="0" collapsed="false">
      <c r="A27" s="32" t="n">
        <v>1</v>
      </c>
      <c r="B27" s="31" t="s">
        <v>787</v>
      </c>
      <c r="C27" s="31" t="s">
        <v>187</v>
      </c>
      <c r="D27" s="31" t="s">
        <v>567</v>
      </c>
      <c r="E27" s="64" t="str">
        <f aca="false">'Pod Library'!E30</f>
        <v>Application Owner (Technical)</v>
      </c>
      <c r="F27" s="65" t="str">
        <f aca="false">'Pod Library'!F30</f>
        <v>ENG</v>
      </c>
      <c r="G27" s="65" t="str">
        <f aca="false">'Pod Library'!G30</f>
        <v>E4</v>
      </c>
      <c r="H27" s="65" t="str">
        <f aca="false">'Pod Library'!H30</f>
        <v>ON</v>
      </c>
      <c r="I27" s="65" t="str">
        <f aca="false">'Pod Library'!I30</f>
        <v>FTE</v>
      </c>
      <c r="J27" s="18" t="n">
        <f aca="false">'Pod Library'!J30</f>
        <v>1</v>
      </c>
      <c r="K27" s="18" t="n">
        <f aca="false">SUMIFS('Pod Plan'!$E:$E,'Pod Plan'!$B:$B,$A27,'Pod Plan'!$C:$C,$C27)</f>
        <v>3</v>
      </c>
      <c r="L27" s="58" t="n">
        <f aca="false">J27*K27</f>
        <v>3</v>
      </c>
      <c r="M27" s="62" t="n">
        <f aca="false">L27*INDEX('Logic Tree'!$J$73:$N$74,MATCH(H27,'Logic Tree'!$I$73:$I$74,0),MATCH(G27,'Logic Tree'!$J$72:$N$72,0))</f>
        <v>5.55</v>
      </c>
    </row>
    <row r="28" customFormat="false" ht="14.25" hidden="true" customHeight="true" outlineLevel="0" collapsed="false">
      <c r="A28" s="32" t="n">
        <v>1</v>
      </c>
      <c r="B28" s="31" t="s">
        <v>787</v>
      </c>
      <c r="C28" s="31" t="s">
        <v>187</v>
      </c>
      <c r="D28" s="31" t="s">
        <v>567</v>
      </c>
      <c r="E28" s="64" t="str">
        <f aca="false">'Pod Library'!E31</f>
        <v>Pod Delivery Lead</v>
      </c>
      <c r="F28" s="65" t="str">
        <f aca="false">'Pod Library'!F31</f>
        <v>LEAD</v>
      </c>
      <c r="G28" s="65" t="str">
        <f aca="false">'Pod Library'!G31</f>
        <v>E4</v>
      </c>
      <c r="H28" s="65" t="str">
        <f aca="false">'Pod Library'!H31</f>
        <v>ON</v>
      </c>
      <c r="I28" s="65" t="str">
        <f aca="false">'Pod Library'!I31</f>
        <v>FTC</v>
      </c>
      <c r="J28" s="18" t="n">
        <f aca="false">'Pod Library'!J31</f>
        <v>1</v>
      </c>
      <c r="K28" s="18" t="n">
        <f aca="false">SUMIFS('Pod Plan'!$E:$E,'Pod Plan'!$B:$B,$A28,'Pod Plan'!$C:$C,$C28)</f>
        <v>3</v>
      </c>
      <c r="L28" s="58" t="n">
        <f aca="false">J28*K28</f>
        <v>3</v>
      </c>
      <c r="M28" s="62" t="n">
        <f aca="false">L28*INDEX('Logic Tree'!$J$73:$N$74,MATCH(H28,'Logic Tree'!$I$73:$I$74,0),MATCH(G28,'Logic Tree'!$J$72:$N$72,0))</f>
        <v>5.55</v>
      </c>
    </row>
    <row r="29" customFormat="false" ht="14.25" hidden="true" customHeight="true" outlineLevel="0" collapsed="false">
      <c r="A29" s="32" t="n">
        <v>1</v>
      </c>
      <c r="B29" s="31" t="s">
        <v>787</v>
      </c>
      <c r="C29" s="31" t="s">
        <v>187</v>
      </c>
      <c r="D29" s="31" t="s">
        <v>567</v>
      </c>
      <c r="E29" s="64" t="str">
        <f aca="false">'Pod Library'!E32</f>
        <v>Senior Developer — MGCC Hyderabad</v>
      </c>
      <c r="F29" s="65" t="str">
        <f aca="false">'Pod Library'!F32</f>
        <v>DEV</v>
      </c>
      <c r="G29" s="65" t="str">
        <f aca="false">'Pod Library'!G32</f>
        <v>E3</v>
      </c>
      <c r="H29" s="65" t="str">
        <f aca="false">'Pod Library'!H32</f>
        <v>OFF</v>
      </c>
      <c r="I29" s="65" t="str">
        <f aca="false">'Pod Library'!I32</f>
        <v>MGCC</v>
      </c>
      <c r="J29" s="18" t="n">
        <f aca="false">'Pod Library'!J32</f>
        <v>1</v>
      </c>
      <c r="K29" s="18" t="n">
        <f aca="false">SUMIFS('Pod Plan'!$E:$E,'Pod Plan'!$B:$B,$A29,'Pod Plan'!$C:$C,$C29)</f>
        <v>3</v>
      </c>
      <c r="L29" s="58" t="n">
        <f aca="false">J29*K29</f>
        <v>3</v>
      </c>
      <c r="M29" s="62" t="n">
        <f aca="false">L29*INDEX('Logic Tree'!$J$73:$N$74,MATCH(H29,'Logic Tree'!$I$73:$I$74,0),MATCH(G29,'Logic Tree'!$J$72:$N$72,0))</f>
        <v>1.26</v>
      </c>
    </row>
    <row r="30" customFormat="false" ht="14.25" hidden="true" customHeight="true" outlineLevel="0" collapsed="false">
      <c r="A30" s="32" t="n">
        <v>1</v>
      </c>
      <c r="B30" s="31" t="s">
        <v>787</v>
      </c>
      <c r="C30" s="31" t="s">
        <v>187</v>
      </c>
      <c r="D30" s="31" t="s">
        <v>567</v>
      </c>
      <c r="E30" s="64" t="str">
        <f aca="false">'Pod Library'!E33</f>
        <v>QA / Test Engineer</v>
      </c>
      <c r="F30" s="65" t="str">
        <f aca="false">'Pod Library'!F33</f>
        <v>TEST</v>
      </c>
      <c r="G30" s="65" t="str">
        <f aca="false">'Pod Library'!G33</f>
        <v>E2</v>
      </c>
      <c r="H30" s="65" t="str">
        <f aca="false">'Pod Library'!H33</f>
        <v>OFF</v>
      </c>
      <c r="I30" s="65" t="str">
        <f aca="false">'Pod Library'!I33</f>
        <v>FTC</v>
      </c>
      <c r="J30" s="18" t="n">
        <f aca="false">'Pod Library'!J33</f>
        <v>1</v>
      </c>
      <c r="K30" s="18" t="n">
        <f aca="false">SUMIFS('Pod Plan'!$E:$E,'Pod Plan'!$B:$B,$A30,'Pod Plan'!$C:$C,$C30)</f>
        <v>3</v>
      </c>
      <c r="L30" s="58" t="n">
        <f aca="false">J30*K30</f>
        <v>3</v>
      </c>
      <c r="M30" s="62" t="n">
        <f aca="false">L30*INDEX('Logic Tree'!$J$73:$N$74,MATCH(H30,'Logic Tree'!$I$73:$I$74,0),MATCH(G30,'Logic Tree'!$J$72:$N$72,0))</f>
        <v>0.9</v>
      </c>
    </row>
    <row r="31" customFormat="false" ht="14.25" hidden="true" customHeight="true" outlineLevel="0" collapsed="false">
      <c r="A31" s="32" t="n">
        <v>1</v>
      </c>
      <c r="B31" s="31" t="s">
        <v>787</v>
      </c>
      <c r="C31" s="31" t="s">
        <v>187</v>
      </c>
      <c r="D31" s="31" t="s">
        <v>582</v>
      </c>
      <c r="E31" s="64" t="str">
        <f aca="false">'Pod Library'!E35</f>
        <v>Pod Lead (output owner)</v>
      </c>
      <c r="F31" s="65" t="str">
        <f aca="false">'Pod Library'!F35</f>
        <v>LEAD</v>
      </c>
      <c r="G31" s="65" t="str">
        <f aca="false">'Pod Library'!G35</f>
        <v>E4</v>
      </c>
      <c r="H31" s="65" t="str">
        <f aca="false">'Pod Library'!H35</f>
        <v>ON</v>
      </c>
      <c r="I31" s="65" t="str">
        <f aca="false">'Pod Library'!I35</f>
        <v>FTC</v>
      </c>
      <c r="J31" s="18" t="n">
        <f aca="false">'Pod Library'!J35</f>
        <v>1</v>
      </c>
      <c r="K31" s="18" t="n">
        <f aca="false">SUMIFS('Pod Plan'!$F:$F,'Pod Plan'!$B:$B,$A31,'Pod Plan'!$C:$C,$C31)</f>
        <v>8</v>
      </c>
      <c r="L31" s="58" t="n">
        <f aca="false">J31*K31</f>
        <v>8</v>
      </c>
      <c r="M31" s="62" t="n">
        <f aca="false">L31*INDEX('Logic Tree'!$J$73:$N$74,MATCH(H31,'Logic Tree'!$I$73:$I$74,0),MATCH(G31,'Logic Tree'!$J$72:$N$72,0))</f>
        <v>14.8</v>
      </c>
    </row>
    <row r="32" customFormat="false" ht="14.25" hidden="true" customHeight="true" outlineLevel="0" collapsed="false">
      <c r="A32" s="32" t="n">
        <v>1</v>
      </c>
      <c r="B32" s="31" t="s">
        <v>787</v>
      </c>
      <c r="C32" s="31" t="s">
        <v>187</v>
      </c>
      <c r="D32" s="31" t="s">
        <v>582</v>
      </c>
      <c r="E32" s="64" t="str">
        <f aca="false">'Pod Library'!E36</f>
        <v>Developer</v>
      </c>
      <c r="F32" s="65" t="str">
        <f aca="false">'Pod Library'!F36</f>
        <v>DEV</v>
      </c>
      <c r="G32" s="65" t="str">
        <f aca="false">'Pod Library'!G36</f>
        <v>E3</v>
      </c>
      <c r="H32" s="65" t="str">
        <f aca="false">'Pod Library'!H36</f>
        <v>OFF</v>
      </c>
      <c r="I32" s="65" t="str">
        <f aca="false">'Pod Library'!I36</f>
        <v>FTC</v>
      </c>
      <c r="J32" s="18" t="n">
        <f aca="false">'Pod Library'!J36</f>
        <v>1</v>
      </c>
      <c r="K32" s="18" t="n">
        <f aca="false">SUMIFS('Pod Plan'!$F:$F,'Pod Plan'!$B:$B,$A32,'Pod Plan'!$C:$C,$C32)</f>
        <v>8</v>
      </c>
      <c r="L32" s="58" t="n">
        <f aca="false">J32*K32</f>
        <v>8</v>
      </c>
      <c r="M32" s="62" t="n">
        <f aca="false">L32*INDEX('Logic Tree'!$J$73:$N$74,MATCH(H32,'Logic Tree'!$I$73:$I$74,0),MATCH(G32,'Logic Tree'!$J$72:$N$72,0))</f>
        <v>3.36</v>
      </c>
    </row>
    <row r="33" customFormat="false" ht="14.25" hidden="true" customHeight="true" outlineLevel="0" collapsed="false">
      <c r="A33" s="32" t="n">
        <v>1</v>
      </c>
      <c r="B33" s="31" t="s">
        <v>787</v>
      </c>
      <c r="C33" s="31" t="s">
        <v>187</v>
      </c>
      <c r="D33" s="31" t="s">
        <v>582</v>
      </c>
      <c r="E33" s="64" t="str">
        <f aca="false">'Pod Library'!E37</f>
        <v>Developer — MGCC Hyderabad</v>
      </c>
      <c r="F33" s="65" t="str">
        <f aca="false">'Pod Library'!F37</f>
        <v>DEV</v>
      </c>
      <c r="G33" s="65" t="str">
        <f aca="false">'Pod Library'!G37</f>
        <v>E2</v>
      </c>
      <c r="H33" s="65" t="str">
        <f aca="false">'Pod Library'!H37</f>
        <v>OFF</v>
      </c>
      <c r="I33" s="65" t="str">
        <f aca="false">'Pod Library'!I37</f>
        <v>MGCC</v>
      </c>
      <c r="J33" s="18" t="n">
        <f aca="false">'Pod Library'!J37</f>
        <v>1</v>
      </c>
      <c r="K33" s="18" t="n">
        <f aca="false">SUMIFS('Pod Plan'!$F:$F,'Pod Plan'!$B:$B,$A33,'Pod Plan'!$C:$C,$C33)</f>
        <v>8</v>
      </c>
      <c r="L33" s="58" t="n">
        <f aca="false">J33*K33</f>
        <v>8</v>
      </c>
      <c r="M33" s="62" t="n">
        <f aca="false">L33*INDEX('Logic Tree'!$J$73:$N$74,MATCH(H33,'Logic Tree'!$I$73:$I$74,0),MATCH(G33,'Logic Tree'!$J$72:$N$72,0))</f>
        <v>2.4</v>
      </c>
    </row>
    <row r="34" customFormat="false" ht="14.25" hidden="true" customHeight="true" outlineLevel="0" collapsed="false">
      <c r="A34" s="32" t="n">
        <v>1</v>
      </c>
      <c r="B34" s="31" t="s">
        <v>787</v>
      </c>
      <c r="C34" s="31" t="s">
        <v>187</v>
      </c>
      <c r="D34" s="31" t="s">
        <v>582</v>
      </c>
      <c r="E34" s="64" t="str">
        <f aca="false">'Pod Library'!E38</f>
        <v>QA Engineer</v>
      </c>
      <c r="F34" s="65" t="str">
        <f aca="false">'Pod Library'!F38</f>
        <v>TEST</v>
      </c>
      <c r="G34" s="65" t="str">
        <f aca="false">'Pod Library'!G38</f>
        <v>E2</v>
      </c>
      <c r="H34" s="65" t="str">
        <f aca="false">'Pod Library'!H38</f>
        <v>OFF</v>
      </c>
      <c r="I34" s="65" t="str">
        <f aca="false">'Pod Library'!I38</f>
        <v>FTC</v>
      </c>
      <c r="J34" s="18" t="n">
        <f aca="false">'Pod Library'!J38</f>
        <v>1</v>
      </c>
      <c r="K34" s="18" t="n">
        <f aca="false">SUMIFS('Pod Plan'!$F:$F,'Pod Plan'!$B:$B,$A34,'Pod Plan'!$C:$C,$C34)</f>
        <v>8</v>
      </c>
      <c r="L34" s="58" t="n">
        <f aca="false">J34*K34</f>
        <v>8</v>
      </c>
      <c r="M34" s="62" t="n">
        <f aca="false">L34*INDEX('Logic Tree'!$J$73:$N$74,MATCH(H34,'Logic Tree'!$I$73:$I$74,0),MATCH(G34,'Logic Tree'!$J$72:$N$72,0))</f>
        <v>2.4</v>
      </c>
    </row>
    <row r="35" customFormat="false" ht="14.25" hidden="true" customHeight="true" outlineLevel="0" collapsed="false">
      <c r="A35" s="32" t="n">
        <v>1</v>
      </c>
      <c r="B35" s="31" t="s">
        <v>787</v>
      </c>
      <c r="C35" s="31" t="s">
        <v>197</v>
      </c>
      <c r="D35" s="31" t="s">
        <v>582</v>
      </c>
      <c r="E35" s="64" t="str">
        <f aca="false">'Pod Library'!E41</f>
        <v>Pod Lead (output owner)</v>
      </c>
      <c r="F35" s="65" t="str">
        <f aca="false">'Pod Library'!F41</f>
        <v>LEAD</v>
      </c>
      <c r="G35" s="65" t="str">
        <f aca="false">'Pod Library'!G41</f>
        <v>E4</v>
      </c>
      <c r="H35" s="65" t="str">
        <f aca="false">'Pod Library'!H41</f>
        <v>ON</v>
      </c>
      <c r="I35" s="65" t="str">
        <f aca="false">'Pod Library'!I41</f>
        <v>FTC</v>
      </c>
      <c r="J35" s="18" t="n">
        <f aca="false">'Pod Library'!J41</f>
        <v>1</v>
      </c>
      <c r="K35" s="18" t="n">
        <f aca="false">SUMIFS('Pod Plan'!$F:$F,'Pod Plan'!$B:$B,$A35,'Pod Plan'!$C:$C,$C35)</f>
        <v>1</v>
      </c>
      <c r="L35" s="58" t="n">
        <f aca="false">J35*K35</f>
        <v>1</v>
      </c>
      <c r="M35" s="62" t="n">
        <f aca="false">L35*INDEX('Logic Tree'!$J$73:$N$74,MATCH(H35,'Logic Tree'!$I$73:$I$74,0),MATCH(G35,'Logic Tree'!$J$72:$N$72,0))</f>
        <v>1.85</v>
      </c>
    </row>
    <row r="36" customFormat="false" ht="14.25" hidden="true" customHeight="true" outlineLevel="0" collapsed="false">
      <c r="A36" s="32" t="n">
        <v>1</v>
      </c>
      <c r="B36" s="31" t="s">
        <v>787</v>
      </c>
      <c r="C36" s="31" t="s">
        <v>197</v>
      </c>
      <c r="D36" s="31" t="s">
        <v>582</v>
      </c>
      <c r="E36" s="64" t="str">
        <f aca="false">'Pod Library'!E42</f>
        <v>Developer — MGCC Hyderabad</v>
      </c>
      <c r="F36" s="65" t="str">
        <f aca="false">'Pod Library'!F42</f>
        <v>DEV</v>
      </c>
      <c r="G36" s="65" t="str">
        <f aca="false">'Pod Library'!G42</f>
        <v>E3</v>
      </c>
      <c r="H36" s="65" t="str">
        <f aca="false">'Pod Library'!H42</f>
        <v>OFF</v>
      </c>
      <c r="I36" s="65" t="str">
        <f aca="false">'Pod Library'!I42</f>
        <v>MGCC</v>
      </c>
      <c r="J36" s="18" t="n">
        <f aca="false">'Pod Library'!J42</f>
        <v>1</v>
      </c>
      <c r="K36" s="18" t="n">
        <f aca="false">SUMIFS('Pod Plan'!$F:$F,'Pod Plan'!$B:$B,$A36,'Pod Plan'!$C:$C,$C36)</f>
        <v>1</v>
      </c>
      <c r="L36" s="58" t="n">
        <f aca="false">J36*K36</f>
        <v>1</v>
      </c>
      <c r="M36" s="62" t="n">
        <f aca="false">L36*INDEX('Logic Tree'!$J$73:$N$74,MATCH(H36,'Logic Tree'!$I$73:$I$74,0),MATCH(G36,'Logic Tree'!$J$72:$N$72,0))</f>
        <v>0.42</v>
      </c>
    </row>
    <row r="37" customFormat="false" ht="14.25" hidden="true" customHeight="true" outlineLevel="0" collapsed="false">
      <c r="A37" s="32" t="n">
        <v>1</v>
      </c>
      <c r="B37" s="31" t="s">
        <v>787</v>
      </c>
      <c r="C37" s="31" t="s">
        <v>197</v>
      </c>
      <c r="D37" s="31" t="s">
        <v>582</v>
      </c>
      <c r="E37" s="64" t="str">
        <f aca="false">'Pod Library'!E43</f>
        <v>QA Engineer</v>
      </c>
      <c r="F37" s="65" t="str">
        <f aca="false">'Pod Library'!F43</f>
        <v>TEST</v>
      </c>
      <c r="G37" s="65" t="str">
        <f aca="false">'Pod Library'!G43</f>
        <v>E2</v>
      </c>
      <c r="H37" s="65" t="str">
        <f aca="false">'Pod Library'!H43</f>
        <v>OFF</v>
      </c>
      <c r="I37" s="65" t="str">
        <f aca="false">'Pod Library'!I43</f>
        <v>FTC</v>
      </c>
      <c r="J37" s="18" t="n">
        <f aca="false">'Pod Library'!J43</f>
        <v>1</v>
      </c>
      <c r="K37" s="18" t="n">
        <f aca="false">SUMIFS('Pod Plan'!$F:$F,'Pod Plan'!$B:$B,$A37,'Pod Plan'!$C:$C,$C37)</f>
        <v>1</v>
      </c>
      <c r="L37" s="58" t="n">
        <f aca="false">J37*K37</f>
        <v>1</v>
      </c>
      <c r="M37" s="62" t="n">
        <f aca="false">L37*INDEX('Logic Tree'!$J$73:$N$74,MATCH(H37,'Logic Tree'!$I$73:$I$74,0),MATCH(G37,'Logic Tree'!$J$72:$N$72,0))</f>
        <v>0.3</v>
      </c>
    </row>
    <row r="38" customFormat="false" ht="14.25" hidden="true" customHeight="true" outlineLevel="0" collapsed="false">
      <c r="A38" s="32" t="n">
        <v>1</v>
      </c>
      <c r="B38" s="31" t="s">
        <v>787</v>
      </c>
      <c r="C38" s="31" t="s">
        <v>192</v>
      </c>
      <c r="D38" s="31" t="s">
        <v>567</v>
      </c>
      <c r="E38" s="64" t="str">
        <f aca="false">'Pod Library'!E46</f>
        <v>Product Owner</v>
      </c>
      <c r="F38" s="65" t="str">
        <f aca="false">'Pod Library'!F46</f>
        <v>LEAD</v>
      </c>
      <c r="G38" s="65" t="str">
        <f aca="false">'Pod Library'!G46</f>
        <v>E4</v>
      </c>
      <c r="H38" s="65" t="str">
        <f aca="false">'Pod Library'!H46</f>
        <v>ON</v>
      </c>
      <c r="I38" s="65" t="str">
        <f aca="false">'Pod Library'!I46</f>
        <v>FTE</v>
      </c>
      <c r="J38" s="18" t="n">
        <f aca="false">'Pod Library'!J46</f>
        <v>1</v>
      </c>
      <c r="K38" s="18" t="n">
        <f aca="false">SUMIFS('Pod Plan'!$E:$E,'Pod Plan'!$B:$B,$A38,'Pod Plan'!$C:$C,$C38)</f>
        <v>2</v>
      </c>
      <c r="L38" s="58" t="n">
        <f aca="false">J38*K38</f>
        <v>2</v>
      </c>
      <c r="M38" s="62" t="n">
        <f aca="false">L38*INDEX('Logic Tree'!$J$73:$N$74,MATCH(H38,'Logic Tree'!$I$73:$I$74,0),MATCH(G38,'Logic Tree'!$J$72:$N$72,0))</f>
        <v>3.7</v>
      </c>
    </row>
    <row r="39" customFormat="false" ht="14.25" hidden="true" customHeight="true" outlineLevel="0" collapsed="false">
      <c r="A39" s="32" t="n">
        <v>1</v>
      </c>
      <c r="B39" s="31" t="s">
        <v>787</v>
      </c>
      <c r="C39" s="31" t="s">
        <v>192</v>
      </c>
      <c r="D39" s="31" t="s">
        <v>567</v>
      </c>
      <c r="E39" s="64" t="str">
        <f aca="false">'Pod Library'!E47</f>
        <v>Business Rules SME</v>
      </c>
      <c r="F39" s="65" t="str">
        <f aca="false">'Pod Library'!F47</f>
        <v>BA</v>
      </c>
      <c r="G39" s="65" t="str">
        <f aca="false">'Pod Library'!G47</f>
        <v>E5</v>
      </c>
      <c r="H39" s="65" t="str">
        <f aca="false">'Pod Library'!H47</f>
        <v>ON</v>
      </c>
      <c r="I39" s="65" t="str">
        <f aca="false">'Pod Library'!I47</f>
        <v>FTE</v>
      </c>
      <c r="J39" s="18" t="n">
        <f aca="false">'Pod Library'!J47</f>
        <v>1</v>
      </c>
      <c r="K39" s="18" t="n">
        <f aca="false">SUMIFS('Pod Plan'!$E:$E,'Pod Plan'!$B:$B,$A39,'Pod Plan'!$C:$C,$C39)</f>
        <v>2</v>
      </c>
      <c r="L39" s="58" t="n">
        <f aca="false">J39*K39</f>
        <v>2</v>
      </c>
      <c r="M39" s="62" t="n">
        <f aca="false">L39*INDEX('Logic Tree'!$J$73:$N$74,MATCH(H39,'Logic Tree'!$I$73:$I$74,0),MATCH(G39,'Logic Tree'!$J$72:$N$72,0))</f>
        <v>5.1</v>
      </c>
    </row>
    <row r="40" customFormat="false" ht="14.25" hidden="true" customHeight="true" outlineLevel="0" collapsed="false">
      <c r="A40" s="32" t="n">
        <v>1</v>
      </c>
      <c r="B40" s="31" t="s">
        <v>787</v>
      </c>
      <c r="C40" s="31" t="s">
        <v>192</v>
      </c>
      <c r="D40" s="31" t="s">
        <v>567</v>
      </c>
      <c r="E40" s="64" t="str">
        <f aca="false">'Pod Library'!E48</f>
        <v>Application Owner (Technical)</v>
      </c>
      <c r="F40" s="65" t="str">
        <f aca="false">'Pod Library'!F48</f>
        <v>ENG</v>
      </c>
      <c r="G40" s="65" t="str">
        <f aca="false">'Pod Library'!G48</f>
        <v>E4</v>
      </c>
      <c r="H40" s="65" t="str">
        <f aca="false">'Pod Library'!H48</f>
        <v>ON</v>
      </c>
      <c r="I40" s="65" t="str">
        <f aca="false">'Pod Library'!I48</f>
        <v>FTE</v>
      </c>
      <c r="J40" s="18" t="n">
        <f aca="false">'Pod Library'!J48</f>
        <v>1</v>
      </c>
      <c r="K40" s="18" t="n">
        <f aca="false">SUMIFS('Pod Plan'!$E:$E,'Pod Plan'!$B:$B,$A40,'Pod Plan'!$C:$C,$C40)</f>
        <v>2</v>
      </c>
      <c r="L40" s="58" t="n">
        <f aca="false">J40*K40</f>
        <v>2</v>
      </c>
      <c r="M40" s="62" t="n">
        <f aca="false">L40*INDEX('Logic Tree'!$J$73:$N$74,MATCH(H40,'Logic Tree'!$I$73:$I$74,0),MATCH(G40,'Logic Tree'!$J$72:$N$72,0))</f>
        <v>3.7</v>
      </c>
    </row>
    <row r="41" customFormat="false" ht="14.25" hidden="true" customHeight="true" outlineLevel="0" collapsed="false">
      <c r="A41" s="32" t="n">
        <v>1</v>
      </c>
      <c r="B41" s="31" t="s">
        <v>787</v>
      </c>
      <c r="C41" s="31" t="s">
        <v>192</v>
      </c>
      <c r="D41" s="31" t="s">
        <v>567</v>
      </c>
      <c r="E41" s="64" t="str">
        <f aca="false">'Pod Library'!E49</f>
        <v>Pod Delivery Lead</v>
      </c>
      <c r="F41" s="65" t="str">
        <f aca="false">'Pod Library'!F49</f>
        <v>LEAD</v>
      </c>
      <c r="G41" s="65" t="str">
        <f aca="false">'Pod Library'!G49</f>
        <v>E4</v>
      </c>
      <c r="H41" s="65" t="str">
        <f aca="false">'Pod Library'!H49</f>
        <v>ON</v>
      </c>
      <c r="I41" s="65" t="str">
        <f aca="false">'Pod Library'!I49</f>
        <v>FTC</v>
      </c>
      <c r="J41" s="18" t="n">
        <f aca="false">'Pod Library'!J49</f>
        <v>1</v>
      </c>
      <c r="K41" s="18" t="n">
        <f aca="false">SUMIFS('Pod Plan'!$E:$E,'Pod Plan'!$B:$B,$A41,'Pod Plan'!$C:$C,$C41)</f>
        <v>2</v>
      </c>
      <c r="L41" s="58" t="n">
        <f aca="false">J41*K41</f>
        <v>2</v>
      </c>
      <c r="M41" s="62" t="n">
        <f aca="false">L41*INDEX('Logic Tree'!$J$73:$N$74,MATCH(H41,'Logic Tree'!$I$73:$I$74,0),MATCH(G41,'Logic Tree'!$J$72:$N$72,0))</f>
        <v>3.7</v>
      </c>
    </row>
    <row r="42" customFormat="false" ht="14.25" hidden="true" customHeight="true" outlineLevel="0" collapsed="false">
      <c r="A42" s="32" t="n">
        <v>1</v>
      </c>
      <c r="B42" s="31" t="s">
        <v>787</v>
      </c>
      <c r="C42" s="31" t="s">
        <v>192</v>
      </c>
      <c r="D42" s="31" t="s">
        <v>567</v>
      </c>
      <c r="E42" s="64" t="str">
        <f aca="false">'Pod Library'!E50</f>
        <v>Senior Business Analyst</v>
      </c>
      <c r="F42" s="65" t="str">
        <f aca="false">'Pod Library'!F50</f>
        <v>BA</v>
      </c>
      <c r="G42" s="65" t="str">
        <f aca="false">'Pod Library'!G50</f>
        <v>E3</v>
      </c>
      <c r="H42" s="65" t="str">
        <f aca="false">'Pod Library'!H50</f>
        <v>ON</v>
      </c>
      <c r="I42" s="65" t="str">
        <f aca="false">'Pod Library'!I50</f>
        <v>FTC</v>
      </c>
      <c r="J42" s="18" t="n">
        <f aca="false">'Pod Library'!J50</f>
        <v>1</v>
      </c>
      <c r="K42" s="18" t="n">
        <f aca="false">SUMIFS('Pod Plan'!$E:$E,'Pod Plan'!$B:$B,$A42,'Pod Plan'!$C:$C,$C42)</f>
        <v>2</v>
      </c>
      <c r="L42" s="58" t="n">
        <f aca="false">J42*K42</f>
        <v>2</v>
      </c>
      <c r="M42" s="62" t="n">
        <f aca="false">L42*INDEX('Logic Tree'!$J$73:$N$74,MATCH(H42,'Logic Tree'!$I$73:$I$74,0),MATCH(G42,'Logic Tree'!$J$72:$N$72,0))</f>
        <v>2.7</v>
      </c>
    </row>
    <row r="43" customFormat="false" ht="14.25" hidden="true" customHeight="true" outlineLevel="0" collapsed="false">
      <c r="A43" s="32" t="n">
        <v>1</v>
      </c>
      <c r="B43" s="31" t="s">
        <v>787</v>
      </c>
      <c r="C43" s="31" t="s">
        <v>192</v>
      </c>
      <c r="D43" s="31" t="s">
        <v>567</v>
      </c>
      <c r="E43" s="64" t="str">
        <f aca="false">'Pod Library'!E51</f>
        <v>Developer</v>
      </c>
      <c r="F43" s="65" t="str">
        <f aca="false">'Pod Library'!F51</f>
        <v>DEV</v>
      </c>
      <c r="G43" s="65" t="str">
        <f aca="false">'Pod Library'!G51</f>
        <v>E3</v>
      </c>
      <c r="H43" s="65" t="str">
        <f aca="false">'Pod Library'!H51</f>
        <v>ON</v>
      </c>
      <c r="I43" s="65" t="str">
        <f aca="false">'Pod Library'!I51</f>
        <v>FTC</v>
      </c>
      <c r="J43" s="18" t="n">
        <f aca="false">'Pod Library'!J51</f>
        <v>1</v>
      </c>
      <c r="K43" s="18" t="n">
        <f aca="false">SUMIFS('Pod Plan'!$E:$E,'Pod Plan'!$B:$B,$A43,'Pod Plan'!$C:$C,$C43)</f>
        <v>2</v>
      </c>
      <c r="L43" s="58" t="n">
        <f aca="false">J43*K43</f>
        <v>2</v>
      </c>
      <c r="M43" s="62" t="n">
        <f aca="false">L43*INDEX('Logic Tree'!$J$73:$N$74,MATCH(H43,'Logic Tree'!$I$73:$I$74,0),MATCH(G43,'Logic Tree'!$J$72:$N$72,0))</f>
        <v>2.7</v>
      </c>
    </row>
    <row r="44" customFormat="false" ht="14.25" hidden="true" customHeight="true" outlineLevel="0" collapsed="false">
      <c r="A44" s="32" t="n">
        <v>1</v>
      </c>
      <c r="B44" s="31" t="s">
        <v>787</v>
      </c>
      <c r="C44" s="31" t="s">
        <v>192</v>
      </c>
      <c r="D44" s="31" t="s">
        <v>567</v>
      </c>
      <c r="E44" s="64" t="str">
        <f aca="false">'Pod Library'!E52</f>
        <v>Developer — MGCC Hyderabad</v>
      </c>
      <c r="F44" s="65" t="str">
        <f aca="false">'Pod Library'!F52</f>
        <v>DEV</v>
      </c>
      <c r="G44" s="65" t="str">
        <f aca="false">'Pod Library'!G52</f>
        <v>E2</v>
      </c>
      <c r="H44" s="65" t="str">
        <f aca="false">'Pod Library'!H52</f>
        <v>OFF</v>
      </c>
      <c r="I44" s="65" t="str">
        <f aca="false">'Pod Library'!I52</f>
        <v>MGCC</v>
      </c>
      <c r="J44" s="18" t="n">
        <f aca="false">'Pod Library'!J52</f>
        <v>1</v>
      </c>
      <c r="K44" s="18" t="n">
        <f aca="false">SUMIFS('Pod Plan'!$E:$E,'Pod Plan'!$B:$B,$A44,'Pod Plan'!$C:$C,$C44)</f>
        <v>2</v>
      </c>
      <c r="L44" s="58" t="n">
        <f aca="false">J44*K44</f>
        <v>2</v>
      </c>
      <c r="M44" s="62" t="n">
        <f aca="false">L44*INDEX('Logic Tree'!$J$73:$N$74,MATCH(H44,'Logic Tree'!$I$73:$I$74,0),MATCH(G44,'Logic Tree'!$J$72:$N$72,0))</f>
        <v>0.6</v>
      </c>
    </row>
    <row r="45" customFormat="false" ht="14.25" hidden="true" customHeight="true" outlineLevel="0" collapsed="false">
      <c r="A45" s="32" t="n">
        <v>1</v>
      </c>
      <c r="B45" s="31" t="s">
        <v>787</v>
      </c>
      <c r="C45" s="31" t="s">
        <v>192</v>
      </c>
      <c r="D45" s="31" t="s">
        <v>567</v>
      </c>
      <c r="E45" s="64" t="str">
        <f aca="false">'Pod Library'!E53</f>
        <v>QA Engineer</v>
      </c>
      <c r="F45" s="65" t="str">
        <f aca="false">'Pod Library'!F53</f>
        <v>TEST</v>
      </c>
      <c r="G45" s="65" t="str">
        <f aca="false">'Pod Library'!G53</f>
        <v>E2</v>
      </c>
      <c r="H45" s="65" t="str">
        <f aca="false">'Pod Library'!H53</f>
        <v>ON</v>
      </c>
      <c r="I45" s="65" t="str">
        <f aca="false">'Pod Library'!I53</f>
        <v>FTC</v>
      </c>
      <c r="J45" s="18" t="n">
        <f aca="false">'Pod Library'!J53</f>
        <v>1</v>
      </c>
      <c r="K45" s="18" t="n">
        <f aca="false">SUMIFS('Pod Plan'!$E:$E,'Pod Plan'!$B:$B,$A45,'Pod Plan'!$C:$C,$C45)</f>
        <v>2</v>
      </c>
      <c r="L45" s="58" t="n">
        <f aca="false">J45*K45</f>
        <v>2</v>
      </c>
      <c r="M45" s="62" t="n">
        <f aca="false">L45*INDEX('Logic Tree'!$J$73:$N$74,MATCH(H45,'Logic Tree'!$I$73:$I$74,0),MATCH(G45,'Logic Tree'!$J$72:$N$72,0))</f>
        <v>2</v>
      </c>
    </row>
    <row r="46" customFormat="false" ht="14.25" hidden="true" customHeight="true" outlineLevel="0" collapsed="false">
      <c r="A46" s="32" t="n">
        <v>2</v>
      </c>
      <c r="B46" s="31" t="s">
        <v>787</v>
      </c>
      <c r="C46" s="31" t="s">
        <v>177</v>
      </c>
      <c r="D46" s="31" t="s">
        <v>567</v>
      </c>
      <c r="E46" s="64" t="str">
        <f aca="false">'Pod Library'!E56</f>
        <v>Product Owner</v>
      </c>
      <c r="F46" s="65" t="str">
        <f aca="false">'Pod Library'!F56</f>
        <v>LEAD</v>
      </c>
      <c r="G46" s="65" t="str">
        <f aca="false">'Pod Library'!G56</f>
        <v>E4</v>
      </c>
      <c r="H46" s="65" t="str">
        <f aca="false">'Pod Library'!H56</f>
        <v>ON</v>
      </c>
      <c r="I46" s="65" t="str">
        <f aca="false">'Pod Library'!I56</f>
        <v>FTE</v>
      </c>
      <c r="J46" s="18" t="n">
        <f aca="false">'Pod Library'!J56</f>
        <v>1</v>
      </c>
      <c r="K46" s="18" t="n">
        <f aca="false">SUMIFS('Pod Plan'!$E:$E,'Pod Plan'!$B:$B,$A46,'Pod Plan'!$C:$C,$C46)</f>
        <v>4</v>
      </c>
      <c r="L46" s="58" t="n">
        <f aca="false">J46*K46</f>
        <v>4</v>
      </c>
      <c r="M46" s="62" t="n">
        <f aca="false">L46*INDEX('Logic Tree'!$J$73:$N$74,MATCH(H46,'Logic Tree'!$I$73:$I$74,0),MATCH(G46,'Logic Tree'!$J$72:$N$72,0))</f>
        <v>7.4</v>
      </c>
    </row>
    <row r="47" customFormat="false" ht="14.25" hidden="true" customHeight="true" outlineLevel="0" collapsed="false">
      <c r="A47" s="32" t="n">
        <v>2</v>
      </c>
      <c r="B47" s="31" t="s">
        <v>787</v>
      </c>
      <c r="C47" s="31" t="s">
        <v>177</v>
      </c>
      <c r="D47" s="31" t="s">
        <v>567</v>
      </c>
      <c r="E47" s="64" t="str">
        <f aca="false">'Pod Library'!E57</f>
        <v>Portal Platform SME</v>
      </c>
      <c r="F47" s="65" t="str">
        <f aca="false">'Pod Library'!F57</f>
        <v>BA</v>
      </c>
      <c r="G47" s="65" t="str">
        <f aca="false">'Pod Library'!G57</f>
        <v>E4</v>
      </c>
      <c r="H47" s="65" t="str">
        <f aca="false">'Pod Library'!H57</f>
        <v>ON</v>
      </c>
      <c r="I47" s="65" t="str">
        <f aca="false">'Pod Library'!I57</f>
        <v>FTE</v>
      </c>
      <c r="J47" s="18" t="n">
        <f aca="false">'Pod Library'!J57</f>
        <v>1</v>
      </c>
      <c r="K47" s="18" t="n">
        <f aca="false">SUMIFS('Pod Plan'!$E:$E,'Pod Plan'!$B:$B,$A47,'Pod Plan'!$C:$C,$C47)</f>
        <v>4</v>
      </c>
      <c r="L47" s="58" t="n">
        <f aca="false">J47*K47</f>
        <v>4</v>
      </c>
      <c r="M47" s="62" t="n">
        <f aca="false">L47*INDEX('Logic Tree'!$J$73:$N$74,MATCH(H47,'Logic Tree'!$I$73:$I$74,0),MATCH(G47,'Logic Tree'!$J$72:$N$72,0))</f>
        <v>7.4</v>
      </c>
    </row>
    <row r="48" customFormat="false" ht="14.25" hidden="true" customHeight="true" outlineLevel="0" collapsed="false">
      <c r="A48" s="32" t="n">
        <v>2</v>
      </c>
      <c r="B48" s="31" t="s">
        <v>787</v>
      </c>
      <c r="C48" s="31" t="s">
        <v>177</v>
      </c>
      <c r="D48" s="31" t="s">
        <v>567</v>
      </c>
      <c r="E48" s="64" t="str">
        <f aca="false">'Pod Library'!E58</f>
        <v>Application Owner (Technical)</v>
      </c>
      <c r="F48" s="65" t="str">
        <f aca="false">'Pod Library'!F58</f>
        <v>ENG</v>
      </c>
      <c r="G48" s="65" t="str">
        <f aca="false">'Pod Library'!G58</f>
        <v>E4</v>
      </c>
      <c r="H48" s="65" t="str">
        <f aca="false">'Pod Library'!H58</f>
        <v>ON</v>
      </c>
      <c r="I48" s="65" t="str">
        <f aca="false">'Pod Library'!I58</f>
        <v>FTE</v>
      </c>
      <c r="J48" s="18" t="n">
        <f aca="false">'Pod Library'!J58</f>
        <v>1</v>
      </c>
      <c r="K48" s="18" t="n">
        <f aca="false">SUMIFS('Pod Plan'!$E:$E,'Pod Plan'!$B:$B,$A48,'Pod Plan'!$C:$C,$C48)</f>
        <v>4</v>
      </c>
      <c r="L48" s="58" t="n">
        <f aca="false">J48*K48</f>
        <v>4</v>
      </c>
      <c r="M48" s="62" t="n">
        <f aca="false">L48*INDEX('Logic Tree'!$J$73:$N$74,MATCH(H48,'Logic Tree'!$I$73:$I$74,0),MATCH(G48,'Logic Tree'!$J$72:$N$72,0))</f>
        <v>7.4</v>
      </c>
    </row>
    <row r="49" customFormat="false" ht="14.25" hidden="true" customHeight="true" outlineLevel="0" collapsed="false">
      <c r="A49" s="32" t="n">
        <v>2</v>
      </c>
      <c r="B49" s="31" t="s">
        <v>787</v>
      </c>
      <c r="C49" s="31" t="s">
        <v>177</v>
      </c>
      <c r="D49" s="31" t="s">
        <v>567</v>
      </c>
      <c r="E49" s="64" t="str">
        <f aca="false">'Pod Library'!E59</f>
        <v>Pod Delivery Lead</v>
      </c>
      <c r="F49" s="65" t="str">
        <f aca="false">'Pod Library'!F59</f>
        <v>LEAD</v>
      </c>
      <c r="G49" s="65" t="str">
        <f aca="false">'Pod Library'!G59</f>
        <v>E4</v>
      </c>
      <c r="H49" s="65" t="str">
        <f aca="false">'Pod Library'!H59</f>
        <v>ON</v>
      </c>
      <c r="I49" s="65" t="str">
        <f aca="false">'Pod Library'!I59</f>
        <v>FTC</v>
      </c>
      <c r="J49" s="18" t="n">
        <f aca="false">'Pod Library'!J59</f>
        <v>1</v>
      </c>
      <c r="K49" s="18" t="n">
        <f aca="false">SUMIFS('Pod Plan'!$E:$E,'Pod Plan'!$B:$B,$A49,'Pod Plan'!$C:$C,$C49)</f>
        <v>4</v>
      </c>
      <c r="L49" s="58" t="n">
        <f aca="false">J49*K49</f>
        <v>4</v>
      </c>
      <c r="M49" s="62" t="n">
        <f aca="false">L49*INDEX('Logic Tree'!$J$73:$N$74,MATCH(H49,'Logic Tree'!$I$73:$I$74,0),MATCH(G49,'Logic Tree'!$J$72:$N$72,0))</f>
        <v>7.4</v>
      </c>
    </row>
    <row r="50" customFormat="false" ht="14.25" hidden="true" customHeight="true" outlineLevel="0" collapsed="false">
      <c r="A50" s="32" t="n">
        <v>2</v>
      </c>
      <c r="B50" s="31" t="s">
        <v>787</v>
      </c>
      <c r="C50" s="31" t="s">
        <v>177</v>
      </c>
      <c r="D50" s="31" t="s">
        <v>567</v>
      </c>
      <c r="E50" s="64" t="str">
        <f aca="false">'Pod Library'!E60</f>
        <v>AI-assisted Developer</v>
      </c>
      <c r="F50" s="65" t="str">
        <f aca="false">'Pod Library'!F60</f>
        <v>DEV</v>
      </c>
      <c r="G50" s="65" t="str">
        <f aca="false">'Pod Library'!G60</f>
        <v>E3</v>
      </c>
      <c r="H50" s="65" t="str">
        <f aca="false">'Pod Library'!H60</f>
        <v>ON</v>
      </c>
      <c r="I50" s="65" t="str">
        <f aca="false">'Pod Library'!I60</f>
        <v>FTC</v>
      </c>
      <c r="J50" s="18" t="n">
        <f aca="false">'Pod Library'!J60</f>
        <v>1</v>
      </c>
      <c r="K50" s="18" t="n">
        <f aca="false">SUMIFS('Pod Plan'!$E:$E,'Pod Plan'!$B:$B,$A50,'Pod Plan'!$C:$C,$C50)</f>
        <v>4</v>
      </c>
      <c r="L50" s="58" t="n">
        <f aca="false">J50*K50</f>
        <v>4</v>
      </c>
      <c r="M50" s="62" t="n">
        <f aca="false">L50*INDEX('Logic Tree'!$J$73:$N$74,MATCH(H50,'Logic Tree'!$I$73:$I$74,0),MATCH(G50,'Logic Tree'!$J$72:$N$72,0))</f>
        <v>5.4</v>
      </c>
    </row>
    <row r="51" customFormat="false" ht="14.25" hidden="true" customHeight="true" outlineLevel="0" collapsed="false">
      <c r="A51" s="32" t="n">
        <v>2</v>
      </c>
      <c r="B51" s="31" t="s">
        <v>787</v>
      </c>
      <c r="C51" s="31" t="s">
        <v>177</v>
      </c>
      <c r="D51" s="31" t="s">
        <v>567</v>
      </c>
      <c r="E51" s="64" t="str">
        <f aca="false">'Pod Library'!E61</f>
        <v>Quality Engineer (SDET)</v>
      </c>
      <c r="F51" s="65" t="str">
        <f aca="false">'Pod Library'!F61</f>
        <v>TEST</v>
      </c>
      <c r="G51" s="65" t="str">
        <f aca="false">'Pod Library'!G61</f>
        <v>E3</v>
      </c>
      <c r="H51" s="65" t="str">
        <f aca="false">'Pod Library'!H61</f>
        <v>ON</v>
      </c>
      <c r="I51" s="65" t="str">
        <f aca="false">'Pod Library'!I61</f>
        <v>FTC</v>
      </c>
      <c r="J51" s="18" t="n">
        <f aca="false">'Pod Library'!J61</f>
        <v>1</v>
      </c>
      <c r="K51" s="18" t="n">
        <f aca="false">SUMIFS('Pod Plan'!$E:$E,'Pod Plan'!$B:$B,$A51,'Pod Plan'!$C:$C,$C51)</f>
        <v>4</v>
      </c>
      <c r="L51" s="58" t="n">
        <f aca="false">J51*K51</f>
        <v>4</v>
      </c>
      <c r="M51" s="62" t="n">
        <f aca="false">L51*INDEX('Logic Tree'!$J$73:$N$74,MATCH(H51,'Logic Tree'!$I$73:$I$74,0),MATCH(G51,'Logic Tree'!$J$72:$N$72,0))</f>
        <v>5.4</v>
      </c>
    </row>
    <row r="52" customFormat="false" ht="14.25" hidden="true" customHeight="true" outlineLevel="0" collapsed="false">
      <c r="A52" s="32" t="n">
        <v>2</v>
      </c>
      <c r="B52" s="31" t="s">
        <v>787</v>
      </c>
      <c r="C52" s="31" t="s">
        <v>177</v>
      </c>
      <c r="D52" s="31" t="s">
        <v>567</v>
      </c>
      <c r="E52" s="64" t="str">
        <f aca="false">'Pod Library'!E62</f>
        <v>AI-assisted Developer — MGCC Hyderabad</v>
      </c>
      <c r="F52" s="65" t="str">
        <f aca="false">'Pod Library'!F62</f>
        <v>DEV</v>
      </c>
      <c r="G52" s="65" t="str">
        <f aca="false">'Pod Library'!G62</f>
        <v>E3</v>
      </c>
      <c r="H52" s="65" t="str">
        <f aca="false">'Pod Library'!H62</f>
        <v>OFF</v>
      </c>
      <c r="I52" s="65" t="str">
        <f aca="false">'Pod Library'!I62</f>
        <v>MGCC</v>
      </c>
      <c r="J52" s="18" t="n">
        <f aca="false">'Pod Library'!J62</f>
        <v>1</v>
      </c>
      <c r="K52" s="18" t="n">
        <f aca="false">SUMIFS('Pod Plan'!$E:$E,'Pod Plan'!$B:$B,$A52,'Pod Plan'!$C:$C,$C52)</f>
        <v>4</v>
      </c>
      <c r="L52" s="58" t="n">
        <f aca="false">J52*K52</f>
        <v>4</v>
      </c>
      <c r="M52" s="62" t="n">
        <f aca="false">L52*INDEX('Logic Tree'!$J$73:$N$74,MATCH(H52,'Logic Tree'!$I$73:$I$74,0),MATCH(G52,'Logic Tree'!$J$72:$N$72,0))</f>
        <v>1.68</v>
      </c>
    </row>
    <row r="53" customFormat="false" ht="14.25" hidden="true" customHeight="true" outlineLevel="0" collapsed="false">
      <c r="A53" s="32" t="n">
        <v>2</v>
      </c>
      <c r="B53" s="31" t="s">
        <v>787</v>
      </c>
      <c r="C53" s="31" t="s">
        <v>177</v>
      </c>
      <c r="D53" s="31" t="s">
        <v>567</v>
      </c>
      <c r="E53" s="64" t="str">
        <f aca="false">'Pod Library'!E63</f>
        <v>Developer — MGCC Hyderabad</v>
      </c>
      <c r="F53" s="65" t="str">
        <f aca="false">'Pod Library'!F63</f>
        <v>DEV</v>
      </c>
      <c r="G53" s="65" t="str">
        <f aca="false">'Pod Library'!G63</f>
        <v>E2</v>
      </c>
      <c r="H53" s="65" t="str">
        <f aca="false">'Pod Library'!H63</f>
        <v>OFF</v>
      </c>
      <c r="I53" s="65" t="str">
        <f aca="false">'Pod Library'!I63</f>
        <v>MGCC</v>
      </c>
      <c r="J53" s="18" t="n">
        <f aca="false">'Pod Library'!J63</f>
        <v>1</v>
      </c>
      <c r="K53" s="18" t="n">
        <f aca="false">SUMIFS('Pod Plan'!$E:$E,'Pod Plan'!$B:$B,$A53,'Pod Plan'!$C:$C,$C53)</f>
        <v>4</v>
      </c>
      <c r="L53" s="58" t="n">
        <f aca="false">J53*K53</f>
        <v>4</v>
      </c>
      <c r="M53" s="62" t="n">
        <f aca="false">L53*INDEX('Logic Tree'!$J$73:$N$74,MATCH(H53,'Logic Tree'!$I$73:$I$74,0),MATCH(G53,'Logic Tree'!$J$72:$N$72,0))</f>
        <v>1.2</v>
      </c>
    </row>
    <row r="54" customFormat="false" ht="14.25" hidden="true" customHeight="true" outlineLevel="0" collapsed="false">
      <c r="A54" s="32" t="n">
        <v>2</v>
      </c>
      <c r="B54" s="31" t="s">
        <v>787</v>
      </c>
      <c r="C54" s="31" t="s">
        <v>177</v>
      </c>
      <c r="D54" s="31" t="s">
        <v>567</v>
      </c>
      <c r="E54" s="64" t="str">
        <f aca="false">'Pod Library'!E64</f>
        <v>QA Engineer — MGCC Hyderabad</v>
      </c>
      <c r="F54" s="65" t="str">
        <f aca="false">'Pod Library'!F64</f>
        <v>TEST</v>
      </c>
      <c r="G54" s="65" t="str">
        <f aca="false">'Pod Library'!G64</f>
        <v>E2</v>
      </c>
      <c r="H54" s="65" t="str">
        <f aca="false">'Pod Library'!H64</f>
        <v>OFF</v>
      </c>
      <c r="I54" s="65" t="str">
        <f aca="false">'Pod Library'!I64</f>
        <v>MGCC</v>
      </c>
      <c r="J54" s="18" t="n">
        <f aca="false">'Pod Library'!J64</f>
        <v>1</v>
      </c>
      <c r="K54" s="18" t="n">
        <f aca="false">SUMIFS('Pod Plan'!$E:$E,'Pod Plan'!$B:$B,$A54,'Pod Plan'!$C:$C,$C54)</f>
        <v>4</v>
      </c>
      <c r="L54" s="58" t="n">
        <f aca="false">J54*K54</f>
        <v>4</v>
      </c>
      <c r="M54" s="62" t="n">
        <f aca="false">L54*INDEX('Logic Tree'!$J$73:$N$74,MATCH(H54,'Logic Tree'!$I$73:$I$74,0),MATCH(G54,'Logic Tree'!$J$72:$N$72,0))</f>
        <v>1.2</v>
      </c>
    </row>
    <row r="55" customFormat="false" ht="14.25" hidden="true" customHeight="true" outlineLevel="0" collapsed="false">
      <c r="A55" s="32" t="n">
        <v>2</v>
      </c>
      <c r="B55" s="31" t="s">
        <v>787</v>
      </c>
      <c r="C55" s="31" t="s">
        <v>177</v>
      </c>
      <c r="D55" s="31" t="s">
        <v>582</v>
      </c>
      <c r="E55" s="64" t="str">
        <f aca="false">'Pod Library'!E66</f>
        <v>Pod Lead / AI Orchestrator</v>
      </c>
      <c r="F55" s="65" t="str">
        <f aca="false">'Pod Library'!F66</f>
        <v>LEAD</v>
      </c>
      <c r="G55" s="65" t="str">
        <f aca="false">'Pod Library'!G66</f>
        <v>E4</v>
      </c>
      <c r="H55" s="65" t="str">
        <f aca="false">'Pod Library'!H66</f>
        <v>ON</v>
      </c>
      <c r="I55" s="65" t="str">
        <f aca="false">'Pod Library'!I66</f>
        <v>FTC</v>
      </c>
      <c r="J55" s="18" t="n">
        <f aca="false">'Pod Library'!J66</f>
        <v>1</v>
      </c>
      <c r="K55" s="18" t="n">
        <f aca="false">SUMIFS('Pod Plan'!$F:$F,'Pod Plan'!$B:$B,$A55,'Pod Plan'!$C:$C,$C55)</f>
        <v>5</v>
      </c>
      <c r="L55" s="58" t="n">
        <f aca="false">J55*K55</f>
        <v>5</v>
      </c>
      <c r="M55" s="62" t="n">
        <f aca="false">L55*INDEX('Logic Tree'!$J$73:$N$74,MATCH(H55,'Logic Tree'!$I$73:$I$74,0),MATCH(G55,'Logic Tree'!$J$72:$N$72,0))</f>
        <v>9.25</v>
      </c>
    </row>
    <row r="56" customFormat="false" ht="14.25" hidden="true" customHeight="true" outlineLevel="0" collapsed="false">
      <c r="A56" s="32" t="n">
        <v>2</v>
      </c>
      <c r="B56" s="31" t="s">
        <v>787</v>
      </c>
      <c r="C56" s="31" t="s">
        <v>177</v>
      </c>
      <c r="D56" s="31" t="s">
        <v>582</v>
      </c>
      <c r="E56" s="64" t="str">
        <f aca="false">'Pod Library'!E67</f>
        <v>Solution Architect</v>
      </c>
      <c r="F56" s="65" t="str">
        <f aca="false">'Pod Library'!F67</f>
        <v>ENG</v>
      </c>
      <c r="G56" s="65" t="str">
        <f aca="false">'Pod Library'!G67</f>
        <v>E4</v>
      </c>
      <c r="H56" s="65" t="str">
        <f aca="false">'Pod Library'!H67</f>
        <v>ON</v>
      </c>
      <c r="I56" s="65" t="str">
        <f aca="false">'Pod Library'!I67</f>
        <v>FTC</v>
      </c>
      <c r="J56" s="18" t="n">
        <f aca="false">'Pod Library'!J67</f>
        <v>1</v>
      </c>
      <c r="K56" s="18" t="n">
        <f aca="false">SUMIFS('Pod Plan'!$F:$F,'Pod Plan'!$B:$B,$A56,'Pod Plan'!$C:$C,$C56)</f>
        <v>5</v>
      </c>
      <c r="L56" s="58" t="n">
        <f aca="false">J56*K56</f>
        <v>5</v>
      </c>
      <c r="M56" s="62" t="n">
        <f aca="false">L56*INDEX('Logic Tree'!$J$73:$N$74,MATCH(H56,'Logic Tree'!$I$73:$I$74,0),MATCH(G56,'Logic Tree'!$J$72:$N$72,0))</f>
        <v>9.25</v>
      </c>
    </row>
    <row r="57" customFormat="false" ht="14.25" hidden="true" customHeight="true" outlineLevel="0" collapsed="false">
      <c r="A57" s="32" t="n">
        <v>2</v>
      </c>
      <c r="B57" s="31" t="s">
        <v>787</v>
      </c>
      <c r="C57" s="31" t="s">
        <v>177</v>
      </c>
      <c r="D57" s="31" t="s">
        <v>582</v>
      </c>
      <c r="E57" s="64" t="str">
        <f aca="false">'Pod Library'!E68</f>
        <v>AI-assisted Developer</v>
      </c>
      <c r="F57" s="65" t="str">
        <f aca="false">'Pod Library'!F68</f>
        <v>DEV</v>
      </c>
      <c r="G57" s="65" t="str">
        <f aca="false">'Pod Library'!G68</f>
        <v>E3</v>
      </c>
      <c r="H57" s="65" t="str">
        <f aca="false">'Pod Library'!H68</f>
        <v>OFF</v>
      </c>
      <c r="I57" s="65" t="str">
        <f aca="false">'Pod Library'!I68</f>
        <v>FTC</v>
      </c>
      <c r="J57" s="18" t="n">
        <f aca="false">'Pod Library'!J68</f>
        <v>1</v>
      </c>
      <c r="K57" s="18" t="n">
        <f aca="false">SUMIFS('Pod Plan'!$F:$F,'Pod Plan'!$B:$B,$A57,'Pod Plan'!$C:$C,$C57)</f>
        <v>5</v>
      </c>
      <c r="L57" s="58" t="n">
        <f aca="false">J57*K57</f>
        <v>5</v>
      </c>
      <c r="M57" s="62" t="n">
        <f aca="false">L57*INDEX('Logic Tree'!$J$73:$N$74,MATCH(H57,'Logic Tree'!$I$73:$I$74,0),MATCH(G57,'Logic Tree'!$J$72:$N$72,0))</f>
        <v>2.1</v>
      </c>
    </row>
    <row r="58" customFormat="false" ht="14.25" hidden="true" customHeight="true" outlineLevel="0" collapsed="false">
      <c r="A58" s="32" t="n">
        <v>2</v>
      </c>
      <c r="B58" s="31" t="s">
        <v>787</v>
      </c>
      <c r="C58" s="31" t="s">
        <v>177</v>
      </c>
      <c r="D58" s="31" t="s">
        <v>582</v>
      </c>
      <c r="E58" s="64" t="str">
        <f aca="false">'Pod Library'!E69</f>
        <v>Developer</v>
      </c>
      <c r="F58" s="65" t="str">
        <f aca="false">'Pod Library'!F69</f>
        <v>DEV</v>
      </c>
      <c r="G58" s="65" t="str">
        <f aca="false">'Pod Library'!G69</f>
        <v>E2</v>
      </c>
      <c r="H58" s="65" t="str">
        <f aca="false">'Pod Library'!H69</f>
        <v>OFF</v>
      </c>
      <c r="I58" s="65" t="str">
        <f aca="false">'Pod Library'!I69</f>
        <v>FTC</v>
      </c>
      <c r="J58" s="18" t="n">
        <f aca="false">'Pod Library'!J69</f>
        <v>1</v>
      </c>
      <c r="K58" s="18" t="n">
        <f aca="false">SUMIFS('Pod Plan'!$F:$F,'Pod Plan'!$B:$B,$A58,'Pod Plan'!$C:$C,$C58)</f>
        <v>5</v>
      </c>
      <c r="L58" s="58" t="n">
        <f aca="false">J58*K58</f>
        <v>5</v>
      </c>
      <c r="M58" s="62" t="n">
        <f aca="false">L58*INDEX('Logic Tree'!$J$73:$N$74,MATCH(H58,'Logic Tree'!$I$73:$I$74,0),MATCH(G58,'Logic Tree'!$J$72:$N$72,0))</f>
        <v>1.5</v>
      </c>
    </row>
    <row r="59" customFormat="false" ht="14.25" hidden="true" customHeight="true" outlineLevel="0" collapsed="false">
      <c r="A59" s="32" t="n">
        <v>2</v>
      </c>
      <c r="B59" s="31" t="s">
        <v>787</v>
      </c>
      <c r="C59" s="31" t="s">
        <v>177</v>
      </c>
      <c r="D59" s="31" t="s">
        <v>582</v>
      </c>
      <c r="E59" s="64" t="str">
        <f aca="false">'Pod Library'!E70</f>
        <v>Test Lead</v>
      </c>
      <c r="F59" s="65" t="str">
        <f aca="false">'Pod Library'!F70</f>
        <v>TEST</v>
      </c>
      <c r="G59" s="65" t="str">
        <f aca="false">'Pod Library'!G70</f>
        <v>E3</v>
      </c>
      <c r="H59" s="65" t="str">
        <f aca="false">'Pod Library'!H70</f>
        <v>ON</v>
      </c>
      <c r="I59" s="65" t="str">
        <f aca="false">'Pod Library'!I70</f>
        <v>FTC</v>
      </c>
      <c r="J59" s="18" t="n">
        <f aca="false">'Pod Library'!J70</f>
        <v>1</v>
      </c>
      <c r="K59" s="18" t="n">
        <f aca="false">SUMIFS('Pod Plan'!$F:$F,'Pod Plan'!$B:$B,$A59,'Pod Plan'!$C:$C,$C59)</f>
        <v>5</v>
      </c>
      <c r="L59" s="58" t="n">
        <f aca="false">J59*K59</f>
        <v>5</v>
      </c>
      <c r="M59" s="62" t="n">
        <f aca="false">L59*INDEX('Logic Tree'!$J$73:$N$74,MATCH(H59,'Logic Tree'!$I$73:$I$74,0),MATCH(G59,'Logic Tree'!$J$72:$N$72,0))</f>
        <v>6.75</v>
      </c>
    </row>
    <row r="60" customFormat="false" ht="14.25" hidden="true" customHeight="true" outlineLevel="0" collapsed="false">
      <c r="A60" s="32" t="n">
        <v>2</v>
      </c>
      <c r="B60" s="31" t="s">
        <v>787</v>
      </c>
      <c r="C60" s="31" t="s">
        <v>177</v>
      </c>
      <c r="D60" s="31" t="s">
        <v>582</v>
      </c>
      <c r="E60" s="64" t="str">
        <f aca="false">'Pod Library'!E71</f>
        <v>Quality Engineer (SDET)</v>
      </c>
      <c r="F60" s="65" t="str">
        <f aca="false">'Pod Library'!F71</f>
        <v>TEST</v>
      </c>
      <c r="G60" s="65" t="str">
        <f aca="false">'Pod Library'!G71</f>
        <v>E2</v>
      </c>
      <c r="H60" s="65" t="str">
        <f aca="false">'Pod Library'!H71</f>
        <v>OFF</v>
      </c>
      <c r="I60" s="65" t="str">
        <f aca="false">'Pod Library'!I71</f>
        <v>FTC</v>
      </c>
      <c r="J60" s="18" t="n">
        <f aca="false">'Pod Library'!J71</f>
        <v>1</v>
      </c>
      <c r="K60" s="18" t="n">
        <f aca="false">SUMIFS('Pod Plan'!$F:$F,'Pod Plan'!$B:$B,$A60,'Pod Plan'!$C:$C,$C60)</f>
        <v>5</v>
      </c>
      <c r="L60" s="58" t="n">
        <f aca="false">J60*K60</f>
        <v>5</v>
      </c>
      <c r="M60" s="62" t="n">
        <f aca="false">L60*INDEX('Logic Tree'!$J$73:$N$74,MATCH(H60,'Logic Tree'!$I$73:$I$74,0),MATCH(G60,'Logic Tree'!$J$72:$N$72,0))</f>
        <v>1.5</v>
      </c>
    </row>
    <row r="61" customFormat="false" ht="14.25" hidden="true" customHeight="true" outlineLevel="0" collapsed="false">
      <c r="A61" s="32" t="n">
        <v>2</v>
      </c>
      <c r="B61" s="31" t="s">
        <v>787</v>
      </c>
      <c r="C61" s="31" t="s">
        <v>177</v>
      </c>
      <c r="D61" s="31" t="s">
        <v>582</v>
      </c>
      <c r="E61" s="64" t="str">
        <f aca="false">'Pod Library'!E72</f>
        <v>AI-assisted Developer — MGCC Hyderabad</v>
      </c>
      <c r="F61" s="65" t="str">
        <f aca="false">'Pod Library'!F72</f>
        <v>DEV</v>
      </c>
      <c r="G61" s="65" t="str">
        <f aca="false">'Pod Library'!G72</f>
        <v>E3</v>
      </c>
      <c r="H61" s="65" t="str">
        <f aca="false">'Pod Library'!H72</f>
        <v>OFF</v>
      </c>
      <c r="I61" s="65" t="str">
        <f aca="false">'Pod Library'!I72</f>
        <v>MGCC</v>
      </c>
      <c r="J61" s="18" t="n">
        <f aca="false">'Pod Library'!J72</f>
        <v>1</v>
      </c>
      <c r="K61" s="18" t="n">
        <f aca="false">SUMIFS('Pod Plan'!$F:$F,'Pod Plan'!$B:$B,$A61,'Pod Plan'!$C:$C,$C61)</f>
        <v>5</v>
      </c>
      <c r="L61" s="58" t="n">
        <f aca="false">J61*K61</f>
        <v>5</v>
      </c>
      <c r="M61" s="62" t="n">
        <f aca="false">L61*INDEX('Logic Tree'!$J$73:$N$74,MATCH(H61,'Logic Tree'!$I$73:$I$74,0),MATCH(G61,'Logic Tree'!$J$72:$N$72,0))</f>
        <v>2.1</v>
      </c>
    </row>
    <row r="62" customFormat="false" ht="14.25" hidden="true" customHeight="true" outlineLevel="0" collapsed="false">
      <c r="A62" s="32" t="n">
        <v>2</v>
      </c>
      <c r="B62" s="31" t="s">
        <v>787</v>
      </c>
      <c r="C62" s="31" t="s">
        <v>177</v>
      </c>
      <c r="D62" s="31" t="s">
        <v>582</v>
      </c>
      <c r="E62" s="64" t="str">
        <f aca="false">'Pod Library'!E73</f>
        <v>Developer — MGCC Hyderabad</v>
      </c>
      <c r="F62" s="65" t="str">
        <f aca="false">'Pod Library'!F73</f>
        <v>DEV</v>
      </c>
      <c r="G62" s="65" t="str">
        <f aca="false">'Pod Library'!G73</f>
        <v>E2</v>
      </c>
      <c r="H62" s="65" t="str">
        <f aca="false">'Pod Library'!H73</f>
        <v>OFF</v>
      </c>
      <c r="I62" s="65" t="str">
        <f aca="false">'Pod Library'!I73</f>
        <v>MGCC</v>
      </c>
      <c r="J62" s="18" t="n">
        <f aca="false">'Pod Library'!J73</f>
        <v>1</v>
      </c>
      <c r="K62" s="18" t="n">
        <f aca="false">SUMIFS('Pod Plan'!$F:$F,'Pod Plan'!$B:$B,$A62,'Pod Plan'!$C:$C,$C62)</f>
        <v>5</v>
      </c>
      <c r="L62" s="58" t="n">
        <f aca="false">J62*K62</f>
        <v>5</v>
      </c>
      <c r="M62" s="62" t="n">
        <f aca="false">L62*INDEX('Logic Tree'!$J$73:$N$74,MATCH(H62,'Logic Tree'!$I$73:$I$74,0),MATCH(G62,'Logic Tree'!$J$72:$N$72,0))</f>
        <v>1.5</v>
      </c>
    </row>
    <row r="63" customFormat="false" ht="14.25" hidden="true" customHeight="true" outlineLevel="0" collapsed="false">
      <c r="A63" s="32" t="n">
        <v>2</v>
      </c>
      <c r="B63" s="31" t="s">
        <v>787</v>
      </c>
      <c r="C63" s="31" t="s">
        <v>177</v>
      </c>
      <c r="D63" s="31" t="s">
        <v>582</v>
      </c>
      <c r="E63" s="64" t="str">
        <f aca="false">'Pod Library'!E74</f>
        <v>QA Engineer — MGCC Hyderabad</v>
      </c>
      <c r="F63" s="65" t="str">
        <f aca="false">'Pod Library'!F74</f>
        <v>TEST</v>
      </c>
      <c r="G63" s="65" t="str">
        <f aca="false">'Pod Library'!G74</f>
        <v>E2</v>
      </c>
      <c r="H63" s="65" t="str">
        <f aca="false">'Pod Library'!H74</f>
        <v>OFF</v>
      </c>
      <c r="I63" s="65" t="str">
        <f aca="false">'Pod Library'!I74</f>
        <v>MGCC</v>
      </c>
      <c r="J63" s="18" t="n">
        <f aca="false">'Pod Library'!J74</f>
        <v>1</v>
      </c>
      <c r="K63" s="18" t="n">
        <f aca="false">SUMIFS('Pod Plan'!$F:$F,'Pod Plan'!$B:$B,$A63,'Pod Plan'!$C:$C,$C63)</f>
        <v>5</v>
      </c>
      <c r="L63" s="58" t="n">
        <f aca="false">J63*K63</f>
        <v>5</v>
      </c>
      <c r="M63" s="62" t="n">
        <f aca="false">L63*INDEX('Logic Tree'!$J$73:$N$74,MATCH(H63,'Logic Tree'!$I$73:$I$74,0),MATCH(G63,'Logic Tree'!$J$72:$N$72,0))</f>
        <v>1.5</v>
      </c>
    </row>
    <row r="64" customFormat="false" ht="14.25" hidden="true" customHeight="true" outlineLevel="0" collapsed="false">
      <c r="A64" s="32" t="n">
        <v>2</v>
      </c>
      <c r="B64" s="31" t="s">
        <v>787</v>
      </c>
      <c r="C64" s="31" t="s">
        <v>187</v>
      </c>
      <c r="D64" s="31" t="s">
        <v>567</v>
      </c>
      <c r="E64" s="64" t="str">
        <f aca="false">'Pod Library'!E77</f>
        <v>Product Owner</v>
      </c>
      <c r="F64" s="65" t="str">
        <f aca="false">'Pod Library'!F77</f>
        <v>LEAD</v>
      </c>
      <c r="G64" s="65" t="str">
        <f aca="false">'Pod Library'!G77</f>
        <v>E4</v>
      </c>
      <c r="H64" s="65" t="str">
        <f aca="false">'Pod Library'!H77</f>
        <v>ON</v>
      </c>
      <c r="I64" s="65" t="str">
        <f aca="false">'Pod Library'!I77</f>
        <v>FTE</v>
      </c>
      <c r="J64" s="18" t="n">
        <f aca="false">'Pod Library'!J77</f>
        <v>1</v>
      </c>
      <c r="K64" s="18" t="n">
        <f aca="false">SUMIFS('Pod Plan'!$E:$E,'Pod Plan'!$B:$B,$A64,'Pod Plan'!$C:$C,$C64)</f>
        <v>5</v>
      </c>
      <c r="L64" s="58" t="n">
        <f aca="false">J64*K64</f>
        <v>5</v>
      </c>
      <c r="M64" s="62" t="n">
        <f aca="false">L64*INDEX('Logic Tree'!$J$73:$N$74,MATCH(H64,'Logic Tree'!$I$73:$I$74,0),MATCH(G64,'Logic Tree'!$J$72:$N$72,0))</f>
        <v>9.25</v>
      </c>
    </row>
    <row r="65" customFormat="false" ht="14.25" hidden="true" customHeight="true" outlineLevel="0" collapsed="false">
      <c r="A65" s="32" t="n">
        <v>2</v>
      </c>
      <c r="B65" s="31" t="s">
        <v>787</v>
      </c>
      <c r="C65" s="31" t="s">
        <v>187</v>
      </c>
      <c r="D65" s="31" t="s">
        <v>567</v>
      </c>
      <c r="E65" s="64" t="str">
        <f aca="false">'Pod Library'!E78</f>
        <v>Integration SME</v>
      </c>
      <c r="F65" s="65" t="str">
        <f aca="false">'Pod Library'!F78</f>
        <v>BA</v>
      </c>
      <c r="G65" s="65" t="str">
        <f aca="false">'Pod Library'!G78</f>
        <v>E4</v>
      </c>
      <c r="H65" s="65" t="str">
        <f aca="false">'Pod Library'!H78</f>
        <v>ON</v>
      </c>
      <c r="I65" s="65" t="str">
        <f aca="false">'Pod Library'!I78</f>
        <v>FTE</v>
      </c>
      <c r="J65" s="18" t="n">
        <f aca="false">'Pod Library'!J78</f>
        <v>1</v>
      </c>
      <c r="K65" s="18" t="n">
        <f aca="false">SUMIFS('Pod Plan'!$E:$E,'Pod Plan'!$B:$B,$A65,'Pod Plan'!$C:$C,$C65)</f>
        <v>5</v>
      </c>
      <c r="L65" s="58" t="n">
        <f aca="false">J65*K65</f>
        <v>5</v>
      </c>
      <c r="M65" s="62" t="n">
        <f aca="false">L65*INDEX('Logic Tree'!$J$73:$N$74,MATCH(H65,'Logic Tree'!$I$73:$I$74,0),MATCH(G65,'Logic Tree'!$J$72:$N$72,0))</f>
        <v>9.25</v>
      </c>
    </row>
    <row r="66" customFormat="false" ht="14.25" hidden="true" customHeight="true" outlineLevel="0" collapsed="false">
      <c r="A66" s="32" t="n">
        <v>2</v>
      </c>
      <c r="B66" s="31" t="s">
        <v>787</v>
      </c>
      <c r="C66" s="31" t="s">
        <v>187</v>
      </c>
      <c r="D66" s="31" t="s">
        <v>567</v>
      </c>
      <c r="E66" s="64" t="str">
        <f aca="false">'Pod Library'!E79</f>
        <v>Application Owner (Technical)</v>
      </c>
      <c r="F66" s="65" t="str">
        <f aca="false">'Pod Library'!F79</f>
        <v>ENG</v>
      </c>
      <c r="G66" s="65" t="str">
        <f aca="false">'Pod Library'!G79</f>
        <v>E4</v>
      </c>
      <c r="H66" s="65" t="str">
        <f aca="false">'Pod Library'!H79</f>
        <v>ON</v>
      </c>
      <c r="I66" s="65" t="str">
        <f aca="false">'Pod Library'!I79</f>
        <v>FTE</v>
      </c>
      <c r="J66" s="18" t="n">
        <f aca="false">'Pod Library'!J79</f>
        <v>1</v>
      </c>
      <c r="K66" s="18" t="n">
        <f aca="false">SUMIFS('Pod Plan'!$E:$E,'Pod Plan'!$B:$B,$A66,'Pod Plan'!$C:$C,$C66)</f>
        <v>5</v>
      </c>
      <c r="L66" s="58" t="n">
        <f aca="false">J66*K66</f>
        <v>5</v>
      </c>
      <c r="M66" s="62" t="n">
        <f aca="false">L66*INDEX('Logic Tree'!$J$73:$N$74,MATCH(H66,'Logic Tree'!$I$73:$I$74,0),MATCH(G66,'Logic Tree'!$J$72:$N$72,0))</f>
        <v>9.25</v>
      </c>
    </row>
    <row r="67" customFormat="false" ht="14.25" hidden="true" customHeight="true" outlineLevel="0" collapsed="false">
      <c r="A67" s="32" t="n">
        <v>2</v>
      </c>
      <c r="B67" s="31" t="s">
        <v>787</v>
      </c>
      <c r="C67" s="31" t="s">
        <v>187</v>
      </c>
      <c r="D67" s="31" t="s">
        <v>567</v>
      </c>
      <c r="E67" s="64" t="str">
        <f aca="false">'Pod Library'!E80</f>
        <v>AI-assisted Developer — MGCC Hyderabad</v>
      </c>
      <c r="F67" s="65" t="str">
        <f aca="false">'Pod Library'!F80</f>
        <v>DEV</v>
      </c>
      <c r="G67" s="65" t="str">
        <f aca="false">'Pod Library'!G80</f>
        <v>E3</v>
      </c>
      <c r="H67" s="65" t="str">
        <f aca="false">'Pod Library'!H80</f>
        <v>OFF</v>
      </c>
      <c r="I67" s="65" t="str">
        <f aca="false">'Pod Library'!I80</f>
        <v>MGCC</v>
      </c>
      <c r="J67" s="18" t="n">
        <f aca="false">'Pod Library'!J80</f>
        <v>1</v>
      </c>
      <c r="K67" s="18" t="n">
        <f aca="false">SUMIFS('Pod Plan'!$E:$E,'Pod Plan'!$B:$B,$A67,'Pod Plan'!$C:$C,$C67)</f>
        <v>5</v>
      </c>
      <c r="L67" s="58" t="n">
        <f aca="false">J67*K67</f>
        <v>5</v>
      </c>
      <c r="M67" s="62" t="n">
        <f aca="false">L67*INDEX('Logic Tree'!$J$73:$N$74,MATCH(H67,'Logic Tree'!$I$73:$I$74,0),MATCH(G67,'Logic Tree'!$J$72:$N$72,0))</f>
        <v>2.1</v>
      </c>
    </row>
    <row r="68" customFormat="false" ht="14.25" hidden="true" customHeight="true" outlineLevel="0" collapsed="false">
      <c r="A68" s="32" t="n">
        <v>2</v>
      </c>
      <c r="B68" s="31" t="s">
        <v>787</v>
      </c>
      <c r="C68" s="31" t="s">
        <v>187</v>
      </c>
      <c r="D68" s="31" t="s">
        <v>567</v>
      </c>
      <c r="E68" s="64" t="str">
        <f aca="false">'Pod Library'!E81</f>
        <v>Quality Engineer (SDET)</v>
      </c>
      <c r="F68" s="65" t="str">
        <f aca="false">'Pod Library'!F81</f>
        <v>TEST</v>
      </c>
      <c r="G68" s="65" t="str">
        <f aca="false">'Pod Library'!G81</f>
        <v>E3</v>
      </c>
      <c r="H68" s="65" t="str">
        <f aca="false">'Pod Library'!H81</f>
        <v>OFF</v>
      </c>
      <c r="I68" s="65" t="str">
        <f aca="false">'Pod Library'!I81</f>
        <v>FTC</v>
      </c>
      <c r="J68" s="18" t="n">
        <f aca="false">'Pod Library'!J81</f>
        <v>1</v>
      </c>
      <c r="K68" s="18" t="n">
        <f aca="false">SUMIFS('Pod Plan'!$E:$E,'Pod Plan'!$B:$B,$A68,'Pod Plan'!$C:$C,$C68)</f>
        <v>5</v>
      </c>
      <c r="L68" s="58" t="n">
        <f aca="false">J68*K68</f>
        <v>5</v>
      </c>
      <c r="M68" s="62" t="n">
        <f aca="false">L68*INDEX('Logic Tree'!$J$73:$N$74,MATCH(H68,'Logic Tree'!$I$73:$I$74,0),MATCH(G68,'Logic Tree'!$J$72:$N$72,0))</f>
        <v>2.1</v>
      </c>
    </row>
    <row r="69" customFormat="false" ht="14.25" hidden="true" customHeight="true" outlineLevel="0" collapsed="false">
      <c r="A69" s="32" t="n">
        <v>2</v>
      </c>
      <c r="B69" s="31" t="s">
        <v>787</v>
      </c>
      <c r="C69" s="31" t="s">
        <v>187</v>
      </c>
      <c r="D69" s="31" t="s">
        <v>582</v>
      </c>
      <c r="E69" s="64" t="str">
        <f aca="false">'Pod Library'!E83</f>
        <v>Pod Lead / AI Orchestrator</v>
      </c>
      <c r="F69" s="65" t="str">
        <f aca="false">'Pod Library'!F83</f>
        <v>LEAD</v>
      </c>
      <c r="G69" s="65" t="str">
        <f aca="false">'Pod Library'!G83</f>
        <v>E4</v>
      </c>
      <c r="H69" s="65" t="str">
        <f aca="false">'Pod Library'!H83</f>
        <v>OFF</v>
      </c>
      <c r="I69" s="65" t="str">
        <f aca="false">'Pod Library'!I83</f>
        <v>FTC</v>
      </c>
      <c r="J69" s="18" t="n">
        <f aca="false">'Pod Library'!J83</f>
        <v>1</v>
      </c>
      <c r="K69" s="18" t="n">
        <f aca="false">SUMIFS('Pod Plan'!$F:$F,'Pod Plan'!$B:$B,$A69,'Pod Plan'!$C:$C,$C69)</f>
        <v>4</v>
      </c>
      <c r="L69" s="58" t="n">
        <f aca="false">J69*K69</f>
        <v>4</v>
      </c>
      <c r="M69" s="62" t="n">
        <f aca="false">L69*INDEX('Logic Tree'!$J$73:$N$74,MATCH(H69,'Logic Tree'!$I$73:$I$74,0),MATCH(G69,'Logic Tree'!$J$72:$N$72,0))</f>
        <v>2.4</v>
      </c>
    </row>
    <row r="70" customFormat="false" ht="14.25" hidden="true" customHeight="true" outlineLevel="0" collapsed="false">
      <c r="A70" s="32" t="n">
        <v>2</v>
      </c>
      <c r="B70" s="31" t="s">
        <v>787</v>
      </c>
      <c r="C70" s="31" t="s">
        <v>187</v>
      </c>
      <c r="D70" s="31" t="s">
        <v>582</v>
      </c>
      <c r="E70" s="64" t="str">
        <f aca="false">'Pod Library'!E84</f>
        <v>AI-assisted Developer — MGCC Hyderabad</v>
      </c>
      <c r="F70" s="65" t="str">
        <f aca="false">'Pod Library'!F84</f>
        <v>DEV</v>
      </c>
      <c r="G70" s="65" t="str">
        <f aca="false">'Pod Library'!G84</f>
        <v>E3</v>
      </c>
      <c r="H70" s="65" t="str">
        <f aca="false">'Pod Library'!H84</f>
        <v>OFF</v>
      </c>
      <c r="I70" s="65" t="str">
        <f aca="false">'Pod Library'!I84</f>
        <v>MGCC</v>
      </c>
      <c r="J70" s="18" t="n">
        <f aca="false">'Pod Library'!J84</f>
        <v>1</v>
      </c>
      <c r="K70" s="18" t="n">
        <f aca="false">SUMIFS('Pod Plan'!$F:$F,'Pod Plan'!$B:$B,$A70,'Pod Plan'!$C:$C,$C70)</f>
        <v>4</v>
      </c>
      <c r="L70" s="58" t="n">
        <f aca="false">J70*K70</f>
        <v>4</v>
      </c>
      <c r="M70" s="62" t="n">
        <f aca="false">L70*INDEX('Logic Tree'!$J$73:$N$74,MATCH(H70,'Logic Tree'!$I$73:$I$74,0),MATCH(G70,'Logic Tree'!$J$72:$N$72,0))</f>
        <v>1.68</v>
      </c>
    </row>
    <row r="71" customFormat="false" ht="14.25" hidden="true" customHeight="true" outlineLevel="0" collapsed="false">
      <c r="A71" s="32" t="n">
        <v>2</v>
      </c>
      <c r="B71" s="31" t="s">
        <v>787</v>
      </c>
      <c r="C71" s="31" t="s">
        <v>187</v>
      </c>
      <c r="D71" s="31" t="s">
        <v>582</v>
      </c>
      <c r="E71" s="64" t="str">
        <f aca="false">'Pod Library'!E85</f>
        <v>QA Engineer</v>
      </c>
      <c r="F71" s="65" t="str">
        <f aca="false">'Pod Library'!F85</f>
        <v>TEST</v>
      </c>
      <c r="G71" s="65" t="str">
        <f aca="false">'Pod Library'!G85</f>
        <v>E2</v>
      </c>
      <c r="H71" s="65" t="str">
        <f aca="false">'Pod Library'!H85</f>
        <v>OFF</v>
      </c>
      <c r="I71" s="65" t="str">
        <f aca="false">'Pod Library'!I85</f>
        <v>FTC</v>
      </c>
      <c r="J71" s="18" t="n">
        <f aca="false">'Pod Library'!J85</f>
        <v>1</v>
      </c>
      <c r="K71" s="18" t="n">
        <f aca="false">SUMIFS('Pod Plan'!$F:$F,'Pod Plan'!$B:$B,$A71,'Pod Plan'!$C:$C,$C71)</f>
        <v>4</v>
      </c>
      <c r="L71" s="58" t="n">
        <f aca="false">J71*K71</f>
        <v>4</v>
      </c>
      <c r="M71" s="62" t="n">
        <f aca="false">L71*INDEX('Logic Tree'!$J$73:$N$74,MATCH(H71,'Logic Tree'!$I$73:$I$74,0),MATCH(G71,'Logic Tree'!$J$72:$N$72,0))</f>
        <v>1.2</v>
      </c>
    </row>
    <row r="72" customFormat="false" ht="14.25" hidden="true" customHeight="true" outlineLevel="0" collapsed="false">
      <c r="A72" s="32" t="n">
        <v>2</v>
      </c>
      <c r="B72" s="31" t="s">
        <v>787</v>
      </c>
      <c r="C72" s="31" t="s">
        <v>197</v>
      </c>
      <c r="D72" s="31" t="s">
        <v>582</v>
      </c>
      <c r="E72" s="64" t="str">
        <f aca="false">'Pod Library'!E88</f>
        <v>Pod Lead / AI Orchestrator</v>
      </c>
      <c r="F72" s="65" t="str">
        <f aca="false">'Pod Library'!F88</f>
        <v>LEAD</v>
      </c>
      <c r="G72" s="65" t="str">
        <f aca="false">'Pod Library'!G88</f>
        <v>E4</v>
      </c>
      <c r="H72" s="65" t="str">
        <f aca="false">'Pod Library'!H88</f>
        <v>OFF</v>
      </c>
      <c r="I72" s="65" t="str">
        <f aca="false">'Pod Library'!I88</f>
        <v>FTC</v>
      </c>
      <c r="J72" s="18" t="n">
        <f aca="false">'Pod Library'!J88</f>
        <v>1</v>
      </c>
      <c r="K72" s="18" t="n">
        <f aca="false">SUMIFS('Pod Plan'!$F:$F,'Pod Plan'!$B:$B,$A72,'Pod Plan'!$C:$C,$C72)</f>
        <v>1</v>
      </c>
      <c r="L72" s="58" t="n">
        <f aca="false">J72*K72</f>
        <v>1</v>
      </c>
      <c r="M72" s="62" t="n">
        <f aca="false">L72*INDEX('Logic Tree'!$J$73:$N$74,MATCH(H72,'Logic Tree'!$I$73:$I$74,0),MATCH(G72,'Logic Tree'!$J$72:$N$72,0))</f>
        <v>0.6</v>
      </c>
    </row>
    <row r="73" customFormat="false" ht="14.25" hidden="true" customHeight="true" outlineLevel="0" collapsed="false">
      <c r="A73" s="32" t="n">
        <v>2</v>
      </c>
      <c r="B73" s="31" t="s">
        <v>787</v>
      </c>
      <c r="C73" s="31" t="s">
        <v>197</v>
      </c>
      <c r="D73" s="31" t="s">
        <v>582</v>
      </c>
      <c r="E73" s="64" t="str">
        <f aca="false">'Pod Library'!E89</f>
        <v>AI-assisted Developer — MGCC Hyderabad</v>
      </c>
      <c r="F73" s="65" t="str">
        <f aca="false">'Pod Library'!F89</f>
        <v>DEV</v>
      </c>
      <c r="G73" s="65" t="str">
        <f aca="false">'Pod Library'!G89</f>
        <v>E3</v>
      </c>
      <c r="H73" s="65" t="str">
        <f aca="false">'Pod Library'!H89</f>
        <v>OFF</v>
      </c>
      <c r="I73" s="65" t="str">
        <f aca="false">'Pod Library'!I89</f>
        <v>MGCC</v>
      </c>
      <c r="J73" s="18" t="n">
        <f aca="false">'Pod Library'!J89</f>
        <v>1</v>
      </c>
      <c r="K73" s="18" t="n">
        <f aca="false">SUMIFS('Pod Plan'!$F:$F,'Pod Plan'!$B:$B,$A73,'Pod Plan'!$C:$C,$C73)</f>
        <v>1</v>
      </c>
      <c r="L73" s="58" t="n">
        <f aca="false">J73*K73</f>
        <v>1</v>
      </c>
      <c r="M73" s="62" t="n">
        <f aca="false">L73*INDEX('Logic Tree'!$J$73:$N$74,MATCH(H73,'Logic Tree'!$I$73:$I$74,0),MATCH(G73,'Logic Tree'!$J$72:$N$72,0))</f>
        <v>0.42</v>
      </c>
    </row>
    <row r="74" customFormat="false" ht="14.25" hidden="true" customHeight="true" outlineLevel="0" collapsed="false">
      <c r="A74" s="32" t="n">
        <v>2</v>
      </c>
      <c r="B74" s="31" t="s">
        <v>787</v>
      </c>
      <c r="C74" s="31" t="s">
        <v>192</v>
      </c>
      <c r="D74" s="31" t="s">
        <v>567</v>
      </c>
      <c r="E74" s="64" t="str">
        <f aca="false">'Pod Library'!E92</f>
        <v>Product Owner</v>
      </c>
      <c r="F74" s="65" t="str">
        <f aca="false">'Pod Library'!F92</f>
        <v>LEAD</v>
      </c>
      <c r="G74" s="65" t="str">
        <f aca="false">'Pod Library'!G92</f>
        <v>E4</v>
      </c>
      <c r="H74" s="65" t="str">
        <f aca="false">'Pod Library'!H92</f>
        <v>ON</v>
      </c>
      <c r="I74" s="65" t="str">
        <f aca="false">'Pod Library'!I92</f>
        <v>FTE</v>
      </c>
      <c r="J74" s="18" t="n">
        <f aca="false">'Pod Library'!J92</f>
        <v>1</v>
      </c>
      <c r="K74" s="18" t="n">
        <f aca="false">SUMIFS('Pod Plan'!$E:$E,'Pod Plan'!$B:$B,$A74,'Pod Plan'!$C:$C,$C74)</f>
        <v>2</v>
      </c>
      <c r="L74" s="58" t="n">
        <f aca="false">J74*K74</f>
        <v>2</v>
      </c>
      <c r="M74" s="62" t="n">
        <f aca="false">L74*INDEX('Logic Tree'!$J$73:$N$74,MATCH(H74,'Logic Tree'!$I$73:$I$74,0),MATCH(G74,'Logic Tree'!$J$72:$N$72,0))</f>
        <v>3.7</v>
      </c>
    </row>
    <row r="75" customFormat="false" ht="14.25" hidden="true" customHeight="true" outlineLevel="0" collapsed="false">
      <c r="A75" s="32" t="n">
        <v>2</v>
      </c>
      <c r="B75" s="31" t="s">
        <v>787</v>
      </c>
      <c r="C75" s="31" t="s">
        <v>192</v>
      </c>
      <c r="D75" s="31" t="s">
        <v>567</v>
      </c>
      <c r="E75" s="64" t="str">
        <f aca="false">'Pod Library'!E93</f>
        <v>Business Rules SME</v>
      </c>
      <c r="F75" s="65" t="str">
        <f aca="false">'Pod Library'!F93</f>
        <v>BA</v>
      </c>
      <c r="G75" s="65" t="str">
        <f aca="false">'Pod Library'!G93</f>
        <v>E5</v>
      </c>
      <c r="H75" s="65" t="str">
        <f aca="false">'Pod Library'!H93</f>
        <v>ON</v>
      </c>
      <c r="I75" s="65" t="str">
        <f aca="false">'Pod Library'!I93</f>
        <v>FTE</v>
      </c>
      <c r="J75" s="18" t="n">
        <f aca="false">'Pod Library'!J93</f>
        <v>1</v>
      </c>
      <c r="K75" s="18" t="n">
        <f aca="false">SUMIFS('Pod Plan'!$E:$E,'Pod Plan'!$B:$B,$A75,'Pod Plan'!$C:$C,$C75)</f>
        <v>2</v>
      </c>
      <c r="L75" s="58" t="n">
        <f aca="false">J75*K75</f>
        <v>2</v>
      </c>
      <c r="M75" s="62" t="n">
        <f aca="false">L75*INDEX('Logic Tree'!$J$73:$N$74,MATCH(H75,'Logic Tree'!$I$73:$I$74,0),MATCH(G75,'Logic Tree'!$J$72:$N$72,0))</f>
        <v>5.1</v>
      </c>
    </row>
    <row r="76" customFormat="false" ht="14.25" hidden="true" customHeight="true" outlineLevel="0" collapsed="false">
      <c r="A76" s="32" t="n">
        <v>2</v>
      </c>
      <c r="B76" s="31" t="s">
        <v>787</v>
      </c>
      <c r="C76" s="31" t="s">
        <v>192</v>
      </c>
      <c r="D76" s="31" t="s">
        <v>567</v>
      </c>
      <c r="E76" s="64" t="str">
        <f aca="false">'Pod Library'!E94</f>
        <v>Application Owner (Technical)</v>
      </c>
      <c r="F76" s="65" t="str">
        <f aca="false">'Pod Library'!F94</f>
        <v>ENG</v>
      </c>
      <c r="G76" s="65" t="str">
        <f aca="false">'Pod Library'!G94</f>
        <v>E4</v>
      </c>
      <c r="H76" s="65" t="str">
        <f aca="false">'Pod Library'!H94</f>
        <v>ON</v>
      </c>
      <c r="I76" s="65" t="str">
        <f aca="false">'Pod Library'!I94</f>
        <v>FTE</v>
      </c>
      <c r="J76" s="18" t="n">
        <f aca="false">'Pod Library'!J94</f>
        <v>1</v>
      </c>
      <c r="K76" s="18" t="n">
        <f aca="false">SUMIFS('Pod Plan'!$E:$E,'Pod Plan'!$B:$B,$A76,'Pod Plan'!$C:$C,$C76)</f>
        <v>2</v>
      </c>
      <c r="L76" s="58" t="n">
        <f aca="false">J76*K76</f>
        <v>2</v>
      </c>
      <c r="M76" s="62" t="n">
        <f aca="false">L76*INDEX('Logic Tree'!$J$73:$N$74,MATCH(H76,'Logic Tree'!$I$73:$I$74,0),MATCH(G76,'Logic Tree'!$J$72:$N$72,0))</f>
        <v>3.7</v>
      </c>
    </row>
    <row r="77" customFormat="false" ht="14.25" hidden="true" customHeight="true" outlineLevel="0" collapsed="false">
      <c r="A77" s="32" t="n">
        <v>2</v>
      </c>
      <c r="B77" s="31" t="s">
        <v>787</v>
      </c>
      <c r="C77" s="31" t="s">
        <v>192</v>
      </c>
      <c r="D77" s="31" t="s">
        <v>567</v>
      </c>
      <c r="E77" s="64" t="str">
        <f aca="false">'Pod Library'!E95</f>
        <v>Pod Lead / Delivery Lead</v>
      </c>
      <c r="F77" s="65" t="str">
        <f aca="false">'Pod Library'!F95</f>
        <v>LEAD</v>
      </c>
      <c r="G77" s="65" t="str">
        <f aca="false">'Pod Library'!G95</f>
        <v>E4</v>
      </c>
      <c r="H77" s="65" t="str">
        <f aca="false">'Pod Library'!H95</f>
        <v>ON</v>
      </c>
      <c r="I77" s="65" t="str">
        <f aca="false">'Pod Library'!I95</f>
        <v>FTC</v>
      </c>
      <c r="J77" s="18" t="n">
        <f aca="false">'Pod Library'!J95</f>
        <v>1</v>
      </c>
      <c r="K77" s="18" t="n">
        <f aca="false">SUMIFS('Pod Plan'!$E:$E,'Pod Plan'!$B:$B,$A77,'Pod Plan'!$C:$C,$C77)</f>
        <v>2</v>
      </c>
      <c r="L77" s="58" t="n">
        <f aca="false">J77*K77</f>
        <v>2</v>
      </c>
      <c r="M77" s="62" t="n">
        <f aca="false">L77*INDEX('Logic Tree'!$J$73:$N$74,MATCH(H77,'Logic Tree'!$I$73:$I$74,0),MATCH(G77,'Logic Tree'!$J$72:$N$72,0))</f>
        <v>3.7</v>
      </c>
    </row>
    <row r="78" customFormat="false" ht="14.25" hidden="true" customHeight="true" outlineLevel="0" collapsed="false">
      <c r="A78" s="32" t="n">
        <v>2</v>
      </c>
      <c r="B78" s="31" t="s">
        <v>787</v>
      </c>
      <c r="C78" s="31" t="s">
        <v>192</v>
      </c>
      <c r="D78" s="31" t="s">
        <v>567</v>
      </c>
      <c r="E78" s="64" t="str">
        <f aca="false">'Pod Library'!E96</f>
        <v>Developer — MGCC Hyderabad</v>
      </c>
      <c r="F78" s="65" t="str">
        <f aca="false">'Pod Library'!F96</f>
        <v>DEV</v>
      </c>
      <c r="G78" s="65" t="str">
        <f aca="false">'Pod Library'!G96</f>
        <v>E2</v>
      </c>
      <c r="H78" s="65" t="str">
        <f aca="false">'Pod Library'!H96</f>
        <v>OFF</v>
      </c>
      <c r="I78" s="65" t="str">
        <f aca="false">'Pod Library'!I96</f>
        <v>MGCC</v>
      </c>
      <c r="J78" s="18" t="n">
        <f aca="false">'Pod Library'!J96</f>
        <v>1</v>
      </c>
      <c r="K78" s="18" t="n">
        <f aca="false">SUMIFS('Pod Plan'!$E:$E,'Pod Plan'!$B:$B,$A78,'Pod Plan'!$C:$C,$C78)</f>
        <v>2</v>
      </c>
      <c r="L78" s="58" t="n">
        <f aca="false">J78*K78</f>
        <v>2</v>
      </c>
      <c r="M78" s="62" t="n">
        <f aca="false">L78*INDEX('Logic Tree'!$J$73:$N$74,MATCH(H78,'Logic Tree'!$I$73:$I$74,0),MATCH(G78,'Logic Tree'!$J$72:$N$72,0))</f>
        <v>0.6</v>
      </c>
    </row>
    <row r="79" customFormat="false" ht="14.25" hidden="true" customHeight="true" outlineLevel="0" collapsed="false">
      <c r="A79" s="32" t="n">
        <v>2</v>
      </c>
      <c r="B79" s="31" t="s">
        <v>787</v>
      </c>
      <c r="C79" s="31" t="s">
        <v>192</v>
      </c>
      <c r="D79" s="31" t="s">
        <v>567</v>
      </c>
      <c r="E79" s="64" t="str">
        <f aca="false">'Pod Library'!E97</f>
        <v>QA Engineer</v>
      </c>
      <c r="F79" s="65" t="str">
        <f aca="false">'Pod Library'!F97</f>
        <v>TEST</v>
      </c>
      <c r="G79" s="65" t="str">
        <f aca="false">'Pod Library'!G97</f>
        <v>E2</v>
      </c>
      <c r="H79" s="65" t="str">
        <f aca="false">'Pod Library'!H97</f>
        <v>ON</v>
      </c>
      <c r="I79" s="65" t="str">
        <f aca="false">'Pod Library'!I97</f>
        <v>FTC</v>
      </c>
      <c r="J79" s="18" t="n">
        <f aca="false">'Pod Library'!J97</f>
        <v>1</v>
      </c>
      <c r="K79" s="18" t="n">
        <f aca="false">SUMIFS('Pod Plan'!$E:$E,'Pod Plan'!$B:$B,$A79,'Pod Plan'!$C:$C,$C79)</f>
        <v>2</v>
      </c>
      <c r="L79" s="58" t="n">
        <f aca="false">J79*K79</f>
        <v>2</v>
      </c>
      <c r="M79" s="62" t="n">
        <f aca="false">L79*INDEX('Logic Tree'!$J$73:$N$74,MATCH(H79,'Logic Tree'!$I$73:$I$74,0),MATCH(G79,'Logic Tree'!$J$72:$N$72,0))</f>
        <v>2</v>
      </c>
    </row>
    <row r="80" customFormat="false" ht="14.25" hidden="true" customHeight="true" outlineLevel="0" collapsed="false">
      <c r="A80" s="32" t="n">
        <v>3</v>
      </c>
      <c r="B80" s="31" t="s">
        <v>787</v>
      </c>
      <c r="C80" s="31" t="s">
        <v>177</v>
      </c>
      <c r="D80" s="31" t="s">
        <v>567</v>
      </c>
      <c r="E80" s="64" t="str">
        <f aca="false">'Pod Library'!E100</f>
        <v>Product Owner</v>
      </c>
      <c r="F80" s="65" t="str">
        <f aca="false">'Pod Library'!F100</f>
        <v>LEAD</v>
      </c>
      <c r="G80" s="65" t="str">
        <f aca="false">'Pod Library'!G100</f>
        <v>E4</v>
      </c>
      <c r="H80" s="65" t="str">
        <f aca="false">'Pod Library'!H100</f>
        <v>ON</v>
      </c>
      <c r="I80" s="65" t="str">
        <f aca="false">'Pod Library'!I100</f>
        <v>FTE</v>
      </c>
      <c r="J80" s="18" t="n">
        <f aca="false">'Pod Library'!J100</f>
        <v>1</v>
      </c>
      <c r="K80" s="18" t="n">
        <f aca="false">SUMIFS('Pod Plan'!$E:$E,'Pod Plan'!$B:$B,$A80,'Pod Plan'!$C:$C,$C80)</f>
        <v>4</v>
      </c>
      <c r="L80" s="58" t="n">
        <f aca="false">J80*K80</f>
        <v>4</v>
      </c>
      <c r="M80" s="62" t="n">
        <f aca="false">L80*INDEX('Logic Tree'!$J$73:$N$74,MATCH(H80,'Logic Tree'!$I$73:$I$74,0),MATCH(G80,'Logic Tree'!$J$72:$N$72,0))</f>
        <v>7.4</v>
      </c>
    </row>
    <row r="81" customFormat="false" ht="14.25" hidden="true" customHeight="true" outlineLevel="0" collapsed="false">
      <c r="A81" s="32" t="n">
        <v>3</v>
      </c>
      <c r="B81" s="31" t="s">
        <v>787</v>
      </c>
      <c r="C81" s="31" t="s">
        <v>177</v>
      </c>
      <c r="D81" s="31" t="s">
        <v>567</v>
      </c>
      <c r="E81" s="64" t="str">
        <f aca="false">'Pod Library'!E101</f>
        <v>Portal Platform SME</v>
      </c>
      <c r="F81" s="65" t="str">
        <f aca="false">'Pod Library'!F101</f>
        <v>BA</v>
      </c>
      <c r="G81" s="65" t="str">
        <f aca="false">'Pod Library'!G101</f>
        <v>E4</v>
      </c>
      <c r="H81" s="65" t="str">
        <f aca="false">'Pod Library'!H101</f>
        <v>ON</v>
      </c>
      <c r="I81" s="65" t="str">
        <f aca="false">'Pod Library'!I101</f>
        <v>FTE</v>
      </c>
      <c r="J81" s="18" t="n">
        <f aca="false">'Pod Library'!J101</f>
        <v>1</v>
      </c>
      <c r="K81" s="18" t="n">
        <f aca="false">SUMIFS('Pod Plan'!$E:$E,'Pod Plan'!$B:$B,$A81,'Pod Plan'!$C:$C,$C81)</f>
        <v>4</v>
      </c>
      <c r="L81" s="58" t="n">
        <f aca="false">J81*K81</f>
        <v>4</v>
      </c>
      <c r="M81" s="62" t="n">
        <f aca="false">L81*INDEX('Logic Tree'!$J$73:$N$74,MATCH(H81,'Logic Tree'!$I$73:$I$74,0),MATCH(G81,'Logic Tree'!$J$72:$N$72,0))</f>
        <v>7.4</v>
      </c>
    </row>
    <row r="82" customFormat="false" ht="14.25" hidden="true" customHeight="true" outlineLevel="0" collapsed="false">
      <c r="A82" s="32" t="n">
        <v>3</v>
      </c>
      <c r="B82" s="31" t="s">
        <v>787</v>
      </c>
      <c r="C82" s="31" t="s">
        <v>177</v>
      </c>
      <c r="D82" s="31" t="s">
        <v>567</v>
      </c>
      <c r="E82" s="64" t="str">
        <f aca="false">'Pod Library'!E102</f>
        <v>Application Owner (Technical)</v>
      </c>
      <c r="F82" s="65" t="str">
        <f aca="false">'Pod Library'!F102</f>
        <v>ENG</v>
      </c>
      <c r="G82" s="65" t="str">
        <f aca="false">'Pod Library'!G102</f>
        <v>E4</v>
      </c>
      <c r="H82" s="65" t="str">
        <f aca="false">'Pod Library'!H102</f>
        <v>ON</v>
      </c>
      <c r="I82" s="65" t="str">
        <f aca="false">'Pod Library'!I102</f>
        <v>FTE</v>
      </c>
      <c r="J82" s="18" t="n">
        <f aca="false">'Pod Library'!J102</f>
        <v>1</v>
      </c>
      <c r="K82" s="18" t="n">
        <f aca="false">SUMIFS('Pod Plan'!$E:$E,'Pod Plan'!$B:$B,$A82,'Pod Plan'!$C:$C,$C82)</f>
        <v>4</v>
      </c>
      <c r="L82" s="58" t="n">
        <f aca="false">J82*K82</f>
        <v>4</v>
      </c>
      <c r="M82" s="62" t="n">
        <f aca="false">L82*INDEX('Logic Tree'!$J$73:$N$74,MATCH(H82,'Logic Tree'!$I$73:$I$74,0),MATCH(G82,'Logic Tree'!$J$72:$N$72,0))</f>
        <v>7.4</v>
      </c>
    </row>
    <row r="83" customFormat="false" ht="14.25" hidden="true" customHeight="true" outlineLevel="0" collapsed="false">
      <c r="A83" s="32" t="n">
        <v>3</v>
      </c>
      <c r="B83" s="31" t="s">
        <v>787</v>
      </c>
      <c r="C83" s="31" t="s">
        <v>177</v>
      </c>
      <c r="D83" s="31" t="s">
        <v>567</v>
      </c>
      <c r="E83" s="64" t="str">
        <f aca="false">'Pod Library'!E103</f>
        <v>AI Orchestrator / Developer</v>
      </c>
      <c r="F83" s="65" t="str">
        <f aca="false">'Pod Library'!F103</f>
        <v>ENG</v>
      </c>
      <c r="G83" s="65" t="str">
        <f aca="false">'Pod Library'!G103</f>
        <v>E3</v>
      </c>
      <c r="H83" s="65" t="str">
        <f aca="false">'Pod Library'!H103</f>
        <v>ON</v>
      </c>
      <c r="I83" s="65" t="str">
        <f aca="false">'Pod Library'!I103</f>
        <v>FTC</v>
      </c>
      <c r="J83" s="18" t="n">
        <f aca="false">'Pod Library'!J103</f>
        <v>1</v>
      </c>
      <c r="K83" s="18" t="n">
        <f aca="false">SUMIFS('Pod Plan'!$E:$E,'Pod Plan'!$B:$B,$A83,'Pod Plan'!$C:$C,$C83)</f>
        <v>4</v>
      </c>
      <c r="L83" s="58" t="n">
        <f aca="false">J83*K83</f>
        <v>4</v>
      </c>
      <c r="M83" s="62" t="n">
        <f aca="false">L83*INDEX('Logic Tree'!$J$73:$N$74,MATCH(H83,'Logic Tree'!$I$73:$I$74,0),MATCH(G83,'Logic Tree'!$J$72:$N$72,0))</f>
        <v>5.4</v>
      </c>
    </row>
    <row r="84" customFormat="false" ht="14.25" hidden="true" customHeight="true" outlineLevel="0" collapsed="false">
      <c r="A84" s="32" t="n">
        <v>3</v>
      </c>
      <c r="B84" s="31" t="s">
        <v>787</v>
      </c>
      <c r="C84" s="31" t="s">
        <v>177</v>
      </c>
      <c r="D84" s="31" t="s">
        <v>567</v>
      </c>
      <c r="E84" s="64" t="str">
        <f aca="false">'Pod Library'!E104</f>
        <v>Quality Engineer (SDET)</v>
      </c>
      <c r="F84" s="65" t="str">
        <f aca="false">'Pod Library'!F104</f>
        <v>TEST</v>
      </c>
      <c r="G84" s="65" t="str">
        <f aca="false">'Pod Library'!G104</f>
        <v>E3</v>
      </c>
      <c r="H84" s="65" t="str">
        <f aca="false">'Pod Library'!H104</f>
        <v>ON</v>
      </c>
      <c r="I84" s="65" t="str">
        <f aca="false">'Pod Library'!I104</f>
        <v>FTC</v>
      </c>
      <c r="J84" s="18" t="n">
        <f aca="false">'Pod Library'!J104</f>
        <v>1</v>
      </c>
      <c r="K84" s="18" t="n">
        <f aca="false">SUMIFS('Pod Plan'!$E:$E,'Pod Plan'!$B:$B,$A84,'Pod Plan'!$C:$C,$C84)</f>
        <v>4</v>
      </c>
      <c r="L84" s="58" t="n">
        <f aca="false">J84*K84</f>
        <v>4</v>
      </c>
      <c r="M84" s="62" t="n">
        <f aca="false">L84*INDEX('Logic Tree'!$J$73:$N$74,MATCH(H84,'Logic Tree'!$I$73:$I$74,0),MATCH(G84,'Logic Tree'!$J$72:$N$72,0))</f>
        <v>5.4</v>
      </c>
    </row>
    <row r="85" customFormat="false" ht="14.25" hidden="true" customHeight="true" outlineLevel="0" collapsed="false">
      <c r="A85" s="32" t="n">
        <v>3</v>
      </c>
      <c r="B85" s="31" t="s">
        <v>787</v>
      </c>
      <c r="C85" s="31" t="s">
        <v>177</v>
      </c>
      <c r="D85" s="31" t="s">
        <v>567</v>
      </c>
      <c r="E85" s="64" t="str">
        <f aca="false">'Pod Library'!E105</f>
        <v>AI Orchestrator — MGCC Hyderabad</v>
      </c>
      <c r="F85" s="65" t="str">
        <f aca="false">'Pod Library'!F105</f>
        <v>ENG</v>
      </c>
      <c r="G85" s="65" t="str">
        <f aca="false">'Pod Library'!G105</f>
        <v>E3</v>
      </c>
      <c r="H85" s="65" t="str">
        <f aca="false">'Pod Library'!H105</f>
        <v>OFF</v>
      </c>
      <c r="I85" s="65" t="str">
        <f aca="false">'Pod Library'!I105</f>
        <v>MGCC</v>
      </c>
      <c r="J85" s="18" t="n">
        <f aca="false">'Pod Library'!J105</f>
        <v>1</v>
      </c>
      <c r="K85" s="18" t="n">
        <f aca="false">SUMIFS('Pod Plan'!$E:$E,'Pod Plan'!$B:$B,$A85,'Pod Plan'!$C:$C,$C85)</f>
        <v>4</v>
      </c>
      <c r="L85" s="58" t="n">
        <f aca="false">J85*K85</f>
        <v>4</v>
      </c>
      <c r="M85" s="62" t="n">
        <f aca="false">L85*INDEX('Logic Tree'!$J$73:$N$74,MATCH(H85,'Logic Tree'!$I$73:$I$74,0),MATCH(G85,'Logic Tree'!$J$72:$N$72,0))</f>
        <v>1.68</v>
      </c>
    </row>
    <row r="86" customFormat="false" ht="14.25" hidden="true" customHeight="true" outlineLevel="0" collapsed="false">
      <c r="A86" s="32" t="n">
        <v>3</v>
      </c>
      <c r="B86" s="31" t="s">
        <v>787</v>
      </c>
      <c r="C86" s="31" t="s">
        <v>177</v>
      </c>
      <c r="D86" s="31" t="s">
        <v>567</v>
      </c>
      <c r="E86" s="64" t="str">
        <f aca="false">'Pod Library'!E106</f>
        <v>AI-assisted Developer — MGCC Hyderabad</v>
      </c>
      <c r="F86" s="65" t="str">
        <f aca="false">'Pod Library'!F106</f>
        <v>DEV</v>
      </c>
      <c r="G86" s="65" t="str">
        <f aca="false">'Pod Library'!G106</f>
        <v>E3</v>
      </c>
      <c r="H86" s="65" t="str">
        <f aca="false">'Pod Library'!H106</f>
        <v>OFF</v>
      </c>
      <c r="I86" s="65" t="str">
        <f aca="false">'Pod Library'!I106</f>
        <v>MGCC</v>
      </c>
      <c r="J86" s="18" t="n">
        <f aca="false">'Pod Library'!J106</f>
        <v>1</v>
      </c>
      <c r="K86" s="18" t="n">
        <f aca="false">SUMIFS('Pod Plan'!$E:$E,'Pod Plan'!$B:$B,$A86,'Pod Plan'!$C:$C,$C86)</f>
        <v>4</v>
      </c>
      <c r="L86" s="58" t="n">
        <f aca="false">J86*K86</f>
        <v>4</v>
      </c>
      <c r="M86" s="62" t="n">
        <f aca="false">L86*INDEX('Logic Tree'!$J$73:$N$74,MATCH(H86,'Logic Tree'!$I$73:$I$74,0),MATCH(G86,'Logic Tree'!$J$72:$N$72,0))</f>
        <v>1.68</v>
      </c>
    </row>
    <row r="87" customFormat="false" ht="14.25" hidden="true" customHeight="true" outlineLevel="0" collapsed="false">
      <c r="A87" s="32" t="n">
        <v>3</v>
      </c>
      <c r="B87" s="31" t="s">
        <v>787</v>
      </c>
      <c r="C87" s="31" t="s">
        <v>177</v>
      </c>
      <c r="D87" s="31" t="s">
        <v>567</v>
      </c>
      <c r="E87" s="64" t="str">
        <f aca="false">'Pod Library'!E107</f>
        <v>QA Engineer — MGCC Hyderabad</v>
      </c>
      <c r="F87" s="65" t="str">
        <f aca="false">'Pod Library'!F107</f>
        <v>TEST</v>
      </c>
      <c r="G87" s="65" t="str">
        <f aca="false">'Pod Library'!G107</f>
        <v>E2</v>
      </c>
      <c r="H87" s="65" t="str">
        <f aca="false">'Pod Library'!H107</f>
        <v>OFF</v>
      </c>
      <c r="I87" s="65" t="str">
        <f aca="false">'Pod Library'!I107</f>
        <v>MGCC</v>
      </c>
      <c r="J87" s="18" t="n">
        <f aca="false">'Pod Library'!J107</f>
        <v>1</v>
      </c>
      <c r="K87" s="18" t="n">
        <f aca="false">SUMIFS('Pod Plan'!$E:$E,'Pod Plan'!$B:$B,$A87,'Pod Plan'!$C:$C,$C87)</f>
        <v>4</v>
      </c>
      <c r="L87" s="58" t="n">
        <f aca="false">J87*K87</f>
        <v>4</v>
      </c>
      <c r="M87" s="62" t="n">
        <f aca="false">L87*INDEX('Logic Tree'!$J$73:$N$74,MATCH(H87,'Logic Tree'!$I$73:$I$74,0),MATCH(G87,'Logic Tree'!$J$72:$N$72,0))</f>
        <v>1.2</v>
      </c>
    </row>
    <row r="88" customFormat="false" ht="14.25" hidden="true" customHeight="true" outlineLevel="0" collapsed="false">
      <c r="A88" s="32" t="n">
        <v>3</v>
      </c>
      <c r="B88" s="31" t="s">
        <v>787</v>
      </c>
      <c r="C88" s="31" t="s">
        <v>177</v>
      </c>
      <c r="D88" s="31" t="s">
        <v>582</v>
      </c>
      <c r="E88" s="64" t="str">
        <f aca="false">'Pod Library'!E109</f>
        <v>AI Orchestrator</v>
      </c>
      <c r="F88" s="65" t="str">
        <f aca="false">'Pod Library'!F109</f>
        <v>ENG</v>
      </c>
      <c r="G88" s="65" t="str">
        <f aca="false">'Pod Library'!G109</f>
        <v>E4</v>
      </c>
      <c r="H88" s="65" t="str">
        <f aca="false">'Pod Library'!H109</f>
        <v>ON</v>
      </c>
      <c r="I88" s="65" t="str">
        <f aca="false">'Pod Library'!I109</f>
        <v>FTC</v>
      </c>
      <c r="J88" s="18" t="n">
        <f aca="false">'Pod Library'!J109</f>
        <v>1</v>
      </c>
      <c r="K88" s="18" t="n">
        <f aca="false">SUMIFS('Pod Plan'!$F:$F,'Pod Plan'!$B:$B,$A88,'Pod Plan'!$C:$C,$C88)</f>
        <v>4</v>
      </c>
      <c r="L88" s="58" t="n">
        <f aca="false">J88*K88</f>
        <v>4</v>
      </c>
      <c r="M88" s="62" t="n">
        <f aca="false">L88*INDEX('Logic Tree'!$J$73:$N$74,MATCH(H88,'Logic Tree'!$I$73:$I$74,0),MATCH(G88,'Logic Tree'!$J$72:$N$72,0))</f>
        <v>7.4</v>
      </c>
    </row>
    <row r="89" customFormat="false" ht="14.25" hidden="true" customHeight="true" outlineLevel="0" collapsed="false">
      <c r="A89" s="32" t="n">
        <v>3</v>
      </c>
      <c r="B89" s="31" t="s">
        <v>787</v>
      </c>
      <c r="C89" s="31" t="s">
        <v>177</v>
      </c>
      <c r="D89" s="31" t="s">
        <v>582</v>
      </c>
      <c r="E89" s="64" t="str">
        <f aca="false">'Pod Library'!E110</f>
        <v>AI-assisted Developer</v>
      </c>
      <c r="F89" s="65" t="str">
        <f aca="false">'Pod Library'!F110</f>
        <v>DEV</v>
      </c>
      <c r="G89" s="65" t="str">
        <f aca="false">'Pod Library'!G110</f>
        <v>E3</v>
      </c>
      <c r="H89" s="65" t="str">
        <f aca="false">'Pod Library'!H110</f>
        <v>OFF</v>
      </c>
      <c r="I89" s="65" t="str">
        <f aca="false">'Pod Library'!I110</f>
        <v>FTC</v>
      </c>
      <c r="J89" s="18" t="n">
        <f aca="false">'Pod Library'!J110</f>
        <v>1</v>
      </c>
      <c r="K89" s="18" t="n">
        <f aca="false">SUMIFS('Pod Plan'!$F:$F,'Pod Plan'!$B:$B,$A89,'Pod Plan'!$C:$C,$C89)</f>
        <v>4</v>
      </c>
      <c r="L89" s="58" t="n">
        <f aca="false">J89*K89</f>
        <v>4</v>
      </c>
      <c r="M89" s="62" t="n">
        <f aca="false">L89*INDEX('Logic Tree'!$J$73:$N$74,MATCH(H89,'Logic Tree'!$I$73:$I$74,0),MATCH(G89,'Logic Tree'!$J$72:$N$72,0))</f>
        <v>1.68</v>
      </c>
    </row>
    <row r="90" customFormat="false" ht="14.25" hidden="true" customHeight="true" outlineLevel="0" collapsed="false">
      <c r="A90" s="32" t="n">
        <v>3</v>
      </c>
      <c r="B90" s="31" t="s">
        <v>787</v>
      </c>
      <c r="C90" s="31" t="s">
        <v>177</v>
      </c>
      <c r="D90" s="31" t="s">
        <v>582</v>
      </c>
      <c r="E90" s="64" t="str">
        <f aca="false">'Pod Library'!E111</f>
        <v>Developer</v>
      </c>
      <c r="F90" s="65" t="str">
        <f aca="false">'Pod Library'!F111</f>
        <v>DEV</v>
      </c>
      <c r="G90" s="65" t="str">
        <f aca="false">'Pod Library'!G111</f>
        <v>E2</v>
      </c>
      <c r="H90" s="65" t="str">
        <f aca="false">'Pod Library'!H111</f>
        <v>OFF</v>
      </c>
      <c r="I90" s="65" t="str">
        <f aca="false">'Pod Library'!I111</f>
        <v>FTC</v>
      </c>
      <c r="J90" s="18" t="n">
        <f aca="false">'Pod Library'!J111</f>
        <v>1</v>
      </c>
      <c r="K90" s="18" t="n">
        <f aca="false">SUMIFS('Pod Plan'!$F:$F,'Pod Plan'!$B:$B,$A90,'Pod Plan'!$C:$C,$C90)</f>
        <v>4</v>
      </c>
      <c r="L90" s="58" t="n">
        <f aca="false">J90*K90</f>
        <v>4</v>
      </c>
      <c r="M90" s="62" t="n">
        <f aca="false">L90*INDEX('Logic Tree'!$J$73:$N$74,MATCH(H90,'Logic Tree'!$I$73:$I$74,0),MATCH(G90,'Logic Tree'!$J$72:$N$72,0))</f>
        <v>1.2</v>
      </c>
    </row>
    <row r="91" customFormat="false" ht="14.25" hidden="true" customHeight="true" outlineLevel="0" collapsed="false">
      <c r="A91" s="32" t="n">
        <v>3</v>
      </c>
      <c r="B91" s="31" t="s">
        <v>787</v>
      </c>
      <c r="C91" s="31" t="s">
        <v>177</v>
      </c>
      <c r="D91" s="31" t="s">
        <v>582</v>
      </c>
      <c r="E91" s="64" t="str">
        <f aca="false">'Pod Library'!E112</f>
        <v>Quality Engineer (SDET)</v>
      </c>
      <c r="F91" s="65" t="str">
        <f aca="false">'Pod Library'!F112</f>
        <v>TEST</v>
      </c>
      <c r="G91" s="65" t="str">
        <f aca="false">'Pod Library'!G112</f>
        <v>E2</v>
      </c>
      <c r="H91" s="65" t="str">
        <f aca="false">'Pod Library'!H112</f>
        <v>OFF</v>
      </c>
      <c r="I91" s="65" t="str">
        <f aca="false">'Pod Library'!I112</f>
        <v>FTC</v>
      </c>
      <c r="J91" s="18" t="n">
        <f aca="false">'Pod Library'!J112</f>
        <v>1</v>
      </c>
      <c r="K91" s="18" t="n">
        <f aca="false">SUMIFS('Pod Plan'!$F:$F,'Pod Plan'!$B:$B,$A91,'Pod Plan'!$C:$C,$C91)</f>
        <v>4</v>
      </c>
      <c r="L91" s="58" t="n">
        <f aca="false">J91*K91</f>
        <v>4</v>
      </c>
      <c r="M91" s="62" t="n">
        <f aca="false">L91*INDEX('Logic Tree'!$J$73:$N$74,MATCH(H91,'Logic Tree'!$I$73:$I$74,0),MATCH(G91,'Logic Tree'!$J$72:$N$72,0))</f>
        <v>1.2</v>
      </c>
    </row>
    <row r="92" customFormat="false" ht="14.25" hidden="true" customHeight="true" outlineLevel="0" collapsed="false">
      <c r="A92" s="32" t="n">
        <v>3</v>
      </c>
      <c r="B92" s="31" t="s">
        <v>787</v>
      </c>
      <c r="C92" s="31" t="s">
        <v>177</v>
      </c>
      <c r="D92" s="31" t="s">
        <v>582</v>
      </c>
      <c r="E92" s="64" t="str">
        <f aca="false">'Pod Library'!E113</f>
        <v>Support Engineer</v>
      </c>
      <c r="F92" s="65" t="str">
        <f aca="false">'Pod Library'!F113</f>
        <v>DEV</v>
      </c>
      <c r="G92" s="65" t="str">
        <f aca="false">'Pod Library'!G113</f>
        <v>E2</v>
      </c>
      <c r="H92" s="65" t="str">
        <f aca="false">'Pod Library'!H113</f>
        <v>OFF</v>
      </c>
      <c r="I92" s="65" t="str">
        <f aca="false">'Pod Library'!I113</f>
        <v>FTC</v>
      </c>
      <c r="J92" s="18" t="n">
        <f aca="false">'Pod Library'!J113</f>
        <v>1</v>
      </c>
      <c r="K92" s="18" t="n">
        <f aca="false">SUMIFS('Pod Plan'!$F:$F,'Pod Plan'!$B:$B,$A92,'Pod Plan'!$C:$C,$C92)</f>
        <v>4</v>
      </c>
      <c r="L92" s="58" t="n">
        <f aca="false">J92*K92</f>
        <v>4</v>
      </c>
      <c r="M92" s="62" t="n">
        <f aca="false">L92*INDEX('Logic Tree'!$J$73:$N$74,MATCH(H92,'Logic Tree'!$I$73:$I$74,0),MATCH(G92,'Logic Tree'!$J$72:$N$72,0))</f>
        <v>1.2</v>
      </c>
    </row>
    <row r="93" customFormat="false" ht="14.25" hidden="true" customHeight="true" outlineLevel="0" collapsed="false">
      <c r="A93" s="32" t="n">
        <v>3</v>
      </c>
      <c r="B93" s="31" t="s">
        <v>787</v>
      </c>
      <c r="C93" s="31" t="s">
        <v>177</v>
      </c>
      <c r="D93" s="31" t="s">
        <v>582</v>
      </c>
      <c r="E93" s="64" t="str">
        <f aca="false">'Pod Library'!E114</f>
        <v>AI Orchestrator — MGCC Hyderabad</v>
      </c>
      <c r="F93" s="65" t="str">
        <f aca="false">'Pod Library'!F114</f>
        <v>ENG</v>
      </c>
      <c r="G93" s="65" t="str">
        <f aca="false">'Pod Library'!G114</f>
        <v>E3</v>
      </c>
      <c r="H93" s="65" t="str">
        <f aca="false">'Pod Library'!H114</f>
        <v>OFF</v>
      </c>
      <c r="I93" s="65" t="str">
        <f aca="false">'Pod Library'!I114</f>
        <v>MGCC</v>
      </c>
      <c r="J93" s="18" t="n">
        <f aca="false">'Pod Library'!J114</f>
        <v>1</v>
      </c>
      <c r="K93" s="18" t="n">
        <f aca="false">SUMIFS('Pod Plan'!$F:$F,'Pod Plan'!$B:$B,$A93,'Pod Plan'!$C:$C,$C93)</f>
        <v>4</v>
      </c>
      <c r="L93" s="58" t="n">
        <f aca="false">J93*K93</f>
        <v>4</v>
      </c>
      <c r="M93" s="62" t="n">
        <f aca="false">L93*INDEX('Logic Tree'!$J$73:$N$74,MATCH(H93,'Logic Tree'!$I$73:$I$74,0),MATCH(G93,'Logic Tree'!$J$72:$N$72,0))</f>
        <v>1.68</v>
      </c>
    </row>
    <row r="94" customFormat="false" ht="14.25" hidden="true" customHeight="true" outlineLevel="0" collapsed="false">
      <c r="A94" s="32" t="n">
        <v>3</v>
      </c>
      <c r="B94" s="31" t="s">
        <v>787</v>
      </c>
      <c r="C94" s="31" t="s">
        <v>177</v>
      </c>
      <c r="D94" s="31" t="s">
        <v>582</v>
      </c>
      <c r="E94" s="64" t="str">
        <f aca="false">'Pod Library'!E115</f>
        <v>AI-assisted Developer — MGCC Hyderabad</v>
      </c>
      <c r="F94" s="65" t="str">
        <f aca="false">'Pod Library'!F115</f>
        <v>DEV</v>
      </c>
      <c r="G94" s="65" t="str">
        <f aca="false">'Pod Library'!G115</f>
        <v>E3</v>
      </c>
      <c r="H94" s="65" t="str">
        <f aca="false">'Pod Library'!H115</f>
        <v>OFF</v>
      </c>
      <c r="I94" s="65" t="str">
        <f aca="false">'Pod Library'!I115</f>
        <v>MGCC</v>
      </c>
      <c r="J94" s="18" t="n">
        <f aca="false">'Pod Library'!J115</f>
        <v>1</v>
      </c>
      <c r="K94" s="18" t="n">
        <f aca="false">SUMIFS('Pod Plan'!$F:$F,'Pod Plan'!$B:$B,$A94,'Pod Plan'!$C:$C,$C94)</f>
        <v>4</v>
      </c>
      <c r="L94" s="58" t="n">
        <f aca="false">J94*K94</f>
        <v>4</v>
      </c>
      <c r="M94" s="62" t="n">
        <f aca="false">L94*INDEX('Logic Tree'!$J$73:$N$74,MATCH(H94,'Logic Tree'!$I$73:$I$74,0),MATCH(G94,'Logic Tree'!$J$72:$N$72,0))</f>
        <v>1.68</v>
      </c>
    </row>
    <row r="95" customFormat="false" ht="14.25" hidden="true" customHeight="true" outlineLevel="0" collapsed="false">
      <c r="A95" s="32" t="n">
        <v>3</v>
      </c>
      <c r="B95" s="31" t="s">
        <v>787</v>
      </c>
      <c r="C95" s="31" t="s">
        <v>177</v>
      </c>
      <c r="D95" s="31" t="s">
        <v>582</v>
      </c>
      <c r="E95" s="64" t="str">
        <f aca="false">'Pod Library'!E116</f>
        <v>QA Engineer — MGCC Hyderabad</v>
      </c>
      <c r="F95" s="65" t="str">
        <f aca="false">'Pod Library'!F116</f>
        <v>TEST</v>
      </c>
      <c r="G95" s="65" t="str">
        <f aca="false">'Pod Library'!G116</f>
        <v>E2</v>
      </c>
      <c r="H95" s="65" t="str">
        <f aca="false">'Pod Library'!H116</f>
        <v>OFF</v>
      </c>
      <c r="I95" s="65" t="str">
        <f aca="false">'Pod Library'!I116</f>
        <v>MGCC</v>
      </c>
      <c r="J95" s="18" t="n">
        <f aca="false">'Pod Library'!J116</f>
        <v>1</v>
      </c>
      <c r="K95" s="18" t="n">
        <f aca="false">SUMIFS('Pod Plan'!$F:$F,'Pod Plan'!$B:$B,$A95,'Pod Plan'!$C:$C,$C95)</f>
        <v>4</v>
      </c>
      <c r="L95" s="58" t="n">
        <f aca="false">J95*K95</f>
        <v>4</v>
      </c>
      <c r="M95" s="62" t="n">
        <f aca="false">L95*INDEX('Logic Tree'!$J$73:$N$74,MATCH(H95,'Logic Tree'!$I$73:$I$74,0),MATCH(G95,'Logic Tree'!$J$72:$N$72,0))</f>
        <v>1.2</v>
      </c>
    </row>
    <row r="96" customFormat="false" ht="14.25" hidden="true" customHeight="true" outlineLevel="0" collapsed="false">
      <c r="A96" s="32" t="n">
        <v>3</v>
      </c>
      <c r="B96" s="31" t="s">
        <v>787</v>
      </c>
      <c r="C96" s="31" t="s">
        <v>187</v>
      </c>
      <c r="D96" s="31" t="s">
        <v>567</v>
      </c>
      <c r="E96" s="64" t="str">
        <f aca="false">'Pod Library'!E119</f>
        <v>Product Owner</v>
      </c>
      <c r="F96" s="65" t="str">
        <f aca="false">'Pod Library'!F119</f>
        <v>LEAD</v>
      </c>
      <c r="G96" s="65" t="str">
        <f aca="false">'Pod Library'!G119</f>
        <v>E4</v>
      </c>
      <c r="H96" s="65" t="str">
        <f aca="false">'Pod Library'!H119</f>
        <v>ON</v>
      </c>
      <c r="I96" s="65" t="str">
        <f aca="false">'Pod Library'!I119</f>
        <v>FTE</v>
      </c>
      <c r="J96" s="18" t="n">
        <f aca="false">'Pod Library'!J119</f>
        <v>1</v>
      </c>
      <c r="K96" s="18" t="n">
        <f aca="false">SUMIFS('Pod Plan'!$E:$E,'Pod Plan'!$B:$B,$A96,'Pod Plan'!$C:$C,$C96)</f>
        <v>5</v>
      </c>
      <c r="L96" s="58" t="n">
        <f aca="false">J96*K96</f>
        <v>5</v>
      </c>
      <c r="M96" s="62" t="n">
        <f aca="false">L96*INDEX('Logic Tree'!$J$73:$N$74,MATCH(H96,'Logic Tree'!$I$73:$I$74,0),MATCH(G96,'Logic Tree'!$J$72:$N$72,0))</f>
        <v>9.25</v>
      </c>
    </row>
    <row r="97" customFormat="false" ht="14.25" hidden="true" customHeight="true" outlineLevel="0" collapsed="false">
      <c r="A97" s="32" t="n">
        <v>3</v>
      </c>
      <c r="B97" s="31" t="s">
        <v>787</v>
      </c>
      <c r="C97" s="31" t="s">
        <v>187</v>
      </c>
      <c r="D97" s="31" t="s">
        <v>567</v>
      </c>
      <c r="E97" s="64" t="str">
        <f aca="false">'Pod Library'!E120</f>
        <v>Integration SME</v>
      </c>
      <c r="F97" s="65" t="str">
        <f aca="false">'Pod Library'!F120</f>
        <v>BA</v>
      </c>
      <c r="G97" s="65" t="str">
        <f aca="false">'Pod Library'!G120</f>
        <v>E4</v>
      </c>
      <c r="H97" s="65" t="str">
        <f aca="false">'Pod Library'!H120</f>
        <v>ON</v>
      </c>
      <c r="I97" s="65" t="str">
        <f aca="false">'Pod Library'!I120</f>
        <v>FTE</v>
      </c>
      <c r="J97" s="18" t="n">
        <f aca="false">'Pod Library'!J120</f>
        <v>1</v>
      </c>
      <c r="K97" s="18" t="n">
        <f aca="false">SUMIFS('Pod Plan'!$E:$E,'Pod Plan'!$B:$B,$A97,'Pod Plan'!$C:$C,$C97)</f>
        <v>5</v>
      </c>
      <c r="L97" s="58" t="n">
        <f aca="false">J97*K97</f>
        <v>5</v>
      </c>
      <c r="M97" s="62" t="n">
        <f aca="false">L97*INDEX('Logic Tree'!$J$73:$N$74,MATCH(H97,'Logic Tree'!$I$73:$I$74,0),MATCH(G97,'Logic Tree'!$J$72:$N$72,0))</f>
        <v>9.25</v>
      </c>
    </row>
    <row r="98" customFormat="false" ht="14.25" hidden="true" customHeight="true" outlineLevel="0" collapsed="false">
      <c r="A98" s="32" t="n">
        <v>3</v>
      </c>
      <c r="B98" s="31" t="s">
        <v>787</v>
      </c>
      <c r="C98" s="31" t="s">
        <v>187</v>
      </c>
      <c r="D98" s="31" t="s">
        <v>567</v>
      </c>
      <c r="E98" s="64" t="str">
        <f aca="false">'Pod Library'!E121</f>
        <v>Application Owner (Technical)</v>
      </c>
      <c r="F98" s="65" t="str">
        <f aca="false">'Pod Library'!F121</f>
        <v>ENG</v>
      </c>
      <c r="G98" s="65" t="str">
        <f aca="false">'Pod Library'!G121</f>
        <v>E4</v>
      </c>
      <c r="H98" s="65" t="str">
        <f aca="false">'Pod Library'!H121</f>
        <v>ON</v>
      </c>
      <c r="I98" s="65" t="str">
        <f aca="false">'Pod Library'!I121</f>
        <v>FTE</v>
      </c>
      <c r="J98" s="18" t="n">
        <f aca="false">'Pod Library'!J121</f>
        <v>1</v>
      </c>
      <c r="K98" s="18" t="n">
        <f aca="false">SUMIFS('Pod Plan'!$E:$E,'Pod Plan'!$B:$B,$A98,'Pod Plan'!$C:$C,$C98)</f>
        <v>5</v>
      </c>
      <c r="L98" s="58" t="n">
        <f aca="false">J98*K98</f>
        <v>5</v>
      </c>
      <c r="M98" s="62" t="n">
        <f aca="false">L98*INDEX('Logic Tree'!$J$73:$N$74,MATCH(H98,'Logic Tree'!$I$73:$I$74,0),MATCH(G98,'Logic Tree'!$J$72:$N$72,0))</f>
        <v>9.25</v>
      </c>
    </row>
    <row r="99" customFormat="false" ht="14.25" hidden="true" customHeight="true" outlineLevel="0" collapsed="false">
      <c r="A99" s="32" t="n">
        <v>3</v>
      </c>
      <c r="B99" s="31" t="s">
        <v>787</v>
      </c>
      <c r="C99" s="31" t="s">
        <v>187</v>
      </c>
      <c r="D99" s="31" t="s">
        <v>567</v>
      </c>
      <c r="E99" s="64" t="str">
        <f aca="false">'Pod Library'!E122</f>
        <v>AI Orchestrator / Developer</v>
      </c>
      <c r="F99" s="65" t="str">
        <f aca="false">'Pod Library'!F122</f>
        <v>ENG</v>
      </c>
      <c r="G99" s="65" t="str">
        <f aca="false">'Pod Library'!G122</f>
        <v>E3</v>
      </c>
      <c r="H99" s="65" t="str">
        <f aca="false">'Pod Library'!H122</f>
        <v>OFF</v>
      </c>
      <c r="I99" s="65" t="str">
        <f aca="false">'Pod Library'!I122</f>
        <v>FTC</v>
      </c>
      <c r="J99" s="18" t="n">
        <f aca="false">'Pod Library'!J122</f>
        <v>1</v>
      </c>
      <c r="K99" s="18" t="n">
        <f aca="false">SUMIFS('Pod Plan'!$E:$E,'Pod Plan'!$B:$B,$A99,'Pod Plan'!$C:$C,$C99)</f>
        <v>5</v>
      </c>
      <c r="L99" s="58" t="n">
        <f aca="false">J99*K99</f>
        <v>5</v>
      </c>
      <c r="M99" s="62" t="n">
        <f aca="false">L99*INDEX('Logic Tree'!$J$73:$N$74,MATCH(H99,'Logic Tree'!$I$73:$I$74,0),MATCH(G99,'Logic Tree'!$J$72:$N$72,0))</f>
        <v>2.1</v>
      </c>
    </row>
    <row r="100" customFormat="false" ht="14.25" hidden="true" customHeight="true" outlineLevel="0" collapsed="false">
      <c r="A100" s="32" t="n">
        <v>3</v>
      </c>
      <c r="B100" s="31" t="s">
        <v>787</v>
      </c>
      <c r="C100" s="31" t="s">
        <v>187</v>
      </c>
      <c r="D100" s="31" t="s">
        <v>582</v>
      </c>
      <c r="E100" s="64" t="str">
        <f aca="false">'Pod Library'!E124</f>
        <v>AI Orchestrator</v>
      </c>
      <c r="F100" s="65" t="str">
        <f aca="false">'Pod Library'!F124</f>
        <v>ENG</v>
      </c>
      <c r="G100" s="65" t="str">
        <f aca="false">'Pod Library'!G124</f>
        <v>E4</v>
      </c>
      <c r="H100" s="65" t="str">
        <f aca="false">'Pod Library'!H124</f>
        <v>OFF</v>
      </c>
      <c r="I100" s="65" t="str">
        <f aca="false">'Pod Library'!I124</f>
        <v>FTC</v>
      </c>
      <c r="J100" s="18" t="n">
        <f aca="false">'Pod Library'!J124</f>
        <v>1</v>
      </c>
      <c r="K100" s="18" t="n">
        <f aca="false">SUMIFS('Pod Plan'!$F:$F,'Pod Plan'!$B:$B,$A100,'Pod Plan'!$C:$C,$C100)</f>
        <v>5</v>
      </c>
      <c r="L100" s="58" t="n">
        <f aca="false">J100*K100</f>
        <v>5</v>
      </c>
      <c r="M100" s="62" t="n">
        <f aca="false">L100*INDEX('Logic Tree'!$J$73:$N$74,MATCH(H100,'Logic Tree'!$I$73:$I$74,0),MATCH(G100,'Logic Tree'!$J$72:$N$72,0))</f>
        <v>3</v>
      </c>
    </row>
    <row r="101" customFormat="false" ht="14.25" hidden="true" customHeight="true" outlineLevel="0" collapsed="false">
      <c r="A101" s="32" t="n">
        <v>3</v>
      </c>
      <c r="B101" s="31" t="s">
        <v>787</v>
      </c>
      <c r="C101" s="31" t="s">
        <v>187</v>
      </c>
      <c r="D101" s="31" t="s">
        <v>582</v>
      </c>
      <c r="E101" s="64" t="str">
        <f aca="false">'Pod Library'!E125</f>
        <v>AI-assisted Developer — MGCC Hyderabad</v>
      </c>
      <c r="F101" s="65" t="str">
        <f aca="false">'Pod Library'!F125</f>
        <v>DEV</v>
      </c>
      <c r="G101" s="65" t="str">
        <f aca="false">'Pod Library'!G125</f>
        <v>E3</v>
      </c>
      <c r="H101" s="65" t="str">
        <f aca="false">'Pod Library'!H125</f>
        <v>OFF</v>
      </c>
      <c r="I101" s="65" t="str">
        <f aca="false">'Pod Library'!I125</f>
        <v>MGCC</v>
      </c>
      <c r="J101" s="18" t="n">
        <f aca="false">'Pod Library'!J125</f>
        <v>1</v>
      </c>
      <c r="K101" s="18" t="n">
        <f aca="false">SUMIFS('Pod Plan'!$F:$F,'Pod Plan'!$B:$B,$A101,'Pod Plan'!$C:$C,$C101)</f>
        <v>5</v>
      </c>
      <c r="L101" s="58" t="n">
        <f aca="false">J101*K101</f>
        <v>5</v>
      </c>
      <c r="M101" s="62" t="n">
        <f aca="false">L101*INDEX('Logic Tree'!$J$73:$N$74,MATCH(H101,'Logic Tree'!$I$73:$I$74,0),MATCH(G101,'Logic Tree'!$J$72:$N$72,0))</f>
        <v>2.1</v>
      </c>
    </row>
    <row r="102" customFormat="false" ht="14.25" hidden="true" customHeight="true" outlineLevel="0" collapsed="false">
      <c r="A102" s="32" t="n">
        <v>3</v>
      </c>
      <c r="B102" s="31" t="s">
        <v>787</v>
      </c>
      <c r="C102" s="31" t="s">
        <v>197</v>
      </c>
      <c r="D102" s="31" t="s">
        <v>582</v>
      </c>
      <c r="E102" s="64" t="str">
        <f aca="false">'Pod Library'!E128</f>
        <v>AI Orchestrator — MGCC Hyderabad</v>
      </c>
      <c r="F102" s="65" t="str">
        <f aca="false">'Pod Library'!F128</f>
        <v>ENG</v>
      </c>
      <c r="G102" s="65" t="str">
        <f aca="false">'Pod Library'!G128</f>
        <v>E3</v>
      </c>
      <c r="H102" s="65" t="str">
        <f aca="false">'Pod Library'!H128</f>
        <v>OFF</v>
      </c>
      <c r="I102" s="65" t="str">
        <f aca="false">'Pod Library'!I128</f>
        <v>MGCC</v>
      </c>
      <c r="J102" s="18" t="n">
        <f aca="false">'Pod Library'!J128</f>
        <v>1</v>
      </c>
      <c r="K102" s="18" t="n">
        <f aca="false">SUMIFS('Pod Plan'!$F:$F,'Pod Plan'!$B:$B,$A102,'Pod Plan'!$C:$C,$C102)</f>
        <v>1</v>
      </c>
      <c r="L102" s="58" t="n">
        <f aca="false">J102*K102</f>
        <v>1</v>
      </c>
      <c r="M102" s="62" t="n">
        <f aca="false">L102*INDEX('Logic Tree'!$J$73:$N$74,MATCH(H102,'Logic Tree'!$I$73:$I$74,0),MATCH(G102,'Logic Tree'!$J$72:$N$72,0))</f>
        <v>0.42</v>
      </c>
    </row>
    <row r="103" customFormat="false" ht="14.25" hidden="true" customHeight="true" outlineLevel="0" collapsed="false">
      <c r="A103" s="32" t="n">
        <v>3</v>
      </c>
      <c r="B103" s="31" t="s">
        <v>787</v>
      </c>
      <c r="C103" s="31" t="s">
        <v>192</v>
      </c>
      <c r="D103" s="31" t="s">
        <v>567</v>
      </c>
      <c r="E103" s="64" t="str">
        <f aca="false">'Pod Library'!E131</f>
        <v>Product Owner</v>
      </c>
      <c r="F103" s="65" t="str">
        <f aca="false">'Pod Library'!F131</f>
        <v>LEAD</v>
      </c>
      <c r="G103" s="65" t="str">
        <f aca="false">'Pod Library'!G131</f>
        <v>E4</v>
      </c>
      <c r="H103" s="65" t="str">
        <f aca="false">'Pod Library'!H131</f>
        <v>ON</v>
      </c>
      <c r="I103" s="65" t="str">
        <f aca="false">'Pod Library'!I131</f>
        <v>FTE</v>
      </c>
      <c r="J103" s="18" t="n">
        <f aca="false">'Pod Library'!J131</f>
        <v>1</v>
      </c>
      <c r="K103" s="18" t="n">
        <f aca="false">SUMIFS('Pod Plan'!$E:$E,'Pod Plan'!$B:$B,$A103,'Pod Plan'!$C:$C,$C103)</f>
        <v>2</v>
      </c>
      <c r="L103" s="58" t="n">
        <f aca="false">J103*K103</f>
        <v>2</v>
      </c>
      <c r="M103" s="62" t="n">
        <f aca="false">L103*INDEX('Logic Tree'!$J$73:$N$74,MATCH(H103,'Logic Tree'!$I$73:$I$74,0),MATCH(G103,'Logic Tree'!$J$72:$N$72,0))</f>
        <v>3.7</v>
      </c>
    </row>
    <row r="104" customFormat="false" ht="14.25" hidden="true" customHeight="true" outlineLevel="0" collapsed="false">
      <c r="A104" s="32" t="n">
        <v>3</v>
      </c>
      <c r="B104" s="31" t="s">
        <v>787</v>
      </c>
      <c r="C104" s="31" t="s">
        <v>192</v>
      </c>
      <c r="D104" s="31" t="s">
        <v>567</v>
      </c>
      <c r="E104" s="64" t="str">
        <f aca="false">'Pod Library'!E132</f>
        <v>Business Rules SME</v>
      </c>
      <c r="F104" s="65" t="str">
        <f aca="false">'Pod Library'!F132</f>
        <v>BA</v>
      </c>
      <c r="G104" s="65" t="str">
        <f aca="false">'Pod Library'!G132</f>
        <v>E5</v>
      </c>
      <c r="H104" s="65" t="str">
        <f aca="false">'Pod Library'!H132</f>
        <v>ON</v>
      </c>
      <c r="I104" s="65" t="str">
        <f aca="false">'Pod Library'!I132</f>
        <v>FTE</v>
      </c>
      <c r="J104" s="18" t="n">
        <f aca="false">'Pod Library'!J132</f>
        <v>1</v>
      </c>
      <c r="K104" s="18" t="n">
        <f aca="false">SUMIFS('Pod Plan'!$E:$E,'Pod Plan'!$B:$B,$A104,'Pod Plan'!$C:$C,$C104)</f>
        <v>2</v>
      </c>
      <c r="L104" s="58" t="n">
        <f aca="false">J104*K104</f>
        <v>2</v>
      </c>
      <c r="M104" s="62" t="n">
        <f aca="false">L104*INDEX('Logic Tree'!$J$73:$N$74,MATCH(H104,'Logic Tree'!$I$73:$I$74,0),MATCH(G104,'Logic Tree'!$J$72:$N$72,0))</f>
        <v>5.1</v>
      </c>
    </row>
    <row r="105" customFormat="false" ht="14.25" hidden="true" customHeight="true" outlineLevel="0" collapsed="false">
      <c r="A105" s="32" t="n">
        <v>3</v>
      </c>
      <c r="B105" s="31" t="s">
        <v>787</v>
      </c>
      <c r="C105" s="31" t="s">
        <v>192</v>
      </c>
      <c r="D105" s="31" t="s">
        <v>567</v>
      </c>
      <c r="E105" s="64" t="str">
        <f aca="false">'Pod Library'!E133</f>
        <v>Application Owner (Technical)</v>
      </c>
      <c r="F105" s="65" t="str">
        <f aca="false">'Pod Library'!F133</f>
        <v>ENG</v>
      </c>
      <c r="G105" s="65" t="str">
        <f aca="false">'Pod Library'!G133</f>
        <v>E4</v>
      </c>
      <c r="H105" s="65" t="str">
        <f aca="false">'Pod Library'!H133</f>
        <v>ON</v>
      </c>
      <c r="I105" s="65" t="str">
        <f aca="false">'Pod Library'!I133</f>
        <v>FTE</v>
      </c>
      <c r="J105" s="18" t="n">
        <f aca="false">'Pod Library'!J133</f>
        <v>1</v>
      </c>
      <c r="K105" s="18" t="n">
        <f aca="false">SUMIFS('Pod Plan'!$E:$E,'Pod Plan'!$B:$B,$A105,'Pod Plan'!$C:$C,$C105)</f>
        <v>2</v>
      </c>
      <c r="L105" s="58" t="n">
        <f aca="false">J105*K105</f>
        <v>2</v>
      </c>
      <c r="M105" s="62" t="n">
        <f aca="false">L105*INDEX('Logic Tree'!$J$73:$N$74,MATCH(H105,'Logic Tree'!$I$73:$I$74,0),MATCH(G105,'Logic Tree'!$J$72:$N$72,0))</f>
        <v>3.7</v>
      </c>
    </row>
    <row r="106" customFormat="false" ht="14.25" hidden="true" customHeight="true" outlineLevel="0" collapsed="false">
      <c r="A106" s="32" t="n">
        <v>3</v>
      </c>
      <c r="B106" s="31" t="s">
        <v>787</v>
      </c>
      <c r="C106" s="31" t="s">
        <v>192</v>
      </c>
      <c r="D106" s="31" t="s">
        <v>567</v>
      </c>
      <c r="E106" s="64" t="str">
        <f aca="false">'Pod Library'!E134</f>
        <v>AI Orchestrator — MGCC Hyderabad</v>
      </c>
      <c r="F106" s="65" t="str">
        <f aca="false">'Pod Library'!F134</f>
        <v>ENG</v>
      </c>
      <c r="G106" s="65" t="str">
        <f aca="false">'Pod Library'!G134</f>
        <v>E3</v>
      </c>
      <c r="H106" s="65" t="str">
        <f aca="false">'Pod Library'!H134</f>
        <v>OFF</v>
      </c>
      <c r="I106" s="65" t="str">
        <f aca="false">'Pod Library'!I134</f>
        <v>MGCC</v>
      </c>
      <c r="J106" s="18" t="n">
        <f aca="false">'Pod Library'!J134</f>
        <v>1</v>
      </c>
      <c r="K106" s="18" t="n">
        <f aca="false">SUMIFS('Pod Plan'!$E:$E,'Pod Plan'!$B:$B,$A106,'Pod Plan'!$C:$C,$C106)</f>
        <v>2</v>
      </c>
      <c r="L106" s="58" t="n">
        <f aca="false">J106*K106</f>
        <v>2</v>
      </c>
      <c r="M106" s="62" t="n">
        <f aca="false">L106*INDEX('Logic Tree'!$J$73:$N$74,MATCH(H106,'Logic Tree'!$I$73:$I$74,0),MATCH(G106,'Logic Tree'!$J$72:$N$72,0))</f>
        <v>0.84</v>
      </c>
    </row>
    <row r="107" customFormat="false" ht="14.25" hidden="true" customHeight="true" outlineLevel="0" collapsed="false">
      <c r="A107" s="32" t="n">
        <v>3</v>
      </c>
      <c r="B107" s="31" t="s">
        <v>787</v>
      </c>
      <c r="C107" s="31" t="s">
        <v>192</v>
      </c>
      <c r="D107" s="31" t="s">
        <v>567</v>
      </c>
      <c r="E107" s="64" t="str">
        <f aca="false">'Pod Library'!E135</f>
        <v>QA Engineer</v>
      </c>
      <c r="F107" s="65" t="str">
        <f aca="false">'Pod Library'!F135</f>
        <v>TEST</v>
      </c>
      <c r="G107" s="65" t="str">
        <f aca="false">'Pod Library'!G135</f>
        <v>E2</v>
      </c>
      <c r="H107" s="65" t="str">
        <f aca="false">'Pod Library'!H135</f>
        <v>ON</v>
      </c>
      <c r="I107" s="65" t="str">
        <f aca="false">'Pod Library'!I135</f>
        <v>FTC</v>
      </c>
      <c r="J107" s="18" t="n">
        <f aca="false">'Pod Library'!J135</f>
        <v>1</v>
      </c>
      <c r="K107" s="18" t="n">
        <f aca="false">SUMIFS('Pod Plan'!$E:$E,'Pod Plan'!$B:$B,$A107,'Pod Plan'!$C:$C,$C107)</f>
        <v>2</v>
      </c>
      <c r="L107" s="58" t="n">
        <f aca="false">J107*K107</f>
        <v>2</v>
      </c>
      <c r="M107" s="62" t="n">
        <f aca="false">L107*INDEX('Logic Tree'!$J$73:$N$74,MATCH(H107,'Logic Tree'!$I$73:$I$74,0),MATCH(G107,'Logic Tree'!$J$72:$N$72,0))</f>
        <v>2</v>
      </c>
    </row>
    <row r="108" customFormat="false" ht="14.25" hidden="true" customHeight="true" outlineLevel="0" collapsed="false">
      <c r="A108" s="66" t="n">
        <f aca="false">'Horizontal Teams'!B5</f>
        <v>1</v>
      </c>
      <c r="B108" s="1" t="s">
        <v>788</v>
      </c>
      <c r="C108" s="1" t="str">
        <f aca="false">'Horizontal Teams'!C5</f>
        <v>H1</v>
      </c>
      <c r="D108" s="1" t="s">
        <v>788</v>
      </c>
      <c r="E108" s="1" t="str">
        <f aca="false">'Horizontal Teams'!E5</f>
        <v>Platform Operations Lead</v>
      </c>
      <c r="F108" s="1" t="str">
        <f aca="false">'Horizontal Teams'!F5</f>
        <v>LEAD</v>
      </c>
      <c r="G108" s="1" t="str">
        <f aca="false">'Horizontal Teams'!G5</f>
        <v>E4</v>
      </c>
      <c r="H108" s="1" t="str">
        <f aca="false">'Horizontal Teams'!H5</f>
        <v>ON</v>
      </c>
      <c r="I108" s="1" t="str">
        <f aca="false">'Horizontal Teams'!I5</f>
        <v>FTC</v>
      </c>
      <c r="J108" s="67" t="n">
        <f aca="false">'Horizontal Teams'!J5</f>
        <v>1</v>
      </c>
      <c r="K108" s="67" t="n">
        <v>1</v>
      </c>
      <c r="L108" s="67" t="n">
        <f aca="false">IF(ISNUMBER(J108),J108*K108,0)</f>
        <v>1</v>
      </c>
      <c r="M108" s="1" t="n">
        <f aca="false">IFERROR(L108*INDEX('Logic Tree'!$J$73:$N$74,MATCH(H108,'Logic Tree'!$I$73:$I$74,0),MATCH(G108,'Logic Tree'!$J$72:$N$72,0)),0)</f>
        <v>1.85</v>
      </c>
    </row>
    <row r="109" customFormat="false" ht="14.25" hidden="true" customHeight="true" outlineLevel="0" collapsed="false">
      <c r="A109" s="66" t="n">
        <f aca="false">'Horizontal Teams'!B6</f>
        <v>1</v>
      </c>
      <c r="B109" s="1" t="s">
        <v>788</v>
      </c>
      <c r="C109" s="1" t="str">
        <f aca="false">'Horizontal Teams'!C6</f>
        <v>H1</v>
      </c>
      <c r="D109" s="1" t="s">
        <v>788</v>
      </c>
      <c r="E109" s="1" t="str">
        <f aca="false">'Horizontal Teams'!E6</f>
        <v>Monitoring &amp; Observability Engineer</v>
      </c>
      <c r="F109" s="1" t="str">
        <f aca="false">'Horizontal Teams'!F6</f>
        <v>ENG</v>
      </c>
      <c r="G109" s="1" t="str">
        <f aca="false">'Horizontal Teams'!G6</f>
        <v>E3</v>
      </c>
      <c r="H109" s="1" t="str">
        <f aca="false">'Horizontal Teams'!H6</f>
        <v>ON</v>
      </c>
      <c r="I109" s="1" t="str">
        <f aca="false">'Horizontal Teams'!I6</f>
        <v>FTC</v>
      </c>
      <c r="J109" s="67" t="n">
        <f aca="false">'Horizontal Teams'!J6</f>
        <v>1</v>
      </c>
      <c r="K109" s="67" t="n">
        <v>1</v>
      </c>
      <c r="L109" s="67" t="n">
        <f aca="false">IF(ISNUMBER(J109),J109*K109,0)</f>
        <v>1</v>
      </c>
      <c r="M109" s="1" t="n">
        <f aca="false">IFERROR(L109*INDEX('Logic Tree'!$J$73:$N$74,MATCH(H109,'Logic Tree'!$I$73:$I$74,0),MATCH(G109,'Logic Tree'!$J$72:$N$72,0)),0)</f>
        <v>1.35</v>
      </c>
    </row>
    <row r="110" customFormat="false" ht="14.25" hidden="true" customHeight="true" outlineLevel="0" collapsed="false">
      <c r="A110" s="66" t="n">
        <f aca="false">'Horizontal Teams'!B7</f>
        <v>1</v>
      </c>
      <c r="B110" s="1" t="s">
        <v>788</v>
      </c>
      <c r="C110" s="1" t="str">
        <f aca="false">'Horizontal Teams'!C7</f>
        <v>H1</v>
      </c>
      <c r="D110" s="1" t="s">
        <v>788</v>
      </c>
      <c r="E110" s="1" t="str">
        <f aca="false">'Horizontal Teams'!E7</f>
        <v>Incident Manager</v>
      </c>
      <c r="F110" s="1" t="str">
        <f aca="false">'Horizontal Teams'!F7</f>
        <v>LEAD</v>
      </c>
      <c r="G110" s="1" t="str">
        <f aca="false">'Horizontal Teams'!G7</f>
        <v>E3</v>
      </c>
      <c r="H110" s="1" t="str">
        <f aca="false">'Horizontal Teams'!H7</f>
        <v>ON</v>
      </c>
      <c r="I110" s="1" t="str">
        <f aca="false">'Horizontal Teams'!I7</f>
        <v>FTC</v>
      </c>
      <c r="J110" s="67" t="n">
        <f aca="false">'Horizontal Teams'!J7</f>
        <v>1</v>
      </c>
      <c r="K110" s="67" t="n">
        <v>1</v>
      </c>
      <c r="L110" s="67" t="n">
        <f aca="false">IF(ISNUMBER(J110),J110*K110,0)</f>
        <v>1</v>
      </c>
      <c r="M110" s="1" t="n">
        <f aca="false">IFERROR(L110*INDEX('Logic Tree'!$J$73:$N$74,MATCH(H110,'Logic Tree'!$I$73:$I$74,0),MATCH(G110,'Logic Tree'!$J$72:$N$72,0)),0)</f>
        <v>1.35</v>
      </c>
    </row>
    <row r="111" customFormat="false" ht="14.25" hidden="true" customHeight="true" outlineLevel="0" collapsed="false">
      <c r="A111" s="66" t="n">
        <f aca="false">'Horizontal Teams'!B8</f>
        <v>1</v>
      </c>
      <c r="B111" s="1" t="s">
        <v>788</v>
      </c>
      <c r="C111" s="1" t="str">
        <f aca="false">'Horizontal Teams'!C8</f>
        <v>H1</v>
      </c>
      <c r="D111" s="1" t="s">
        <v>788</v>
      </c>
      <c r="E111" s="1" t="str">
        <f aca="false">'Horizontal Teams'!E8</f>
        <v>Site Reliability Engineer — MGCC Hyderabad</v>
      </c>
      <c r="F111" s="1" t="str">
        <f aca="false">'Horizontal Teams'!F8</f>
        <v>ENG</v>
      </c>
      <c r="G111" s="1" t="str">
        <f aca="false">'Horizontal Teams'!G8</f>
        <v>E3</v>
      </c>
      <c r="H111" s="1" t="str">
        <f aca="false">'Horizontal Teams'!H8</f>
        <v>OFF</v>
      </c>
      <c r="I111" s="1" t="str">
        <f aca="false">'Horizontal Teams'!I8</f>
        <v>MGCC</v>
      </c>
      <c r="J111" s="67" t="n">
        <f aca="false">'Horizontal Teams'!J8</f>
        <v>1</v>
      </c>
      <c r="K111" s="67" t="n">
        <v>1</v>
      </c>
      <c r="L111" s="67" t="n">
        <f aca="false">IF(ISNUMBER(J111),J111*K111,0)</f>
        <v>1</v>
      </c>
      <c r="M111" s="1" t="n">
        <f aca="false">IFERROR(L111*INDEX('Logic Tree'!$J$73:$N$74,MATCH(H111,'Logic Tree'!$I$73:$I$74,0),MATCH(G111,'Logic Tree'!$J$72:$N$72,0)),0)</f>
        <v>0.42</v>
      </c>
    </row>
    <row r="112" customFormat="false" ht="14.25" hidden="true" customHeight="true" outlineLevel="0" collapsed="false">
      <c r="A112" s="66" t="n">
        <f aca="false">'Horizontal Teams'!B9</f>
        <v>1</v>
      </c>
      <c r="B112" s="1" t="s">
        <v>788</v>
      </c>
      <c r="C112" s="1" t="str">
        <f aca="false">'Horizontal Teams'!C9</f>
        <v>H1</v>
      </c>
      <c r="D112" s="1" t="s">
        <v>788</v>
      </c>
      <c r="E112" s="1" t="str">
        <f aca="false">'Horizontal Teams'!E9</f>
        <v>Site Reliability Engineer — MGCC Hyderabad</v>
      </c>
      <c r="F112" s="1" t="str">
        <f aca="false">'Horizontal Teams'!F9</f>
        <v>ENG</v>
      </c>
      <c r="G112" s="1" t="str">
        <f aca="false">'Horizontal Teams'!G9</f>
        <v>E2</v>
      </c>
      <c r="H112" s="1" t="str">
        <f aca="false">'Horizontal Teams'!H9</f>
        <v>OFF</v>
      </c>
      <c r="I112" s="1" t="str">
        <f aca="false">'Horizontal Teams'!I9</f>
        <v>MGCC</v>
      </c>
      <c r="J112" s="67" t="n">
        <f aca="false">'Horizontal Teams'!J9</f>
        <v>1</v>
      </c>
      <c r="K112" s="67" t="n">
        <v>1</v>
      </c>
      <c r="L112" s="67" t="n">
        <f aca="false">IF(ISNUMBER(J112),J112*K112,0)</f>
        <v>1</v>
      </c>
      <c r="M112" s="1" t="n">
        <f aca="false">IFERROR(L112*INDEX('Logic Tree'!$J$73:$N$74,MATCH(H112,'Logic Tree'!$I$73:$I$74,0),MATCH(G112,'Logic Tree'!$J$72:$N$72,0)),0)</f>
        <v>0.3</v>
      </c>
    </row>
    <row r="113" customFormat="false" ht="14.25" hidden="true" customHeight="true" outlineLevel="0" collapsed="false">
      <c r="A113" s="66" t="n">
        <f aca="false">'Horizontal Teams'!B10</f>
        <v>1</v>
      </c>
      <c r="B113" s="1" t="s">
        <v>788</v>
      </c>
      <c r="C113" s="1" t="str">
        <f aca="false">'Horizontal Teams'!C10</f>
        <v>H1</v>
      </c>
      <c r="D113" s="1" t="s">
        <v>788</v>
      </c>
      <c r="E113" s="1" t="str">
        <f aca="false">'Horizontal Teams'!E10</f>
        <v>Batch &amp; Release Operations Analyst</v>
      </c>
      <c r="F113" s="1" t="str">
        <f aca="false">'Horizontal Teams'!F10</f>
        <v>ENG</v>
      </c>
      <c r="G113" s="1" t="str">
        <f aca="false">'Horizontal Teams'!G10</f>
        <v>E2</v>
      </c>
      <c r="H113" s="1" t="str">
        <f aca="false">'Horizontal Teams'!H10</f>
        <v>OFF</v>
      </c>
      <c r="I113" s="1" t="str">
        <f aca="false">'Horizontal Teams'!I10</f>
        <v>FTC</v>
      </c>
      <c r="J113" s="67" t="n">
        <f aca="false">'Horizontal Teams'!J10</f>
        <v>1</v>
      </c>
      <c r="K113" s="67" t="n">
        <v>1</v>
      </c>
      <c r="L113" s="67" t="n">
        <f aca="false">IF(ISNUMBER(J113),J113*K113,0)</f>
        <v>1</v>
      </c>
      <c r="M113" s="1" t="n">
        <f aca="false">IFERROR(L113*INDEX('Logic Tree'!$J$73:$N$74,MATCH(H113,'Logic Tree'!$I$73:$I$74,0),MATCH(G113,'Logic Tree'!$J$72:$N$72,0)),0)</f>
        <v>0.3</v>
      </c>
    </row>
    <row r="114" customFormat="false" ht="14.25" hidden="true" customHeight="true" outlineLevel="0" collapsed="false">
      <c r="A114" s="66" t="n">
        <f aca="false">'Horizontal Teams'!B12</f>
        <v>1</v>
      </c>
      <c r="B114" s="1" t="s">
        <v>788</v>
      </c>
      <c r="C114" s="1" t="str">
        <f aca="false">'Horizontal Teams'!C12</f>
        <v>H2</v>
      </c>
      <c r="D114" s="1" t="s">
        <v>788</v>
      </c>
      <c r="E114" s="1" t="str">
        <f aca="false">'Horizontal Teams'!E12</f>
        <v>Security &amp; Compliance Lead</v>
      </c>
      <c r="F114" s="1" t="str">
        <f aca="false">'Horizontal Teams'!F12</f>
        <v>LEAD</v>
      </c>
      <c r="G114" s="1" t="str">
        <f aca="false">'Horizontal Teams'!G12</f>
        <v>E4</v>
      </c>
      <c r="H114" s="1" t="str">
        <f aca="false">'Horizontal Teams'!H12</f>
        <v>ON</v>
      </c>
      <c r="I114" s="1" t="str">
        <f aca="false">'Horizontal Teams'!I12</f>
        <v>FTC</v>
      </c>
      <c r="J114" s="67" t="n">
        <f aca="false">'Horizontal Teams'!J12</f>
        <v>1</v>
      </c>
      <c r="K114" s="67" t="n">
        <v>1</v>
      </c>
      <c r="L114" s="67" t="n">
        <f aca="false">IF(ISNUMBER(J114),J114*K114,0)</f>
        <v>1</v>
      </c>
      <c r="M114" s="1" t="n">
        <f aca="false">IFERROR(L114*INDEX('Logic Tree'!$J$73:$N$74,MATCH(H114,'Logic Tree'!$I$73:$I$74,0),MATCH(G114,'Logic Tree'!$J$72:$N$72,0)),0)</f>
        <v>1.85</v>
      </c>
    </row>
    <row r="115" customFormat="false" ht="14.25" hidden="true" customHeight="true" outlineLevel="0" collapsed="false">
      <c r="A115" s="66" t="n">
        <f aca="false">'Horizontal Teams'!B13</f>
        <v>1</v>
      </c>
      <c r="B115" s="1" t="s">
        <v>788</v>
      </c>
      <c r="C115" s="1" t="str">
        <f aca="false">'Horizontal Teams'!C13</f>
        <v>H2</v>
      </c>
      <c r="D115" s="1" t="s">
        <v>788</v>
      </c>
      <c r="E115" s="1" t="str">
        <f aca="false">'Horizontal Teams'!E13</f>
        <v>IAM / Security Architect (MetLife)</v>
      </c>
      <c r="F115" s="1" t="str">
        <f aca="false">'Horizontal Teams'!F13</f>
        <v>ENG</v>
      </c>
      <c r="G115" s="1" t="str">
        <f aca="false">'Horizontal Teams'!G13</f>
        <v>E4</v>
      </c>
      <c r="H115" s="1" t="str">
        <f aca="false">'Horizontal Teams'!H13</f>
        <v>ON</v>
      </c>
      <c r="I115" s="1" t="str">
        <f aca="false">'Horizontal Teams'!I13</f>
        <v>FTE</v>
      </c>
      <c r="J115" s="67" t="n">
        <f aca="false">'Horizontal Teams'!J13</f>
        <v>1</v>
      </c>
      <c r="K115" s="67" t="n">
        <v>1</v>
      </c>
      <c r="L115" s="67" t="n">
        <f aca="false">IF(ISNUMBER(J115),J115*K115,0)</f>
        <v>1</v>
      </c>
      <c r="M115" s="1" t="n">
        <f aca="false">IFERROR(L115*INDEX('Logic Tree'!$J$73:$N$74,MATCH(H115,'Logic Tree'!$I$73:$I$74,0),MATCH(G115,'Logic Tree'!$J$72:$N$72,0)),0)</f>
        <v>1.85</v>
      </c>
    </row>
    <row r="116" customFormat="false" ht="14.25" hidden="true" customHeight="true" outlineLevel="0" collapsed="false">
      <c r="A116" s="66" t="n">
        <f aca="false">'Horizontal Teams'!B14</f>
        <v>1</v>
      </c>
      <c r="B116" s="1" t="s">
        <v>788</v>
      </c>
      <c r="C116" s="1" t="str">
        <f aca="false">'Horizontal Teams'!C14</f>
        <v>H2</v>
      </c>
      <c r="D116" s="1" t="s">
        <v>788</v>
      </c>
      <c r="E116" s="1" t="str">
        <f aca="false">'Horizontal Teams'!E14</f>
        <v>Compliance Analyst</v>
      </c>
      <c r="F116" s="1" t="str">
        <f aca="false">'Horizontal Teams'!F14</f>
        <v>BA</v>
      </c>
      <c r="G116" s="1" t="str">
        <f aca="false">'Horizontal Teams'!G14</f>
        <v>E3</v>
      </c>
      <c r="H116" s="1" t="str">
        <f aca="false">'Horizontal Teams'!H14</f>
        <v>ON</v>
      </c>
      <c r="I116" s="1" t="str">
        <f aca="false">'Horizontal Teams'!I14</f>
        <v>FTC</v>
      </c>
      <c r="J116" s="67" t="n">
        <f aca="false">'Horizontal Teams'!J14</f>
        <v>1</v>
      </c>
      <c r="K116" s="67" t="n">
        <v>1</v>
      </c>
      <c r="L116" s="67" t="n">
        <f aca="false">IF(ISNUMBER(J116),J116*K116,0)</f>
        <v>1</v>
      </c>
      <c r="M116" s="1" t="n">
        <f aca="false">IFERROR(L116*INDEX('Logic Tree'!$J$73:$N$74,MATCH(H116,'Logic Tree'!$I$73:$I$74,0),MATCH(G116,'Logic Tree'!$J$72:$N$72,0)),0)</f>
        <v>1.35</v>
      </c>
    </row>
    <row r="117" customFormat="false" ht="14.25" hidden="true" customHeight="true" outlineLevel="0" collapsed="false">
      <c r="A117" s="66" t="n">
        <f aca="false">'Horizontal Teams'!B15</f>
        <v>1</v>
      </c>
      <c r="B117" s="1" t="s">
        <v>788</v>
      </c>
      <c r="C117" s="1" t="str">
        <f aca="false">'Horizontal Teams'!C15</f>
        <v>H2</v>
      </c>
      <c r="D117" s="1" t="s">
        <v>788</v>
      </c>
      <c r="E117" s="1" t="str">
        <f aca="false">'Horizontal Teams'!E15</f>
        <v>Security Engineer — MGCC Hyderabad</v>
      </c>
      <c r="F117" s="1" t="str">
        <f aca="false">'Horizontal Teams'!F15</f>
        <v>ENG</v>
      </c>
      <c r="G117" s="1" t="str">
        <f aca="false">'Horizontal Teams'!G15</f>
        <v>E3</v>
      </c>
      <c r="H117" s="1" t="str">
        <f aca="false">'Horizontal Teams'!H15</f>
        <v>OFF</v>
      </c>
      <c r="I117" s="1" t="str">
        <f aca="false">'Horizontal Teams'!I15</f>
        <v>MGCC</v>
      </c>
      <c r="J117" s="67" t="n">
        <f aca="false">'Horizontal Teams'!J15</f>
        <v>1</v>
      </c>
      <c r="K117" s="67" t="n">
        <v>1</v>
      </c>
      <c r="L117" s="67" t="n">
        <f aca="false">IF(ISNUMBER(J117),J117*K117,0)</f>
        <v>1</v>
      </c>
      <c r="M117" s="1" t="n">
        <f aca="false">IFERROR(L117*INDEX('Logic Tree'!$J$73:$N$74,MATCH(H117,'Logic Tree'!$I$73:$I$74,0),MATCH(G117,'Logic Tree'!$J$72:$N$72,0)),0)</f>
        <v>0.42</v>
      </c>
    </row>
    <row r="118" customFormat="false" ht="14.25" hidden="true" customHeight="true" outlineLevel="0" collapsed="false">
      <c r="A118" s="66" t="n">
        <f aca="false">'Horizontal Teams'!B16</f>
        <v>1</v>
      </c>
      <c r="B118" s="1" t="s">
        <v>788</v>
      </c>
      <c r="C118" s="1" t="str">
        <f aca="false">'Horizontal Teams'!C16</f>
        <v>H2</v>
      </c>
      <c r="D118" s="1" t="s">
        <v>788</v>
      </c>
      <c r="E118" s="1" t="str">
        <f aca="false">'Horizontal Teams'!E16</f>
        <v>Vulnerability Analyst</v>
      </c>
      <c r="F118" s="1" t="str">
        <f aca="false">'Horizontal Teams'!F16</f>
        <v>TEST</v>
      </c>
      <c r="G118" s="1" t="str">
        <f aca="false">'Horizontal Teams'!G16</f>
        <v>E2</v>
      </c>
      <c r="H118" s="1" t="str">
        <f aca="false">'Horizontal Teams'!H16</f>
        <v>OFF</v>
      </c>
      <c r="I118" s="1" t="str">
        <f aca="false">'Horizontal Teams'!I16</f>
        <v>FTC</v>
      </c>
      <c r="J118" s="67" t="n">
        <f aca="false">'Horizontal Teams'!J16</f>
        <v>1</v>
      </c>
      <c r="K118" s="67" t="n">
        <v>1</v>
      </c>
      <c r="L118" s="67" t="n">
        <f aca="false">IF(ISNUMBER(J118),J118*K118,0)</f>
        <v>1</v>
      </c>
      <c r="M118" s="1" t="n">
        <f aca="false">IFERROR(L118*INDEX('Logic Tree'!$J$73:$N$74,MATCH(H118,'Logic Tree'!$I$73:$I$74,0),MATCH(G118,'Logic Tree'!$J$72:$N$72,0)),0)</f>
        <v>0.3</v>
      </c>
    </row>
    <row r="119" customFormat="false" ht="14.25" hidden="true" customHeight="true" outlineLevel="0" collapsed="false">
      <c r="A119" s="66" t="n">
        <f aca="false">'Horizontal Teams'!B18</f>
        <v>1</v>
      </c>
      <c r="B119" s="1" t="s">
        <v>788</v>
      </c>
      <c r="C119" s="1" t="str">
        <f aca="false">'Horizontal Teams'!C18</f>
        <v>H3</v>
      </c>
      <c r="D119" s="1" t="s">
        <v>788</v>
      </c>
      <c r="E119" s="1" t="str">
        <f aca="false">'Horizontal Teams'!E18</f>
        <v>Domain Delivery Head</v>
      </c>
      <c r="F119" s="1" t="str">
        <f aca="false">'Horizontal Teams'!F18</f>
        <v>LEAD</v>
      </c>
      <c r="G119" s="1" t="str">
        <f aca="false">'Horizontal Teams'!G18</f>
        <v>E5</v>
      </c>
      <c r="H119" s="1" t="str">
        <f aca="false">'Horizontal Teams'!H18</f>
        <v>ON</v>
      </c>
      <c r="I119" s="1" t="str">
        <f aca="false">'Horizontal Teams'!I18</f>
        <v>FTC</v>
      </c>
      <c r="J119" s="67" t="n">
        <f aca="false">'Horizontal Teams'!J18</f>
        <v>1</v>
      </c>
      <c r="K119" s="67" t="n">
        <v>1</v>
      </c>
      <c r="L119" s="67" t="n">
        <f aca="false">IF(ISNUMBER(J119),J119*K119,0)</f>
        <v>1</v>
      </c>
      <c r="M119" s="1" t="n">
        <f aca="false">IFERROR(L119*INDEX('Logic Tree'!$J$73:$N$74,MATCH(H119,'Logic Tree'!$I$73:$I$74,0),MATCH(G119,'Logic Tree'!$J$72:$N$72,0)),0)</f>
        <v>2.55</v>
      </c>
    </row>
    <row r="120" customFormat="false" ht="14.25" hidden="true" customHeight="true" outlineLevel="0" collapsed="false">
      <c r="A120" s="66" t="n">
        <f aca="false">'Horizontal Teams'!B19</f>
        <v>1</v>
      </c>
      <c r="B120" s="1" t="s">
        <v>788</v>
      </c>
      <c r="C120" s="1" t="str">
        <f aca="false">'Horizontal Teams'!C19</f>
        <v>H3</v>
      </c>
      <c r="D120" s="1" t="s">
        <v>788</v>
      </c>
      <c r="E120" s="1" t="str">
        <f aca="false">'Horizontal Teams'!E19</f>
        <v>Chief Common Services Architect (MetLife)</v>
      </c>
      <c r="F120" s="1" t="str">
        <f aca="false">'Horizontal Teams'!F19</f>
        <v>ENG</v>
      </c>
      <c r="G120" s="1" t="str">
        <f aca="false">'Horizontal Teams'!G19</f>
        <v>E5</v>
      </c>
      <c r="H120" s="1" t="str">
        <f aca="false">'Horizontal Teams'!H19</f>
        <v>ON</v>
      </c>
      <c r="I120" s="1" t="str">
        <f aca="false">'Horizontal Teams'!I19</f>
        <v>FTE</v>
      </c>
      <c r="J120" s="67" t="n">
        <f aca="false">'Horizontal Teams'!J19</f>
        <v>1</v>
      </c>
      <c r="K120" s="67" t="n">
        <v>1</v>
      </c>
      <c r="L120" s="67" t="n">
        <f aca="false">IF(ISNUMBER(J120),J120*K120,0)</f>
        <v>1</v>
      </c>
      <c r="M120" s="1" t="n">
        <f aca="false">IFERROR(L120*INDEX('Logic Tree'!$J$73:$N$74,MATCH(H120,'Logic Tree'!$I$73:$I$74,0),MATCH(G120,'Logic Tree'!$J$72:$N$72,0)),0)</f>
        <v>2.55</v>
      </c>
    </row>
    <row r="121" customFormat="false" ht="14.25" hidden="true" customHeight="true" outlineLevel="0" collapsed="false">
      <c r="A121" s="66" t="n">
        <f aca="false">'Horizontal Teams'!B20</f>
        <v>1</v>
      </c>
      <c r="B121" s="1" t="s">
        <v>788</v>
      </c>
      <c r="C121" s="1" t="str">
        <f aca="false">'Horizontal Teams'!C20</f>
        <v>H3</v>
      </c>
      <c r="D121" s="1" t="s">
        <v>788</v>
      </c>
      <c r="E121" s="1" t="str">
        <f aca="false">'Horizontal Teams'!E20</f>
        <v>API &amp; Integration Standards Architect</v>
      </c>
      <c r="F121" s="1" t="str">
        <f aca="false">'Horizontal Teams'!F20</f>
        <v>ENG</v>
      </c>
      <c r="G121" s="1" t="str">
        <f aca="false">'Horizontal Teams'!G20</f>
        <v>E4</v>
      </c>
      <c r="H121" s="1" t="str">
        <f aca="false">'Horizontal Teams'!H20</f>
        <v>ON</v>
      </c>
      <c r="I121" s="1" t="str">
        <f aca="false">'Horizontal Teams'!I20</f>
        <v>FTC</v>
      </c>
      <c r="J121" s="67" t="n">
        <f aca="false">'Horizontal Teams'!J20</f>
        <v>1</v>
      </c>
      <c r="K121" s="67" t="n">
        <v>1</v>
      </c>
      <c r="L121" s="67" t="n">
        <f aca="false">IF(ISNUMBER(J121),J121*K121,0)</f>
        <v>1</v>
      </c>
      <c r="M121" s="1" t="n">
        <f aca="false">IFERROR(L121*INDEX('Logic Tree'!$J$73:$N$74,MATCH(H121,'Logic Tree'!$I$73:$I$74,0),MATCH(G121,'Logic Tree'!$J$72:$N$72,0)),0)</f>
        <v>1.85</v>
      </c>
    </row>
    <row r="122" customFormat="false" ht="14.25" hidden="true" customHeight="true" outlineLevel="0" collapsed="false">
      <c r="A122" s="66" t="n">
        <f aca="false">'Horizontal Teams'!B21</f>
        <v>1</v>
      </c>
      <c r="B122" s="1" t="s">
        <v>788</v>
      </c>
      <c r="C122" s="1" t="str">
        <f aca="false">'Horizontal Teams'!C21</f>
        <v>H3</v>
      </c>
      <c r="D122" s="1" t="s">
        <v>788</v>
      </c>
      <c r="E122" s="1" t="str">
        <f aca="false">'Horizontal Teams'!E21</f>
        <v>Release Train Engineer</v>
      </c>
      <c r="F122" s="1" t="str">
        <f aca="false">'Horizontal Teams'!F21</f>
        <v>LEAD</v>
      </c>
      <c r="G122" s="1" t="str">
        <f aca="false">'Horizontal Teams'!G21</f>
        <v>E3</v>
      </c>
      <c r="H122" s="1" t="str">
        <f aca="false">'Horizontal Teams'!H21</f>
        <v>ON</v>
      </c>
      <c r="I122" s="1" t="str">
        <f aca="false">'Horizontal Teams'!I21</f>
        <v>FTC</v>
      </c>
      <c r="J122" s="67" t="n">
        <f aca="false">'Horizontal Teams'!J21</f>
        <v>1</v>
      </c>
      <c r="K122" s="67" t="n">
        <v>1</v>
      </c>
      <c r="L122" s="67" t="n">
        <f aca="false">IF(ISNUMBER(J122),J122*K122,0)</f>
        <v>1</v>
      </c>
      <c r="M122" s="1" t="n">
        <f aca="false">IFERROR(L122*INDEX('Logic Tree'!$J$73:$N$74,MATCH(H122,'Logic Tree'!$I$73:$I$74,0),MATCH(G122,'Logic Tree'!$J$72:$N$72,0)),0)</f>
        <v>1.35</v>
      </c>
    </row>
    <row r="123" customFormat="false" ht="14.25" hidden="true" customHeight="true" outlineLevel="0" collapsed="false">
      <c r="A123" s="66" t="n">
        <f aca="false">'Horizontal Teams'!B22</f>
        <v>1</v>
      </c>
      <c r="B123" s="1" t="s">
        <v>788</v>
      </c>
      <c r="C123" s="1" t="str">
        <f aca="false">'Horizontal Teams'!C22</f>
        <v>H3</v>
      </c>
      <c r="D123" s="1" t="s">
        <v>788</v>
      </c>
      <c r="E123" s="1" t="str">
        <f aca="false">'Horizontal Teams'!E22</f>
        <v>Governance Analyst — MGCC Hyderabad</v>
      </c>
      <c r="F123" s="1" t="str">
        <f aca="false">'Horizontal Teams'!F22</f>
        <v>BA</v>
      </c>
      <c r="G123" s="1" t="str">
        <f aca="false">'Horizontal Teams'!G22</f>
        <v>E2</v>
      </c>
      <c r="H123" s="1" t="str">
        <f aca="false">'Horizontal Teams'!H22</f>
        <v>OFF</v>
      </c>
      <c r="I123" s="1" t="str">
        <f aca="false">'Horizontal Teams'!I22</f>
        <v>MGCC</v>
      </c>
      <c r="J123" s="67" t="n">
        <f aca="false">'Horizontal Teams'!J22</f>
        <v>1</v>
      </c>
      <c r="K123" s="67" t="n">
        <v>1</v>
      </c>
      <c r="L123" s="67" t="n">
        <f aca="false">IF(ISNUMBER(J123),J123*K123,0)</f>
        <v>1</v>
      </c>
      <c r="M123" s="1" t="n">
        <f aca="false">IFERROR(L123*INDEX('Logic Tree'!$J$73:$N$74,MATCH(H123,'Logic Tree'!$I$73:$I$74,0),MATCH(G123,'Logic Tree'!$J$72:$N$72,0)),0)</f>
        <v>0.3</v>
      </c>
    </row>
    <row r="124" customFormat="false" ht="14.25" hidden="true" customHeight="true" outlineLevel="0" collapsed="false">
      <c r="A124" s="66" t="n">
        <f aca="false">'Horizontal Teams'!B26</f>
        <v>2</v>
      </c>
      <c r="B124" s="1" t="s">
        <v>788</v>
      </c>
      <c r="C124" s="1" t="str">
        <f aca="false">'Horizontal Teams'!C26</f>
        <v>H1</v>
      </c>
      <c r="D124" s="1" t="s">
        <v>788</v>
      </c>
      <c r="E124" s="1" t="str">
        <f aca="false">'Horizontal Teams'!E26</f>
        <v>Platform Operations Lead</v>
      </c>
      <c r="F124" s="1" t="str">
        <f aca="false">'Horizontal Teams'!F26</f>
        <v>LEAD</v>
      </c>
      <c r="G124" s="1" t="str">
        <f aca="false">'Horizontal Teams'!G26</f>
        <v>E4</v>
      </c>
      <c r="H124" s="1" t="str">
        <f aca="false">'Horizontal Teams'!H26</f>
        <v>ON</v>
      </c>
      <c r="I124" s="1" t="str">
        <f aca="false">'Horizontal Teams'!I26</f>
        <v>FTC</v>
      </c>
      <c r="J124" s="67" t="n">
        <f aca="false">'Horizontal Teams'!J26</f>
        <v>1</v>
      </c>
      <c r="K124" s="67" t="n">
        <v>1</v>
      </c>
      <c r="L124" s="67" t="n">
        <f aca="false">IF(ISNUMBER(J124),J124*K124,0)</f>
        <v>1</v>
      </c>
      <c r="M124" s="1" t="n">
        <f aca="false">IFERROR(L124*INDEX('Logic Tree'!$J$73:$N$74,MATCH(H124,'Logic Tree'!$I$73:$I$74,0),MATCH(G124,'Logic Tree'!$J$72:$N$72,0)),0)</f>
        <v>1.85</v>
      </c>
    </row>
    <row r="125" customFormat="false" ht="14.25" hidden="true" customHeight="true" outlineLevel="0" collapsed="false">
      <c r="A125" s="66" t="n">
        <f aca="false">'Horizontal Teams'!B27</f>
        <v>2</v>
      </c>
      <c r="B125" s="1" t="s">
        <v>788</v>
      </c>
      <c r="C125" s="1" t="str">
        <f aca="false">'Horizontal Teams'!C27</f>
        <v>H1</v>
      </c>
      <c r="D125" s="1" t="s">
        <v>788</v>
      </c>
      <c r="E125" s="1" t="str">
        <f aca="false">'Horizontal Teams'!E27</f>
        <v>Monitoring &amp; Observability Engineer</v>
      </c>
      <c r="F125" s="1" t="str">
        <f aca="false">'Horizontal Teams'!F27</f>
        <v>ENG</v>
      </c>
      <c r="G125" s="1" t="str">
        <f aca="false">'Horizontal Teams'!G27</f>
        <v>E3</v>
      </c>
      <c r="H125" s="1" t="str">
        <f aca="false">'Horizontal Teams'!H27</f>
        <v>ON</v>
      </c>
      <c r="I125" s="1" t="str">
        <f aca="false">'Horizontal Teams'!I27</f>
        <v>FTC</v>
      </c>
      <c r="J125" s="67" t="n">
        <f aca="false">'Horizontal Teams'!J27</f>
        <v>1</v>
      </c>
      <c r="K125" s="67" t="n">
        <v>1</v>
      </c>
      <c r="L125" s="67" t="n">
        <f aca="false">IF(ISNUMBER(J125),J125*K125,0)</f>
        <v>1</v>
      </c>
      <c r="M125" s="1" t="n">
        <f aca="false">IFERROR(L125*INDEX('Logic Tree'!$J$73:$N$74,MATCH(H125,'Logic Tree'!$I$73:$I$74,0),MATCH(G125,'Logic Tree'!$J$72:$N$72,0)),0)</f>
        <v>1.35</v>
      </c>
    </row>
    <row r="126" customFormat="false" ht="14.25" hidden="true" customHeight="true" outlineLevel="0" collapsed="false">
      <c r="A126" s="66" t="n">
        <f aca="false">'Horizontal Teams'!B28</f>
        <v>2</v>
      </c>
      <c r="B126" s="1" t="s">
        <v>788</v>
      </c>
      <c r="C126" s="1" t="str">
        <f aca="false">'Horizontal Teams'!C28</f>
        <v>H1</v>
      </c>
      <c r="D126" s="1" t="s">
        <v>788</v>
      </c>
      <c r="E126" s="1" t="str">
        <f aca="false">'Horizontal Teams'!E28</f>
        <v>Incident Manager</v>
      </c>
      <c r="F126" s="1" t="str">
        <f aca="false">'Horizontal Teams'!F28</f>
        <v>LEAD</v>
      </c>
      <c r="G126" s="1" t="str">
        <f aca="false">'Horizontal Teams'!G28</f>
        <v>E3</v>
      </c>
      <c r="H126" s="1" t="str">
        <f aca="false">'Horizontal Teams'!H28</f>
        <v>ON</v>
      </c>
      <c r="I126" s="1" t="str">
        <f aca="false">'Horizontal Teams'!I28</f>
        <v>FTC</v>
      </c>
      <c r="J126" s="67" t="n">
        <f aca="false">'Horizontal Teams'!J28</f>
        <v>1</v>
      </c>
      <c r="K126" s="67" t="n">
        <v>1</v>
      </c>
      <c r="L126" s="67" t="n">
        <f aca="false">IF(ISNUMBER(J126),J126*K126,0)</f>
        <v>1</v>
      </c>
      <c r="M126" s="1" t="n">
        <f aca="false">IFERROR(L126*INDEX('Logic Tree'!$J$73:$N$74,MATCH(H126,'Logic Tree'!$I$73:$I$74,0),MATCH(G126,'Logic Tree'!$J$72:$N$72,0)),0)</f>
        <v>1.35</v>
      </c>
    </row>
    <row r="127" customFormat="false" ht="14.25" hidden="true" customHeight="true" outlineLevel="0" collapsed="false">
      <c r="A127" s="66" t="n">
        <f aca="false">'Horizontal Teams'!B29</f>
        <v>2</v>
      </c>
      <c r="B127" s="1" t="s">
        <v>788</v>
      </c>
      <c r="C127" s="1" t="str">
        <f aca="false">'Horizontal Teams'!C29</f>
        <v>H1</v>
      </c>
      <c r="D127" s="1" t="s">
        <v>788</v>
      </c>
      <c r="E127" s="1" t="str">
        <f aca="false">'Horizontal Teams'!E29</f>
        <v>Site Reliability Engineer — MGCC Hyderabad</v>
      </c>
      <c r="F127" s="1" t="str">
        <f aca="false">'Horizontal Teams'!F29</f>
        <v>ENG</v>
      </c>
      <c r="G127" s="1" t="str">
        <f aca="false">'Horizontal Teams'!G29</f>
        <v>E3</v>
      </c>
      <c r="H127" s="1" t="str">
        <f aca="false">'Horizontal Teams'!H29</f>
        <v>OFF</v>
      </c>
      <c r="I127" s="1" t="str">
        <f aca="false">'Horizontal Teams'!I29</f>
        <v>MGCC</v>
      </c>
      <c r="J127" s="67" t="n">
        <f aca="false">'Horizontal Teams'!J29</f>
        <v>1</v>
      </c>
      <c r="K127" s="67" t="n">
        <v>1</v>
      </c>
      <c r="L127" s="67" t="n">
        <f aca="false">IF(ISNUMBER(J127),J127*K127,0)</f>
        <v>1</v>
      </c>
      <c r="M127" s="1" t="n">
        <f aca="false">IFERROR(L127*INDEX('Logic Tree'!$J$73:$N$74,MATCH(H127,'Logic Tree'!$I$73:$I$74,0),MATCH(G127,'Logic Tree'!$J$72:$N$72,0)),0)</f>
        <v>0.42</v>
      </c>
    </row>
    <row r="128" customFormat="false" ht="14.25" hidden="true" customHeight="true" outlineLevel="0" collapsed="false">
      <c r="A128" s="66" t="n">
        <f aca="false">'Horizontal Teams'!B30</f>
        <v>2</v>
      </c>
      <c r="B128" s="1" t="s">
        <v>788</v>
      </c>
      <c r="C128" s="1" t="str">
        <f aca="false">'Horizontal Teams'!C30</f>
        <v>H1</v>
      </c>
      <c r="D128" s="1" t="s">
        <v>788</v>
      </c>
      <c r="E128" s="1" t="str">
        <f aca="false">'Horizontal Teams'!E30</f>
        <v>AI-assisted Ops Engineer — MGCC Hyderabad</v>
      </c>
      <c r="F128" s="1" t="str">
        <f aca="false">'Horizontal Teams'!F30</f>
        <v>ENG</v>
      </c>
      <c r="G128" s="1" t="str">
        <f aca="false">'Horizontal Teams'!G30</f>
        <v>E2</v>
      </c>
      <c r="H128" s="1" t="str">
        <f aca="false">'Horizontal Teams'!H30</f>
        <v>OFF</v>
      </c>
      <c r="I128" s="1" t="str">
        <f aca="false">'Horizontal Teams'!I30</f>
        <v>MGCC</v>
      </c>
      <c r="J128" s="67" t="n">
        <f aca="false">'Horizontal Teams'!J30</f>
        <v>1</v>
      </c>
      <c r="K128" s="67" t="n">
        <v>1</v>
      </c>
      <c r="L128" s="67" t="n">
        <f aca="false">IF(ISNUMBER(J128),J128*K128,0)</f>
        <v>1</v>
      </c>
      <c r="M128" s="1" t="n">
        <f aca="false">IFERROR(L128*INDEX('Logic Tree'!$J$73:$N$74,MATCH(H128,'Logic Tree'!$I$73:$I$74,0),MATCH(G128,'Logic Tree'!$J$72:$N$72,0)),0)</f>
        <v>0.3</v>
      </c>
    </row>
    <row r="129" customFormat="false" ht="14.25" hidden="true" customHeight="true" outlineLevel="0" collapsed="false">
      <c r="A129" s="66" t="n">
        <f aca="false">'Horizontal Teams'!B32</f>
        <v>2</v>
      </c>
      <c r="B129" s="1" t="s">
        <v>788</v>
      </c>
      <c r="C129" s="1" t="str">
        <f aca="false">'Horizontal Teams'!C32</f>
        <v>H2</v>
      </c>
      <c r="D129" s="1" t="s">
        <v>788</v>
      </c>
      <c r="E129" s="1" t="str">
        <f aca="false">'Horizontal Teams'!E32</f>
        <v>Security &amp; Compliance Lead</v>
      </c>
      <c r="F129" s="1" t="str">
        <f aca="false">'Horizontal Teams'!F32</f>
        <v>LEAD</v>
      </c>
      <c r="G129" s="1" t="str">
        <f aca="false">'Horizontal Teams'!G32</f>
        <v>E4</v>
      </c>
      <c r="H129" s="1" t="str">
        <f aca="false">'Horizontal Teams'!H32</f>
        <v>ON</v>
      </c>
      <c r="I129" s="1" t="str">
        <f aca="false">'Horizontal Teams'!I32</f>
        <v>FTC</v>
      </c>
      <c r="J129" s="67" t="n">
        <f aca="false">'Horizontal Teams'!J32</f>
        <v>1</v>
      </c>
      <c r="K129" s="67" t="n">
        <v>1</v>
      </c>
      <c r="L129" s="67" t="n">
        <f aca="false">IF(ISNUMBER(J129),J129*K129,0)</f>
        <v>1</v>
      </c>
      <c r="M129" s="1" t="n">
        <f aca="false">IFERROR(L129*INDEX('Logic Tree'!$J$73:$N$74,MATCH(H129,'Logic Tree'!$I$73:$I$74,0),MATCH(G129,'Logic Tree'!$J$72:$N$72,0)),0)</f>
        <v>1.85</v>
      </c>
    </row>
    <row r="130" customFormat="false" ht="14.25" hidden="true" customHeight="true" outlineLevel="0" collapsed="false">
      <c r="A130" s="66" t="n">
        <f aca="false">'Horizontal Teams'!B33</f>
        <v>2</v>
      </c>
      <c r="B130" s="1" t="s">
        <v>788</v>
      </c>
      <c r="C130" s="1" t="str">
        <f aca="false">'Horizontal Teams'!C33</f>
        <v>H2</v>
      </c>
      <c r="D130" s="1" t="s">
        <v>788</v>
      </c>
      <c r="E130" s="1" t="str">
        <f aca="false">'Horizontal Teams'!E33</f>
        <v>IAM / Security Architect (MetLife)</v>
      </c>
      <c r="F130" s="1" t="str">
        <f aca="false">'Horizontal Teams'!F33</f>
        <v>ENG</v>
      </c>
      <c r="G130" s="1" t="str">
        <f aca="false">'Horizontal Teams'!G33</f>
        <v>E4</v>
      </c>
      <c r="H130" s="1" t="str">
        <f aca="false">'Horizontal Teams'!H33</f>
        <v>ON</v>
      </c>
      <c r="I130" s="1" t="str">
        <f aca="false">'Horizontal Teams'!I33</f>
        <v>FTE</v>
      </c>
      <c r="J130" s="67" t="n">
        <f aca="false">'Horizontal Teams'!J33</f>
        <v>1</v>
      </c>
      <c r="K130" s="67" t="n">
        <v>1</v>
      </c>
      <c r="L130" s="67" t="n">
        <f aca="false">IF(ISNUMBER(J130),J130*K130,0)</f>
        <v>1</v>
      </c>
      <c r="M130" s="1" t="n">
        <f aca="false">IFERROR(L130*INDEX('Logic Tree'!$J$73:$N$74,MATCH(H130,'Logic Tree'!$I$73:$I$74,0),MATCH(G130,'Logic Tree'!$J$72:$N$72,0)),0)</f>
        <v>1.85</v>
      </c>
    </row>
    <row r="131" customFormat="false" ht="14.25" hidden="true" customHeight="true" outlineLevel="0" collapsed="false">
      <c r="A131" s="66" t="n">
        <f aca="false">'Horizontal Teams'!B34</f>
        <v>2</v>
      </c>
      <c r="B131" s="1" t="s">
        <v>788</v>
      </c>
      <c r="C131" s="1" t="str">
        <f aca="false">'Horizontal Teams'!C34</f>
        <v>H2</v>
      </c>
      <c r="D131" s="1" t="s">
        <v>788</v>
      </c>
      <c r="E131" s="1" t="str">
        <f aca="false">'Horizontal Teams'!E34</f>
        <v>Compliance Analyst</v>
      </c>
      <c r="F131" s="1" t="str">
        <f aca="false">'Horizontal Teams'!F34</f>
        <v>BA</v>
      </c>
      <c r="G131" s="1" t="str">
        <f aca="false">'Horizontal Teams'!G34</f>
        <v>E3</v>
      </c>
      <c r="H131" s="1" t="str">
        <f aca="false">'Horizontal Teams'!H34</f>
        <v>ON</v>
      </c>
      <c r="I131" s="1" t="str">
        <f aca="false">'Horizontal Teams'!I34</f>
        <v>FTC</v>
      </c>
      <c r="J131" s="67" t="n">
        <f aca="false">'Horizontal Teams'!J34</f>
        <v>1</v>
      </c>
      <c r="K131" s="67" t="n">
        <v>1</v>
      </c>
      <c r="L131" s="67" t="n">
        <f aca="false">IF(ISNUMBER(J131),J131*K131,0)</f>
        <v>1</v>
      </c>
      <c r="M131" s="1" t="n">
        <f aca="false">IFERROR(L131*INDEX('Logic Tree'!$J$73:$N$74,MATCH(H131,'Logic Tree'!$I$73:$I$74,0),MATCH(G131,'Logic Tree'!$J$72:$N$72,0)),0)</f>
        <v>1.35</v>
      </c>
    </row>
    <row r="132" customFormat="false" ht="14.25" hidden="true" customHeight="true" outlineLevel="0" collapsed="false">
      <c r="A132" s="66" t="n">
        <f aca="false">'Horizontal Teams'!B35</f>
        <v>2</v>
      </c>
      <c r="B132" s="1" t="s">
        <v>788</v>
      </c>
      <c r="C132" s="1" t="str">
        <f aca="false">'Horizontal Teams'!C35</f>
        <v>H2</v>
      </c>
      <c r="D132" s="1" t="s">
        <v>788</v>
      </c>
      <c r="E132" s="1" t="str">
        <f aca="false">'Horizontal Teams'!E35</f>
        <v>Security Engineer — MGCC Hyderabad</v>
      </c>
      <c r="F132" s="1" t="str">
        <f aca="false">'Horizontal Teams'!F35</f>
        <v>ENG</v>
      </c>
      <c r="G132" s="1" t="str">
        <f aca="false">'Horizontal Teams'!G35</f>
        <v>E3</v>
      </c>
      <c r="H132" s="1" t="str">
        <f aca="false">'Horizontal Teams'!H35</f>
        <v>OFF</v>
      </c>
      <c r="I132" s="1" t="str">
        <f aca="false">'Horizontal Teams'!I35</f>
        <v>MGCC</v>
      </c>
      <c r="J132" s="67" t="n">
        <f aca="false">'Horizontal Teams'!J35</f>
        <v>1</v>
      </c>
      <c r="K132" s="67" t="n">
        <v>1</v>
      </c>
      <c r="L132" s="67" t="n">
        <f aca="false">IF(ISNUMBER(J132),J132*K132,0)</f>
        <v>1</v>
      </c>
      <c r="M132" s="1" t="n">
        <f aca="false">IFERROR(L132*INDEX('Logic Tree'!$J$73:$N$74,MATCH(H132,'Logic Tree'!$I$73:$I$74,0),MATCH(G132,'Logic Tree'!$J$72:$N$72,0)),0)</f>
        <v>0.42</v>
      </c>
    </row>
    <row r="133" customFormat="false" ht="14.25" hidden="true" customHeight="true" outlineLevel="0" collapsed="false">
      <c r="A133" s="66" t="n">
        <f aca="false">'Horizontal Teams'!B37</f>
        <v>2</v>
      </c>
      <c r="B133" s="1" t="s">
        <v>788</v>
      </c>
      <c r="C133" s="1" t="str">
        <f aca="false">'Horizontal Teams'!C37</f>
        <v>H3</v>
      </c>
      <c r="D133" s="1" t="s">
        <v>788</v>
      </c>
      <c r="E133" s="1" t="str">
        <f aca="false">'Horizontal Teams'!E37</f>
        <v>Domain Delivery Head</v>
      </c>
      <c r="F133" s="1" t="str">
        <f aca="false">'Horizontal Teams'!F37</f>
        <v>LEAD</v>
      </c>
      <c r="G133" s="1" t="str">
        <f aca="false">'Horizontal Teams'!G37</f>
        <v>E5</v>
      </c>
      <c r="H133" s="1" t="str">
        <f aca="false">'Horizontal Teams'!H37</f>
        <v>ON</v>
      </c>
      <c r="I133" s="1" t="str">
        <f aca="false">'Horizontal Teams'!I37</f>
        <v>FTC</v>
      </c>
      <c r="J133" s="67" t="n">
        <f aca="false">'Horizontal Teams'!J37</f>
        <v>1</v>
      </c>
      <c r="K133" s="67" t="n">
        <v>1</v>
      </c>
      <c r="L133" s="67" t="n">
        <f aca="false">IF(ISNUMBER(J133),J133*K133,0)</f>
        <v>1</v>
      </c>
      <c r="M133" s="1" t="n">
        <f aca="false">IFERROR(L133*INDEX('Logic Tree'!$J$73:$N$74,MATCH(H133,'Logic Tree'!$I$73:$I$74,0),MATCH(G133,'Logic Tree'!$J$72:$N$72,0)),0)</f>
        <v>2.55</v>
      </c>
    </row>
    <row r="134" customFormat="false" ht="14.25" hidden="true" customHeight="true" outlineLevel="0" collapsed="false">
      <c r="A134" s="66" t="n">
        <f aca="false">'Horizontal Teams'!B38</f>
        <v>2</v>
      </c>
      <c r="B134" s="1" t="s">
        <v>788</v>
      </c>
      <c r="C134" s="1" t="str">
        <f aca="false">'Horizontal Teams'!C38</f>
        <v>H3</v>
      </c>
      <c r="D134" s="1" t="s">
        <v>788</v>
      </c>
      <c r="E134" s="1" t="str">
        <f aca="false">'Horizontal Teams'!E38</f>
        <v>Chief Common Services Architect (MetLife)</v>
      </c>
      <c r="F134" s="1" t="str">
        <f aca="false">'Horizontal Teams'!F38</f>
        <v>ENG</v>
      </c>
      <c r="G134" s="1" t="str">
        <f aca="false">'Horizontal Teams'!G38</f>
        <v>E5</v>
      </c>
      <c r="H134" s="1" t="str">
        <f aca="false">'Horizontal Teams'!H38</f>
        <v>ON</v>
      </c>
      <c r="I134" s="1" t="str">
        <f aca="false">'Horizontal Teams'!I38</f>
        <v>FTE</v>
      </c>
      <c r="J134" s="67" t="n">
        <f aca="false">'Horizontal Teams'!J38</f>
        <v>1</v>
      </c>
      <c r="K134" s="67" t="n">
        <v>1</v>
      </c>
      <c r="L134" s="67" t="n">
        <f aca="false">IF(ISNUMBER(J134),J134*K134,0)</f>
        <v>1</v>
      </c>
      <c r="M134" s="1" t="n">
        <f aca="false">IFERROR(L134*INDEX('Logic Tree'!$J$73:$N$74,MATCH(H134,'Logic Tree'!$I$73:$I$74,0),MATCH(G134,'Logic Tree'!$J$72:$N$72,0)),0)</f>
        <v>2.55</v>
      </c>
    </row>
    <row r="135" customFormat="false" ht="14.25" hidden="true" customHeight="true" outlineLevel="0" collapsed="false">
      <c r="A135" s="66" t="n">
        <f aca="false">'Horizontal Teams'!B39</f>
        <v>2</v>
      </c>
      <c r="B135" s="1" t="s">
        <v>788</v>
      </c>
      <c r="C135" s="1" t="str">
        <f aca="false">'Horizontal Teams'!C39</f>
        <v>H3</v>
      </c>
      <c r="D135" s="1" t="s">
        <v>788</v>
      </c>
      <c r="E135" s="1" t="str">
        <f aca="false">'Horizontal Teams'!E39</f>
        <v>API &amp; Integration Standards Architect</v>
      </c>
      <c r="F135" s="1" t="str">
        <f aca="false">'Horizontal Teams'!F39</f>
        <v>ENG</v>
      </c>
      <c r="G135" s="1" t="str">
        <f aca="false">'Horizontal Teams'!G39</f>
        <v>E4</v>
      </c>
      <c r="H135" s="1" t="str">
        <f aca="false">'Horizontal Teams'!H39</f>
        <v>ON</v>
      </c>
      <c r="I135" s="1" t="str">
        <f aca="false">'Horizontal Teams'!I39</f>
        <v>FTC</v>
      </c>
      <c r="J135" s="67" t="n">
        <f aca="false">'Horizontal Teams'!J39</f>
        <v>1</v>
      </c>
      <c r="K135" s="67" t="n">
        <v>1</v>
      </c>
      <c r="L135" s="67" t="n">
        <f aca="false">IF(ISNUMBER(J135),J135*K135,0)</f>
        <v>1</v>
      </c>
      <c r="M135" s="1" t="n">
        <f aca="false">IFERROR(L135*INDEX('Logic Tree'!$J$73:$N$74,MATCH(H135,'Logic Tree'!$I$73:$I$74,0),MATCH(G135,'Logic Tree'!$J$72:$N$72,0)),0)</f>
        <v>1.85</v>
      </c>
    </row>
    <row r="136" customFormat="false" ht="14.25" hidden="true" customHeight="true" outlineLevel="0" collapsed="false">
      <c r="A136" s="66" t="n">
        <f aca="false">'Horizontal Teams'!B40</f>
        <v>2</v>
      </c>
      <c r="B136" s="1" t="s">
        <v>788</v>
      </c>
      <c r="C136" s="1" t="str">
        <f aca="false">'Horizontal Teams'!C40</f>
        <v>H3</v>
      </c>
      <c r="D136" s="1" t="s">
        <v>788</v>
      </c>
      <c r="E136" s="1" t="str">
        <f aca="false">'Horizontal Teams'!E40</f>
        <v>Governance Analyst — MGCC Hyderabad</v>
      </c>
      <c r="F136" s="1" t="str">
        <f aca="false">'Horizontal Teams'!F40</f>
        <v>BA</v>
      </c>
      <c r="G136" s="1" t="str">
        <f aca="false">'Horizontal Teams'!G40</f>
        <v>E2</v>
      </c>
      <c r="H136" s="1" t="str">
        <f aca="false">'Horizontal Teams'!H40</f>
        <v>OFF</v>
      </c>
      <c r="I136" s="1" t="str">
        <f aca="false">'Horizontal Teams'!I40</f>
        <v>MGCC</v>
      </c>
      <c r="J136" s="67" t="n">
        <f aca="false">'Horizontal Teams'!J40</f>
        <v>1</v>
      </c>
      <c r="K136" s="67" t="n">
        <v>1</v>
      </c>
      <c r="L136" s="67" t="n">
        <f aca="false">IF(ISNUMBER(J136),J136*K136,0)</f>
        <v>1</v>
      </c>
      <c r="M136" s="1" t="n">
        <f aca="false">IFERROR(L136*INDEX('Logic Tree'!$J$73:$N$74,MATCH(H136,'Logic Tree'!$I$73:$I$74,0),MATCH(G136,'Logic Tree'!$J$72:$N$72,0)),0)</f>
        <v>0.3</v>
      </c>
    </row>
    <row r="137" customFormat="false" ht="14.25" hidden="true" customHeight="true" outlineLevel="0" collapsed="false">
      <c r="A137" s="66" t="n">
        <f aca="false">'Horizontal Teams'!B44</f>
        <v>3</v>
      </c>
      <c r="B137" s="1" t="s">
        <v>788</v>
      </c>
      <c r="C137" s="1" t="str">
        <f aca="false">'Horizontal Teams'!C44</f>
        <v>H1</v>
      </c>
      <c r="D137" s="1" t="s">
        <v>788</v>
      </c>
      <c r="E137" s="1" t="str">
        <f aca="false">'Horizontal Teams'!E44</f>
        <v>Platform Operations Lead</v>
      </c>
      <c r="F137" s="1" t="str">
        <f aca="false">'Horizontal Teams'!F44</f>
        <v>LEAD</v>
      </c>
      <c r="G137" s="1" t="str">
        <f aca="false">'Horizontal Teams'!G44</f>
        <v>E4</v>
      </c>
      <c r="H137" s="1" t="str">
        <f aca="false">'Horizontal Teams'!H44</f>
        <v>ON</v>
      </c>
      <c r="I137" s="1" t="str">
        <f aca="false">'Horizontal Teams'!I44</f>
        <v>FTC</v>
      </c>
      <c r="J137" s="67" t="n">
        <f aca="false">'Horizontal Teams'!J44</f>
        <v>1</v>
      </c>
      <c r="K137" s="67" t="n">
        <v>1</v>
      </c>
      <c r="L137" s="67" t="n">
        <f aca="false">IF(ISNUMBER(J137),J137*K137,0)</f>
        <v>1</v>
      </c>
      <c r="M137" s="1" t="n">
        <f aca="false">IFERROR(L137*INDEX('Logic Tree'!$J$73:$N$74,MATCH(H137,'Logic Tree'!$I$73:$I$74,0),MATCH(G137,'Logic Tree'!$J$72:$N$72,0)),0)</f>
        <v>1.85</v>
      </c>
    </row>
    <row r="138" customFormat="false" ht="14.25" hidden="true" customHeight="true" outlineLevel="0" collapsed="false">
      <c r="A138" s="66" t="n">
        <f aca="false">'Horizontal Teams'!B45</f>
        <v>3</v>
      </c>
      <c r="B138" s="1" t="s">
        <v>788</v>
      </c>
      <c r="C138" s="1" t="str">
        <f aca="false">'Horizontal Teams'!C45</f>
        <v>H1</v>
      </c>
      <c r="D138" s="1" t="s">
        <v>788</v>
      </c>
      <c r="E138" s="1" t="str">
        <f aca="false">'Horizontal Teams'!E45</f>
        <v>AI Orchestrator / Monitoring Engineer</v>
      </c>
      <c r="F138" s="1" t="str">
        <f aca="false">'Horizontal Teams'!F45</f>
        <v>ENG</v>
      </c>
      <c r="G138" s="1" t="str">
        <f aca="false">'Horizontal Teams'!G45</f>
        <v>E3</v>
      </c>
      <c r="H138" s="1" t="str">
        <f aca="false">'Horizontal Teams'!H45</f>
        <v>ON</v>
      </c>
      <c r="I138" s="1" t="str">
        <f aca="false">'Horizontal Teams'!I45</f>
        <v>FTC</v>
      </c>
      <c r="J138" s="67" t="n">
        <f aca="false">'Horizontal Teams'!J45</f>
        <v>1</v>
      </c>
      <c r="K138" s="67" t="n">
        <v>1</v>
      </c>
      <c r="L138" s="67" t="n">
        <f aca="false">IF(ISNUMBER(J138),J138*K138,0)</f>
        <v>1</v>
      </c>
      <c r="M138" s="1" t="n">
        <f aca="false">IFERROR(L138*INDEX('Logic Tree'!$J$73:$N$74,MATCH(H138,'Logic Tree'!$I$73:$I$74,0),MATCH(G138,'Logic Tree'!$J$72:$N$72,0)),0)</f>
        <v>1.35</v>
      </c>
    </row>
    <row r="139" customFormat="false" ht="14.25" hidden="true" customHeight="true" outlineLevel="0" collapsed="false">
      <c r="A139" s="66" t="n">
        <f aca="false">'Horizontal Teams'!B46</f>
        <v>3</v>
      </c>
      <c r="B139" s="1" t="s">
        <v>788</v>
      </c>
      <c r="C139" s="1" t="str">
        <f aca="false">'Horizontal Teams'!C46</f>
        <v>H1</v>
      </c>
      <c r="D139" s="1" t="s">
        <v>788</v>
      </c>
      <c r="E139" s="1" t="str">
        <f aca="false">'Horizontal Teams'!E46</f>
        <v>Site Reliability Engineer — MGCC Hyderabad</v>
      </c>
      <c r="F139" s="1" t="str">
        <f aca="false">'Horizontal Teams'!F46</f>
        <v>ENG</v>
      </c>
      <c r="G139" s="1" t="str">
        <f aca="false">'Horizontal Teams'!G46</f>
        <v>E3</v>
      </c>
      <c r="H139" s="1" t="str">
        <f aca="false">'Horizontal Teams'!H46</f>
        <v>OFF</v>
      </c>
      <c r="I139" s="1" t="str">
        <f aca="false">'Horizontal Teams'!I46</f>
        <v>MGCC</v>
      </c>
      <c r="J139" s="67" t="n">
        <f aca="false">'Horizontal Teams'!J46</f>
        <v>1</v>
      </c>
      <c r="K139" s="67" t="n">
        <v>1</v>
      </c>
      <c r="L139" s="67" t="n">
        <f aca="false">IF(ISNUMBER(J139),J139*K139,0)</f>
        <v>1</v>
      </c>
      <c r="M139" s="1" t="n">
        <f aca="false">IFERROR(L139*INDEX('Logic Tree'!$J$73:$N$74,MATCH(H139,'Logic Tree'!$I$73:$I$74,0),MATCH(G139,'Logic Tree'!$J$72:$N$72,0)),0)</f>
        <v>0.42</v>
      </c>
    </row>
    <row r="140" customFormat="false" ht="14.25" hidden="true" customHeight="true" outlineLevel="0" collapsed="false">
      <c r="A140" s="66" t="n">
        <f aca="false">'Horizontal Teams'!B47</f>
        <v>3</v>
      </c>
      <c r="B140" s="1" t="s">
        <v>788</v>
      </c>
      <c r="C140" s="1" t="str">
        <f aca="false">'Horizontal Teams'!C47</f>
        <v>H1</v>
      </c>
      <c r="D140" s="1" t="s">
        <v>788</v>
      </c>
      <c r="E140" s="1" t="str">
        <f aca="false">'Horizontal Teams'!E47</f>
        <v>AI-assisted Ops Engineer — MGCC Hyderabad</v>
      </c>
      <c r="F140" s="1" t="str">
        <f aca="false">'Horizontal Teams'!F47</f>
        <v>ENG</v>
      </c>
      <c r="G140" s="1" t="str">
        <f aca="false">'Horizontal Teams'!G47</f>
        <v>E2</v>
      </c>
      <c r="H140" s="1" t="str">
        <f aca="false">'Horizontal Teams'!H47</f>
        <v>OFF</v>
      </c>
      <c r="I140" s="1" t="str">
        <f aca="false">'Horizontal Teams'!I47</f>
        <v>MGCC</v>
      </c>
      <c r="J140" s="67" t="n">
        <f aca="false">'Horizontal Teams'!J47</f>
        <v>1</v>
      </c>
      <c r="K140" s="67" t="n">
        <v>1</v>
      </c>
      <c r="L140" s="67" t="n">
        <f aca="false">IF(ISNUMBER(J140),J140*K140,0)</f>
        <v>1</v>
      </c>
      <c r="M140" s="1" t="n">
        <f aca="false">IFERROR(L140*INDEX('Logic Tree'!$J$73:$N$74,MATCH(H140,'Logic Tree'!$I$73:$I$74,0),MATCH(G140,'Logic Tree'!$J$72:$N$72,0)),0)</f>
        <v>0.3</v>
      </c>
    </row>
    <row r="141" customFormat="false" ht="14.25" hidden="true" customHeight="true" outlineLevel="0" collapsed="false">
      <c r="A141" s="66" t="n">
        <f aca="false">'Horizontal Teams'!B49</f>
        <v>3</v>
      </c>
      <c r="B141" s="1" t="s">
        <v>788</v>
      </c>
      <c r="C141" s="1" t="str">
        <f aca="false">'Horizontal Teams'!C49</f>
        <v>H2</v>
      </c>
      <c r="D141" s="1" t="s">
        <v>788</v>
      </c>
      <c r="E141" s="1" t="str">
        <f aca="false">'Horizontal Teams'!E49</f>
        <v>IAM / Security Architect (MetLife)</v>
      </c>
      <c r="F141" s="1" t="str">
        <f aca="false">'Horizontal Teams'!F49</f>
        <v>ENG</v>
      </c>
      <c r="G141" s="1" t="str">
        <f aca="false">'Horizontal Teams'!G49</f>
        <v>E4</v>
      </c>
      <c r="H141" s="1" t="str">
        <f aca="false">'Horizontal Teams'!H49</f>
        <v>ON</v>
      </c>
      <c r="I141" s="1" t="str">
        <f aca="false">'Horizontal Teams'!I49</f>
        <v>FTE</v>
      </c>
      <c r="J141" s="67" t="n">
        <f aca="false">'Horizontal Teams'!J49</f>
        <v>1</v>
      </c>
      <c r="K141" s="67" t="n">
        <v>1</v>
      </c>
      <c r="L141" s="67" t="n">
        <f aca="false">IF(ISNUMBER(J141),J141*K141,0)</f>
        <v>1</v>
      </c>
      <c r="M141" s="1" t="n">
        <f aca="false">IFERROR(L141*INDEX('Logic Tree'!$J$73:$N$74,MATCH(H141,'Logic Tree'!$I$73:$I$74,0),MATCH(G141,'Logic Tree'!$J$72:$N$72,0)),0)</f>
        <v>1.85</v>
      </c>
    </row>
    <row r="142" customFormat="false" ht="14.25" hidden="true" customHeight="true" outlineLevel="0" collapsed="false">
      <c r="A142" s="66" t="n">
        <f aca="false">'Horizontal Teams'!B50</f>
        <v>3</v>
      </c>
      <c r="B142" s="1" t="s">
        <v>788</v>
      </c>
      <c r="C142" s="1" t="str">
        <f aca="false">'Horizontal Teams'!C50</f>
        <v>H2</v>
      </c>
      <c r="D142" s="1" t="s">
        <v>788</v>
      </c>
      <c r="E142" s="1" t="str">
        <f aca="false">'Horizontal Teams'!E50</f>
        <v>Compliance Analyst</v>
      </c>
      <c r="F142" s="1" t="str">
        <f aca="false">'Horizontal Teams'!F50</f>
        <v>BA</v>
      </c>
      <c r="G142" s="1" t="str">
        <f aca="false">'Horizontal Teams'!G50</f>
        <v>E3</v>
      </c>
      <c r="H142" s="1" t="str">
        <f aca="false">'Horizontal Teams'!H50</f>
        <v>OFF</v>
      </c>
      <c r="I142" s="1" t="str">
        <f aca="false">'Horizontal Teams'!I50</f>
        <v>FTC</v>
      </c>
      <c r="J142" s="67" t="n">
        <f aca="false">'Horizontal Teams'!J50</f>
        <v>1</v>
      </c>
      <c r="K142" s="67" t="n">
        <v>1</v>
      </c>
      <c r="L142" s="67" t="n">
        <f aca="false">IF(ISNUMBER(J142),J142*K142,0)</f>
        <v>1</v>
      </c>
      <c r="M142" s="1" t="n">
        <f aca="false">IFERROR(L142*INDEX('Logic Tree'!$J$73:$N$74,MATCH(H142,'Logic Tree'!$I$73:$I$74,0),MATCH(G142,'Logic Tree'!$J$72:$N$72,0)),0)</f>
        <v>0.42</v>
      </c>
    </row>
    <row r="143" customFormat="false" ht="14.25" hidden="true" customHeight="true" outlineLevel="0" collapsed="false">
      <c r="A143" s="66" t="n">
        <f aca="false">'Horizontal Teams'!B51</f>
        <v>3</v>
      </c>
      <c r="B143" s="1" t="s">
        <v>788</v>
      </c>
      <c r="C143" s="1" t="str">
        <f aca="false">'Horizontal Teams'!C51</f>
        <v>H2</v>
      </c>
      <c r="D143" s="1" t="s">
        <v>788</v>
      </c>
      <c r="E143" s="1" t="str">
        <f aca="false">'Horizontal Teams'!E51</f>
        <v>Security Engineer — MGCC Hyderabad</v>
      </c>
      <c r="F143" s="1" t="str">
        <f aca="false">'Horizontal Teams'!F51</f>
        <v>ENG</v>
      </c>
      <c r="G143" s="1" t="str">
        <f aca="false">'Horizontal Teams'!G51</f>
        <v>E3</v>
      </c>
      <c r="H143" s="1" t="str">
        <f aca="false">'Horizontal Teams'!H51</f>
        <v>OFF</v>
      </c>
      <c r="I143" s="1" t="str">
        <f aca="false">'Horizontal Teams'!I51</f>
        <v>MGCC</v>
      </c>
      <c r="J143" s="67" t="n">
        <f aca="false">'Horizontal Teams'!J51</f>
        <v>1</v>
      </c>
      <c r="K143" s="67" t="n">
        <v>1</v>
      </c>
      <c r="L143" s="67" t="n">
        <f aca="false">IF(ISNUMBER(J143),J143*K143,0)</f>
        <v>1</v>
      </c>
      <c r="M143" s="1" t="n">
        <f aca="false">IFERROR(L143*INDEX('Logic Tree'!$J$73:$N$74,MATCH(H143,'Logic Tree'!$I$73:$I$74,0),MATCH(G143,'Logic Tree'!$J$72:$N$72,0)),0)</f>
        <v>0.42</v>
      </c>
    </row>
    <row r="144" customFormat="false" ht="14.25" hidden="true" customHeight="true" outlineLevel="0" collapsed="false">
      <c r="A144" s="66" t="n">
        <f aca="false">'Horizontal Teams'!B53</f>
        <v>3</v>
      </c>
      <c r="B144" s="1" t="s">
        <v>788</v>
      </c>
      <c r="C144" s="1" t="str">
        <f aca="false">'Horizontal Teams'!C53</f>
        <v>H3</v>
      </c>
      <c r="D144" s="1" t="s">
        <v>788</v>
      </c>
      <c r="E144" s="1" t="str">
        <f aca="false">'Horizontal Teams'!E53</f>
        <v>Domain Delivery Head</v>
      </c>
      <c r="F144" s="1" t="str">
        <f aca="false">'Horizontal Teams'!F53</f>
        <v>LEAD</v>
      </c>
      <c r="G144" s="1" t="str">
        <f aca="false">'Horizontal Teams'!G53</f>
        <v>E5</v>
      </c>
      <c r="H144" s="1" t="str">
        <f aca="false">'Horizontal Teams'!H53</f>
        <v>OFF</v>
      </c>
      <c r="I144" s="1" t="str">
        <f aca="false">'Horizontal Teams'!I53</f>
        <v>FTC</v>
      </c>
      <c r="J144" s="67" t="n">
        <f aca="false">'Horizontal Teams'!J53</f>
        <v>1</v>
      </c>
      <c r="K144" s="67" t="n">
        <v>1</v>
      </c>
      <c r="L144" s="67" t="n">
        <f aca="false">IF(ISNUMBER(J144),J144*K144,0)</f>
        <v>1</v>
      </c>
      <c r="M144" s="1" t="n">
        <f aca="false">IFERROR(L144*INDEX('Logic Tree'!$J$73:$N$74,MATCH(H144,'Logic Tree'!$I$73:$I$74,0),MATCH(G144,'Logic Tree'!$J$72:$N$72,0)),0)</f>
        <v>0.85</v>
      </c>
    </row>
    <row r="145" customFormat="false" ht="14.25" hidden="true" customHeight="true" outlineLevel="0" collapsed="false">
      <c r="A145" s="66" t="n">
        <f aca="false">'Horizontal Teams'!B54</f>
        <v>3</v>
      </c>
      <c r="B145" s="1" t="s">
        <v>788</v>
      </c>
      <c r="C145" s="1" t="str">
        <f aca="false">'Horizontal Teams'!C54</f>
        <v>H3</v>
      </c>
      <c r="D145" s="1" t="s">
        <v>788</v>
      </c>
      <c r="E145" s="1" t="str">
        <f aca="false">'Horizontal Teams'!E54</f>
        <v>Chief Common Services Architect (MetLife)</v>
      </c>
      <c r="F145" s="1" t="str">
        <f aca="false">'Horizontal Teams'!F54</f>
        <v>ENG</v>
      </c>
      <c r="G145" s="1" t="str">
        <f aca="false">'Horizontal Teams'!G54</f>
        <v>E5</v>
      </c>
      <c r="H145" s="1" t="str">
        <f aca="false">'Horizontal Teams'!H54</f>
        <v>ON</v>
      </c>
      <c r="I145" s="1" t="str">
        <f aca="false">'Horizontal Teams'!I54</f>
        <v>FTE</v>
      </c>
      <c r="J145" s="67" t="n">
        <f aca="false">'Horizontal Teams'!J54</f>
        <v>1</v>
      </c>
      <c r="K145" s="67" t="n">
        <v>1</v>
      </c>
      <c r="L145" s="67" t="n">
        <f aca="false">IF(ISNUMBER(J145),J145*K145,0)</f>
        <v>1</v>
      </c>
      <c r="M145" s="1" t="n">
        <f aca="false">IFERROR(L145*INDEX('Logic Tree'!$J$73:$N$74,MATCH(H145,'Logic Tree'!$I$73:$I$74,0),MATCH(G145,'Logic Tree'!$J$72:$N$72,0)),0)</f>
        <v>2.55</v>
      </c>
    </row>
    <row r="146" customFormat="false" ht="14.25" hidden="true" customHeight="true" outlineLevel="0" collapsed="false">
      <c r="A146" s="66" t="n">
        <f aca="false">'Horizontal Teams'!B55</f>
        <v>3</v>
      </c>
      <c r="B146" s="1" t="s">
        <v>788</v>
      </c>
      <c r="C146" s="1" t="str">
        <f aca="false">'Horizontal Teams'!C55</f>
        <v>H3</v>
      </c>
      <c r="D146" s="1" t="s">
        <v>788</v>
      </c>
      <c r="E146" s="1" t="str">
        <f aca="false">'Horizontal Teams'!E55</f>
        <v>Governance Analyst — MGCC Hyderabad</v>
      </c>
      <c r="F146" s="1" t="str">
        <f aca="false">'Horizontal Teams'!F55</f>
        <v>BA</v>
      </c>
      <c r="G146" s="1" t="str">
        <f aca="false">'Horizontal Teams'!G55</f>
        <v>E2</v>
      </c>
      <c r="H146" s="1" t="str">
        <f aca="false">'Horizontal Teams'!H55</f>
        <v>OFF</v>
      </c>
      <c r="I146" s="1" t="str">
        <f aca="false">'Horizontal Teams'!I55</f>
        <v>MGCC</v>
      </c>
      <c r="J146" s="67" t="n">
        <f aca="false">'Horizontal Teams'!J55</f>
        <v>1</v>
      </c>
      <c r="K146" s="67" t="n">
        <v>1</v>
      </c>
      <c r="L146" s="67" t="n">
        <f aca="false">IF(ISNUMBER(J146),J146*K146,0)</f>
        <v>1</v>
      </c>
      <c r="M146" s="1" t="n">
        <f aca="false">IFERROR(L146*INDEX('Logic Tree'!$J$73:$N$74,MATCH(H146,'Logic Tree'!$I$73:$I$74,0),MATCH(G146,'Logic Tree'!$J$72:$N$72,0)),0)</f>
        <v>0.3</v>
      </c>
    </row>
    <row r="147" customFormat="false" ht="14.25" hidden="true" customHeight="true" outlineLevel="0" collapsed="false"/>
    <row r="148" customFormat="false" ht="14.25" hidden="true" customHeight="true" outlineLevel="0" collapsed="false"/>
    <row r="149" customFormat="false" ht="14.25" hidden="true" customHeight="true" outlineLevel="0" collapsed="false"/>
    <row r="150" customFormat="false" ht="14.25" hidden="true" customHeight="true" outlineLevel="0" collapsed="false"/>
    <row r="151" customFormat="false" ht="14.25" hidden="true" customHeight="true" outlineLevel="0" collapsed="false"/>
    <row r="152" customFormat="false" ht="14.25" hidden="true" customHeight="true" outlineLevel="0" collapsed="false"/>
    <row r="153" customFormat="false" ht="14.25" hidden="true" customHeight="true" outlineLevel="0" collapsed="false"/>
    <row r="154" customFormat="false" ht="14.25" hidden="true" customHeight="true" outlineLevel="0" collapsed="false"/>
    <row r="155" customFormat="false" ht="14.25" hidden="true" customHeight="true" outlineLevel="0" collapsed="false"/>
    <row r="156" customFormat="false" ht="14.25" hidden="true" customHeight="true" outlineLevel="0" collapsed="false"/>
    <row r="157" customFormat="false" ht="14.25" hidden="true" customHeight="true" outlineLevel="0" collapsed="false"/>
    <row r="158" customFormat="false" ht="14.25" hidden="true" customHeight="true" outlineLevel="0" collapsed="false"/>
    <row r="159" customFormat="false" ht="14.25" hidden="true" customHeight="true" outlineLevel="0" collapsed="false"/>
    <row r="160" customFormat="false" ht="14.25" hidden="true" customHeight="true" outlineLevel="0" collapsed="false"/>
    <row r="161" customFormat="false" ht="14.25" hidden="true" customHeight="true" outlineLevel="0" collapsed="false"/>
    <row r="162" customFormat="false" ht="14.25" hidden="true" customHeight="true" outlineLevel="0" collapsed="false"/>
    <row r="163" customFormat="false" ht="14.25" hidden="true" customHeight="true" outlineLevel="0" collapsed="false"/>
    <row r="164" customFormat="false" ht="14.25" hidden="true" customHeight="true" outlineLevel="0" collapsed="false"/>
    <row r="165" customFormat="false" ht="14.25" hidden="true" customHeight="true" outlineLevel="0" collapsed="false"/>
    <row r="166" customFormat="false" ht="14.25" hidden="true" customHeight="true" outlineLevel="0" collapsed="false"/>
    <row r="167" customFormat="false" ht="14.25" hidden="true" customHeight="true" outlineLevel="0" collapsed="false"/>
    <row r="168" customFormat="false" ht="14.25" hidden="true" customHeight="true" outlineLevel="0" collapsed="false"/>
    <row r="169" customFormat="false" ht="14.25" hidden="true" customHeight="true" outlineLevel="0" collapsed="false"/>
    <row r="170" customFormat="false" ht="14.25" hidden="true" customHeight="true" outlineLevel="0" collapsed="false"/>
    <row r="171" customFormat="false" ht="14.25" hidden="true" customHeight="true" outlineLevel="0" collapsed="false"/>
    <row r="172" customFormat="false" ht="14.25" hidden="true" customHeight="true" outlineLevel="0" collapsed="false"/>
    <row r="173" customFormat="false" ht="14.25" hidden="true" customHeight="true" outlineLevel="0" collapsed="false"/>
    <row r="174" customFormat="false" ht="14.25" hidden="true" customHeight="true" outlineLevel="0" collapsed="false"/>
    <row r="175" customFormat="false" ht="14.25" hidden="true" customHeight="true" outlineLevel="0" collapsed="false"/>
    <row r="176" customFormat="false" ht="14.25" hidden="true" customHeight="true" outlineLevel="0" collapsed="false"/>
    <row r="177" customFormat="false" ht="14.25" hidden="true" customHeight="true" outlineLevel="0" collapsed="false"/>
    <row r="178" customFormat="false" ht="14.25" hidden="true" customHeight="true" outlineLevel="0" collapsed="false"/>
    <row r="179" customFormat="false" ht="14.25" hidden="true" customHeight="true" outlineLevel="0" collapsed="false"/>
    <row r="180" customFormat="false" ht="14.25" hidden="true" customHeight="true" outlineLevel="0" collapsed="false"/>
    <row r="181" customFormat="false" ht="14.25" hidden="true" customHeight="true" outlineLevel="0" collapsed="false"/>
    <row r="182" customFormat="false" ht="14.25" hidden="true" customHeight="true" outlineLevel="0" collapsed="false"/>
    <row r="183" customFormat="false" ht="14.25" hidden="true" customHeight="true" outlineLevel="0" collapsed="false"/>
    <row r="184" customFormat="false" ht="14.25" hidden="true" customHeight="true" outlineLevel="0" collapsed="false"/>
    <row r="185" customFormat="false" ht="14.25" hidden="true" customHeight="true" outlineLevel="0" collapsed="false"/>
    <row r="186" customFormat="false" ht="14.25" hidden="true" customHeight="true" outlineLevel="0" collapsed="false"/>
    <row r="187" customFormat="false" ht="14.25" hidden="true" customHeight="true" outlineLevel="0" collapsed="false"/>
    <row r="188" customFormat="false" ht="14.25" hidden="true" customHeight="true" outlineLevel="0" collapsed="false"/>
    <row r="189" customFormat="false" ht="14.25" hidden="true" customHeight="true" outlineLevel="0" collapsed="false"/>
    <row r="190" customFormat="false" ht="14.25" hidden="true" customHeight="true" outlineLevel="0" collapsed="false"/>
    <row r="191" customFormat="false" ht="14.25" hidden="true" customHeight="true" outlineLevel="0" collapsed="false"/>
    <row r="192" customFormat="false" ht="14.25" hidden="true" customHeight="true" outlineLevel="0" collapsed="false"/>
    <row r="193" customFormat="false" ht="14.25" hidden="true" customHeight="true" outlineLevel="0" collapsed="false"/>
    <row r="194" customFormat="false" ht="14.25" hidden="true" customHeight="true" outlineLevel="0" collapsed="false"/>
    <row r="195" customFormat="false" ht="14.25" hidden="true" customHeight="true" outlineLevel="0" collapsed="false"/>
    <row r="196" customFormat="false" ht="14.25" hidden="true" customHeight="true" outlineLevel="0" collapsed="false"/>
    <row r="197" customFormat="false" ht="14.25" hidden="true" customHeight="true" outlineLevel="0" collapsed="false"/>
    <row r="198" customFormat="false" ht="14.25" hidden="true" customHeight="true" outlineLevel="0" collapsed="false"/>
    <row r="199" customFormat="false" ht="14.25" hidden="true" customHeight="true" outlineLevel="0" collapsed="false"/>
    <row r="200" customFormat="false" ht="14.25" hidden="true" customHeight="true" outlineLevel="0" collapsed="false"/>
    <row r="201" customFormat="false" ht="14.25" hidden="true" customHeight="true" outlineLevel="0" collapsed="false"/>
    <row r="202" customFormat="false" ht="14.25" hidden="true" customHeight="true" outlineLevel="0" collapsed="false"/>
    <row r="203" customFormat="false" ht="14.25" hidden="true" customHeight="true" outlineLevel="0" collapsed="false"/>
    <row r="204" customFormat="false" ht="14.25" hidden="true" customHeight="true" outlineLevel="0" collapsed="false"/>
    <row r="205" customFormat="false" ht="14.25" hidden="true" customHeight="true" outlineLevel="0" collapsed="false"/>
    <row r="206" customFormat="false" ht="14.25" hidden="true" customHeight="true" outlineLevel="0" collapsed="false"/>
    <row r="207" customFormat="false" ht="14.25" hidden="true" customHeight="true" outlineLevel="0" collapsed="false"/>
    <row r="208" customFormat="false" ht="14.25" hidden="true" customHeight="true" outlineLevel="0" collapsed="false"/>
    <row r="209" customFormat="false" ht="14.25" hidden="true" customHeight="true" outlineLevel="0" collapsed="false"/>
    <row r="210" customFormat="false" ht="14.25" hidden="true" customHeight="true" outlineLevel="0" collapsed="false"/>
    <row r="211" customFormat="false" ht="14.25" hidden="true" customHeight="true" outlineLevel="0" collapsed="false"/>
    <row r="212" customFormat="false" ht="14.25" hidden="true" customHeight="true" outlineLevel="0" collapsed="false"/>
    <row r="213" customFormat="false" ht="14.25" hidden="true" customHeight="true" outlineLevel="0" collapsed="false"/>
    <row r="214" customFormat="false" ht="14.25" hidden="true" customHeight="true" outlineLevel="0" collapsed="false"/>
    <row r="215" customFormat="false" ht="14.25" hidden="true" customHeight="true" outlineLevel="0" collapsed="false"/>
    <row r="216" customFormat="false" ht="14.25" hidden="true" customHeight="true" outlineLevel="0" collapsed="false"/>
    <row r="217" customFormat="false" ht="14.25" hidden="true" customHeight="true" outlineLevel="0" collapsed="false"/>
    <row r="218" customFormat="false" ht="14.25" hidden="true" customHeight="true" outlineLevel="0" collapsed="false"/>
    <row r="219" customFormat="false" ht="14.25" hidden="true" customHeight="true" outlineLevel="0" collapsed="false"/>
    <row r="220" customFormat="false" ht="14.25" hidden="true" customHeight="true" outlineLevel="0" collapsed="false"/>
    <row r="221" customFormat="false" ht="14.25" hidden="true" customHeight="true" outlineLevel="0" collapsed="false"/>
    <row r="222" customFormat="false" ht="14.25" hidden="true" customHeight="true" outlineLevel="0" collapsed="false"/>
    <row r="223" customFormat="false" ht="14.25" hidden="true" customHeight="true" outlineLevel="0" collapsed="false"/>
    <row r="224" customFormat="false" ht="14.25" hidden="true" customHeight="true" outlineLevel="0" collapsed="false"/>
    <row r="225" customFormat="false" ht="14.25" hidden="true" customHeight="true" outlineLevel="0" collapsed="false"/>
    <row r="226" customFormat="false" ht="14.25" hidden="true" customHeight="true" outlineLevel="0" collapsed="false"/>
    <row r="227" customFormat="false" ht="14.25" hidden="true" customHeight="true" outlineLevel="0" collapsed="false"/>
    <row r="228" customFormat="false" ht="14.25" hidden="true" customHeight="true" outlineLevel="0" collapsed="false"/>
    <row r="229" customFormat="false" ht="14.25" hidden="true" customHeight="true" outlineLevel="0" collapsed="false"/>
    <row r="230" customFormat="false" ht="14.25" hidden="true" customHeight="true" outlineLevel="0" collapsed="false"/>
    <row r="231" customFormat="false" ht="14.25" hidden="true" customHeight="true" outlineLevel="0" collapsed="false"/>
    <row r="232" customFormat="false" ht="14.25" hidden="tru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true" customHeight="true" outlineLevel="0" collapsed="false"/>
    <row r="237" customFormat="false" ht="14.25" hidden="true" customHeight="true" outlineLevel="0" collapsed="false"/>
    <row r="238" customFormat="false" ht="14.25" hidden="true" customHeight="true" outlineLevel="0" collapsed="false"/>
    <row r="239" customFormat="false" ht="14.25" hidden="true" customHeight="true" outlineLevel="0" collapsed="false"/>
    <row r="240" customFormat="false" ht="14.25" hidden="true" customHeight="true" outlineLevel="0" collapsed="false"/>
    <row r="241" customFormat="false" ht="14.25" hidden="true" customHeight="true" outlineLevel="0" collapsed="false"/>
    <row r="242" customFormat="false" ht="14.25" hidden="true" customHeight="true" outlineLevel="0" collapsed="false"/>
    <row r="243" customFormat="false" ht="14.25" hidden="true" customHeight="true" outlineLevel="0" collapsed="false"/>
    <row r="244" customFormat="false" ht="14.25" hidden="true" customHeight="true" outlineLevel="0" collapsed="false"/>
    <row r="245" customFormat="false" ht="14.25" hidden="true" customHeight="true" outlineLevel="0" collapsed="false"/>
    <row r="246" customFormat="false" ht="14.25" hidden="true" customHeight="true" outlineLevel="0" collapsed="false"/>
    <row r="247" customFormat="false" ht="14.25" hidden="true" customHeight="true" outlineLevel="0" collapsed="false"/>
    <row r="248" customFormat="false" ht="14.25" hidden="tru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true" customHeight="true" outlineLevel="0" collapsed="false"/>
    <row r="253" customFormat="false" ht="14.25" hidden="true" customHeight="true" outlineLevel="0" collapsed="false"/>
    <row r="254" customFormat="false" ht="14.25" hidden="true" customHeight="true" outlineLevel="0" collapsed="false"/>
    <row r="255" customFormat="false" ht="14.25" hidden="true" customHeight="true" outlineLevel="0" collapsed="false"/>
    <row r="256" customFormat="false" ht="14.25" hidden="true" customHeight="true" outlineLevel="0" collapsed="false"/>
    <row r="257" customFormat="false" ht="14.25" hidden="true" customHeight="true" outlineLevel="0" collapsed="false"/>
    <row r="258" customFormat="false" ht="14.25" hidden="true" customHeight="true" outlineLevel="0" collapsed="false"/>
    <row r="259" customFormat="false" ht="14.25" hidden="true" customHeight="true" outlineLevel="0" collapsed="false"/>
    <row r="260" customFormat="false" ht="14.25" hidden="true" customHeight="true" outlineLevel="0" collapsed="false"/>
    <row r="261" customFormat="false" ht="14.25" hidden="true" customHeight="true" outlineLevel="0" collapsed="false"/>
    <row r="262" customFormat="false" ht="14.25" hidden="true" customHeight="true" outlineLevel="0" collapsed="false"/>
    <row r="263" customFormat="false" ht="14.25" hidden="true" customHeight="true" outlineLevel="0" collapsed="false"/>
    <row r="264" customFormat="false" ht="14.25" hidden="tru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true" customHeight="true" outlineLevel="0" collapsed="false"/>
    <row r="269" customFormat="false" ht="14.25" hidden="true" customHeight="true" outlineLevel="0" collapsed="false"/>
    <row r="270" customFormat="false" ht="14.25" hidden="true" customHeight="true" outlineLevel="0" collapsed="false"/>
    <row r="271" customFormat="false" ht="14.25" hidden="true" customHeight="true" outlineLevel="0" collapsed="false"/>
    <row r="272" customFormat="false" ht="14.25" hidden="true" customHeight="true" outlineLevel="0" collapsed="false"/>
    <row r="273" customFormat="false" ht="14.25" hidden="true" customHeight="true" outlineLevel="0" collapsed="false"/>
    <row r="274" customFormat="false" ht="14.25" hidden="true" customHeight="true" outlineLevel="0" collapsed="false"/>
    <row r="275" customFormat="false" ht="14.25" hidden="true" customHeight="true" outlineLevel="0" collapsed="false"/>
    <row r="276" customFormat="false" ht="14.25" hidden="true" customHeight="true" outlineLevel="0" collapsed="false"/>
    <row r="277" customFormat="false" ht="14.25" hidden="true" customHeight="true" outlineLevel="0" collapsed="false"/>
    <row r="278" customFormat="false" ht="14.25" hidden="true" customHeight="true" outlineLevel="0" collapsed="false"/>
    <row r="279" customFormat="false" ht="14.25" hidden="true" customHeight="true" outlineLevel="0" collapsed="false"/>
    <row r="280" customFormat="false" ht="14.25" hidden="tru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true" customHeight="true" outlineLevel="0" collapsed="false"/>
    <row r="285" customFormat="false" ht="14.25" hidden="true" customHeight="true" outlineLevel="0" collapsed="false"/>
    <row r="286" customFormat="false" ht="14.25" hidden="true" customHeight="true" outlineLevel="0" collapsed="false"/>
    <row r="287" customFormat="false" ht="14.25" hidden="true" customHeight="true" outlineLevel="0" collapsed="false"/>
    <row r="288" customFormat="false" ht="14.25" hidden="true" customHeight="true" outlineLevel="0" collapsed="false"/>
    <row r="289" customFormat="false" ht="14.25" hidden="true" customHeight="true" outlineLevel="0" collapsed="false"/>
    <row r="290" customFormat="false" ht="14.25" hidden="true" customHeight="true" outlineLevel="0" collapsed="false"/>
    <row r="291" customFormat="false" ht="14.25" hidden="true" customHeight="true" outlineLevel="0" collapsed="false"/>
    <row r="292" customFormat="false" ht="14.25" hidden="true" customHeight="true" outlineLevel="0" collapsed="false"/>
    <row r="293" customFormat="false" ht="14.25" hidden="true" customHeight="true" outlineLevel="0" collapsed="false"/>
    <row r="294" customFormat="false" ht="14.25" hidden="true" customHeight="true" outlineLevel="0" collapsed="false"/>
    <row r="295" customFormat="false" ht="14.25" hidden="true" customHeight="true" outlineLevel="0" collapsed="false"/>
    <row r="296" customFormat="false" ht="14.25" hidden="tru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true" customHeight="true" outlineLevel="0" collapsed="false"/>
    <row r="301" customFormat="false" ht="14.25" hidden="true" customHeight="true" outlineLevel="0" collapsed="false"/>
    <row r="302" customFormat="false" ht="14.25" hidden="true" customHeight="true" outlineLevel="0" collapsed="false"/>
    <row r="303" customFormat="false" ht="14.25" hidden="true" customHeight="true" outlineLevel="0" collapsed="false"/>
    <row r="304" customFormat="false" ht="14.25" hidden="true" customHeight="true" outlineLevel="0" collapsed="false"/>
    <row r="305" customFormat="false" ht="14.25" hidden="true" customHeight="true" outlineLevel="0" collapsed="false"/>
    <row r="306" customFormat="false" ht="14.25" hidden="true" customHeight="true" outlineLevel="0" collapsed="false"/>
    <row r="307" customFormat="false" ht="14.25" hidden="true" customHeight="true" outlineLevel="0" collapsed="false"/>
    <row r="308" customFormat="false" ht="14.25" hidden="true" customHeight="true" outlineLevel="0" collapsed="false"/>
    <row r="309" customFormat="false" ht="14.25" hidden="true" customHeight="true" outlineLevel="0" collapsed="false"/>
    <row r="310" customFormat="false" ht="14.25" hidden="true" customHeight="true" outlineLevel="0" collapsed="false"/>
    <row r="311" customFormat="false" ht="14.25" hidden="true" customHeight="true" outlineLevel="0" collapsed="false"/>
    <row r="312" customFormat="false" ht="14.25" hidden="tru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true" customHeight="true" outlineLevel="0" collapsed="false"/>
    <row r="317" customFormat="false" ht="14.25" hidden="true" customHeight="true" outlineLevel="0" collapsed="false"/>
    <row r="318" customFormat="false" ht="14.25" hidden="true" customHeight="true" outlineLevel="0" collapsed="false"/>
    <row r="319" customFormat="false" ht="14.25" hidden="true" customHeight="true" outlineLevel="0" collapsed="false"/>
    <row r="320" customFormat="false" ht="14.25" hidden="true" customHeight="true" outlineLevel="0" collapsed="false"/>
    <row r="321" customFormat="false" ht="14.25" hidden="true" customHeight="true" outlineLevel="0" collapsed="false"/>
    <row r="322" customFormat="false" ht="14.25" hidden="true" customHeight="true" outlineLevel="0" collapsed="false"/>
    <row r="323" customFormat="false" ht="14.25" hidden="true" customHeight="true" outlineLevel="0" collapsed="false"/>
    <row r="324" customFormat="false" ht="14.25" hidden="true" customHeight="true" outlineLevel="0" collapsed="false"/>
    <row r="325" customFormat="false" ht="14.25" hidden="true" customHeight="true" outlineLevel="0" collapsed="false"/>
    <row r="326" customFormat="false" ht="14.25" hidden="true" customHeight="true" outlineLevel="0" collapsed="false"/>
    <row r="327" customFormat="false" ht="14.25" hidden="true" customHeight="true" outlineLevel="0" collapsed="false"/>
    <row r="328" customFormat="false" ht="14.25" hidden="true" customHeight="true" outlineLevel="0" collapsed="false"/>
    <row r="329" customFormat="false" ht="14.25" hidden="true" customHeight="true" outlineLevel="0" collapsed="false"/>
    <row r="330" customFormat="false" ht="14.25" hidden="true" customHeight="true" outlineLevel="0" collapsed="false"/>
    <row r="331" customFormat="false" ht="14.25" hidden="true" customHeight="true" outlineLevel="0" collapsed="false"/>
    <row r="332" customFormat="false" ht="14.25" hidden="true" customHeight="true" outlineLevel="0" collapsed="false"/>
    <row r="333" customFormat="false" ht="14.25" hidden="true" customHeight="true" outlineLevel="0" collapsed="false"/>
    <row r="334" customFormat="false" ht="14.25" hidden="true" customHeight="true" outlineLevel="0" collapsed="false"/>
    <row r="335" customFormat="false" ht="14.25" hidden="true" customHeight="true" outlineLevel="0" collapsed="false"/>
    <row r="336" customFormat="false" ht="14.25" hidden="true" customHeight="true" outlineLevel="0" collapsed="false"/>
    <row r="337" customFormat="false" ht="14.25" hidden="true" customHeight="true" outlineLevel="0" collapsed="false"/>
    <row r="338" customFormat="false" ht="14.25" hidden="true" customHeight="true" outlineLevel="0" collapsed="false"/>
    <row r="339" customFormat="false" ht="14.25" hidden="true" customHeight="true" outlineLevel="0" collapsed="false"/>
    <row r="340" customFormat="false" ht="14.25" hidden="true" customHeight="true" outlineLevel="0" collapsed="false"/>
    <row r="341" customFormat="false" ht="14.25" hidden="true" customHeight="true" outlineLevel="0" collapsed="false"/>
    <row r="342" customFormat="false" ht="14.25" hidden="true" customHeight="true" outlineLevel="0" collapsed="false"/>
    <row r="343" customFormat="false" ht="14.25" hidden="true" customHeight="true" outlineLevel="0" collapsed="false"/>
    <row r="344" customFormat="false" ht="14.25" hidden="true" customHeight="true" outlineLevel="0" collapsed="false"/>
    <row r="345" customFormat="false" ht="14.25" hidden="true" customHeight="true" outlineLevel="0" collapsed="false"/>
    <row r="346" customFormat="false" ht="14.25" hidden="true" customHeight="true" outlineLevel="0" collapsed="false"/>
    <row r="347" customFormat="false" ht="14.25" hidden="true" customHeight="true" outlineLevel="0" collapsed="false"/>
    <row r="348" customFormat="false" ht="14.25" hidden="true" customHeight="true" outlineLevel="0" collapsed="false"/>
    <row r="349" customFormat="false" ht="14.25" hidden="true" customHeight="true" outlineLevel="0" collapsed="false"/>
    <row r="350" customFormat="false" ht="14.25" hidden="true" customHeight="true" outlineLevel="0" collapsed="false"/>
    <row r="351" customFormat="false" ht="14.25" hidden="true" customHeight="true" outlineLevel="0" collapsed="false"/>
    <row r="352" customFormat="false" ht="14.25" hidden="true" customHeight="true" outlineLevel="0" collapsed="false"/>
    <row r="353" customFormat="false" ht="14.25" hidden="true" customHeight="true" outlineLevel="0" collapsed="false"/>
    <row r="354" customFormat="false" ht="14.25" hidden="true" customHeight="true" outlineLevel="0" collapsed="false"/>
    <row r="355" customFormat="false" ht="14.25" hidden="true" customHeight="true" outlineLevel="0" collapsed="false"/>
    <row r="356" customFormat="false" ht="14.25" hidden="true" customHeight="true" outlineLevel="0" collapsed="false"/>
    <row r="357" customFormat="false" ht="14.25" hidden="true" customHeight="true" outlineLevel="0" collapsed="false"/>
    <row r="358" customFormat="false" ht="14.25" hidden="true" customHeight="true" outlineLevel="0" collapsed="false"/>
    <row r="359" customFormat="false" ht="14.25" hidden="true" customHeight="true" outlineLevel="0" collapsed="false"/>
    <row r="360" customFormat="false" ht="14.25" hidden="true" customHeight="true" outlineLevel="0" collapsed="false"/>
    <row r="361" customFormat="false" ht="14.25" hidden="true" customHeight="true" outlineLevel="0" collapsed="false"/>
    <row r="362" customFormat="false" ht="14.25" hidden="true" customHeight="true" outlineLevel="0" collapsed="false"/>
    <row r="363" customFormat="false" ht="14.25" hidden="true" customHeight="true" outlineLevel="0" collapsed="false"/>
    <row r="364" customFormat="false" ht="14.25" hidden="true" customHeight="true" outlineLevel="0" collapsed="false"/>
    <row r="365" customFormat="false" ht="14.25" hidden="true" customHeight="true" outlineLevel="0" collapsed="false"/>
    <row r="366" customFormat="false" ht="14.25" hidden="true" customHeight="true" outlineLevel="0" collapsed="false"/>
    <row r="367" customFormat="false" ht="14.25" hidden="true" customHeight="true" outlineLevel="0" collapsed="false"/>
    <row r="368" customFormat="false" ht="14.25" hidden="true" customHeight="true" outlineLevel="0" collapsed="false"/>
    <row r="369" customFormat="false" ht="14.25" hidden="true" customHeight="true" outlineLevel="0" collapsed="false"/>
    <row r="370" customFormat="false" ht="14.25" hidden="true" customHeight="true" outlineLevel="0" collapsed="false"/>
    <row r="371" customFormat="false" ht="14.25" hidden="true" customHeight="true" outlineLevel="0" collapsed="false"/>
    <row r="372" customFormat="false" ht="14.25" hidden="true" customHeight="true" outlineLevel="0" collapsed="false"/>
    <row r="373" customFormat="false" ht="14.25" hidden="true" customHeight="true" outlineLevel="0" collapsed="false"/>
    <row r="374" customFormat="false" ht="14.25" hidden="true" customHeight="true" outlineLevel="0" collapsed="false"/>
    <row r="375" customFormat="false" ht="14.25" hidden="true" customHeight="true" outlineLevel="0" collapsed="false"/>
    <row r="376" customFormat="false" ht="14.25" hidden="true" customHeight="true" outlineLevel="0" collapsed="false"/>
    <row r="377" customFormat="false" ht="14.25" hidden="true" customHeight="true" outlineLevel="0" collapsed="false"/>
    <row r="378" customFormat="false" ht="14.25" hidden="true" customHeight="true" outlineLevel="0" collapsed="false"/>
    <row r="379" customFormat="false" ht="14.25" hidden="true" customHeight="true" outlineLevel="0" collapsed="false"/>
    <row r="380" customFormat="false" ht="14.25" hidden="true" customHeight="true" outlineLevel="0" collapsed="false"/>
    <row r="381" customFormat="false" ht="14.25" hidden="true" customHeight="true" outlineLevel="0" collapsed="false"/>
    <row r="382" customFormat="false" ht="14.25" hidden="true" customHeight="true" outlineLevel="0" collapsed="false"/>
    <row r="383" customFormat="false" ht="14.25" hidden="true" customHeight="true" outlineLevel="0" collapsed="false"/>
    <row r="384" customFormat="false" ht="14.25" hidden="true" customHeight="true" outlineLevel="0" collapsed="false"/>
    <row r="385" customFormat="false" ht="14.25" hidden="true" customHeight="true" outlineLevel="0" collapsed="false"/>
    <row r="386" customFormat="false" ht="14.25" hidden="true" customHeight="true" outlineLevel="0" collapsed="false"/>
    <row r="387" customFormat="false" ht="14.25" hidden="true" customHeight="true" outlineLevel="0" collapsed="false"/>
    <row r="388" customFormat="false" ht="14.25" hidden="true" customHeight="true" outlineLevel="0" collapsed="false"/>
    <row r="389" customFormat="false" ht="14.25" hidden="true" customHeight="true" outlineLevel="0" collapsed="false"/>
    <row r="390" customFormat="false" ht="14.25" hidden="true" customHeight="true" outlineLevel="0" collapsed="false"/>
    <row r="391" customFormat="false" ht="14.25" hidden="true" customHeight="true" outlineLevel="0" collapsed="false"/>
    <row r="392" customFormat="false" ht="14.25" hidden="true" customHeight="true" outlineLevel="0" collapsed="false"/>
    <row r="393" customFormat="false" ht="14.25" hidden="tru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</sheetData>
  <autoFilter ref="A4:M393">
    <filterColumn colId="0">
      <filters>
        <filter val="3"/>
      </filters>
    </filterColumn>
    <filterColumn colId="8">
      <filters>
        <filter val="FTE"/>
      </filters>
    </filterColumn>
  </autoFilter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2026-09-01T17:41:44Z</dcterms:created>
  <dc:creator>openpyxl</dc:creator>
  <dc:description/>
  <dc:language>en-US</dc:language>
  <cp:lastModifiedBy>Mukesh Kumar Prasad</cp:lastModifiedBy>
  <dcterms:modified xsi:type="dcterms:W3CDTF">2026-09-06T18:18:16Z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0x010100E76F9B9AA9FDD341B4BEBD17B645EC21</vt:lpwstr>
  </property>
</Properties>
</file>