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apgemini-my.sharepoint.com/personal/mukesh_a_prasad_capgemini_com/Documents/Desktop/metlife/"/>
    </mc:Choice>
  </mc:AlternateContent>
  <xr:revisionPtr revIDLastSave="25" documentId="8_{134628DC-B11F-438A-A645-ADE0DD26C61C}" xr6:coauthVersionLast="47" xr6:coauthVersionMax="47" xr10:uidLastSave="{1F613CD5-79D9-4416-9C60-8B83E188F668}"/>
  <bookViews>
    <workbookView xWindow="-110" yWindow="-110" windowWidth="19420" windowHeight="11500" xr2:uid="{D6C7FE5A-CFA4-4472-BE45-FFA537B86E21}"/>
  </bookViews>
  <sheets>
    <sheet name="Sheet1" sheetId="1" r:id="rId1"/>
  </sheets>
  <definedNames>
    <definedName name="_xlnm._FilterDatabase" localSheetId="0" hidden="1">Sheet1!$A$4:$AR$147</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3" i="1" l="1"/>
  <c r="AB3" i="1"/>
  <c r="AC3" i="1"/>
  <c r="AD3" i="1"/>
  <c r="AE3" i="1"/>
  <c r="AF3" i="1"/>
  <c r="AG3" i="1"/>
  <c r="AH3" i="1"/>
  <c r="AI3" i="1"/>
  <c r="AJ3" i="1"/>
  <c r="AK3" i="1"/>
  <c r="AL3" i="1"/>
  <c r="AM3" i="1"/>
  <c r="AO3" i="1"/>
  <c r="AN145" i="1"/>
  <c r="AP145" i="1" s="1"/>
  <c r="AN131" i="1"/>
  <c r="AN130" i="1"/>
  <c r="AX127" i="1"/>
  <c r="AV127" i="1"/>
  <c r="AT127" i="1"/>
  <c r="AN123" i="1"/>
  <c r="AN121" i="1"/>
  <c r="AX119" i="1"/>
  <c r="AV119" i="1"/>
  <c r="AT119" i="1"/>
  <c r="AU117" i="1"/>
  <c r="AT117" i="1"/>
  <c r="AN116" i="1"/>
  <c r="AN102" i="1"/>
  <c r="AN101" i="1"/>
  <c r="AN100" i="1"/>
  <c r="AN96" i="1"/>
  <c r="AQ96" i="1" s="1"/>
  <c r="AN95" i="1"/>
  <c r="AT90" i="1"/>
  <c r="AN77" i="1"/>
  <c r="AN72" i="1"/>
  <c r="AN66" i="1"/>
  <c r="AN63" i="1"/>
  <c r="AP63" i="1" s="1"/>
  <c r="AN60" i="1"/>
  <c r="AN47" i="1"/>
  <c r="AN33" i="1"/>
  <c r="AN32" i="1"/>
  <c r="AN30" i="1"/>
  <c r="AN3" i="1" l="1"/>
  <c r="AQ145" i="1"/>
  <c r="AP96" i="1"/>
  <c r="AP3" i="1" s="1"/>
  <c r="AQ63" i="1"/>
  <c r="AQ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tc={ED74713A-5AB4-4936-BC94-A0A859EAC2ED}</author>
    <author>Kim, Hongsik</author>
  </authors>
  <commentList>
    <comment ref="AT72" authorId="0" shapeId="0" xr:uid="{ED74713A-5AB4-4936-BC94-A0A859EAC2ED}">
      <text>
        <t>[Threaded comment]
Your version of Excel allows you to read this threaded comment; however, any edits to it will get removed if the file is opened in a newer version of Excel. Learn more: https://go.microsoft.com/fwlink/?linkid=870924
Comment:
    Package Application</t>
      </text>
    </comment>
    <comment ref="AU141" authorId="1" shapeId="0" xr:uid="{8FC4F605-FF9F-42E4-A785-A3D645873BAD}">
      <text>
        <r>
          <rPr>
            <sz val="11"/>
            <color rgb="FF000000"/>
            <rFont val="Aptos Narrow"/>
            <family val="2"/>
          </rPr>
          <t xml:space="preserve">Kim, Hongsik:
</t>
        </r>
        <r>
          <rPr>
            <sz val="11"/>
            <color rgb="FF000000"/>
            <rFont val="ＭＳ Ｐゴシック"/>
            <family val="3"/>
            <charset val="128"/>
          </rPr>
          <t>自動査定結果確認</t>
        </r>
        <r>
          <rPr>
            <sz val="11"/>
            <color rgb="FF000000"/>
            <rFont val="Aptos Narrow"/>
            <family val="2"/>
          </rPr>
          <t xml:space="preserve"> Assignment</t>
        </r>
        <r>
          <rPr>
            <sz val="11"/>
            <color rgb="FF000000"/>
            <rFont val="ＭＳ Ｐゴシック"/>
            <family val="3"/>
            <charset val="128"/>
          </rPr>
          <t>：</t>
        </r>
        <r>
          <rPr>
            <sz val="11"/>
            <color rgb="FF000000"/>
            <rFont val="Aptos Narrow"/>
            <family val="2"/>
          </rPr>
          <t xml:space="preserve">2
</t>
        </r>
        <r>
          <rPr>
            <sz val="11"/>
            <color rgb="FF000000"/>
            <rFont val="ＭＳ Ｐゴシック"/>
            <family val="3"/>
            <charset val="128"/>
          </rPr>
          <t>自動査定結果確認</t>
        </r>
        <r>
          <rPr>
            <sz val="11"/>
            <color rgb="FF000000"/>
            <rFont val="Aptos Narrow"/>
            <family val="2"/>
          </rPr>
          <t xml:space="preserve"> Tab</t>
        </r>
        <r>
          <rPr>
            <sz val="11"/>
            <color rgb="FF000000"/>
            <rFont val="ＭＳ Ｐゴシック"/>
            <family val="3"/>
            <charset val="128"/>
          </rPr>
          <t>：</t>
        </r>
        <r>
          <rPr>
            <sz val="11"/>
            <color rgb="FF000000"/>
            <rFont val="Aptos Narrow"/>
            <family val="2"/>
          </rPr>
          <t>9
AA</t>
        </r>
        <r>
          <rPr>
            <sz val="11"/>
            <color rgb="FF000000"/>
            <rFont val="ＭＳ Ｐゴシック"/>
            <family val="3"/>
            <charset val="128"/>
          </rPr>
          <t>対象</t>
        </r>
        <r>
          <rPr>
            <sz val="11"/>
            <color rgb="FF000000"/>
            <rFont val="Aptos Narrow"/>
            <family val="2"/>
          </rPr>
          <t>Benefit Code</t>
        </r>
        <r>
          <rPr>
            <sz val="11"/>
            <color rgb="FF000000"/>
            <rFont val="ＭＳ Ｐゴシック"/>
            <family val="3"/>
            <charset val="128"/>
          </rPr>
          <t>変更</t>
        </r>
        <r>
          <rPr>
            <sz val="11"/>
            <color rgb="FF000000"/>
            <rFont val="Aptos Narrow"/>
            <family val="2"/>
          </rPr>
          <t xml:space="preserve"> Assignment</t>
        </r>
        <r>
          <rPr>
            <sz val="11"/>
            <color rgb="FF000000"/>
            <rFont val="ＭＳ Ｐゴシック"/>
            <family val="3"/>
            <charset val="128"/>
          </rPr>
          <t>：</t>
        </r>
        <r>
          <rPr>
            <sz val="11"/>
            <color rgb="FF000000"/>
            <rFont val="Aptos Narrow"/>
            <family val="2"/>
          </rPr>
          <t>2
AA</t>
        </r>
        <r>
          <rPr>
            <sz val="11"/>
            <color rgb="FF000000"/>
            <rFont val="ＭＳ Ｐゴシック"/>
            <family val="3"/>
            <charset val="128"/>
          </rPr>
          <t>対象</t>
        </r>
        <r>
          <rPr>
            <sz val="11"/>
            <color rgb="FF000000"/>
            <rFont val="Aptos Narrow"/>
            <family val="2"/>
          </rPr>
          <t>Benefit Code</t>
        </r>
        <r>
          <rPr>
            <sz val="11"/>
            <color rgb="FF000000"/>
            <rFont val="ＭＳ Ｐゴシック"/>
            <family val="3"/>
            <charset val="128"/>
          </rPr>
          <t>変更</t>
        </r>
        <r>
          <rPr>
            <sz val="11"/>
            <color rgb="FF000000"/>
            <rFont val="Aptos Narrow"/>
            <family val="2"/>
          </rPr>
          <t xml:space="preserve"> Tab</t>
        </r>
        <r>
          <rPr>
            <sz val="11"/>
            <color rgb="FF000000"/>
            <rFont val="ＭＳ Ｐゴシック"/>
            <family val="3"/>
            <charset val="128"/>
          </rPr>
          <t>：</t>
        </r>
        <r>
          <rPr>
            <sz val="11"/>
            <color rgb="FF000000"/>
            <rFont val="Aptos Narrow"/>
            <family val="2"/>
          </rPr>
          <t xml:space="preserve">4
</t>
        </r>
        <r>
          <rPr>
            <sz val="11"/>
            <color rgb="FF000000"/>
            <rFont val="ＭＳ Ｐゴシック"/>
            <family val="3"/>
            <charset val="128"/>
          </rPr>
          <t>ｰｰｰｰｰｰｰｰｰｰｰｰｰｰｰｰｰｰ</t>
        </r>
        <r>
          <rPr>
            <sz val="11"/>
            <color rgb="FF000000"/>
            <rFont val="Aptos Narrow"/>
            <family val="2"/>
          </rPr>
          <t xml:space="preserve">
28</t>
        </r>
      </text>
    </comment>
  </commentList>
</comments>
</file>

<file path=xl/sharedStrings.xml><?xml version="1.0" encoding="utf-8"?>
<sst xmlns="http://schemas.openxmlformats.org/spreadsheetml/2006/main" count="4906" uniqueCount="940">
  <si>
    <t># of incident(2024/1/1 - 2026/8/31)</t>
    <phoneticPr fontId="1"/>
  </si>
  <si>
    <r>
      <rPr>
        <sz val="11"/>
        <color theme="1"/>
        <rFont val="Segoe UI Symbol"/>
        <family val="2"/>
      </rPr>
      <t>♯ of changes(2024/1/1 - 2026/8/31)</t>
    </r>
  </si>
  <si>
    <t>EAI Application ID</t>
  </si>
  <si>
    <t>Application</t>
  </si>
  <si>
    <t>Application Long Name</t>
  </si>
  <si>
    <t>Application Description</t>
  </si>
  <si>
    <r>
      <rPr>
        <sz val="10"/>
        <color theme="1"/>
        <rFont val="ＭＳ Ｐゴシック"/>
        <family val="2"/>
        <charset val="128"/>
      </rPr>
      <t>domain</t>
    </r>
  </si>
  <si>
    <t>Group</t>
    <phoneticPr fontId="1"/>
  </si>
  <si>
    <t>Team</t>
    <phoneticPr fontId="1"/>
  </si>
  <si>
    <t>Host Support structure</t>
  </si>
  <si>
    <t>Application Class</t>
  </si>
  <si>
    <t>Application Status</t>
  </si>
  <si>
    <t>Primary Support Team</t>
    <phoneticPr fontId="1"/>
  </si>
  <si>
    <t>Critical Application Indicator</t>
  </si>
  <si>
    <t>Business Sponsor LOB</t>
  </si>
  <si>
    <t>Internet Facing Application</t>
  </si>
  <si>
    <t>Application Hosting</t>
  </si>
  <si>
    <t>General Application Profile</t>
  </si>
  <si>
    <t>Operating System/ Platform</t>
  </si>
  <si>
    <t>Primary Code Language</t>
  </si>
  <si>
    <t>Application Source Code Ownership</t>
  </si>
  <si>
    <t>Cloud_Platform</t>
  </si>
  <si>
    <t>Cloud_Indicator</t>
  </si>
  <si>
    <t>In Scope</t>
    <phoneticPr fontId="1"/>
  </si>
  <si>
    <r>
      <rPr>
        <sz val="10"/>
        <color theme="1"/>
        <rFont val="ＭＳ Ｐゴシック"/>
        <family val="2"/>
        <charset val="128"/>
      </rPr>
      <t>Development</t>
    </r>
  </si>
  <si>
    <r>
      <rPr>
        <sz val="10"/>
        <color theme="1"/>
        <rFont val="ＭＳ Ｐゴシック"/>
        <family val="2"/>
        <charset val="128"/>
      </rPr>
      <t>conservative</t>
    </r>
  </si>
  <si>
    <t>Infrastructure Operation</t>
  </si>
  <si>
    <t>Priority Transfer Targets</t>
  </si>
  <si>
    <t>Current FTC</t>
    <phoneticPr fontId="1"/>
  </si>
  <si>
    <t>Nearshore</t>
  </si>
  <si>
    <t>Offshore</t>
  </si>
  <si>
    <t>Onshore</t>
  </si>
  <si>
    <t>Onsite</t>
  </si>
  <si>
    <t>BSA</t>
  </si>
  <si>
    <t>Developer</t>
  </si>
  <si>
    <t>Tester</t>
    <phoneticPr fontId="1"/>
  </si>
  <si>
    <t>Maintenance</t>
  </si>
  <si>
    <t>PM</t>
  </si>
  <si>
    <t>Other</t>
  </si>
  <si>
    <t>Current FTE</t>
    <phoneticPr fontId="1"/>
  </si>
  <si>
    <t>Current MGCC</t>
    <phoneticPr fontId="1"/>
  </si>
  <si>
    <t>Total</t>
    <phoneticPr fontId="1"/>
  </si>
  <si>
    <t>% of PRJ</t>
  </si>
  <si>
    <t>Target # of FTC</t>
    <phoneticPr fontId="1"/>
  </si>
  <si>
    <t>Target # of FTE/MGCC</t>
    <phoneticPr fontId="1"/>
  </si>
  <si>
    <t>Comments</t>
    <phoneticPr fontId="1"/>
  </si>
  <si>
    <t>Number of lines
# of Lines</t>
  </si>
  <si>
    <t>Number of Screens
# of Screen</t>
    <rPh sb="0" eb="3">
      <t>ガメンスウ</t>
    </rPh>
    <phoneticPr fontId="1"/>
  </si>
  <si>
    <t>batch quantity
# of batch</t>
    <rPh sb="3" eb="4">
      <t>スウ</t>
    </rPh>
    <phoneticPr fontId="1"/>
  </si>
  <si>
    <t>Number of APIs
# of API</t>
    <rPh sb="3" eb="4">
      <t>スウ</t>
    </rPh>
    <phoneticPr fontId="1"/>
  </si>
  <si>
    <t>Number of File IF
#of file IF</t>
  </si>
  <si>
    <t>Development Methodology
Development method
(1:Ajile,2:Hybrid, 3:Waterfall)</t>
    <rPh sb="0" eb="4">
      <t>カイハツシュホウ</t>
    </rPh>
    <phoneticPr fontId="1"/>
  </si>
  <si>
    <t>Language of Specification/Design Documents
Langugate of Specification doc/Design Doc
(1: Japanese 2: English 3: Hybrid)</t>
    <rPh sb="0" eb="3">
      <t>シヨウショ</t>
    </rPh>
    <rPh sb="4" eb="7">
      <t>セッケイショ</t>
    </rPh>
    <rPh sb="8" eb="10">
      <t>ゲンゴ</t>
    </rPh>
    <rPh sb="57" eb="60">
      <t>ニホンゴ</t>
    </rPh>
    <phoneticPr fontId="1"/>
  </si>
  <si>
    <t>Key Frameworks
Major framework</t>
    <phoneticPr fontId="1"/>
  </si>
  <si>
    <t>Database
Database</t>
    <phoneticPr fontId="1"/>
  </si>
  <si>
    <t>middleware
Middleware</t>
    <phoneticPr fontId="1"/>
  </si>
  <si>
    <t>Development and execution environment
Development env.</t>
    <phoneticPr fontId="1"/>
  </si>
  <si>
    <t>Target State Disposition</t>
  </si>
  <si>
    <t>Current Year Disposition</t>
  </si>
  <si>
    <t>Year 2 Disposition</t>
  </si>
  <si>
    <t>Year 3 Disposition</t>
  </si>
  <si>
    <t>P1</t>
    <phoneticPr fontId="1"/>
  </si>
  <si>
    <t>P2</t>
    <phoneticPr fontId="1"/>
  </si>
  <si>
    <t>P3</t>
    <phoneticPr fontId="1"/>
  </si>
  <si>
    <t>P4</t>
    <phoneticPr fontId="1"/>
  </si>
  <si>
    <t>P5</t>
    <phoneticPr fontId="1"/>
  </si>
  <si>
    <t>Emergency</t>
    <phoneticPr fontId="1"/>
  </si>
  <si>
    <t>Normal</t>
    <phoneticPr fontId="1"/>
  </si>
  <si>
    <t>Standard</t>
    <phoneticPr fontId="1"/>
  </si>
  <si>
    <t>Global Sales Comp - Japan</t>
  </si>
  <si>
    <t>Responsible for data integration (ETL) between ICM (11004) and Life-Comm. Runs on US environments.</t>
    <phoneticPr fontId="1"/>
  </si>
  <si>
    <r>
      <rPr>
        <sz val="10"/>
        <color theme="1"/>
        <rFont val="ＭＳ Ｐゴシック"/>
        <family val="2"/>
        <charset val="128"/>
      </rPr>
      <t>Fee Management</t>
    </r>
  </si>
  <si>
    <t>Core Insurance Systems Group 34956</t>
  </si>
  <si>
    <t>Commission Systems Team 34958</t>
  </si>
  <si>
    <t>MetLife IT Hosted/Supported</t>
  </si>
  <si>
    <t>Core Business Application</t>
  </si>
  <si>
    <t>Production</t>
  </si>
  <si>
    <t>AD Supported</t>
  </si>
  <si>
    <t>N</t>
  </si>
  <si>
    <t>Asia Region</t>
  </si>
  <si>
    <t>Yes</t>
  </si>
  <si>
    <t>Other#Schduler / orchastration tool call servers batches.</t>
  </si>
  <si>
    <t/>
  </si>
  <si>
    <t>Other#Infomatica workflow
Bash shell
Dos batch</t>
  </si>
  <si>
    <t>Non-MetLife Owned Application Code (3rd party/COTS)</t>
  </si>
  <si>
    <t>Software as a Service (SaaS)</t>
  </si>
  <si>
    <t>Y</t>
  </si>
  <si>
    <t>N</t>
    <phoneticPr fontId="1"/>
  </si>
  <si>
    <r>
      <rPr>
        <sz val="10"/>
        <color theme="1"/>
        <rFont val="游ゴシック"/>
        <family val="2"/>
      </rPr>
      <t>The number of personnel is included in 11004.</t>
    </r>
  </si>
  <si>
    <t>n/a</t>
    <phoneticPr fontId="0"/>
  </si>
  <si>
    <t>Informatica / ShellScript (sh, powershell)</t>
  </si>
  <si>
    <t>MS SQL</t>
  </si>
  <si>
    <t>Informatica PowerExchange</t>
  </si>
  <si>
    <t>Informatica, Linux, Windows</t>
  </si>
  <si>
    <t>Maintain (Evolve)</t>
  </si>
  <si>
    <t>LC POSPMC MF-JPN</t>
  </si>
  <si>
    <t>LifeComm POSPMC</t>
  </si>
  <si>
    <t>A subsystem based on LifeComm (mainframe package). Responsible for transaction processing for the contract management master. As a business domain, it handles contract maintenance (such as name changes, address changes, cancellations, and reductions). We continue to utilize the functions built with assemblers, continuously developing assemblers for new product development, other development projects, and maintenance projects.</t>
    <phoneticPr fontId="1"/>
  </si>
  <si>
    <r>
      <rPr>
        <sz val="10"/>
        <color theme="1"/>
        <rFont val="ＭＳ Ｐゴシック"/>
        <family val="2"/>
        <charset val="128"/>
      </rPr>
      <t>contract management</t>
    </r>
  </si>
  <si>
    <t>Policy Admin Systems Team 34957</t>
  </si>
  <si>
    <t>Global Technology &amp; Operations</t>
  </si>
  <si>
    <t>No</t>
  </si>
  <si>
    <t>Other#Mainframe</t>
  </si>
  <si>
    <t>Assembler, COBOL, MU(EASYPLUS), JCL</t>
    <phoneticPr fontId="1"/>
  </si>
  <si>
    <t>MetLife Owned Application Code</t>
  </si>
  <si>
    <t>IF counts only outside of MF</t>
  </si>
  <si>
    <t>IBM Z/OS</t>
  </si>
  <si>
    <t>VSAM,DB2</t>
  </si>
  <si>
    <t>Hulft,DEX,DB2,MQ,A-Auto</t>
  </si>
  <si>
    <t>TSO</t>
  </si>
  <si>
    <t>LC Billing MF-JPN</t>
  </si>
  <si>
    <t>LifeComm Billing</t>
  </si>
  <si>
    <t>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t>
    <phoneticPr fontId="1"/>
  </si>
  <si>
    <t>COBOL, Assembler, MU(EASYPLUS), JCL</t>
    <phoneticPr fontId="1"/>
  </si>
  <si>
    <t>VSAM</t>
  </si>
  <si>
    <t>LC Collection MF-JPN</t>
  </si>
  <si>
    <t>LifeComm Collection</t>
  </si>
  <si>
    <r>
      <rPr>
        <sz val="10"/>
        <color theme="1"/>
        <rFont val="游ゴシック"/>
        <family val="2"/>
      </rPr>
      <t>The number of staff is included in the 9,800</t>
    </r>
  </si>
  <si>
    <t>Billing combined</t>
  </si>
  <si>
    <t>LC Corresponding MF-JPN</t>
  </si>
  <si>
    <t>LifeComm Corresponding</t>
  </si>
  <si>
    <t>A subsystem based on LifeComm (mainframe package). As a business domain, it is responsible for guidance (form creation). While we maintain the features built with assembler, our company's main features are developed in COBOL, and except for table modifications, we are not continuously developing assemblers.</t>
    <phoneticPr fontId="1"/>
  </si>
  <si>
    <t>LC UWI MF-JPN</t>
  </si>
  <si>
    <t>LifeComm  UWI</t>
  </si>
  <si>
    <t>A subsystem based on LifeComm (mainframe package). As a business domain, it handles part of new contracts and contract maintenance (such as price reductions). Some contract preservation functions utilize new contract features, resulting in overlap between EAI:9796 and business domains. We continue to utilize the functions built with assemblers, continuously developing assemblers for new product development, other development projects, and maintenance projects.</t>
    <phoneticPr fontId="1"/>
  </si>
  <si>
    <t>LC AAPerf MF-JPN</t>
  </si>
  <si>
    <t>LifeComm AgentAgencyPerformance</t>
  </si>
  <si>
    <t>A subsystem based on LifeComm (mainframe package). As a business domain, it is responsible for performance (number of new contract ANPs, number of held ANPs, retention rate, etc.). While we maintain the features built with assembler, our company's main features are developed in COBOL, and except for table modifications, we are not continuously developing assemblers.</t>
    <phoneticPr fontId="1"/>
  </si>
  <si>
    <t>LC Payment MF-JPN</t>
  </si>
  <si>
    <t>LifeComm Payment</t>
  </si>
  <si>
    <t>A subsystem based on LifeComm (mainframe package). As a business domain, it handles payments. While we maintain the features built with assembler, our company's main features are developed in COBOL, and except for table modifications, we are not continuously developing assemblers.</t>
    <phoneticPr fontId="1"/>
  </si>
  <si>
    <t>LC GL/SC MF-JPN</t>
  </si>
  <si>
    <t>LifeComm GL/SC</t>
  </si>
  <si>
    <t>A subsystem based on LifeComm (mainframe package). As a business domain, it is responsible for accounting. While we maintain the features built with assembler, our company's main features are developed in COBOL, and except for table modifications, we are not continuously developing assemblers.</t>
    <phoneticPr fontId="1"/>
  </si>
  <si>
    <t>Financial Management Group</t>
  </si>
  <si>
    <t>LC Valuation MF-JPN</t>
  </si>
  <si>
    <t>LifeComm Valuation</t>
  </si>
  <si>
    <t>A subsystem based on LifeComm (mainframe package). As a business domain, it handles asset management (not real estate, but calculating the asset value of our insurance contracts). While we maintain the features built with assembler, our company's main features are developed in COBOL, and except for table modifications, we are not continuously developing assemblers.</t>
    <phoneticPr fontId="1"/>
  </si>
  <si>
    <t>LC AACOMP MF-JPN</t>
  </si>
  <si>
    <t>LifeComm AgentAgencyComp</t>
  </si>
  <si>
    <t>A subsystem based on LifeComm (mainframe package). As a business domain, it handles fees (such as recruiter management, sales staff fees, agency fees, etc.). While we maintain the features built with assembler, our company's main features are developed in COBOL, and except for table modifications, we are not continuously developing assemblers.</t>
    <phoneticPr fontId="1"/>
  </si>
  <si>
    <t>Processor-I MF-JPN</t>
  </si>
  <si>
    <t>Claim payment (Processor-I)</t>
  </si>
  <si>
    <t>A subsystem based on a different package from LifeComm (mainframe package). As a business domain, it is responsible for payment of benefits and insurance claims. It is basically built with COBOL, and except for the LIFECOMM integration part, almost no assembler is used.</t>
    <phoneticPr fontId="1"/>
  </si>
  <si>
    <t>COBOL, MU(EASYPLUS), Assembler, JCL</t>
    <phoneticPr fontId="1"/>
  </si>
  <si>
    <t>LC Submit MF-JPN</t>
  </si>
  <si>
    <t>Submit Online</t>
  </si>
  <si>
    <r>
      <rPr>
        <sz val="10"/>
        <rFont val="ＭＳ Ｐゴシック"/>
        <family val="3"/>
        <charset val="128"/>
      </rPr>
      <t>A subsystem developed in-house. As a business domain, it provides daily performance updates. It is basically built with COBOL, and except for the LIFECOMM integration part, almost no assembler is used.</t>
    </r>
  </si>
  <si>
    <t>Refactor</t>
  </si>
  <si>
    <t>LC Micro MF-JPN</t>
  </si>
  <si>
    <t>Micro-Index</t>
  </si>
  <si>
    <r>
      <rPr>
        <sz val="10"/>
        <rFont val="ＭＳ Ｐゴシック"/>
        <family val="3"/>
        <charset val="128"/>
      </rPr>
      <t>A subsystem developed in-house. It is a collection of numerous detailed functions. It is basically built with COBOL, and except for the LIFECOMM integration part, almost no assembler is used.</t>
    </r>
  </si>
  <si>
    <t>Foreign MF-JPN</t>
  </si>
  <si>
    <t>Foreign</t>
  </si>
  <si>
    <r>
      <rPr>
        <sz val="10"/>
        <rFont val="ＭＳ Ｐゴシック"/>
        <family val="3"/>
        <charset val="128"/>
      </rPr>
      <t>A subsystem developed in-house. Responsible for managing foreign contracts. It is basically built with COBOL, and except for the LIFECOMM integration part, almost no assembler is used.</t>
    </r>
  </si>
  <si>
    <r>
      <rPr>
        <sz val="10"/>
        <color theme="1"/>
        <rFont val="游ゴシック"/>
        <family val="2"/>
      </rPr>
      <t>The number of personnel is included in the 9813</t>
    </r>
  </si>
  <si>
    <t>Maintain (Patch)</t>
  </si>
  <si>
    <t>CT Salary  MF-JPN</t>
  </si>
  <si>
    <t>CT Salary System</t>
  </si>
  <si>
    <r>
      <rPr>
        <sz val="10"/>
        <rFont val="ＭＳ Ｐゴシック"/>
        <family val="3"/>
        <charset val="128"/>
      </rPr>
      <t>A subsystem developed in-house. As a business domain, it manages the salaries of our sales staff. However, since salaries based on performance are calculated using EAI:9808, only certain items such as base salary and deductions are covered. It is basically built with COBOL, and except for the LIFECOMM integration part, almost no assembler is used.</t>
    </r>
  </si>
  <si>
    <t>TaxCertification MF-JPN</t>
  </si>
  <si>
    <t>TaxCertification</t>
  </si>
  <si>
    <r>
      <rPr>
        <sz val="10"/>
        <rFont val="ＭＳ Ｐゴシック"/>
        <family val="3"/>
        <charset val="128"/>
      </rPr>
      <t>A subsystem developed in-house. As a business domain, it serves as proof of deductions. It is basically built with COBOL, and except for the LIFECOMM integration part, almost no assembler is used.</t>
    </r>
  </si>
  <si>
    <t>Core Insurance Systems Group 34956</t>
    <phoneticPr fontId="1"/>
  </si>
  <si>
    <t>SWINGMANAGER MF-JPN</t>
  </si>
  <si>
    <t>SWING MANAGER</t>
  </si>
  <si>
    <r>
      <rPr>
        <sz val="10"/>
        <rFont val="ＭＳ Ｐゴシック"/>
        <family val="3"/>
        <charset val="128"/>
      </rPr>
      <t>A subsystem developed in-house. He is responsible for managing the savings fund of Universal Life. It is managed together with EAI:9796. It is basically built with COBOL, and except for the LIFECOMM integration part, almost no assembler is used.</t>
    </r>
  </si>
  <si>
    <r>
      <rPr>
        <sz val="10"/>
        <color theme="1"/>
        <rFont val="游ゴシック"/>
        <family val="2"/>
      </rPr>
      <t>The number of personnel is included in 9796.</t>
    </r>
  </si>
  <si>
    <t>Consolidated into POSPMC</t>
  </si>
  <si>
    <t>PremCollectDBMF-JPN</t>
  </si>
  <si>
    <t>Premium Collection History DB</t>
  </si>
  <si>
    <r>
      <rPr>
        <sz val="10"/>
        <rFont val="ＭＳ Ｐゴシック"/>
        <family val="3"/>
        <charset val="128"/>
      </rPr>
      <t>A subsystem developed in-house. It is responsible for the deposit history function. It is managed together with EAI:9796. It is basically built with COBOL, and except for the LIFECOMM integration part, almost no assembler is used.</t>
    </r>
  </si>
  <si>
    <t>MCFA CP DB MF-JPN</t>
  </si>
  <si>
    <t>MCFA Coupon DB</t>
  </si>
  <si>
    <r>
      <rPr>
        <sz val="10"/>
        <rFont val="ＭＳ Ｐゴシック"/>
        <family val="3"/>
        <charset val="128"/>
      </rPr>
      <t>A subsystem developed in-house. It serves as the fixed withdrawal function for MCFA (pension insurance). It is managed together with EAI:9796. It is basically built with COBOL, and except for the LIFECOMM integration part, almost no assembler is used.</t>
    </r>
  </si>
  <si>
    <t>Maturity MF-JPN</t>
  </si>
  <si>
    <t>Payment  maturity existing benefit etc</t>
  </si>
  <si>
    <r>
      <rPr>
        <sz val="10"/>
        <rFont val="ＭＳ Ｐゴシック"/>
        <family val="3"/>
        <charset val="128"/>
      </rPr>
      <t>A subsystem developed in-house. As a business domain, it serves as maturity. It is basically built with COBOL, and except for the LIFECOMM integration part, almost no assembler is used.</t>
    </r>
  </si>
  <si>
    <t>Combined with Claim Payment</t>
  </si>
  <si>
    <t>LC Reins MF-JPN</t>
  </si>
  <si>
    <t>Reinsurance</t>
  </si>
  <si>
    <r>
      <rPr>
        <sz val="10"/>
        <rFont val="ＭＳ Ｐゴシック"/>
        <family val="3"/>
        <charset val="128"/>
      </rPr>
      <t>A subsystem developed in-house. As a business domain, it handles reinsurance. It is basically built with COBOL, and except for the LIFECOMM integration part, almost no assembler is used.</t>
    </r>
  </si>
  <si>
    <t>ASP Bridge(H) MF-JPN</t>
  </si>
  <si>
    <t>ASP Bridge (HOST)</t>
  </si>
  <si>
    <r>
      <rPr>
        <sz val="10"/>
        <rFont val="ＭＳ Ｐゴシック"/>
        <family val="3"/>
        <charset val="128"/>
      </rPr>
      <t>A subsystem developed in-house. It handles interfaces (data integration) with EAI:9925 and EAI:12559. It is basically built with COBOL, and except for the LIFECOMM integration part, almost no assembler is used.</t>
    </r>
  </si>
  <si>
    <t>Common Service Business Application</t>
  </si>
  <si>
    <t>CCA MF-JPN</t>
  </si>
  <si>
    <t>Client Contract Administration</t>
  </si>
  <si>
    <t>A subsystem based on a different package from LifeComm (mainframe package). As a business domain, it serves as a customer name impersonation. It is basically built with COBOL, and except for the LIFECOMM integration part, almost no assembler is used.</t>
    <phoneticPr fontId="1"/>
  </si>
  <si>
    <t>C04NWC-JPN</t>
  </si>
  <si>
    <t>CenterServer</t>
  </si>
  <si>
    <t>Rule engine for new contract workflows</t>
    <rPh sb="9" eb="10">
      <t>ヨウ</t>
    </rPh>
    <phoneticPr fontId="1"/>
  </si>
  <si>
    <r>
      <rPr>
        <sz val="10"/>
        <color theme="1"/>
        <rFont val="ＭＳ Ｐゴシック"/>
        <family val="2"/>
        <charset val="128"/>
      </rPr>
      <t>New Contract Related</t>
    </r>
  </si>
  <si>
    <t>Customer Service and Operations Systems Group 34965</t>
  </si>
  <si>
    <t>New Business Team 34966</t>
  </si>
  <si>
    <t>Other#ASP</t>
  </si>
  <si>
    <t>C/C++</t>
  </si>
  <si>
    <t>N/A</t>
  </si>
  <si>
    <t>Oracle 19c</t>
  </si>
  <si>
    <t>IBM MQ</t>
  </si>
  <si>
    <t>Windows Server 2022 On premise</t>
  </si>
  <si>
    <t>C03WRE-JPN</t>
  </si>
  <si>
    <t>POS Workflow Payment Workflow (Restoring cancelled</t>
  </si>
  <si>
    <r>
      <rPr>
        <sz val="10"/>
        <rFont val="ＭＳ Ｐゴシック"/>
        <family val="2"/>
        <charset val="128"/>
      </rPr>
      <t>Restoring and Cancelled Policy</t>
    </r>
  </si>
  <si>
    <r>
      <rPr>
        <sz val="10"/>
        <color theme="1"/>
        <rFont val="ＭＳ Ｐゴシック"/>
        <family val="2"/>
        <charset val="128"/>
      </rPr>
      <t>Storage and Preservation Related</t>
    </r>
  </si>
  <si>
    <t>Policy Servicing Team 34967</t>
  </si>
  <si>
    <t>Thick Client</t>
  </si>
  <si>
    <t>VB.NET</t>
  </si>
  <si>
    <t>The file number will be updated to 9/7. The API count is the number of calls to other subsystems.</t>
    <phoneticPr fontId="1"/>
  </si>
  <si>
    <t>. NetFramework</t>
    <phoneticPr fontId="1"/>
  </si>
  <si>
    <t>Oracle, SQLServer,DB2</t>
  </si>
  <si>
    <t>Citrix, DB2 Connect, Process360</t>
  </si>
  <si>
    <t>Windows</t>
    <phoneticPr fontId="1"/>
  </si>
  <si>
    <t>Retire</t>
  </si>
  <si>
    <t>C12WNC-JPN</t>
  </si>
  <si>
    <t>POS Workflow Payment Workflow (Claim Transaction A</t>
  </si>
  <si>
    <r>
      <rPr>
        <sz val="10"/>
        <rFont val="ＭＳ Ｐゴシック"/>
        <family val="2"/>
        <charset val="128"/>
      </rPr>
      <t>Claim Transaction Automatic Development of Benefit</t>
    </r>
  </si>
  <si>
    <r>
      <rPr>
        <sz val="10"/>
        <color theme="1"/>
        <rFont val="ＭＳ Ｐゴシック"/>
        <family val="2"/>
        <charset val="128"/>
      </rPr>
      <t>Insurance Claims and Benefits Payment Related</t>
    </r>
  </si>
  <si>
    <t>Claims Team 34968</t>
    <phoneticPr fontId="1"/>
  </si>
  <si>
    <t>VB.NET; C/C++; JAVA</t>
  </si>
  <si>
    <t>2,876,130</t>
    <phoneticPr fontId="1"/>
  </si>
  <si>
    <t>Oracle,SQL Sever,</t>
    <phoneticPr fontId="1"/>
  </si>
  <si>
    <t>WAS, .netframework, Process360, Citrix</t>
    <phoneticPr fontId="1"/>
  </si>
  <si>
    <t>VisualBasic 2022
Windows Server 2019</t>
  </si>
  <si>
    <t>C03WRD-JPN</t>
  </si>
  <si>
    <t>POS Workflow Payment Workflow (Reduction of paymen</t>
    <phoneticPr fontId="1"/>
  </si>
  <si>
    <r>
      <rPr>
        <sz val="10"/>
        <rFont val="ＭＳ Ｐゴシック"/>
        <family val="2"/>
        <charset val="128"/>
      </rPr>
      <t>Storage and Maintenance Workflow (Reduction of Payment)</t>
    </r>
  </si>
  <si>
    <t>Citrix, DB2 Connect</t>
    <phoneticPr fontId="1"/>
  </si>
  <si>
    <t>C03PCA-JPN</t>
  </si>
  <si>
    <t>Add Coverage</t>
  </si>
  <si>
    <t>Storage and Preservation Special Contract Mid-Term Additional Processing System</t>
    <rPh sb="0" eb="4">
      <t>シュウノウホゼン</t>
    </rPh>
    <rPh sb="5" eb="7">
      <t>トクヤク</t>
    </rPh>
    <rPh sb="7" eb="11">
      <t>チュウトフカ</t>
    </rPh>
    <rPh sb="11" eb="13">
      <t>ショリ</t>
    </rPh>
    <phoneticPr fontId="1"/>
  </si>
  <si>
    <t>Other#C/S</t>
  </si>
  <si>
    <t>VB</t>
  </si>
  <si>
    <t>Oracle, DB2</t>
    <phoneticPr fontId="1"/>
  </si>
  <si>
    <t>Citrix</t>
    <phoneticPr fontId="1"/>
  </si>
  <si>
    <t>C10CSS-JPN</t>
  </si>
  <si>
    <t>FSC Call Support</t>
  </si>
  <si>
    <t>Application for call centers for bank tellers (call history/case management)</t>
    <rPh sb="0" eb="4">
      <t>ギンコウマドハン</t>
    </rPh>
    <rPh sb="4" eb="5">
      <t>ム</t>
    </rPh>
    <rPh sb="12" eb="13">
      <t>ヨウ</t>
    </rPh>
    <rPh sb="25" eb="27">
      <t>リレキ</t>
    </rPh>
    <rPh sb="31" eb="33">
      <t>カンリ</t>
    </rPh>
    <phoneticPr fontId="1"/>
  </si>
  <si>
    <r>
      <rPr>
        <sz val="10"/>
        <color theme="1"/>
        <rFont val="ＭＳ Ｐゴシック"/>
        <family val="2"/>
        <charset val="128"/>
      </rPr>
      <t>Customer Care / Call Center Related</t>
    </r>
  </si>
  <si>
    <t>Customer Care Team 34969</t>
  </si>
  <si>
    <t>Web Application Client</t>
  </si>
  <si>
    <t>820k</t>
    <phoneticPr fontId="1"/>
  </si>
  <si>
    <t>Oracle、SVF、Lightning FAX、IIS、JP1、Hulft</t>
    <phoneticPr fontId="1"/>
  </si>
  <si>
    <t>C04VAS-JPN</t>
  </si>
  <si>
    <t>Voucher Approval System for AS400</t>
  </si>
  <si>
    <t>VAS (Voucher Accounting System) is MetLife's voucher approval and issuance system.</t>
    <phoneticPr fontId="1"/>
  </si>
  <si>
    <r>
      <rPr>
        <sz val="10"/>
        <color theme="1"/>
        <rFont val="ＭＳ Ｐゴシック"/>
        <family val="2"/>
        <charset val="128"/>
      </rPr>
      <t>Corporate Related</t>
    </r>
  </si>
  <si>
    <t>Corporate Systems Team 34959</t>
  </si>
  <si>
    <t>42K</t>
  </si>
  <si>
    <t>VB .NET</t>
  </si>
  <si>
    <t>Oracle</t>
  </si>
  <si>
    <t>Windows</t>
  </si>
  <si>
    <t>C04SYM-JPN</t>
  </si>
  <si>
    <t>Renewal symap Business Work Flow</t>
  </si>
  <si>
    <t>Workflow for Contract Renewal Process</t>
    <rPh sb="0" eb="4">
      <t>ケイヤクコウシン</t>
    </rPh>
    <rPh sb="8" eb="9">
      <t>ヨウ</t>
    </rPh>
    <phoneticPr fontId="1"/>
  </si>
  <si>
    <t>Other#Thick Client</t>
  </si>
  <si>
    <t>Citrix, ViewStar(G360/Process360), JP1</t>
  </si>
  <si>
    <t>C03VSV-JPN</t>
  </si>
  <si>
    <t>Variable Annuity Sun View</t>
  </si>
  <si>
    <t>Call Center Applications / Call History Management Related to Variable Pensions</t>
    <rPh sb="7" eb="8">
      <t>ム</t>
    </rPh>
    <rPh sb="18" eb="20">
      <t>ヘンガク</t>
    </rPh>
    <rPh sb="20" eb="22">
      <t>ネンキン</t>
    </rPh>
    <rPh sb="22" eb="24">
      <t>カンレン</t>
    </rPh>
    <rPh sb="27" eb="29">
      <t>リレキ</t>
    </rPh>
    <rPh sb="29" eb="31">
      <t>カンリ</t>
    </rPh>
    <phoneticPr fontId="1"/>
  </si>
  <si>
    <t>260k</t>
    <phoneticPr fontId="1"/>
  </si>
  <si>
    <t>None</t>
    <phoneticPr fontId="1"/>
  </si>
  <si>
    <t>PinID tool_JPN</t>
  </si>
  <si>
    <t>PinID Increase tool</t>
    <phoneticPr fontId="1"/>
  </si>
  <si>
    <t>EAI:9925 A subsystem for managing PinID, a unique customer management number. Currently built on .NET but under development for migration to web applications.</t>
    <phoneticPr fontId="1"/>
  </si>
  <si>
    <t>No applicable</t>
    <rPh sb="0" eb="2">
      <t>ガイトウ</t>
    </rPh>
    <phoneticPr fontId="1"/>
  </si>
  <si>
    <r>
      <rPr>
        <sz val="11"/>
        <color theme="1"/>
        <rFont val="ＭＳ Ｐゴシック"/>
        <family val="2"/>
        <charset val="128"/>
      </rPr>
      <t>Entry feature: Windows PC
Batch Program: Windows Server</t>
    </r>
  </si>
  <si>
    <t>C11VCM-JPN</t>
  </si>
  <si>
    <t>Deposit Control System</t>
  </si>
  <si>
    <t>New Contract Related/Deposit Management System</t>
    <rPh sb="0" eb="3">
      <t>シンケイヤク</t>
    </rPh>
    <rPh sb="3" eb="5">
      <t>カンレン</t>
    </rPh>
    <rPh sb="6" eb="8">
      <t>ニュウキン</t>
    </rPh>
    <rPh sb="8" eb="10">
      <t>カンリ</t>
    </rPh>
    <phoneticPr fontId="1"/>
  </si>
  <si>
    <t>IIS, EDI</t>
  </si>
  <si>
    <t>C04OSI-JPN</t>
  </si>
  <si>
    <t>S Sum Total System(Open)</t>
  </si>
  <si>
    <t>New Contract Related/Comprehensive Management System</t>
    <rPh sb="0" eb="3">
      <t>シンケイヤク</t>
    </rPh>
    <rPh sb="3" eb="5">
      <t>カンレン</t>
    </rPh>
    <rPh sb="6" eb="8">
      <t>ツウサン</t>
    </rPh>
    <rPh sb="8" eb="10">
      <t>カンリ</t>
    </rPh>
    <phoneticPr fontId="1"/>
  </si>
  <si>
    <t>JAVA, MF COBOL</t>
  </si>
  <si>
    <t>IBM Webshpehre Application Server, JP1</t>
  </si>
  <si>
    <t>W03FIC-JPN</t>
  </si>
  <si>
    <t>Guidance Refusal Information Administration System</t>
  </si>
  <si>
    <r>
      <rPr>
        <sz val="10"/>
        <rFont val="ＭＳ Ｐゴシック"/>
        <family val="2"/>
        <charset val="128"/>
      </rPr>
      <t>A system for registering and managing information (DM, TELL) received via existing subscribers, agents, CTs, and internal staff.
Additionally, the registered guide rejection information is linked to each system (HOST) to be used to send invitations and control calls to customers.</t>
    </r>
  </si>
  <si>
    <t>Web Services</t>
  </si>
  <si>
    <t>JAVA</t>
  </si>
  <si>
    <t>Platform as a Service (PaaS)</t>
  </si>
  <si>
    <t>Spring framework</t>
  </si>
  <si>
    <t>Tomcat 11,JDK17 , JP1</t>
  </si>
  <si>
    <t>Kubernetes service</t>
  </si>
  <si>
    <t>C03APO-JPN</t>
  </si>
  <si>
    <t>Apollocs</t>
  </si>
  <si>
    <t>A system that displays reports created in MainFrame on the Client Viewer screen
In addition to the function of viewing and displaying forms, it offers search functions, information processing (for text and CSV output), sticky notes, markers, and other functions.</t>
    <phoneticPr fontId="1"/>
  </si>
  <si>
    <t>Other#APOLLOCS</t>
  </si>
  <si>
    <t>No source code managed by IT due to package</t>
  </si>
  <si>
    <t>SQLServer</t>
  </si>
  <si>
    <t>SFTP , JP1</t>
  </si>
  <si>
    <t>Windows Server 2019</t>
  </si>
  <si>
    <t>Z04IMA-JPN</t>
  </si>
  <si>
    <t>Image Search</t>
  </si>
  <si>
    <t>New Contract Related / Image File Search System</t>
    <rPh sb="0" eb="3">
      <t>シンケイヤク</t>
    </rPh>
    <rPh sb="3" eb="5">
      <t>カンレン</t>
    </rPh>
    <rPh sb="14" eb="16">
      <t>ケンサク</t>
    </rPh>
    <phoneticPr fontId="1"/>
  </si>
  <si>
    <t>CSS; JAVA;HTML; VB.NET</t>
  </si>
  <si>
    <t>Tomcat</t>
  </si>
  <si>
    <t>W05AMS-JPN</t>
  </si>
  <si>
    <t>Annuity Information Management System(AIMS)</t>
  </si>
  <si>
    <t>Pension Information Management System</t>
    <rPh sb="0" eb="2">
      <t>ネンキン</t>
    </rPh>
    <rPh sb="2" eb="4">
      <t>ジョウホウ</t>
    </rPh>
    <rPh sb="4" eb="6">
      <t>カンリ</t>
    </rPh>
    <phoneticPr fontId="1"/>
  </si>
  <si>
    <t>Claims Team 34968</t>
  </si>
  <si>
    <t>JAVA, C#, VC</t>
  </si>
  <si>
    <t>Online : 1,005,227
BAT : 1,111,777
No Receipts: 212,147
Viewstar : 55,562
---------------
Sum : 2,384,713</t>
    <phoneticPr fontId="1"/>
  </si>
  <si>
    <t>WeFrame (JAVA EE Board)
vb.net, C#, C++
ASP.net</t>
    <phoneticPr fontId="1"/>
  </si>
  <si>
    <t>Oracle,SQL Sever</t>
    <phoneticPr fontId="1"/>
  </si>
  <si>
    <t>WAS,IIS, JP1, .netframework, Process360, HULFT</t>
    <phoneticPr fontId="1"/>
  </si>
  <si>
    <r>
      <rPr>
        <sz val="11"/>
        <color theme="1"/>
        <rFont val="Segoe UI Symbol"/>
        <family val="2"/>
      </rPr>
      <t>■ Online
Development Environment
- IDE : Eclipse
- Build : Bat Script
(make.bat, install.bat)
- Frontend: JSP, JavaScript, html
- Runtime : WAS9
- Langage : Java(JDK1.8)
Execution environment
-IBM WAS(Windows)
■ Batch
Development Environment
- IDE : VisualStudio
- Build : MSBuild
- Runtime : vc++
- Langage : c++,c#,vb.net(.netFramework4.8.1)
Execution environment
- JP1 (Windows)
■ Not Preparing Forms
Development Environment
- IDE : VisualStudio
- Build : MSBuild
- Runtime : vc++
- Langage : ASP.net(.netFramework4.8.1)
Execution environment
- IIS (Windows)
■ViewStar
Development Environment
- IDE : VisualStudio
- Runtime : IIS ASP + vbs
- Langage : ASP(VBScript)
Execution environment
- IIS (Windows)</t>
    </r>
  </si>
  <si>
    <t>W02OPS-JPN</t>
  </si>
  <si>
    <t>Insurance Planning for Operator</t>
  </si>
  <si>
    <t>Insurance Planning for Operator / Insurance Design Application for Direct Business</t>
    <phoneticPr fontId="1"/>
  </si>
  <si>
    <r>
      <rPr>
        <sz val="10"/>
        <color theme="1"/>
        <rFont val="ＭＳ Ｐゴシック"/>
        <family val="2"/>
        <charset val="128"/>
      </rPr>
      <t>Marketing/Direct Business Related</t>
    </r>
  </si>
  <si>
    <t>Customer and Channel Engineering 34961</t>
    <phoneticPr fontId="1"/>
  </si>
  <si>
    <t>Web Services; Web Application Client</t>
  </si>
  <si>
    <t>Struts / JSP / Servlet / iBATIS / Corticon</t>
  </si>
  <si>
    <t>Oracle19c</t>
    <phoneticPr fontId="1"/>
  </si>
  <si>
    <t>WAS8.5</t>
  </si>
  <si>
    <t>On-Prem</t>
  </si>
  <si>
    <t>W04RRE-JPN</t>
  </si>
  <si>
    <t>Rule Engine</t>
  </si>
  <si>
    <t>New Contract Related / Rule Engine</t>
    <rPh sb="0" eb="5">
      <t>シンケイヤクカンレン</t>
    </rPh>
    <phoneticPr fontId="1"/>
  </si>
  <si>
    <t>Other#Services in Windows Server</t>
  </si>
  <si>
    <t>Microsoft SQL Server 2022</t>
  </si>
  <si>
    <t>W03PIU-JPN</t>
  </si>
  <si>
    <t>IS universal life insurance simulation</t>
  </si>
  <si>
    <t>Thrift</t>
  </si>
  <si>
    <t>Windows11</t>
  </si>
  <si>
    <t>W08HTN-JPN</t>
  </si>
  <si>
    <t>conservation contact personnel entry system</t>
  </si>
  <si>
    <t>The Office Management System (OMS) is a web-based system that manages and supports sales activities at MetLife Alico's sales offices. This system provides centralized management of office information, salesperson information, contract information, and various functions necessary for sales activities.</t>
    <phoneticPr fontId="1"/>
  </si>
  <si>
    <t>19K</t>
  </si>
  <si>
    <t>ASF</t>
  </si>
  <si>
    <t>WAS, JP1, Oracle</t>
  </si>
  <si>
    <t>Windows Server</t>
  </si>
  <si>
    <t>Rehost</t>
  </si>
  <si>
    <t>W08NAV-JPN</t>
  </si>
  <si>
    <t>Branch Marketing Information System</t>
  </si>
  <si>
    <r>
      <rPr>
        <sz val="10"/>
        <color theme="1"/>
        <rFont val="ＭＳ Ｐゴシック"/>
        <family val="2"/>
        <charset val="128"/>
      </rPr>
      <t>Sales / Insurance Recruitment</t>
    </r>
  </si>
  <si>
    <t>Distribution F2F Team 34962</t>
  </si>
  <si>
    <t>Java</t>
    <phoneticPr fontId="1"/>
  </si>
  <si>
    <t>WAS , JP1</t>
    <phoneticPr fontId="1"/>
  </si>
  <si>
    <t>W08SFE-JPN</t>
  </si>
  <si>
    <t>commission Inquiry</t>
  </si>
  <si>
    <r>
      <rPr>
        <sz val="10"/>
        <rFont val="ＭＳ Ｐゴシック"/>
        <family val="2"/>
        <charset val="128"/>
      </rPr>
      <t>This system is a web application for referencing commission (fee) data of recruiters and agents, as well as contract information necessary for calculating retention rates and net increase rates of holdings.</t>
    </r>
  </si>
  <si>
    <t>140K</t>
  </si>
  <si>
    <t>Springframework,alicocommon</t>
  </si>
  <si>
    <t>W08CIS-JPN</t>
  </si>
  <si>
    <t>Career Information System</t>
  </si>
  <si>
    <t>CIS (Customer Information System) is MetLife's customer information management system. This system offers the following key features:
- Customer information inquiry and update
- Family information management
- Housing and commuting information management
- Information access control based on permissions
- Security log management
- Data export function</t>
    <phoneticPr fontId="1"/>
  </si>
  <si>
    <t>98K</t>
  </si>
  <si>
    <t>Struts</t>
  </si>
  <si>
    <t>W08NAR-JPN</t>
  </si>
  <si>
    <t>producers information entry system</t>
  </si>
  <si>
    <r>
      <rPr>
        <sz val="10"/>
        <rFont val="ＭＳ Ｐゴシック"/>
        <family val="2"/>
        <charset val="128"/>
      </rPr>
      <t>Recruiter and Agent Information Management System. Web applications running in on-premises environments (IBM WebSphere, Java/JSP, Oracle DB). Staff at headquarters and sales offices use it to manage recruiter and agent information, link data with related systems and the Life Insurance Association (LINC), synchronize bidirectionally with mainframes, and manage related documents.</t>
    </r>
  </si>
  <si>
    <t>490K</t>
  </si>
  <si>
    <t>alico.mvc</t>
  </si>
  <si>
    <t>W13WWF-JPN</t>
  </si>
  <si>
    <t>Web work flow</t>
  </si>
  <si>
    <r>
      <rPr>
        <sz val="10"/>
        <rFont val="ＭＳ Ｐゴシック"/>
        <family val="2"/>
        <charset val="128"/>
      </rPr>
      <t>This system was developed to eliminate the exchange of forms via fax between headquarters and branches as part of personal information protection measures, and to enable web-based document exchange.</t>
    </r>
  </si>
  <si>
    <t>164k</t>
    <phoneticPr fontId="1"/>
  </si>
  <si>
    <t>WAS , JP1</t>
  </si>
  <si>
    <t>Windows Server 2022</t>
  </si>
  <si>
    <t>P08MMS-JPN</t>
  </si>
  <si>
    <t>Medical Management System</t>
  </si>
  <si>
    <t>New Contracts / Medical Assessment Management System</t>
    <rPh sb="0" eb="3">
      <t>シンケイヤク</t>
    </rPh>
    <rPh sb="4" eb="8">
      <t>イムサテイ</t>
    </rPh>
    <rPh sb="8" eb="10">
      <t>カンリ</t>
    </rPh>
    <phoneticPr fontId="1"/>
  </si>
  <si>
    <t>Citrix,ViewStar(G360/Process360)</t>
  </si>
  <si>
    <t>WPSYEC-JPN</t>
  </si>
  <si>
    <t>Direct Marketing Site</t>
  </si>
  <si>
    <t>To capture prospective customers by providing online insurance simulation, online requests for brochures, online applications, etc. for customers in general.</t>
  </si>
  <si>
    <t>Marketing and Leads Team 34964</t>
    <phoneticPr fontId="1"/>
  </si>
  <si>
    <t>Global Marketing and Communications</t>
  </si>
  <si>
    <t>Spring MVC / Spring Boot</t>
  </si>
  <si>
    <t>Azure</t>
  </si>
  <si>
    <t>W07IPC-JPN</t>
  </si>
  <si>
    <t>Internet Prospective Information</t>
  </si>
  <si>
    <t>Java EE</t>
  </si>
  <si>
    <t>W01LOI-JPN</t>
  </si>
  <si>
    <t>Japan Authorization / login</t>
  </si>
  <si>
    <t>This is a system which provides SSO authentication function and control over Portal site menu display for Infostation(Portal site for various Web application)</t>
  </si>
  <si>
    <r>
      <rPr>
        <sz val="10"/>
        <color theme="1"/>
        <rFont val="ＭＳ Ｐゴシック"/>
        <family val="2"/>
        <charset val="128"/>
      </rPr>
      <t>Common Service Platform</t>
    </r>
  </si>
  <si>
    <t>Japan Platform Team 35775</t>
  </si>
  <si>
    <t>Since it will merge with 12607 within 2027, resources are consolidated under 12607.</t>
  </si>
  <si>
    <t>80K</t>
  </si>
  <si>
    <t>Java, Node.js</t>
  </si>
  <si>
    <t>WAS</t>
  </si>
  <si>
    <t>W01MAS-JPN</t>
  </si>
  <si>
    <t>Common Framework(Master4)</t>
  </si>
  <si>
    <t>440K</t>
  </si>
  <si>
    <t>Java</t>
  </si>
  <si>
    <t>JP1</t>
  </si>
  <si>
    <t>Azure, Windows</t>
  </si>
  <si>
    <t>A04MMP-JPN</t>
  </si>
  <si>
    <t>AS400 Mass Marketing System</t>
  </si>
  <si>
    <t>MM (Mass Marketing)** is a system that integrates MetLife Japan's insurance premium calculation, claims management, and payment processing. The AS/400 works in conjunction with the Windows server to process, manage, and transfer insurance premium data.</t>
    <phoneticPr fontId="1"/>
  </si>
  <si>
    <t>Other#AS400</t>
  </si>
  <si>
    <t>Other#RPG</t>
  </si>
  <si>
    <t>334K</t>
  </si>
  <si>
    <t>AS/400, Oracle, HULFT</t>
  </si>
  <si>
    <t>AS/400, Windows Server</t>
  </si>
  <si>
    <t>P02BKE-JPN</t>
  </si>
  <si>
    <t>Sales illustration system (based on EXCEL) for BAN</t>
  </si>
  <si>
    <t>Sales illustration system (based on EXCEL) for BANK</t>
  </si>
  <si>
    <t>Distribution Banca Team 34963</t>
  </si>
  <si>
    <t>Other#VBA</t>
  </si>
  <si>
    <t>~200000</t>
  </si>
  <si>
    <t>Visual Basics</t>
  </si>
  <si>
    <t>Standalone Excel</t>
  </si>
  <si>
    <t>WPSC2S-JPN</t>
  </si>
  <si>
    <t>Call Control System</t>
  </si>
  <si>
    <r>
      <rPr>
        <sz val="10"/>
        <rFont val="ＭＳ Ｐゴシック"/>
        <family val="2"/>
        <charset val="128"/>
      </rPr>
      <t>The outgoing call control system is a system that checks whether a prohibited call number has been registered before making a call.
- Consists of four apps:
- Outgoing Regulation Confirmation System (C2S)
- Outgoing Restricted Telephone Number Inquiry System (C2SREF)
- Outgoing Restricted Phone Number Download System (C2SDWL)
- Outgoing Regulation Batch System (C2SBAT)</t>
    </r>
  </si>
  <si>
    <t>Oracle 19c , SQLServer</t>
  </si>
  <si>
    <t>B13ITS-JPN</t>
  </si>
  <si>
    <t>ITS-PCIS(Mutual Fund System(Including Bestway)</t>
  </si>
  <si>
    <t>BESTWAY/JJ is an integrated package system that supports the sales operations of investment trusts for financial institutions. Developed and provided by Nomura Research Institute (NRI).</t>
    <phoneticPr fontId="1"/>
  </si>
  <si>
    <t>Co-Located / Vendor Supported</t>
  </si>
  <si>
    <t>N/A</t>
    <phoneticPr fontId="1"/>
  </si>
  <si>
    <t>SQL</t>
    <phoneticPr fontId="1"/>
  </si>
  <si>
    <t>JP1, SQL Server</t>
    <phoneticPr fontId="1"/>
  </si>
  <si>
    <t>Windows server, SAAS</t>
    <phoneticPr fontId="1"/>
  </si>
  <si>
    <t>W13WEP-JPN</t>
  </si>
  <si>
    <t>Web Payment</t>
  </si>
  <si>
    <t>Spring MVC,
Servlet/JSP</t>
  </si>
  <si>
    <t>Oracle
IBM db2</t>
  </si>
  <si>
    <t>WebSphere, Tomcat</t>
  </si>
  <si>
    <t>Development: Eclipse, Azure Pipeline, JDK1.8, JDK21
Execution: WebSphere, Tomcat</t>
  </si>
  <si>
    <t>Data Send System for BANC  MF-JP</t>
  </si>
  <si>
    <t>Data Send System for BANC</t>
  </si>
  <si>
    <r>
      <rPr>
        <sz val="10"/>
        <rFont val="ＭＳ Ｐゴシック"/>
        <family val="3"/>
        <charset val="128"/>
      </rPr>
      <t>A subsystem developed in-house. As a business domain, it mainly handles data creation for joint gateways for banks. It is basically built with COBOL, and except for the LIFECOMM integration part, almost no assembler is used.</t>
    </r>
  </si>
  <si>
    <t>Other#Manframe</t>
  </si>
  <si>
    <t>CCMDNT-JPN</t>
  </si>
  <si>
    <t>.NET Common Infrastructure</t>
  </si>
  <si>
    <t>It provides APIs common to subsystem applications running on .NET FrameWork.
Common features include database access, caching, configuration, and logging,
These include encryption and reducation functions, authentication and authentication functions, and character code checking functions, all of which are provided.</t>
    <phoneticPr fontId="1"/>
  </si>
  <si>
    <t>VB.NET; C #</t>
  </si>
  <si>
    <t>.NET framework</t>
  </si>
  <si>
    <t>BCMHRP-JPN</t>
  </si>
  <si>
    <t>Data cooperation</t>
  </si>
  <si>
    <t>Data cooperation, integration between open system and HOST/AS400.
Master data managed by HOST and AS 400 is processed for integration to open type backbone DB. Conversely, data managed by open backbone DB is integrated to HOST.
All batch processes are operated by JP1.
Other name: HRP(Host Relationship Program)</t>
  </si>
  <si>
    <r>
      <rPr>
        <sz val="10"/>
        <color theme="1"/>
        <rFont val="ＭＳ Ｐゴシック"/>
        <family val="2"/>
        <charset val="128"/>
      </rPr>
      <t>Data Infrastructure</t>
    </r>
  </si>
  <si>
    <t>Data Platforms Team 34980</t>
  </si>
  <si>
    <t>Other#none.</t>
  </si>
  <si>
    <t>Other#MS-DOS ,AWK,VBScript,JAVA</t>
  </si>
  <si>
    <t>Running on both on-premises and Azure. The on-premises version will be decommissioned by the end of 2027.</t>
    <phoneticPr fontId="1"/>
  </si>
  <si>
    <t>No</t>
    <phoneticPr fontId="1"/>
  </si>
  <si>
    <t>Oracle 19c RAC</t>
    <phoneticPr fontId="1"/>
  </si>
  <si>
    <t>JP1</t>
    <phoneticPr fontId="1"/>
  </si>
  <si>
    <t>Windows, Linux</t>
    <phoneticPr fontId="1"/>
  </si>
  <si>
    <t>WPSCUS-JPN</t>
  </si>
  <si>
    <t>Customer Support System</t>
  </si>
  <si>
    <t>Marketing and Leads Team 34964</t>
  </si>
  <si>
    <t>JavaScript; Other#APEX</t>
  </si>
  <si>
    <t>APEX / Informatica</t>
  </si>
  <si>
    <t>Oracle, AzODS</t>
  </si>
  <si>
    <t>Informatica, JP1</t>
  </si>
  <si>
    <t>WAANSO-JPN</t>
  </si>
  <si>
    <t>New Submit Online System</t>
  </si>
  <si>
    <t>NSO (Online Screen System) is a web-based enterprise application that supports MetLife Alico's sales and administrative operations. This system provides various functions such as sales activities, business processing, and data management on an online screen, enabling operational efficiency and information integration.</t>
    <phoneticPr fontId="1"/>
  </si>
  <si>
    <t>107K</t>
  </si>
  <si>
    <t>wasp(struts,springframework)</t>
  </si>
  <si>
    <t>WZZHYO-JPN</t>
  </si>
  <si>
    <t>Report Template Management System</t>
  </si>
  <si>
    <t>RMS (Report Management System) is MetLife's form management system. This system centrally registers, manages, searches, and approves various forms used within the company.</t>
    <phoneticPr fontId="1"/>
  </si>
  <si>
    <t>CAF</t>
    <phoneticPr fontId="1"/>
  </si>
  <si>
    <t>Oracle</t>
    <phoneticPr fontId="1"/>
  </si>
  <si>
    <t>IIS, Oracle</t>
    <phoneticPr fontId="1"/>
  </si>
  <si>
    <t>Windows server</t>
    <phoneticPr fontId="1"/>
  </si>
  <si>
    <t>EAADRS-JPN</t>
  </si>
  <si>
    <t>Dr.SUM</t>
  </si>
  <si>
    <r>
      <rPr>
        <sz val="10"/>
        <rFont val="ＭＳ Ｐゴシック"/>
        <family val="2"/>
        <charset val="128"/>
      </rPr>
      <t>It is a packaged product that accumulates performance data such as new contract data, BUDGET data, and ESTIMATION data, as well as solicitation data such as A/A Master, as well as functions for querying and extracting information.</t>
    </r>
  </si>
  <si>
    <t>TBD</t>
  </si>
  <si>
    <t>Dr. Sum, DataSpider</t>
  </si>
  <si>
    <t>WPMWCC-JPN</t>
  </si>
  <si>
    <t>Web Contact Center</t>
  </si>
  <si>
    <r>
      <rPr>
        <sz val="10"/>
        <rFont val="ＭＳ Ｐゴシック"/>
        <family val="2"/>
        <charset val="128"/>
      </rPr>
      <t>Web Services for Recruiters (Collection Preservation &amp; Insurance Claims Related)</t>
    </r>
  </si>
  <si>
    <t>120k</t>
    <phoneticPr fontId="1"/>
  </si>
  <si>
    <t>WAS</t>
    <phoneticPr fontId="1"/>
  </si>
  <si>
    <t>IHS、Hulft、JP1</t>
    <phoneticPr fontId="1"/>
  </si>
  <si>
    <t>WGLRPC-JPN</t>
  </si>
  <si>
    <t>ReportConnection</t>
  </si>
  <si>
    <t>-</t>
    <phoneticPr fontId="1"/>
  </si>
  <si>
    <t>SQLServer2022</t>
    <phoneticPr fontId="1"/>
  </si>
  <si>
    <t>Policy UWIBATCH MF-JPN</t>
  </si>
  <si>
    <t>Policy Underwriting and Issue Batch</t>
  </si>
  <si>
    <r>
      <rPr>
        <sz val="10"/>
        <rFont val="ＭＳ Ｐゴシック"/>
        <family val="3"/>
        <charset val="128"/>
      </rPr>
      <t>A subsystem developed in-house. In the business domain, it mainly handles the creation of insurance policies for new contracts. It is basically built with COBOL, and except for the LIFECOMM integration part, almost no assembler is used.</t>
    </r>
  </si>
  <si>
    <t>Other#ASM; Cobol</t>
  </si>
  <si>
    <t>WAAATF-JPN</t>
  </si>
  <si>
    <t>Agents Target Following system</t>
  </si>
  <si>
    <t>Other#(C/S)</t>
  </si>
  <si>
    <t>Azure kubernetes , JP1</t>
    <phoneticPr fontId="1"/>
  </si>
  <si>
    <t>ZGLEST-JPN</t>
  </si>
  <si>
    <t>eSTATION</t>
  </si>
  <si>
    <t>eSTATION (9986_MAIN) is MetLife's integrated business management system. This system offers the following key features:
- **Employee Profile Management**: Register, update, and delete employee information
- **Asset Management**: Manage and track IT equipment and supplies
- **Form Supply**: Management and supply of various forms and papers
- **Call Management**: Integrated management with phone systems
- **Workflow Management**: Various application and approval workflows
- **Report Generation**: Output various forms and generate PDFs
- **Job Management**: Batch processing and schedule management
- **SELS (Self Entry Lifecycle System)**: Self-service portal
- **Media Management**: Subsystems for various media
- **Print Management**: Manage print services
- **EZ-Travel**: Business trip management system</t>
    <phoneticPr fontId="1"/>
  </si>
  <si>
    <t>JavaScript; VB.NET; C#;HTML</t>
  </si>
  <si>
    <t>.NET Framework</t>
    <phoneticPr fontId="1"/>
  </si>
  <si>
    <t>SQL</t>
  </si>
  <si>
    <t>IIS, JP1, SQL Server</t>
    <phoneticPr fontId="1"/>
  </si>
  <si>
    <t>CMESB-JPN</t>
  </si>
  <si>
    <t>Enterprise Service Bus</t>
  </si>
  <si>
    <t>JAVA; Other#ESQL</t>
  </si>
  <si>
    <t>5.6M</t>
  </si>
  <si>
    <t>IBM ACE</t>
  </si>
  <si>
    <t>Linux</t>
  </si>
  <si>
    <t>WPMAUD-JPN</t>
  </si>
  <si>
    <t>Unknown Address Tracking System</t>
  </si>
  <si>
    <t>Address Unknown Contract Management System</t>
    <rPh sb="0" eb="4">
      <t>ジュウショフメイ</t>
    </rPh>
    <rPh sb="4" eb="6">
      <t>ケイヤク</t>
    </rPh>
    <rPh sb="6" eb="8">
      <t>カンリ</t>
    </rPh>
    <phoneticPr fontId="1"/>
  </si>
  <si>
    <t>Vendor Hosted/MetLife IT Supported</t>
  </si>
  <si>
    <t>Salesforce Apex / Salesforce SOAP Web Services
Java Batch Execution Platform
Apache Axis SOAP client generation code
Oracle SQL / PL-SQL
IBM DataStage ETL
Informatica
JP1 Job Control
HULFT File Integration
Windows Batch Scripts (.bat) and Shell Scripts</t>
  </si>
  <si>
    <t>Oracle19c</t>
  </si>
  <si>
    <t>Informatica, JP1,Hulft</t>
  </si>
  <si>
    <t>Salesforce.com,Java,Shell,MS-DOS</t>
  </si>
  <si>
    <t>WCMPXS-JPN</t>
  </si>
  <si>
    <t>ProductXpress</t>
  </si>
  <si>
    <r>
      <rPr>
        <sz val="10"/>
        <rFont val="ＭＳ Ｐゴシック"/>
        <family val="2"/>
        <charset val="128"/>
      </rPr>
      <t>Using Hewlett Packard's packaged product ProductXpress as a platform, it provides common computing functions to subsystems.
The common calculation function is called only from the ESB via Web Service, and the amounts of premiums and surrender value, calculated based on the business method document, are sent and received in XML format.</t>
    </r>
  </si>
  <si>
    <t>Infrastructure Application</t>
  </si>
  <si>
    <t>Other#Peculiar Language, Implemented in PX designer.</t>
  </si>
  <si>
    <t>Tomacat</t>
    <phoneticPr fontId="1"/>
  </si>
  <si>
    <t>Windows Server 2022 , RHEL7</t>
  </si>
  <si>
    <t>WUIURE-JPN</t>
  </si>
  <si>
    <t>Pre-Underwriting</t>
  </si>
  <si>
    <t>By providing an inquiry function for medical underwriting results,  this application provides followings.</t>
  </si>
  <si>
    <t>LINC MF-JPN</t>
  </si>
  <si>
    <t>LINC</t>
  </si>
  <si>
    <r>
      <rPr>
        <sz val="10"/>
        <rFont val="ＭＳ Ｐゴシック"/>
        <family val="3"/>
        <charset val="128"/>
      </rPr>
      <t>A subsystem developed in-house. As a business domain, it mainly handles LINC integration used at new contracts (a function to check industry-shared contract limits and other functions through collaboration with the Life Insurance Association). It is basically built with COBOL, and except for the LIFECOMM integration part, almost no assembler is used.</t>
    </r>
  </si>
  <si>
    <t>A06TOG-JPN</t>
  </si>
  <si>
    <t>Group Policy Management System</t>
  </si>
  <si>
    <t>TOGAS is the mainframe system for managing MetLife Japan's insurance contracts. The COBOL/RPG program runs on the AS/400, performing registration, modification, and inquiry of contract information, form output, and batch processing.</t>
    <phoneticPr fontId="1"/>
  </si>
  <si>
    <t>Other#RPG; Cobol</t>
  </si>
  <si>
    <t>1.2M</t>
  </si>
  <si>
    <t>DB2</t>
  </si>
  <si>
    <t>AS/400, MQ, HULFT</t>
  </si>
  <si>
    <t>AS/400</t>
  </si>
  <si>
    <t>W06TGR-JPN</t>
  </si>
  <si>
    <t>Group Policy Inquiry System for Intranet</t>
  </si>
  <si>
    <r>
      <rPr>
        <sz val="10"/>
        <rFont val="游ゴシック"/>
        <family val="2"/>
        <charset val="128"/>
      </rPr>
      <t>The Group Insurance Inquiry System is a web application system that provides various inquiry functions related to group insurance. It provides integrated inquiry functions for insurance contracts, insured person information, payment information, commissions, and more, supporting efficient execution of duties by business staff.</t>
    </r>
  </si>
  <si>
    <t>VB.NET; JAVA</t>
  </si>
  <si>
    <t>220K</t>
  </si>
  <si>
    <t>J2EE, Report Café</t>
  </si>
  <si>
    <t>WAS, MQ, HULFT, .NET</t>
  </si>
  <si>
    <t>Windows Server, AzDo</t>
  </si>
  <si>
    <t>WAAICM-JPN</t>
  </si>
  <si>
    <t>ICM</t>
  </si>
  <si>
    <t>Varicent's package system (Incentive Compensation magement). As a business domain, it is responsible for calculating and reporting commissions. Development is carried out using a proprietary non-code (GUI) development tool.</t>
    <phoneticPr fontId="1"/>
  </si>
  <si>
    <t>JAVA; C#; Other#ETL
JAVA(ADJP)
SQL</t>
  </si>
  <si>
    <r>
      <rPr>
        <sz val="11"/>
        <color rgb="FF000000"/>
        <rFont val="Arial"/>
        <family val="2"/>
      </rPr>
      <t>ICM core unknown due to SaaS
ADJP added in MLJ: 92,218</t>
    </r>
  </si>
  <si>
    <t>ADJP：78</t>
  </si>
  <si>
    <r>
      <rPr>
        <sz val="11"/>
        <color rgb="FF000000"/>
        <rFont val="Arial"/>
        <family val="2"/>
      </rPr>
      <t>ICM core unknown due to SaaS
Number of JP1 definitions added in MLJ: 99</t>
    </r>
  </si>
  <si>
    <t>ADJP：9</t>
  </si>
  <si>
    <t>n/a</t>
    <phoneticPr fontId="1"/>
  </si>
  <si>
    <t>ICM core unknown due to SaaS
ICM:LowCode/No Code</t>
  </si>
  <si>
    <t>ICM core unknown due to SaaS
ICM:LowCode/No Code
ADJP：AzSQL</t>
  </si>
  <si>
    <t>ICM: LowCode/No Code (developed with ICM Admin Portal)
ADJP:JAVA (Hosting Kubernets),APIM</t>
  </si>
  <si>
    <t>WAACPS-JPN</t>
  </si>
  <si>
    <t>Commission and Performance System</t>
  </si>
  <si>
    <t>CPS (Commission Processing System) is a commission processing system. This system supports all operations related to the calculation, management, and payment processing of fees associated with sales activities.</t>
    <phoneticPr fontId="1"/>
  </si>
  <si>
    <t>8K</t>
  </si>
  <si>
    <t>Oracle, DB2</t>
  </si>
  <si>
    <t>AKS</t>
  </si>
  <si>
    <t>OMSIKN-JPN</t>
  </si>
  <si>
    <t>Conservation contract transferring system</t>
  </si>
  <si>
    <t>OMSIKN (Alico Management System Inquiry Knowledge Network) is an online inquiry system for insurance policyholders. This system provides a self-service portal where policyholders can check and inquire about their insurance contracts.</t>
    <phoneticPr fontId="1"/>
  </si>
  <si>
    <t>12K</t>
  </si>
  <si>
    <t>WAS, JP1, Oracle, PowerCenter</t>
  </si>
  <si>
    <t>OMSTAT-JPN</t>
  </si>
  <si>
    <t>Conservation contract allowance system</t>
  </si>
  <si>
    <t>JSP/Servlet</t>
  </si>
  <si>
    <t>WAS9</t>
  </si>
  <si>
    <t>ZGLEDQ-JPN</t>
  </si>
  <si>
    <t>FATCA Oracle EDQ</t>
  </si>
  <si>
    <t>To comply with the FATCA Act, we process the necessary items of customer information held in our database at the necessary timing, and integrate them into the FATCA Azure system.</t>
    <phoneticPr fontId="1"/>
  </si>
  <si>
    <t>JAVA; C #</t>
  </si>
  <si>
    <t>.NET　Framework 6</t>
  </si>
  <si>
    <t>Oracle 19c , Azure SQL DB</t>
  </si>
  <si>
    <t>. NET6 , JP1</t>
  </si>
  <si>
    <t>Azure WebApp,Azure Function App</t>
  </si>
  <si>
    <t>WGLWLF-JPN</t>
  </si>
  <si>
    <t>Watch List Filtering system</t>
  </si>
  <si>
    <r>
      <rPr>
        <sz val="10"/>
        <rFont val="ＭＳ Ｐゴシック"/>
        <family val="2"/>
        <charset val="128"/>
      </rPr>
      <t>To prevent transactions with antisocial forces, internal customer data screening is conducted. It uses Actimize's package.</t>
    </r>
  </si>
  <si>
    <t>Global Risk Management</t>
  </si>
  <si>
    <t>Package portion excluded from statistics</t>
  </si>
  <si>
    <t>WZZMNB-JPN</t>
  </si>
  <si>
    <t>My number management system</t>
  </si>
  <si>
    <t>My Number Management System</t>
    <rPh sb="6" eb="8">
      <t>カンリ</t>
    </rPh>
    <phoneticPr fontId="1"/>
  </si>
  <si>
    <t>BAT : 158,862
WEB : 357,364
-------------------
Sum: 516,226</t>
  </si>
  <si>
    <t>Spring</t>
  </si>
  <si>
    <t>WAS, JP1, PowerCenter, HULFT</t>
    <phoneticPr fontId="1"/>
  </si>
  <si>
    <r>
      <rPr>
        <b/>
        <sz val="11"/>
        <color rgb="FF000000"/>
        <rFont val="Arial"/>
        <family val="2"/>
      </rPr>
      <t>Development Environment
- IDE : Eclipse
- Build : Bat Script(make.bat, install.bat)
- Runtime : WAS9
- Langage : Java(JDK1.8)
Execution Environment
- WAS9 (Windows)
- JP1 (Windows)
- Informatica PowerCenter (Linux)</t>
    </r>
  </si>
  <si>
    <t>BCMETL-JPN</t>
  </si>
  <si>
    <t>Informatica Platform</t>
  </si>
  <si>
    <t>Common platform for Informatica for ETL, IDQ &amp; Address Doctor</t>
  </si>
  <si>
    <t>Other#Informatica PowerCenter</t>
  </si>
  <si>
    <t>Other#Used UI for development and stored data as XML</t>
  </si>
  <si>
    <t>Yes</t>
    <phoneticPr fontId="1"/>
  </si>
  <si>
    <t>〜100</t>
    <phoneticPr fontId="1"/>
  </si>
  <si>
    <t>Oracle 19c RAC, SQL Server</t>
    <phoneticPr fontId="1"/>
  </si>
  <si>
    <t>Informatica Power Center</t>
    <phoneticPr fontId="1"/>
  </si>
  <si>
    <t>WPSCFC-JPN</t>
  </si>
  <si>
    <t>c-Force</t>
  </si>
  <si>
    <t>c-Force(SVD) was built on SFDC platform to improve the activity of sales quality and to promote more effective and efficient supervision of solicitors/agents.</t>
  </si>
  <si>
    <t>Other#APEX;HTML; JavaScript</t>
  </si>
  <si>
    <t>BSA, BA, ETL, TestRelated members are in the scope.</t>
  </si>
  <si>
    <t>~100000</t>
  </si>
  <si>
    <t>CGLFJM-JPN</t>
  </si>
  <si>
    <t>Misconduct Management system</t>
  </si>
  <si>
    <r>
      <rPr>
        <sz val="10"/>
        <rFont val="ＭＳ Ｐゴシック"/>
        <family val="2"/>
        <charset val="128"/>
      </rPr>
      <t>Record the investigation process, results, and dispositions of the accident, and store them in a searchable format.</t>
    </r>
  </si>
  <si>
    <t>AccessDB</t>
  </si>
  <si>
    <t>Windows Server 2022</t>
    <phoneticPr fontId="1"/>
  </si>
  <si>
    <t>WGLBSR-JPN</t>
  </si>
  <si>
    <t>BSRec</t>
  </si>
  <si>
    <t>BSRec (Balance Sheet Reconciliation) is a balance sheet adjustment support system used within MetLife Japan. This is a web application that ingests balance data from various systems (PeopleSoft, Essbase, HFM, etc.) and streamlines reconciliation and adjustment work at the account level.</t>
    <phoneticPr fontId="1"/>
  </si>
  <si>
    <t>IIS, SQL Server, SQL Server Reporting Services</t>
    <phoneticPr fontId="1"/>
  </si>
  <si>
    <t>JP-RPASS</t>
  </si>
  <si>
    <t>JAPAN_BluePrism RPA</t>
  </si>
  <si>
    <t>Shared Service for Robotic Automatic to support automated data entry for existing business process that use manual data entry</t>
  </si>
  <si>
    <t>Other#COTS from BluePrism</t>
  </si>
  <si>
    <t>Since RPA development is conducted using Blue Prism, hyphens are added to items that do not apply.</t>
    <phoneticPr fontId="1"/>
  </si>
  <si>
    <t>-</t>
  </si>
  <si>
    <t>Blue Prism</t>
  </si>
  <si>
    <t>Windows Server 2022 (On premise) / Windows 11 (On premise VDI)</t>
  </si>
  <si>
    <t>W03CCP-JPN</t>
  </si>
  <si>
    <t>Customer Communication Preferences</t>
  </si>
  <si>
    <t>Communication preference of notifications for customers(policyholders/beneficiaries) like FX Notification/Annual report etc. The prefernces can be modified by business policy or customer request.</t>
  </si>
  <si>
    <t>Oracle Database</t>
  </si>
  <si>
    <t>Tomcat 10 Series, Informatica PowerCenter, Logback, Application Insights</t>
  </si>
  <si>
    <t>Java 17、Gradle、Docker、Kubernetes/AKS、Azure DevOps</t>
  </si>
  <si>
    <t>JP-Banca Report</t>
  </si>
  <si>
    <t>Japan Banca Report</t>
  </si>
  <si>
    <t>Report Engine creates illustration and application reports in PDF format based on the data sent from the Banca Paperless Front-End(GSSP) and send them back to the GSSP. Also, Report Engine receives requests from ETL which is new contracts interface and creates TIFF files. The report files are stored on the NAS server for reprinting.</t>
  </si>
  <si>
    <t>Infrastructure as a Service (IaaS); Platform as a Service (PaaS)</t>
  </si>
  <si>
    <t>ECM, Azure, WAS</t>
  </si>
  <si>
    <t>On-Prem</t>
    <phoneticPr fontId="1"/>
  </si>
  <si>
    <t>LPS-JPN(EUC081)</t>
  </si>
  <si>
    <t>Life Plan Simulation Japan</t>
  </si>
  <si>
    <t>Based on the life plan entered or selected for each customer, the simulation result output from the calculation engine in the package is displayed and printed.</t>
  </si>
  <si>
    <t>MetLife IT Hosted/Vendor Supported</t>
  </si>
  <si>
    <t>Business Supported</t>
  </si>
  <si>
    <t>PHP</t>
  </si>
  <si>
    <t>COTS (Package product)</t>
  </si>
  <si>
    <t>NA（COTS)</t>
  </si>
  <si>
    <t>Vendor Package (PHP)</t>
  </si>
  <si>
    <t>Apache</t>
  </si>
  <si>
    <t>CIT-JPN(EUC082)</t>
  </si>
  <si>
    <t>Inheritance Tax Simulation</t>
  </si>
  <si>
    <t>Based on the life plan entered or selected for each customer, a simulation is created from the calculated values in the package.</t>
  </si>
  <si>
    <t>Vendor Package (Java)</t>
  </si>
  <si>
    <t>CMIAPI-JPN</t>
  </si>
  <si>
    <t>API Hub</t>
  </si>
  <si>
    <t>API Hub hosts all types of APIs leveraging IBM API Connect</t>
  </si>
  <si>
    <t>RESTful APIs</t>
  </si>
  <si>
    <t>6M</t>
  </si>
  <si>
    <t>Java Spring boot</t>
  </si>
  <si>
    <t>Oracle, CosmosDB</t>
  </si>
  <si>
    <t>K2</t>
  </si>
  <si>
    <t>Japan K2 - Digital Workflows(K2)</t>
    <phoneticPr fontId="1"/>
  </si>
  <si>
    <t>To provide core function for POS operation global digitization and automation by K2 solutions</t>
  </si>
  <si>
    <t>Windows 2022/
Nintex K2</t>
  </si>
  <si>
    <t>NA</t>
  </si>
  <si>
    <t>NA (Windows Tool)</t>
  </si>
  <si>
    <t>12 (consumer)</t>
  </si>
  <si>
    <t>K2 Nintex</t>
  </si>
  <si>
    <t>SQL Server 2022</t>
    <phoneticPr fontId="1"/>
  </si>
  <si>
    <t>Nintex K2 Designer / Administrator</t>
  </si>
  <si>
    <t>Japan K2 - Digital Workflows(K2JavaBatch,K2WebAPI)</t>
    <phoneticPr fontId="1"/>
  </si>
  <si>
    <t>JAVA</t>
    <phoneticPr fontId="1"/>
  </si>
  <si>
    <t>SpringBoot</t>
    <phoneticPr fontId="1"/>
  </si>
  <si>
    <t>SQL Server 2022, Oracle 19c</t>
    <phoneticPr fontId="1"/>
  </si>
  <si>
    <t>Windows Server 2019, AKS</t>
    <phoneticPr fontId="1"/>
  </si>
  <si>
    <t>JP-PCI-RPASS</t>
  </si>
  <si>
    <t>Japan PCI Robotics Process Automation Service</t>
  </si>
  <si>
    <t>Shared Service for Robotic Automatic to support automated data entry for existing PCI related business process that use manual data entry</t>
  </si>
  <si>
    <t>Other#Robotics platform</t>
  </si>
  <si>
    <t>Other#This is coded within blueprism</t>
  </si>
  <si>
    <t>The development itself is a Federation model, with the Biz department handling the RPA EAI. Therefore, indicators related to development scale are not included.</t>
  </si>
  <si>
    <t>RBRARS-JPN</t>
  </si>
  <si>
    <t>RBWF Report Automatic Recognition System</t>
  </si>
  <si>
    <t>New Contract Workflow for Online Shopping</t>
    <rPh sb="0" eb="3">
      <t>ツウハンヨウ</t>
    </rPh>
    <rPh sb="3" eb="6">
      <t>シンケイヤク</t>
    </rPh>
    <phoneticPr fontId="1"/>
  </si>
  <si>
    <t>Oracle 19c</t>
    <phoneticPr fontId="1"/>
  </si>
  <si>
    <t>XDRⅢ</t>
  </si>
  <si>
    <t>CMEAPI-JP</t>
  </si>
  <si>
    <t>Japan Partner API</t>
  </si>
  <si>
    <t>Headless API that is interfaced for our agencies/partners</t>
  </si>
  <si>
    <t>Since we are working with the same team as 12038, resources are consolidated under 12038.</t>
  </si>
  <si>
    <t>JP-WCMAUT</t>
  </si>
  <si>
    <t>JP Authentication Platform</t>
  </si>
  <si>
    <t>Redefined authentication platform leveraging SiteMinder for customers, agents and employees that would enable SingleSignOn and OAuth, API, OIDC and SAML federation with other apps and APIs</t>
  </si>
  <si>
    <t>120K</t>
  </si>
  <si>
    <t>Himawari</t>
  </si>
  <si>
    <t>Himawari (Call Center Platform)</t>
  </si>
  <si>
    <t>Application for call center operator to intake and process the policy administration requests from customers</t>
  </si>
  <si>
    <t>JavaScript;HTML; Other#APEX</t>
  </si>
  <si>
    <t>Using 62.58% of allowed characters for Apex</t>
  </si>
  <si>
    <t>Salesforce-based applications</t>
    <phoneticPr fontId="1"/>
  </si>
  <si>
    <t>Salesforce DB</t>
    <phoneticPr fontId="1"/>
  </si>
  <si>
    <t>Salesforce</t>
    <phoneticPr fontId="1"/>
  </si>
  <si>
    <t>Sales Force/SaaS</t>
    <phoneticPr fontId="1"/>
  </si>
  <si>
    <t>JP-QA Shared Service</t>
  </si>
  <si>
    <t>Japan QA Shared Service- multiple projects</t>
  </si>
  <si>
    <t>Generic App to Track team details and processes linked to Testing NON-PROD lab of things.
To Manage the testing infrastructure - Grid , servers a</t>
  </si>
  <si>
    <t>Platform</t>
  </si>
  <si>
    <t>Other#Selenese, but supports others</t>
  </si>
  <si>
    <t>JP-DB2-CONNECT</t>
  </si>
  <si>
    <t>Japan DB2 Connect Proxy</t>
  </si>
  <si>
    <t>Japan DB2 Connect is used a proxy to DB2</t>
  </si>
  <si>
    <t>Infrastructure Supported</t>
  </si>
  <si>
    <t>Other#Shared database proxy used to connect between DB2 hosted in US data center and the applications hosted in Japan</t>
  </si>
  <si>
    <t>Other#COTS</t>
  </si>
  <si>
    <t>Mainframe/zOS</t>
    <phoneticPr fontId="1"/>
  </si>
  <si>
    <t>DB2 Connect</t>
    <phoneticPr fontId="1"/>
  </si>
  <si>
    <t>JP-Payroll</t>
  </si>
  <si>
    <t>Japan Payroll System</t>
  </si>
  <si>
    <t>Japan Payroll is a payroll management system for MetLife Life provided by Japan Payroll Inc. In addition to managing and updating employees' personal and payroll-related information (various allowances, tax information, etc.), it is equipped with functions to provide electronic payslips (ePayslip).</t>
    <phoneticPr fontId="1"/>
  </si>
  <si>
    <t>Human Resources</t>
  </si>
  <si>
    <t>Other#N/A(SaaS); Web Application Client</t>
  </si>
  <si>
    <t>Other#N/A(SaaS)</t>
  </si>
  <si>
    <t>JP-OLB Batch</t>
  </si>
  <si>
    <t>Japan - Direct Marketing Batch Applications</t>
  </si>
  <si>
    <t>Batch applications to transfer simulation and application information from #9920: Direct Marketing site to #12520: RBWF</t>
  </si>
  <si>
    <t>Other#Batch program</t>
  </si>
  <si>
    <t>ASP B_O-JPN</t>
  </si>
  <si>
    <t>ASP Bridge (OPEN)</t>
  </si>
  <si>
    <t>The VA-Bridge (OPEN) system is a core system for managing Variable Annuity insurance products. This INDEX aims to help new employees efficiently understand the system and carry out their daily tasks.</t>
    <phoneticPr fontId="1"/>
  </si>
  <si>
    <t>JAVA; C#; VB.NET</t>
  </si>
  <si>
    <t>123K</t>
  </si>
  <si>
    <t>J2EE, .NET</t>
  </si>
  <si>
    <t>WAS, Oracle, HULFT</t>
  </si>
  <si>
    <t>WCMCCMJPN</t>
  </si>
  <si>
    <t>Inspire - Forms Management</t>
  </si>
  <si>
    <t>Customer Communication Management system to support correspondance generation and interactive webform generation.</t>
  </si>
  <si>
    <t>Customer Care Team 34969</t>
    <phoneticPr fontId="1"/>
  </si>
  <si>
    <t>JavaScript</t>
  </si>
  <si>
    <t>Inspire Product</t>
  </si>
  <si>
    <t>SQL Server 2022</t>
  </si>
  <si>
    <t>Inspire/ AKS</t>
  </si>
  <si>
    <t>Digital Portal</t>
  </si>
  <si>
    <t>Digital Portals for Policy Administration</t>
  </si>
  <si>
    <t>Unified portal for customer, producers &amp; operation users for end to end servicing need.</t>
  </si>
  <si>
    <t>Web Services; RESTful APIs; Mobile Client (iOS, Android)</t>
  </si>
  <si>
    <t>JAVA; JavaScript</t>
  </si>
  <si>
    <t>JP - Remote Closing</t>
  </si>
  <si>
    <t>JP - Remote Sales Closing</t>
  </si>
  <si>
    <t>Remote Closing application is intended to assist producers to conduct sales process remotely.
At present the main POS application in Japan is eMirai. This application us used by CA/IA/LA agents. eMirai is designed for a F2F type sales activity. With Remote Closing all customer interaction screens are pulled out and exposed on the internet so that the customer can provide inputs using their own device.</t>
  </si>
  <si>
    <t>SRE, BSA, BA, Test related members are in the scope</t>
  </si>
  <si>
    <t>20+</t>
  </si>
  <si>
    <t>10+</t>
  </si>
  <si>
    <t>React, Java</t>
  </si>
  <si>
    <t>Azure SQL</t>
  </si>
  <si>
    <t>Azure kubernetes</t>
    <phoneticPr fontId="1"/>
  </si>
  <si>
    <t>Azure</t>
    <phoneticPr fontId="1"/>
  </si>
  <si>
    <t>PaymentService</t>
  </si>
  <si>
    <t>Payment Common Service - JP</t>
  </si>
  <si>
    <t>40K</t>
  </si>
  <si>
    <t>JP-GSSP</t>
  </si>
  <si>
    <t>Japan Sales Platform (GSSP)</t>
  </si>
  <si>
    <t>Japan Sales Platform - For banks &amp; face to face channels for new business</t>
  </si>
  <si>
    <t>RESTful APIs; Web Application Client</t>
  </si>
  <si>
    <t>100+</t>
  </si>
  <si>
    <t>React, Java, GSSP Internal Framework</t>
  </si>
  <si>
    <t>Azure Cosmos DB</t>
  </si>
  <si>
    <t>Azure kubernetes</t>
  </si>
  <si>
    <t>Business Content Management</t>
  </si>
  <si>
    <r>
      <rPr>
        <sz val="10"/>
        <rFont val="ＭＳ Ｐゴシック"/>
        <family val="2"/>
        <charset val="128"/>
      </rPr>
      <t>This is an information-sharing platform group designed to provide business-related documents and information for agents and internal users. In addition to BBS006, SharePoint and MetLifeNavi are also related, each responsible for providing users with business manuals, application documents, rules and conditions, and various information.</t>
    </r>
  </si>
  <si>
    <t>Other#n/a</t>
  </si>
  <si>
    <t>Software as a Service (SaaS); Platform as a Service (PaaS)</t>
  </si>
  <si>
    <t>Oracle, CosmosDB</t>
    <phoneticPr fontId="1"/>
  </si>
  <si>
    <t>Azure File Storage(blob)</t>
    <phoneticPr fontId="1"/>
  </si>
  <si>
    <t>AKS</t>
    <phoneticPr fontId="1"/>
  </si>
  <si>
    <t>DSP</t>
  </si>
  <si>
    <t>Digital Servicing Platform</t>
  </si>
  <si>
    <t>This EAI manages transactions such as "name change," "address change," "surrender," "policy_loan," and "account_change" that are submitted by customers and agents through Salesforce for call centers and the Digital Portal web system.
At the time of transaction acceptance, the front-end system judges if automatic processing is possible. Transactions requiring operator confirmation or approval are processed using K2, a workflow system. Additionally, based on this transaction data, the back-end system creates transactions for the HOST (LIFECOMM) and data for other downstream systems.</t>
  </si>
  <si>
    <t>Other#Database platform</t>
  </si>
  <si>
    <t>PL/SQL</t>
  </si>
  <si>
    <t>Operation and maintenance of a common database used by about 20 EAIs (approximately 50 tables)</t>
  </si>
  <si>
    <t>n/a</t>
  </si>
  <si>
    <t>JDPREP</t>
  </si>
  <si>
    <t>Japan Data Platform and Reporting-JP</t>
  </si>
  <si>
    <t>Data Platform on Azure for business applications and BI/reporting in MetLife Japan</t>
  </si>
  <si>
    <t>Other#Transact SQL</t>
  </si>
  <si>
    <t>Platform as a Service (PaaS)</t>
    <phoneticPr fontId="1"/>
  </si>
  <si>
    <t>Azure SQL Database, Synapse Data Wareouse, Cosmos DB</t>
    <phoneticPr fontId="1"/>
  </si>
  <si>
    <t>Azure, Windows</t>
    <phoneticPr fontId="1"/>
  </si>
  <si>
    <t>Kintone-JPN</t>
  </si>
  <si>
    <t>kintone and paperlogic electronic contract system</t>
  </si>
  <si>
    <r>
      <rPr>
        <sz val="10"/>
        <rFont val="游ゴシック"/>
        <family val="2"/>
        <charset val="128"/>
      </rPr>
      <t>Centralized management of contract information (kintone), workflows (kintone), and compliance with Electronic Book Law requirements (PaperLogic) are realized.</t>
    </r>
  </si>
  <si>
    <t>Other#Vendor Managed</t>
  </si>
  <si>
    <t>Because it is a SaaS system, no SoureCode is required.</t>
  </si>
  <si>
    <t>POS-IMS</t>
  </si>
  <si>
    <t>POS - Integrated Management System</t>
  </si>
  <si>
    <t>Platform EAI for Online/Batch Systems of POS</t>
  </si>
  <si>
    <t>Thick Client; Web Application Client</t>
  </si>
  <si>
    <t>AppsPortal</t>
  </si>
  <si>
    <t>Enterprise Apps Portal</t>
  </si>
  <si>
    <t>Apps Portals is the enterprise portals for all Japan users of MetLife and Agents becoming a single entry portal for many hosted apps.</t>
  </si>
  <si>
    <t>JavaScript; JAVA</t>
  </si>
  <si>
    <t>7M</t>
  </si>
  <si>
    <t>Scan Manager</t>
  </si>
  <si>
    <t>Digital Scan Manager</t>
  </si>
  <si>
    <t>Scan forms and sort image files by barcode or QR code using PaperStream Capture.</t>
  </si>
  <si>
    <t>Spring Boot</t>
    <phoneticPr fontId="1"/>
  </si>
  <si>
    <t>Windows Server 2019</t>
    <phoneticPr fontId="1"/>
  </si>
  <si>
    <t>ODMoC</t>
  </si>
  <si>
    <t>IBM Operational Decision Manager on Cloud</t>
  </si>
  <si>
    <t>IBM ODM on Cloud is a managed decision automation service that enables businesses to execute business rules and decision logic in a secure, scalable cloud environment. It allows organizations to externalize decision-making from applications, ensuring agility and consistency across processes. With API-driven integration, automatic scaling, and enterprise-grade security, ODM on Cloud simplifies operations by eliminating infrastructure management. Designed for rapid rule deployment and faster time-to-market, it delivers real-time, accurate decisions that enhance compliance, efficiency, and customer experience while reducing operational complexity.</t>
  </si>
  <si>
    <t>Japan Platform Team 35775</t>
    <phoneticPr fontId="1"/>
  </si>
  <si>
    <t>Vendor Hosted/Supported</t>
  </si>
  <si>
    <t>Web Services; RESTful APIs</t>
  </si>
  <si>
    <t>Other#IRL Vendor supported language</t>
  </si>
  <si>
    <t>2M</t>
  </si>
  <si>
    <t>IBM ODM</t>
  </si>
  <si>
    <t>IBM ODM Cloud</t>
  </si>
  <si>
    <t>External Portal</t>
  </si>
  <si>
    <t>External Apps Portal</t>
  </si>
  <si>
    <r>
      <rPr>
        <sz val="10"/>
        <rFont val="ＭＳ Ｐゴシック"/>
        <family val="2"/>
        <charset val="128"/>
      </rPr>
      <t>A subsystem developed in-house. Agencies can directly register and update information about sales staff. Development is done in Java.</t>
    </r>
  </si>
  <si>
    <t>Web Application Client; RESTful APIs</t>
  </si>
  <si>
    <t>AKS / Apps Platform</t>
  </si>
  <si>
    <t>APIM</t>
  </si>
  <si>
    <t>JAVA (Hosting AKS),APIM</t>
  </si>
  <si>
    <t>Distribution Systems - Internal</t>
  </si>
  <si>
    <t>This EAI will represent auxiliary internal and internal applications for distribution and marketing services.
Following is list of services.
1.  Tekigosei - Tool to do suitability check for Variable Life Products
?? EAI?? Intranet??????????????????
???? EAI?????????????????
? ?????????</t>
  </si>
  <si>
    <t>Corporate Batch</t>
  </si>
  <si>
    <t>OpenBatch system for Corporate</t>
  </si>
  <si>
    <t>EAI gathered batch processing when rebuilding the Infostation app into AppsPortal.
It has the following features
Automated email distribution, CRSDB, GIM/DOM, MetLifeSFTP, NVES</t>
    <phoneticPr fontId="1"/>
  </si>
  <si>
    <t>Other#Batch</t>
  </si>
  <si>
    <t>JP1,HULFT,SFTP,Informatica</t>
    <phoneticPr fontId="1"/>
  </si>
  <si>
    <t>Windows Server 2022,Linux(informatica)</t>
    <phoneticPr fontId="1"/>
  </si>
  <si>
    <t>Claim Batch</t>
  </si>
  <si>
    <t>OpenBatch system for Claim</t>
  </si>
  <si>
    <t>Insurance Claims / Batch Processing Group</t>
    <rPh sb="0" eb="3">
      <t>ホケンキン</t>
    </rPh>
    <rPh sb="3" eb="5">
      <t>カンレン</t>
    </rPh>
    <rPh sb="9" eb="12">
      <t>ショリグン</t>
    </rPh>
    <phoneticPr fontId="1"/>
  </si>
  <si>
    <t>Other#Batch Application</t>
  </si>
  <si>
    <t>About 30</t>
  </si>
  <si>
    <t>Spring</t>
    <phoneticPr fontId="1"/>
  </si>
  <si>
    <t>Oracle,SQL Sever, Azure SQL</t>
    <phoneticPr fontId="1"/>
  </si>
  <si>
    <t>JP1, HULFT</t>
    <phoneticPr fontId="1"/>
  </si>
  <si>
    <t>AKS etc</t>
    <phoneticPr fontId="1"/>
  </si>
  <si>
    <t>Customer Care Batch</t>
  </si>
  <si>
    <t>Open Batch System for Customer Care</t>
  </si>
  <si>
    <t>Application/batch processing group for call centers</t>
    <rPh sb="6" eb="7">
      <t>ム</t>
    </rPh>
    <rPh sb="20" eb="23">
      <t>ショリグン</t>
    </rPh>
    <phoneticPr fontId="1"/>
  </si>
  <si>
    <t>Other#Batch Manager</t>
  </si>
  <si>
    <t>Other#ETL (Infomatica)</t>
  </si>
  <si>
    <t>125k</t>
    <phoneticPr fontId="1"/>
  </si>
  <si>
    <t>JP1、Informatica PowerCenter</t>
    <phoneticPr fontId="1"/>
  </si>
  <si>
    <t>Nice FB Management、Informatica PowerCenter、JP1、SFTP、APIM、Hulft</t>
    <phoneticPr fontId="1"/>
  </si>
  <si>
    <t>Windows、Linux、Solaris10</t>
    <phoneticPr fontId="1"/>
  </si>
  <si>
    <t>AURA</t>
  </si>
  <si>
    <t>AURA Underwriting</t>
  </si>
  <si>
    <t>AURA, is a medical underwriting and decision framework provided by RGA Technology Partners, Inc.</t>
  </si>
  <si>
    <t>Other#SaaS</t>
  </si>
  <si>
    <t>Included in the structure of EAI 13197</t>
    <phoneticPr fontId="1"/>
  </si>
  <si>
    <t>Service account management and operational support</t>
  </si>
  <si>
    <t>POS Batch</t>
  </si>
  <si>
    <t>OpenBatch system for Policy Servicing</t>
  </si>
  <si>
    <t>Storage and Preservation Area / Batch Processing Group</t>
    <rPh sb="0" eb="6">
      <t>シュウノウホゼンリョウイキ</t>
    </rPh>
    <rPh sb="10" eb="13">
      <t>ショリグン</t>
    </rPh>
    <phoneticPr fontId="1"/>
  </si>
  <si>
    <t>Old 9867: 5000
Old 9870 : 23550
Old 9876: 1200
Old 9976: 1700
Old 12414: 6500
Old 10002: 1300
Iwin GTA   : 16,509
Iwin GTF   : 17,253
YuYu Batch : 25,216
Email Batch: 4,844</t>
  </si>
  <si>
    <t>Old 9867: 0
Old 9870: N/A
Old 9876: 0
Old 9976:0
Old 12414:0
Old 10002: 0
Iwin GTA   : 0
Iwin GTF   : 0
YuYu Batch : 0
Email Batch: 0</t>
  </si>
  <si>
    <r>
      <rPr>
        <sz val="11"/>
        <color rgb="FF000000"/>
        <rFont val="ＭＳ ゴシック"/>
        <family val="2"/>
        <charset val="128"/>
      </rPr>
      <t>Old 9867:
Old 9870 : 30
Old 9876:
Old 9976:
Old 12414:
Old 10002:
Iwin GTA   : 0
Iwin GTF   : 0
YuYu Batch : 0
Email Batch: 0</t>
    </r>
  </si>
  <si>
    <r>
      <rPr>
        <sz val="11"/>
        <color rgb="FF000000"/>
        <rFont val="ＭＳ ゴシック"/>
        <family val="2"/>
        <charset val="128"/>
      </rPr>
      <t>Old 9867:
Old 9870 : 0
Old 9876:
Old 9976:
Old 12414:
Old 10002:
Iwin GTA   : 0
Iwin GTF   : 0
YuYu Batch : 0
Email Batch: 0</t>
    </r>
  </si>
  <si>
    <r>
      <rPr>
        <sz val="11"/>
        <color rgb="FF000000"/>
        <rFont val="ＭＳ ゴシック"/>
        <family val="2"/>
        <charset val="128"/>
      </rPr>
      <t>Old 9867:
Old 9870 : 0
Old 9876:
Old 9976:
Old 12414:
Old 10002:
Iwin GTA   : 0
Iwin GTF   : 0
YuYu Batch : 1
Email Batch: 0</t>
    </r>
  </si>
  <si>
    <t>Distribution Marketing batches</t>
  </si>
  <si>
    <t>Distribution Marketing related batches</t>
  </si>
  <si>
    <t>The batches from , decommissioned EAI (9850 , 9825)s of Distribution Marketing, has been migrated under this EAI.</t>
  </si>
  <si>
    <t>HIMAWARI backend apps</t>
  </si>
  <si>
    <t>HIMAWARI backend applications</t>
  </si>
  <si>
    <t>Call Center Apps / Backend Batch Processing Group</t>
    <rPh sb="7" eb="8">
      <t>ム</t>
    </rPh>
    <rPh sb="22" eb="24">
      <t>ショリ</t>
    </rPh>
    <rPh sb="24" eb="25">
      <t>グン</t>
    </rPh>
    <phoneticPr fontId="1"/>
  </si>
  <si>
    <t>Other#VB.net</t>
  </si>
  <si>
    <t>165k</t>
    <phoneticPr fontId="1"/>
  </si>
  <si>
    <t>Hulft、JP1</t>
    <phoneticPr fontId="1"/>
  </si>
  <si>
    <t>New Business Batch</t>
  </si>
  <si>
    <t>OpenBatch system for New Business</t>
  </si>
  <si>
    <t>New Contract-Related Batch Processing Group</t>
    <rPh sb="0" eb="3">
      <t>シンケイヤク</t>
    </rPh>
    <rPh sb="3" eb="5">
      <t>カンレン</t>
    </rPh>
    <rPh sb="8" eb="11">
      <t>ショリグン</t>
    </rPh>
    <phoneticPr fontId="1"/>
  </si>
  <si>
    <t>Oracle 19c, Azure SQL</t>
  </si>
  <si>
    <t>WCC</t>
  </si>
  <si>
    <t>Web Credit Card</t>
  </si>
  <si>
    <t>This application will support Web Credit Card payment feature</t>
  </si>
  <si>
    <t>JAVA; HTML5; JavaScript</t>
  </si>
  <si>
    <t>BSA, BA, Test related members are in the scope</t>
  </si>
  <si>
    <t>PDF Auto Loader Batch</t>
  </si>
  <si>
    <t>Open Batch System for PDF Auto Loader</t>
    <phoneticPr fontId="1"/>
  </si>
  <si>
    <t>Batch System for PDF Auto Loader</t>
  </si>
  <si>
    <t>MCPDB(Oracle)</t>
    <phoneticPr fontId="1"/>
  </si>
  <si>
    <t>JDK/Oracle</t>
    <phoneticPr fontId="1"/>
  </si>
  <si>
    <t>IVR Tekigosei</t>
  </si>
  <si>
    <t>Confirming UnitLink product suitability via IVR</t>
  </si>
  <si>
    <t>This application is SaaS solution by Kore.ai which will provide service to make a automated phone call to check Policyholder's understanding and suitability for UnitLink product.</t>
  </si>
  <si>
    <t>Other#N/A</t>
  </si>
  <si>
    <t>W09WSD-JPN BIS</t>
  </si>
  <si>
    <t>Call Center WSD BIS</t>
  </si>
  <si>
    <t>Financial Institutions LoB/Distribution Digital Planning Group</t>
    <phoneticPr fontId="1"/>
  </si>
  <si>
    <t>NBAPPS-JPN</t>
  </si>
  <si>
    <t>New Business Operation Apps</t>
  </si>
  <si>
    <t>New Contract-Related Applications</t>
    <rPh sb="0" eb="3">
      <t>シンケイヤク</t>
    </rPh>
    <rPh sb="3" eb="5">
      <t>カンレン</t>
    </rPh>
    <phoneticPr fontId="1"/>
  </si>
  <si>
    <t>SCS</t>
  </si>
  <si>
    <t>Sales Compensation System</t>
  </si>
  <si>
    <r>
      <rPr>
        <sz val="10"/>
        <rFont val="ＭＳ Ｐゴシック"/>
        <family val="2"/>
        <charset val="128"/>
      </rPr>
      <t>A subsystem developed in-house. A successor development environment for exiting ICM (11004). As a business domain, it handles commission calculation and reporting. Development is carried out using Azure Databricks and Sparc.</t>
    </r>
  </si>
  <si>
    <t>Development</t>
  </si>
  <si>
    <t>Other#Commission Data Platform and associated functions</t>
  </si>
  <si>
    <t>JAVA; Other#SQL</t>
  </si>
  <si>
    <t>Y</t>
    <phoneticPr fontId="1"/>
  </si>
  <si>
    <t>As this system will begin full-scale development in 2027, it cannot be described at this time.</t>
    <rPh sb="4" eb="5">
      <t>ネン</t>
    </rPh>
    <rPh sb="7" eb="10">
      <t>ホンカクテキ</t>
    </rPh>
    <rPh sb="11" eb="13">
      <t>カイハツ</t>
    </rPh>
    <rPh sb="14" eb="15">
      <t>ハジ</t>
    </rPh>
    <rPh sb="24" eb="27">
      <t>ゲンジテン</t>
    </rPh>
    <rPh sb="29" eb="31">
      <t>キサイ</t>
    </rPh>
    <phoneticPr fontId="1"/>
  </si>
  <si>
    <t>Az databricks (In planning)</t>
  </si>
  <si>
    <t>Datalake, Az SQL (In planning)</t>
  </si>
  <si>
    <t>Pega for Claims</t>
  </si>
  <si>
    <t>Pega for Claims - Pega Workflow</t>
  </si>
  <si>
    <t>Pega for Claims - Pega Workflow</t>
    <phoneticPr fontId="1"/>
  </si>
  <si>
    <t>Web Application Client; Web Services</t>
  </si>
  <si>
    <t>１</t>
  </si>
  <si>
    <t>Nocode</t>
    <phoneticPr fontId="1"/>
  </si>
  <si>
    <t>PEGA Platform</t>
  </si>
  <si>
    <t>PostgreSQL(Managed by PEGA Cloud)</t>
  </si>
  <si>
    <t>Pega Platform, REST API</t>
  </si>
  <si>
    <t>Pega Cloud</t>
  </si>
  <si>
    <t>RAPS</t>
  </si>
  <si>
    <t>Retirement Allowance Payment System</t>
  </si>
  <si>
    <t>Open System 'CT Retirement Allowance System' Calculates and pays retirement benefits for CTs (including APM and ASM)</t>
    <phoneticPr fontId="1"/>
  </si>
  <si>
    <t>Other#NA</t>
  </si>
  <si>
    <t>13K</t>
  </si>
  <si>
    <t>.NET</t>
  </si>
  <si>
    <t>Commission System Support Tool</t>
  </si>
  <si>
    <t>Support Tool for Commission System</t>
  </si>
  <si>
    <t>Reference and update EAI:9808 batch results, commission codes, and rates
It has the following features
Rate Expert: Registers and updates commission codes and rates.
Transfer and Return Information Management System (NORIS): References and updates batch processing results for excellent producer evaluations, early erase returns, and transfer decisions.
Non-life Insurance Commission Master Management System: Updates or references the Non-Life Insurance Commission Master.
A/A General-Purpose Correction System: Generic references and updates files linked to agent code (files containing agent code as key entries)</t>
    <phoneticPr fontId="1"/>
  </si>
  <si>
    <t>Other#Client-Server</t>
  </si>
  <si>
    <t>33K</t>
  </si>
  <si>
    <t>MDRS</t>
  </si>
  <si>
    <t>Maturity and Deferral Related System</t>
  </si>
  <si>
    <t>Maturity/Deferred Contract Management System</t>
    <rPh sb="0" eb="2">
      <t>マンキ</t>
    </rPh>
    <rPh sb="3" eb="5">
      <t>クリノベ</t>
    </rPh>
    <rPh sb="5" eb="7">
      <t>ケイヤク</t>
    </rPh>
    <rPh sb="7" eb="9">
      <t>カンリ</t>
    </rPh>
    <phoneticPr fontId="1"/>
  </si>
  <si>
    <t>.Net Framework4.8</t>
    <phoneticPr fontId="1"/>
  </si>
  <si>
    <t>.netframework, Citrix, HULFT</t>
    <phoneticPr fontId="1"/>
  </si>
  <si>
    <t>JP-BANCA</t>
  </si>
  <si>
    <t>Japan Sales Platform-BANCA</t>
  </si>
  <si>
    <t>Paperless insurance design and application system for banks</t>
    <rPh sb="0" eb="2">
      <t>ギンコウ</t>
    </rPh>
    <rPh sb="2" eb="3">
      <t>ム</t>
    </rPh>
    <rPh sb="9" eb="11">
      <t>ホケン</t>
    </rPh>
    <rPh sb="11" eb="13">
      <t>セッケイ</t>
    </rPh>
    <rPh sb="14" eb="16">
      <t>モウシコミ</t>
    </rPh>
    <phoneticPr fontId="1"/>
  </si>
  <si>
    <t>15+</t>
  </si>
  <si>
    <t>10"</t>
  </si>
  <si>
    <t>Commission calculation</t>
  </si>
  <si>
    <t>Commission Calculation Service</t>
  </si>
  <si>
    <r>
      <rPr>
        <sz val="10"/>
        <rFont val="ＭＳ Ｐゴシック"/>
        <family val="2"/>
        <charset val="128"/>
      </rPr>
      <t>A subsystem developed in-house. Register the fee rate to display the primary reward fee on e-mirai and Banca. Develop in Java.</t>
    </r>
  </si>
  <si>
    <t>Commission Systems Team 34958</t>
    <phoneticPr fontId="1"/>
  </si>
  <si>
    <t>New Application</t>
  </si>
  <si>
    <t>AKS / emirai Platform</t>
  </si>
  <si>
    <t>ESB</t>
  </si>
  <si>
    <t>Vcalc-JPN</t>
  </si>
  <si>
    <t>Variable Insurance Guarantee Calculation System</t>
  </si>
  <si>
    <r>
      <rPr>
        <sz val="10"/>
        <rFont val="游ゴシック"/>
        <family val="2"/>
        <charset val="128"/>
      </rPr>
      <t>This is a batch processing system that calculates the minimum guaranteed benefit (V) for variable insurance.</t>
    </r>
  </si>
  <si>
    <t>Other#Batch System</t>
  </si>
  <si>
    <t>Oracle, Azure Batch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</si>
</sst>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164" formatCode="0.0_);[Red]\(0.0\)"/>
    <numFmt numFmtId="165" formatCode="0.0_ "/>
    <numFmt numFmtId="166" formatCode="_(* #,##0_);_(* \(#,##0\);_(* &quot;-&quot;??_);_(@_)"/>
  </numFmts>
  <fonts count="27">
    <font>
      <sz val="11"/>
      <color theme="1"/>
      <name val="Aptos Narrow"/>
      <family val="2"/>
      <scheme val="minor"/>
    </font>
    <font>
      <sz val="11"/>
      <color theme="1"/>
      <name val="Aptos Narrow"/>
      <family val="2"/>
      <scheme val="minor"/>
    </font>
    <font>
      <sz val="9"/>
      <color theme="1"/>
      <name val="Arial"/>
      <family val="2"/>
    </font>
    <font>
      <sz val="11"/>
      <color theme="1"/>
      <name val="Arial"/>
      <family val="2"/>
    </font>
    <font>
      <sz val="11"/>
      <color theme="1"/>
      <name val="ＭＳ Ｐゴシック"/>
      <family val="2"/>
      <charset val="128"/>
    </font>
    <font>
      <sz val="11"/>
      <color theme="1"/>
      <name val="Segoe UI Symbol"/>
      <family val="2"/>
    </font>
    <font>
      <sz val="10"/>
      <color theme="1"/>
      <name val="Arial"/>
      <family val="2"/>
    </font>
    <font>
      <sz val="10"/>
      <color theme="1"/>
      <name val="ＭＳ Ｐゴシック"/>
      <family val="2"/>
      <charset val="128"/>
    </font>
    <font>
      <b/>
      <sz val="11"/>
      <color rgb="FFFF0000"/>
      <name val="Meiryo UI"/>
      <family val="3"/>
      <charset val="128"/>
    </font>
    <font>
      <sz val="11"/>
      <color theme="1"/>
      <name val="Meiryo UI"/>
      <family val="3"/>
      <charset val="128"/>
    </font>
    <font>
      <sz val="10"/>
      <name val="Arial"/>
      <family val="2"/>
    </font>
    <font>
      <sz val="10"/>
      <color theme="1"/>
      <name val="游ゴシック"/>
      <family val="2"/>
    </font>
    <font>
      <b/>
      <sz val="11"/>
      <color rgb="FF000000"/>
      <name val="ＭＳ ゴシック"/>
      <family val="2"/>
      <charset val="128"/>
    </font>
    <font>
      <sz val="10"/>
      <name val="ＭＳ Ｐゴシック"/>
      <family val="3"/>
      <charset val="128"/>
    </font>
    <font>
      <sz val="10"/>
      <name val="ＭＳ Ｐゴシック"/>
      <family val="2"/>
      <charset val="128"/>
    </font>
    <font>
      <sz val="11"/>
      <color rgb="FF000000"/>
      <name val="Arial"/>
      <family val="2"/>
    </font>
    <font>
      <sz val="10"/>
      <name val="Arial"/>
      <family val="2"/>
      <charset val="128"/>
    </font>
    <font>
      <sz val="10"/>
      <color rgb="FF0070C0"/>
      <name val="Arial"/>
      <family val="2"/>
    </font>
    <font>
      <sz val="11"/>
      <color theme="1"/>
      <name val="ＭＳ Ｐゴシック"/>
      <family val="3"/>
      <charset val="128"/>
    </font>
    <font>
      <sz val="11"/>
      <color rgb="FF000000"/>
      <name val="ＭＳ Ｐゴシック"/>
      <family val="3"/>
      <charset val="128"/>
    </font>
    <font>
      <sz val="10"/>
      <name val="游ゴシック"/>
      <family val="2"/>
      <charset val="128"/>
    </font>
    <font>
      <b/>
      <sz val="10"/>
      <color rgb="FFFF0000"/>
      <name val="Arial"/>
      <family val="2"/>
    </font>
    <font>
      <b/>
      <sz val="11"/>
      <color rgb="FF000000"/>
      <name val="Arial"/>
      <family val="2"/>
    </font>
    <font>
      <b/>
      <sz val="10"/>
      <name val="Arial"/>
      <family val="2"/>
    </font>
    <font>
      <sz val="11"/>
      <color rgb="FF000000"/>
      <name val="Aptos Narrow"/>
      <family val="2"/>
    </font>
    <font>
      <sz val="11"/>
      <color rgb="FF000000"/>
      <name val="ＭＳ ゴシック"/>
      <family val="2"/>
      <charset val="128"/>
    </font>
    <font>
      <sz val="9"/>
      <color indexed="81"/>
      <name val="Tahoma"/>
      <charset val="1"/>
    </font>
  </fonts>
  <fills count="10">
    <fill>
      <patternFill patternType="none"/>
    </fill>
    <fill>
      <patternFill patternType="gray125"/>
    </fill>
    <fill>
      <patternFill patternType="solid">
        <fgColor theme="5" tint="0.79998168889431442"/>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rgb="FF8EA9DB"/>
      </bottom>
      <diagonal/>
    </border>
    <border>
      <left/>
      <right style="thin">
        <color indexed="64"/>
      </right>
      <top/>
      <bottom/>
      <diagonal/>
    </border>
  </borders>
  <cellStyleXfs count="2">
    <xf numFmtId="0" fontId="0" fillId="0" borderId="0"/>
    <xf numFmtId="41" fontId="1" fillId="0" borderId="0" applyFont="0" applyFill="0" applyBorder="0" applyAlignment="0" applyProtection="0"/>
  </cellStyleXfs>
  <cellXfs count="79">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6" fillId="3" borderId="7" xfId="0" applyFont="1" applyFill="1" applyBorder="1" applyAlignment="1">
      <alignment horizontal="center" vertical="top" wrapText="1"/>
    </xf>
    <xf numFmtId="0" fontId="6" fillId="3" borderId="7"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2" fontId="6" fillId="5" borderId="7" xfId="0" applyNumberFormat="1" applyFont="1" applyFill="1" applyBorder="1" applyAlignment="1">
      <alignment horizontal="center" vertical="center" wrapText="1"/>
    </xf>
    <xf numFmtId="2" fontId="6" fillId="6" borderId="7" xfId="0" applyNumberFormat="1" applyFont="1" applyFill="1" applyBorder="1" applyAlignment="1">
      <alignment horizontal="center" vertical="center" wrapText="1"/>
    </xf>
    <xf numFmtId="2" fontId="6" fillId="7" borderId="7" xfId="0" applyNumberFormat="1" applyFont="1" applyFill="1" applyBorder="1" applyAlignment="1">
      <alignment horizontal="center" vertical="center" wrapText="1"/>
    </xf>
    <xf numFmtId="0" fontId="6" fillId="5" borderId="7" xfId="0" applyFont="1" applyFill="1" applyBorder="1" applyAlignment="1">
      <alignment horizontal="center" vertical="center" wrapText="1"/>
    </xf>
    <xf numFmtId="0" fontId="3" fillId="0" borderId="0" xfId="0" applyFont="1" applyAlignment="1">
      <alignment vertical="center" wrapText="1"/>
    </xf>
    <xf numFmtId="0" fontId="8" fillId="2" borderId="7" xfId="0" applyFont="1" applyFill="1" applyBorder="1" applyAlignment="1">
      <alignment vertical="center" wrapText="1"/>
    </xf>
    <xf numFmtId="0" fontId="9" fillId="2" borderId="7" xfId="0" applyFont="1" applyFill="1" applyBorder="1" applyAlignment="1">
      <alignment vertical="center" wrapText="1"/>
    </xf>
    <xf numFmtId="0" fontId="9" fillId="0" borderId="8" xfId="0" applyFont="1" applyBorder="1" applyAlignment="1">
      <alignment vertical="center" wrapText="1"/>
    </xf>
    <xf numFmtId="0" fontId="3" fillId="2" borderId="9" xfId="0" applyFont="1" applyFill="1" applyBorder="1" applyAlignment="1">
      <alignment vertical="center" wrapText="1"/>
    </xf>
    <xf numFmtId="0" fontId="6" fillId="2" borderId="7" xfId="0" applyFont="1" applyFill="1" applyBorder="1" applyAlignment="1">
      <alignment vertical="center" wrapText="1"/>
    </xf>
    <xf numFmtId="0" fontId="10" fillId="0" borderId="7" xfId="0" applyFont="1" applyBorder="1"/>
    <xf numFmtId="0" fontId="6" fillId="0" borderId="7" xfId="0" applyFont="1" applyBorder="1"/>
    <xf numFmtId="164" fontId="6" fillId="0" borderId="7" xfId="0" applyNumberFormat="1" applyFont="1" applyBorder="1"/>
    <xf numFmtId="9" fontId="6" fillId="0" borderId="7" xfId="0" applyNumberFormat="1" applyFont="1" applyBorder="1"/>
    <xf numFmtId="165" fontId="6" fillId="0" borderId="7" xfId="0" applyNumberFormat="1" applyFont="1" applyBorder="1"/>
    <xf numFmtId="0" fontId="6" fillId="0" borderId="7" xfId="0" applyFont="1" applyBorder="1" applyAlignment="1">
      <alignment wrapText="1"/>
    </xf>
    <xf numFmtId="0" fontId="3" fillId="0" borderId="7" xfId="0" applyFont="1" applyBorder="1"/>
    <xf numFmtId="0" fontId="3" fillId="0" borderId="8" xfId="0" applyFont="1" applyBorder="1"/>
    <xf numFmtId="0" fontId="3" fillId="0" borderId="1" xfId="0" applyFont="1" applyBorder="1"/>
    <xf numFmtId="0" fontId="12" fillId="0" borderId="10" xfId="0" applyFont="1" applyBorder="1"/>
    <xf numFmtId="0" fontId="14" fillId="0" borderId="7" xfId="0" applyFont="1" applyBorder="1"/>
    <xf numFmtId="3" fontId="15" fillId="0" borderId="7" xfId="0" applyNumberFormat="1" applyFont="1" applyBorder="1"/>
    <xf numFmtId="0" fontId="15" fillId="0" borderId="3" xfId="0" applyFont="1" applyBorder="1"/>
    <xf numFmtId="0" fontId="15" fillId="0" borderId="7" xfId="0" applyFont="1" applyBorder="1"/>
    <xf numFmtId="0" fontId="16" fillId="0" borderId="7" xfId="0" applyFont="1" applyBorder="1"/>
    <xf numFmtId="164" fontId="17" fillId="0" borderId="7" xfId="0" applyNumberFormat="1" applyFont="1" applyBorder="1"/>
    <xf numFmtId="0" fontId="3" fillId="0" borderId="7" xfId="0" applyFont="1" applyBorder="1" applyAlignment="1">
      <alignment wrapText="1"/>
    </xf>
    <xf numFmtId="0" fontId="4" fillId="0" borderId="7" xfId="0" applyFont="1" applyBorder="1"/>
    <xf numFmtId="0" fontId="18" fillId="0" borderId="7" xfId="0" applyFont="1" applyBorder="1"/>
    <xf numFmtId="0" fontId="10" fillId="0" borderId="7" xfId="0" applyFont="1" applyBorder="1" applyAlignment="1">
      <alignment wrapText="1"/>
    </xf>
    <xf numFmtId="0" fontId="15" fillId="0" borderId="8" xfId="0" applyFont="1" applyBorder="1"/>
    <xf numFmtId="0" fontId="15" fillId="0" borderId="1" xfId="0" applyFont="1" applyBorder="1"/>
    <xf numFmtId="0" fontId="19" fillId="0" borderId="7" xfId="0" applyFont="1" applyBorder="1" applyAlignment="1">
      <alignment wrapText="1"/>
    </xf>
    <xf numFmtId="0" fontId="3" fillId="0" borderId="7" xfId="0" quotePrefix="1" applyFont="1" applyBorder="1" applyAlignment="1">
      <alignment wrapText="1"/>
    </xf>
    <xf numFmtId="41" fontId="3" fillId="0" borderId="7" xfId="1" applyFont="1" applyBorder="1" applyAlignment="1"/>
    <xf numFmtId="0" fontId="15" fillId="0" borderId="11" xfId="0" applyFont="1" applyBorder="1"/>
    <xf numFmtId="0" fontId="15" fillId="0" borderId="7" xfId="0" applyFont="1" applyBorder="1" applyAlignment="1">
      <alignment wrapText="1"/>
    </xf>
    <xf numFmtId="166" fontId="3" fillId="0" borderId="7" xfId="0" applyNumberFormat="1" applyFont="1" applyBorder="1"/>
    <xf numFmtId="0" fontId="6" fillId="8" borderId="7" xfId="0" applyFont="1" applyFill="1" applyBorder="1" applyAlignment="1">
      <alignment wrapText="1"/>
    </xf>
    <xf numFmtId="41" fontId="3" fillId="0" borderId="7" xfId="1" applyFont="1" applyBorder="1" applyAlignment="1">
      <alignment horizontal="right"/>
    </xf>
    <xf numFmtId="3" fontId="3" fillId="0" borderId="7" xfId="0" applyNumberFormat="1" applyFont="1" applyBorder="1"/>
    <xf numFmtId="0" fontId="3" fillId="0" borderId="1" xfId="0" applyFont="1" applyBorder="1" applyAlignment="1">
      <alignment wrapText="1"/>
    </xf>
    <xf numFmtId="41" fontId="15" fillId="0" borderId="7" xfId="1" applyFont="1" applyBorder="1" applyAlignment="1"/>
    <xf numFmtId="0" fontId="15" fillId="0" borderId="7" xfId="0" applyFont="1" applyBorder="1" applyAlignment="1">
      <alignment horizontal="center"/>
    </xf>
    <xf numFmtId="41" fontId="3" fillId="0" borderId="7" xfId="1" applyFont="1" applyBorder="1" applyAlignment="1">
      <alignment horizontal="center"/>
    </xf>
    <xf numFmtId="0" fontId="15" fillId="0" borderId="3" xfId="0" applyFont="1" applyBorder="1" applyAlignment="1">
      <alignment wrapText="1"/>
    </xf>
    <xf numFmtId="0" fontId="0" fillId="0" borderId="7" xfId="0" applyBorder="1" applyAlignment="1">
      <alignment vertical="center" wrapText="1"/>
    </xf>
    <xf numFmtId="0" fontId="0" fillId="0" borderId="7" xfId="0" applyBorder="1" applyAlignment="1">
      <alignment vertical="center"/>
    </xf>
    <xf numFmtId="0" fontId="21" fillId="0" borderId="7" xfId="0" applyFont="1" applyBorder="1"/>
    <xf numFmtId="0" fontId="19" fillId="0" borderId="8" xfId="0" applyFont="1" applyBorder="1"/>
    <xf numFmtId="0" fontId="18" fillId="0" borderId="7" xfId="0" applyFont="1" applyBorder="1" applyAlignment="1">
      <alignment horizontal="right"/>
    </xf>
    <xf numFmtId="0" fontId="23" fillId="0" borderId="7" xfId="0" applyFont="1" applyBorder="1"/>
    <xf numFmtId="0" fontId="3" fillId="0" borderId="7" xfId="0" applyFont="1" applyBorder="1" applyAlignment="1">
      <alignment horizontal="center"/>
    </xf>
    <xf numFmtId="0" fontId="6" fillId="9" borderId="7" xfId="0" applyFont="1" applyFill="1" applyBorder="1"/>
    <xf numFmtId="0" fontId="15" fillId="0" borderId="0" xfId="0" applyFont="1"/>
    <xf numFmtId="0" fontId="0" fillId="0" borderId="7" xfId="0" applyBorder="1"/>
    <xf numFmtId="0" fontId="0" fillId="0" borderId="1" xfId="0" applyBorder="1"/>
    <xf numFmtId="0" fontId="15" fillId="0" borderId="0" xfId="0" applyFont="1" applyAlignment="1">
      <alignment vertical="center"/>
    </xf>
    <xf numFmtId="0" fontId="19" fillId="0" borderId="7" xfId="0" applyFont="1" applyBorder="1"/>
    <xf numFmtId="0" fontId="24" fillId="0" borderId="0" xfId="0" applyFont="1" applyAlignment="1">
      <alignment wrapText="1"/>
    </xf>
    <xf numFmtId="0" fontId="4"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5" fillId="0" borderId="1" xfId="0" applyFont="1" applyBorder="1" applyAlignment="1">
      <alignment vertic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amamura, Satoru" id="{C7DDF552-F2C9-4186-8403-02562EDE7D9F}" userId="S::hamamura.satoru@metlife.co.jp::cb42465b-4f6c-4dc5-ad7f-c6821d8e127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T72" dT="2026-09-11T07:58:24.55" personId="{C7DDF552-F2C9-4186-8403-02562EDE7D9F}" id="{ED74713A-5AB4-4936-BC94-A0A859EAC2ED}">
    <text>Package Application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1FB3-8508-42F2-A3D0-6AFDEF3576B3}">
  <sheetPr filterMode="1"/>
  <dimension ref="A2:BS148"/>
  <sheetViews>
    <sheetView tabSelected="1" workbookViewId="0">
      <selection activeCell="AO57" sqref="AO57:AO124"/>
    </sheetView>
  </sheetViews>
  <sheetFormatPr defaultColWidth="8.81640625" defaultRowHeight="14" outlineLevelCol="1"/>
  <cols>
    <col min="1" max="1" width="9.453125" style="1" customWidth="1"/>
    <col min="2" max="2" width="29" style="1" hidden="1" customWidth="1"/>
    <col min="3" max="3" width="33" style="1" customWidth="1"/>
    <col min="4" max="4" width="84.08984375" style="1" customWidth="1"/>
    <col min="5" max="5" width="31.81640625" style="1" customWidth="1"/>
    <col min="6" max="6" width="40.453125" style="1" customWidth="1"/>
    <col min="7" max="7" width="27" style="1" customWidth="1"/>
    <col min="8" max="8" width="30" style="1" customWidth="1"/>
    <col min="9" max="9" width="32" style="1" customWidth="1"/>
    <col min="10" max="10" width="15.453125" style="1" customWidth="1"/>
    <col min="11" max="11" width="20.453125" style="1" customWidth="1"/>
    <col min="12" max="12" width="8.81640625" style="1"/>
    <col min="13" max="13" width="36.36328125" style="1" customWidth="1"/>
    <col min="14" max="15" width="13.36328125" style="1" customWidth="1"/>
    <col min="16" max="16" width="20" style="1" customWidth="1"/>
    <col min="17" max="17" width="13.36328125" style="1" customWidth="1"/>
    <col min="18" max="18" width="31" style="1" customWidth="1"/>
    <col min="19" max="19" width="48.54296875" style="1" customWidth="1"/>
    <col min="20" max="20" width="31.453125" style="1" customWidth="1"/>
    <col min="21" max="21" width="13.36328125" style="1" customWidth="1"/>
    <col min="22" max="24" width="11.36328125" style="1" customWidth="1"/>
    <col min="25" max="25" width="14.36328125" style="1" customWidth="1"/>
    <col min="26" max="26" width="11.36328125" style="1" customWidth="1"/>
    <col min="27" max="27" width="8.81640625" style="2"/>
    <col min="28" max="37" width="8.81640625" style="2" hidden="1" customWidth="1" outlineLevel="1"/>
    <col min="38" max="38" width="8.81640625" style="1" collapsed="1"/>
    <col min="39" max="39" width="8.81640625" style="1"/>
    <col min="40" max="43" width="8.81640625" style="3"/>
    <col min="44" max="44" width="65.08984375" style="3" customWidth="1"/>
    <col min="45" max="45" width="8.81640625" style="3"/>
    <col min="46" max="46" width="12.36328125" style="3" customWidth="1"/>
    <col min="47" max="47" width="12.08984375" style="3" customWidth="1"/>
    <col min="48" max="48" width="13.81640625" style="3" customWidth="1"/>
    <col min="49" max="50" width="10.81640625" style="3" customWidth="1"/>
    <col min="51" max="51" width="8.81640625" style="3"/>
    <col min="52" max="52" width="21.36328125" style="3" customWidth="1"/>
    <col min="53" max="53" width="30.36328125" style="3" customWidth="1"/>
    <col min="54" max="54" width="22.81640625" style="3" customWidth="1"/>
    <col min="55" max="55" width="27.36328125" style="3" customWidth="1"/>
    <col min="56" max="56" width="25.36328125" style="3" bestFit="1" customWidth="1"/>
    <col min="57" max="57" width="32.54296875" style="3" bestFit="1" customWidth="1"/>
    <col min="58" max="61" width="32.54296875" style="3" customWidth="1"/>
    <col min="62" max="16384" width="8.81640625" style="3"/>
  </cols>
  <sheetData>
    <row r="2" spans="1:71" ht="18.75" customHeight="1">
      <c r="BK2" s="4"/>
    </row>
    <row r="3" spans="1:71" ht="20.149999999999999" customHeight="1">
      <c r="AA3" s="2">
        <f>SUM(AA5:AA147)</f>
        <v>1040.8817499999998</v>
      </c>
      <c r="AB3" s="2">
        <f t="shared" ref="AB3:AQ3" si="0">SUM(AB5:AB147)</f>
        <v>19.715968749999998</v>
      </c>
      <c r="AC3" s="2">
        <f t="shared" si="0"/>
        <v>239.81662500000002</v>
      </c>
      <c r="AD3" s="2">
        <f t="shared" si="0"/>
        <v>781.05748958333288</v>
      </c>
      <c r="AE3" s="2">
        <f t="shared" si="0"/>
        <v>0.29166666666666669</v>
      </c>
      <c r="AF3" s="2">
        <f t="shared" si="0"/>
        <v>100.56225000000001</v>
      </c>
      <c r="AG3" s="2">
        <f t="shared" si="0"/>
        <v>696.58032291666632</v>
      </c>
      <c r="AH3" s="2">
        <f t="shared" si="0"/>
        <v>190.72083333333342</v>
      </c>
      <c r="AI3" s="2">
        <f t="shared" si="0"/>
        <v>37.392499999999998</v>
      </c>
      <c r="AJ3" s="2">
        <f t="shared" si="0"/>
        <v>8.9802083333333336</v>
      </c>
      <c r="AK3" s="2">
        <f t="shared" si="0"/>
        <v>6.4331354166666666</v>
      </c>
      <c r="AL3" s="2">
        <f t="shared" si="0"/>
        <v>295.76458333333341</v>
      </c>
      <c r="AM3" s="2">
        <f t="shared" si="0"/>
        <v>253.58625000000001</v>
      </c>
      <c r="AN3" s="2">
        <f t="shared" si="0"/>
        <v>1591.5492500000003</v>
      </c>
      <c r="AO3" s="2">
        <f t="shared" si="0"/>
        <v>97.004078456241345</v>
      </c>
      <c r="AP3" s="2">
        <f t="shared" si="0"/>
        <v>795.48920833333352</v>
      </c>
      <c r="AQ3" s="2">
        <f t="shared" si="0"/>
        <v>795.48920833333352</v>
      </c>
      <c r="BK3" s="5" t="s">
        <v>0</v>
      </c>
      <c r="BL3" s="6"/>
      <c r="BM3" s="6"/>
      <c r="BN3" s="6"/>
      <c r="BO3" s="7"/>
      <c r="BQ3" s="8" t="s">
        <v>1</v>
      </c>
      <c r="BR3" s="9"/>
      <c r="BS3" s="10"/>
    </row>
    <row r="4" spans="1:71" s="19" customFormat="1" ht="23.5" customHeight="1">
      <c r="A4" s="11" t="s">
        <v>2</v>
      </c>
      <c r="B4" s="12" t="s">
        <v>3</v>
      </c>
      <c r="C4" s="12" t="s">
        <v>4</v>
      </c>
      <c r="D4" s="12" t="s">
        <v>5</v>
      </c>
      <c r="E4" s="12" t="s">
        <v>6</v>
      </c>
      <c r="F4" s="12" t="s">
        <v>7</v>
      </c>
      <c r="G4" s="12" t="s">
        <v>8</v>
      </c>
      <c r="H4" s="12" t="s">
        <v>9</v>
      </c>
      <c r="I4" s="12" t="s">
        <v>10</v>
      </c>
      <c r="J4" s="12" t="s">
        <v>11</v>
      </c>
      <c r="K4" s="12" t="s">
        <v>12</v>
      </c>
      <c r="L4" s="12" t="s">
        <v>13</v>
      </c>
      <c r="M4" s="12" t="s">
        <v>14</v>
      </c>
      <c r="N4" s="12" t="s">
        <v>15</v>
      </c>
      <c r="O4" s="12" t="s">
        <v>16</v>
      </c>
      <c r="P4" s="12" t="s">
        <v>17</v>
      </c>
      <c r="Q4" s="12" t="s">
        <v>18</v>
      </c>
      <c r="R4" s="12" t="s">
        <v>19</v>
      </c>
      <c r="S4" s="12" t="s">
        <v>20</v>
      </c>
      <c r="T4" s="12" t="s">
        <v>21</v>
      </c>
      <c r="U4" s="12" t="s">
        <v>22</v>
      </c>
      <c r="V4" s="13" t="s">
        <v>23</v>
      </c>
      <c r="W4" s="13" t="s">
        <v>24</v>
      </c>
      <c r="X4" s="13" t="s">
        <v>25</v>
      </c>
      <c r="Y4" s="14" t="s">
        <v>26</v>
      </c>
      <c r="Z4" s="14" t="s">
        <v>27</v>
      </c>
      <c r="AA4" s="15" t="s">
        <v>28</v>
      </c>
      <c r="AB4" s="16" t="s">
        <v>29</v>
      </c>
      <c r="AC4" s="16" t="s">
        <v>30</v>
      </c>
      <c r="AD4" s="16" t="s">
        <v>31</v>
      </c>
      <c r="AE4" s="16" t="s">
        <v>32</v>
      </c>
      <c r="AF4" s="17" t="s">
        <v>33</v>
      </c>
      <c r="AG4" s="17" t="s">
        <v>34</v>
      </c>
      <c r="AH4" s="17" t="s">
        <v>35</v>
      </c>
      <c r="AI4" s="17" t="s">
        <v>36</v>
      </c>
      <c r="AJ4" s="17" t="s">
        <v>37</v>
      </c>
      <c r="AK4" s="17" t="s">
        <v>38</v>
      </c>
      <c r="AL4" s="18" t="s">
        <v>39</v>
      </c>
      <c r="AM4" s="18" t="s">
        <v>40</v>
      </c>
      <c r="AN4" s="18" t="s">
        <v>41</v>
      </c>
      <c r="AO4" s="18" t="s">
        <v>42</v>
      </c>
      <c r="AP4" s="18" t="s">
        <v>43</v>
      </c>
      <c r="AQ4" s="18" t="s">
        <v>44</v>
      </c>
      <c r="AR4" s="18" t="s">
        <v>45</v>
      </c>
      <c r="AT4" s="20" t="s">
        <v>46</v>
      </c>
      <c r="AU4" s="21" t="s">
        <v>47</v>
      </c>
      <c r="AV4" s="21" t="s">
        <v>48</v>
      </c>
      <c r="AW4" s="21" t="s">
        <v>49</v>
      </c>
      <c r="AX4" s="21" t="s">
        <v>50</v>
      </c>
      <c r="AY4" s="22"/>
      <c r="AZ4" s="21" t="s">
        <v>51</v>
      </c>
      <c r="BA4" s="21" t="s">
        <v>52</v>
      </c>
      <c r="BB4" s="21" t="s">
        <v>53</v>
      </c>
      <c r="BC4" s="21" t="s">
        <v>54</v>
      </c>
      <c r="BD4" s="21" t="s">
        <v>55</v>
      </c>
      <c r="BE4" s="21" t="s">
        <v>56</v>
      </c>
      <c r="BF4" s="21" t="s">
        <v>57</v>
      </c>
      <c r="BG4" s="21" t="s">
        <v>58</v>
      </c>
      <c r="BH4" s="21" t="s">
        <v>59</v>
      </c>
      <c r="BI4" s="21" t="s">
        <v>60</v>
      </c>
      <c r="BK4" s="23" t="s">
        <v>61</v>
      </c>
      <c r="BL4" s="23" t="s">
        <v>62</v>
      </c>
      <c r="BM4" s="23" t="s">
        <v>63</v>
      </c>
      <c r="BN4" s="23" t="s">
        <v>64</v>
      </c>
      <c r="BO4" s="23" t="s">
        <v>65</v>
      </c>
      <c r="BQ4" s="24" t="s">
        <v>66</v>
      </c>
      <c r="BR4" s="24" t="s">
        <v>67</v>
      </c>
      <c r="BS4" s="24" t="s">
        <v>68</v>
      </c>
    </row>
    <row r="5" spans="1:71" ht="18.75" hidden="1" customHeight="1">
      <c r="A5" s="25">
        <v>9629</v>
      </c>
      <c r="B5" s="25" t="s">
        <v>69</v>
      </c>
      <c r="C5" s="25" t="s">
        <v>69</v>
      </c>
      <c r="D5" s="25" t="s">
        <v>70</v>
      </c>
      <c r="E5" s="26" t="s">
        <v>71</v>
      </c>
      <c r="F5" s="26" t="s">
        <v>72</v>
      </c>
      <c r="G5" s="26" t="s">
        <v>73</v>
      </c>
      <c r="H5" s="26" t="s">
        <v>74</v>
      </c>
      <c r="I5" s="26" t="s">
        <v>75</v>
      </c>
      <c r="J5" s="26" t="s">
        <v>76</v>
      </c>
      <c r="K5" s="26" t="s">
        <v>77</v>
      </c>
      <c r="L5" s="26" t="s">
        <v>78</v>
      </c>
      <c r="M5" s="26" t="s">
        <v>79</v>
      </c>
      <c r="N5" s="26" t="s">
        <v>80</v>
      </c>
      <c r="O5" s="26" t="s">
        <v>80</v>
      </c>
      <c r="P5" s="26" t="s">
        <v>81</v>
      </c>
      <c r="Q5" s="26" t="s">
        <v>82</v>
      </c>
      <c r="R5" s="26" t="s">
        <v>83</v>
      </c>
      <c r="S5" s="26" t="s">
        <v>84</v>
      </c>
      <c r="T5" s="26" t="s">
        <v>85</v>
      </c>
      <c r="U5" s="26" t="s">
        <v>80</v>
      </c>
      <c r="V5" s="26" t="s">
        <v>86</v>
      </c>
      <c r="W5" s="26" t="s">
        <v>86</v>
      </c>
      <c r="X5" s="26" t="s">
        <v>86</v>
      </c>
      <c r="Y5" s="26" t="s">
        <v>87</v>
      </c>
      <c r="Z5" s="26" t="s">
        <v>78</v>
      </c>
      <c r="AA5" s="27"/>
      <c r="AB5" s="27"/>
      <c r="AC5" s="27"/>
      <c r="AD5" s="27"/>
      <c r="AE5" s="27"/>
      <c r="AF5" s="27"/>
      <c r="AG5" s="27"/>
      <c r="AH5" s="27"/>
      <c r="AI5" s="27"/>
      <c r="AJ5" s="27"/>
      <c r="AK5" s="27"/>
      <c r="AL5" s="27"/>
      <c r="AM5" s="27"/>
      <c r="AN5" s="27"/>
      <c r="AO5" s="28"/>
      <c r="AP5" s="29" t="s">
        <v>82</v>
      </c>
      <c r="AQ5" s="29" t="s">
        <v>82</v>
      </c>
      <c r="AR5" s="30" t="s">
        <v>88</v>
      </c>
      <c r="AT5" s="31">
        <v>2500</v>
      </c>
      <c r="AU5" s="31" t="s">
        <v>89</v>
      </c>
      <c r="AV5" s="31">
        <v>850</v>
      </c>
      <c r="AW5" s="31" t="s">
        <v>89</v>
      </c>
      <c r="AX5" s="31">
        <v>377</v>
      </c>
      <c r="AY5" s="32"/>
      <c r="AZ5" s="31">
        <v>3</v>
      </c>
      <c r="BA5" s="31">
        <v>1</v>
      </c>
      <c r="BB5" s="31" t="s">
        <v>90</v>
      </c>
      <c r="BC5" s="31" t="s">
        <v>91</v>
      </c>
      <c r="BD5" s="31" t="s">
        <v>92</v>
      </c>
      <c r="BE5" s="33" t="s">
        <v>93</v>
      </c>
      <c r="BF5" s="31" t="s">
        <v>94</v>
      </c>
      <c r="BG5" s="31" t="s">
        <v>94</v>
      </c>
      <c r="BH5" s="31" t="s">
        <v>94</v>
      </c>
      <c r="BI5" s="31" t="s">
        <v>94</v>
      </c>
      <c r="BK5" s="31">
        <v>0</v>
      </c>
      <c r="BL5" s="31">
        <v>0</v>
      </c>
      <c r="BM5" s="31">
        <v>3</v>
      </c>
      <c r="BN5" s="31">
        <v>6</v>
      </c>
      <c r="BO5" s="31">
        <v>8</v>
      </c>
      <c r="BQ5" s="31">
        <v>3</v>
      </c>
      <c r="BR5" s="31">
        <v>72</v>
      </c>
      <c r="BS5" s="31">
        <v>110</v>
      </c>
    </row>
    <row r="6" spans="1:71" ht="18.75" hidden="1" customHeight="1">
      <c r="A6" s="25">
        <v>9796</v>
      </c>
      <c r="B6" s="25" t="s">
        <v>95</v>
      </c>
      <c r="C6" s="25" t="s">
        <v>96</v>
      </c>
      <c r="D6" s="25" t="s">
        <v>97</v>
      </c>
      <c r="E6" s="26" t="s">
        <v>98</v>
      </c>
      <c r="F6" s="26" t="s">
        <v>72</v>
      </c>
      <c r="G6" s="26" t="s">
        <v>99</v>
      </c>
      <c r="H6" s="26" t="s">
        <v>74</v>
      </c>
      <c r="I6" s="26" t="s">
        <v>75</v>
      </c>
      <c r="J6" s="26" t="s">
        <v>76</v>
      </c>
      <c r="K6" s="26" t="s">
        <v>77</v>
      </c>
      <c r="L6" s="26" t="s">
        <v>86</v>
      </c>
      <c r="M6" s="26" t="s">
        <v>100</v>
      </c>
      <c r="N6" s="26" t="s">
        <v>101</v>
      </c>
      <c r="O6" s="26" t="s">
        <v>80</v>
      </c>
      <c r="P6" s="26" t="s">
        <v>102</v>
      </c>
      <c r="Q6" s="26" t="s">
        <v>82</v>
      </c>
      <c r="R6" s="26" t="s">
        <v>103</v>
      </c>
      <c r="S6" s="26" t="s">
        <v>104</v>
      </c>
      <c r="T6" s="26" t="s">
        <v>82</v>
      </c>
      <c r="U6" s="26" t="s">
        <v>101</v>
      </c>
      <c r="V6" s="26" t="s">
        <v>86</v>
      </c>
      <c r="W6" s="26" t="s">
        <v>86</v>
      </c>
      <c r="X6" s="26" t="s">
        <v>86</v>
      </c>
      <c r="Y6" s="26" t="s">
        <v>78</v>
      </c>
      <c r="Z6" s="26" t="s">
        <v>78</v>
      </c>
      <c r="AA6" s="27">
        <v>59.558958333333365</v>
      </c>
      <c r="AB6" s="27">
        <v>0.16666666666666666</v>
      </c>
      <c r="AC6" s="27">
        <v>0</v>
      </c>
      <c r="AD6" s="27">
        <v>59.392291666666694</v>
      </c>
      <c r="AE6" s="27">
        <v>0</v>
      </c>
      <c r="AF6" s="27">
        <v>0.25</v>
      </c>
      <c r="AG6" s="27">
        <v>59.308958333333365</v>
      </c>
      <c r="AH6" s="27">
        <v>0</v>
      </c>
      <c r="AI6" s="27">
        <v>0</v>
      </c>
      <c r="AJ6" s="27">
        <v>0</v>
      </c>
      <c r="AK6" s="27">
        <v>0</v>
      </c>
      <c r="AL6" s="27">
        <v>7.7541666666666673</v>
      </c>
      <c r="AM6" s="27">
        <v>0</v>
      </c>
      <c r="AN6" s="27">
        <v>67.313125000000028</v>
      </c>
      <c r="AO6" s="28">
        <v>0.71176374097424044</v>
      </c>
      <c r="AP6" s="29">
        <v>33.656562500000014</v>
      </c>
      <c r="AQ6" s="29">
        <v>33.656562500000014</v>
      </c>
      <c r="AR6" s="30"/>
      <c r="AT6" s="31">
        <v>2621006</v>
      </c>
      <c r="AU6" s="31">
        <v>91</v>
      </c>
      <c r="AV6" s="31">
        <v>989</v>
      </c>
      <c r="AW6" s="31">
        <v>0</v>
      </c>
      <c r="AX6" s="31">
        <v>287</v>
      </c>
      <c r="AY6" s="32" t="s">
        <v>105</v>
      </c>
      <c r="AZ6" s="31">
        <v>3</v>
      </c>
      <c r="BA6" s="31">
        <v>1</v>
      </c>
      <c r="BB6" s="31" t="s">
        <v>106</v>
      </c>
      <c r="BC6" s="31" t="s">
        <v>107</v>
      </c>
      <c r="BD6" s="31" t="s">
        <v>108</v>
      </c>
      <c r="BE6" s="33" t="s">
        <v>109</v>
      </c>
      <c r="BF6" s="31" t="s">
        <v>94</v>
      </c>
      <c r="BG6" s="31" t="s">
        <v>94</v>
      </c>
      <c r="BH6" s="31" t="s">
        <v>94</v>
      </c>
      <c r="BI6" s="31" t="s">
        <v>94</v>
      </c>
      <c r="BK6" s="31">
        <v>0</v>
      </c>
      <c r="BL6" s="31">
        <v>0</v>
      </c>
      <c r="BM6" s="31">
        <v>118</v>
      </c>
      <c r="BN6" s="31">
        <v>62</v>
      </c>
      <c r="BO6" s="31">
        <v>491</v>
      </c>
      <c r="BQ6" s="31">
        <v>62</v>
      </c>
      <c r="BR6" s="31">
        <v>72</v>
      </c>
      <c r="BS6" s="31">
        <v>602</v>
      </c>
    </row>
    <row r="7" spans="1:71" ht="18.75" hidden="1" customHeight="1">
      <c r="A7" s="25">
        <v>9800</v>
      </c>
      <c r="B7" s="25" t="s">
        <v>110</v>
      </c>
      <c r="C7" s="25" t="s">
        <v>111</v>
      </c>
      <c r="D7" s="25" t="s">
        <v>112</v>
      </c>
      <c r="E7" s="26" t="s">
        <v>98</v>
      </c>
      <c r="F7" s="26" t="s">
        <v>72</v>
      </c>
      <c r="G7" s="26" t="s">
        <v>99</v>
      </c>
      <c r="H7" s="26" t="s">
        <v>74</v>
      </c>
      <c r="I7" s="26" t="s">
        <v>75</v>
      </c>
      <c r="J7" s="26" t="s">
        <v>76</v>
      </c>
      <c r="K7" s="26" t="s">
        <v>77</v>
      </c>
      <c r="L7" s="26" t="s">
        <v>86</v>
      </c>
      <c r="M7" s="26" t="s">
        <v>100</v>
      </c>
      <c r="N7" s="26" t="s">
        <v>101</v>
      </c>
      <c r="O7" s="26" t="s">
        <v>80</v>
      </c>
      <c r="P7" s="26" t="s">
        <v>102</v>
      </c>
      <c r="Q7" s="26" t="s">
        <v>82</v>
      </c>
      <c r="R7" s="26" t="s">
        <v>113</v>
      </c>
      <c r="S7" s="26" t="s">
        <v>104</v>
      </c>
      <c r="T7" s="26" t="s">
        <v>82</v>
      </c>
      <c r="U7" s="26" t="s">
        <v>101</v>
      </c>
      <c r="V7" s="26" t="s">
        <v>86</v>
      </c>
      <c r="W7" s="26" t="s">
        <v>86</v>
      </c>
      <c r="X7" s="26" t="s">
        <v>86</v>
      </c>
      <c r="Y7" s="26" t="s">
        <v>78</v>
      </c>
      <c r="Z7" s="26" t="s">
        <v>78</v>
      </c>
      <c r="AA7" s="27">
        <v>20.892166666666654</v>
      </c>
      <c r="AB7" s="27">
        <v>0.75</v>
      </c>
      <c r="AC7" s="27">
        <v>0</v>
      </c>
      <c r="AD7" s="27">
        <v>20.142166666666654</v>
      </c>
      <c r="AE7" s="27">
        <v>0</v>
      </c>
      <c r="AF7" s="27">
        <v>0</v>
      </c>
      <c r="AG7" s="27">
        <v>20.892166666666654</v>
      </c>
      <c r="AH7" s="27">
        <v>0</v>
      </c>
      <c r="AI7" s="27">
        <v>0</v>
      </c>
      <c r="AJ7" s="27">
        <v>0</v>
      </c>
      <c r="AK7" s="27">
        <v>0</v>
      </c>
      <c r="AL7" s="27">
        <v>1.8537499999999998</v>
      </c>
      <c r="AM7" s="27">
        <v>0</v>
      </c>
      <c r="AN7" s="27">
        <v>22.745916666666652</v>
      </c>
      <c r="AO7" s="28">
        <v>0.94285787558939149</v>
      </c>
      <c r="AP7" s="29">
        <v>11.372958333333326</v>
      </c>
      <c r="AQ7" s="29">
        <v>11.372958333333326</v>
      </c>
      <c r="AR7" s="30"/>
      <c r="AT7" s="31">
        <v>1526471</v>
      </c>
      <c r="AU7" s="31">
        <v>5</v>
      </c>
      <c r="AV7" s="31">
        <v>838</v>
      </c>
      <c r="AW7" s="31">
        <v>0</v>
      </c>
      <c r="AX7" s="31">
        <v>444</v>
      </c>
      <c r="AY7" s="32" t="s">
        <v>105</v>
      </c>
      <c r="AZ7" s="31">
        <v>3</v>
      </c>
      <c r="BA7" s="31">
        <v>1</v>
      </c>
      <c r="BB7" s="31"/>
      <c r="BC7" s="31" t="s">
        <v>114</v>
      </c>
      <c r="BD7" s="31"/>
      <c r="BE7" s="33" t="s">
        <v>109</v>
      </c>
      <c r="BF7" s="31" t="s">
        <v>94</v>
      </c>
      <c r="BG7" s="31" t="s">
        <v>94</v>
      </c>
      <c r="BH7" s="31" t="s">
        <v>94</v>
      </c>
      <c r="BI7" s="31" t="s">
        <v>94</v>
      </c>
      <c r="BK7" s="31">
        <v>0</v>
      </c>
      <c r="BL7" s="31">
        <v>0</v>
      </c>
      <c r="BM7" s="31">
        <v>66</v>
      </c>
      <c r="BN7" s="31">
        <v>14</v>
      </c>
      <c r="BO7" s="31">
        <v>80</v>
      </c>
      <c r="BQ7" s="31">
        <v>48</v>
      </c>
      <c r="BR7" s="31">
        <v>182</v>
      </c>
      <c r="BS7" s="31">
        <v>550</v>
      </c>
    </row>
    <row r="8" spans="1:71" ht="18.75" hidden="1" customHeight="1">
      <c r="A8" s="25">
        <v>9801</v>
      </c>
      <c r="B8" s="25" t="s">
        <v>115</v>
      </c>
      <c r="C8" s="25" t="s">
        <v>116</v>
      </c>
      <c r="D8" s="25" t="s">
        <v>112</v>
      </c>
      <c r="E8" s="26" t="s">
        <v>98</v>
      </c>
      <c r="F8" s="26" t="s">
        <v>72</v>
      </c>
      <c r="G8" s="26" t="s">
        <v>99</v>
      </c>
      <c r="H8" s="26" t="s">
        <v>74</v>
      </c>
      <c r="I8" s="26" t="s">
        <v>75</v>
      </c>
      <c r="J8" s="26" t="s">
        <v>76</v>
      </c>
      <c r="K8" s="26" t="s">
        <v>77</v>
      </c>
      <c r="L8" s="26" t="s">
        <v>86</v>
      </c>
      <c r="M8" s="26" t="s">
        <v>100</v>
      </c>
      <c r="N8" s="26" t="s">
        <v>101</v>
      </c>
      <c r="O8" s="26" t="s">
        <v>80</v>
      </c>
      <c r="P8" s="26" t="s">
        <v>102</v>
      </c>
      <c r="Q8" s="26" t="s">
        <v>82</v>
      </c>
      <c r="R8" s="26" t="s">
        <v>113</v>
      </c>
      <c r="S8" s="26" t="s">
        <v>104</v>
      </c>
      <c r="T8" s="26" t="s">
        <v>82</v>
      </c>
      <c r="U8" s="26" t="s">
        <v>101</v>
      </c>
      <c r="V8" s="26" t="s">
        <v>86</v>
      </c>
      <c r="W8" s="26" t="s">
        <v>86</v>
      </c>
      <c r="X8" s="26" t="s">
        <v>86</v>
      </c>
      <c r="Y8" s="26" t="s">
        <v>78</v>
      </c>
      <c r="Z8" s="26" t="s">
        <v>78</v>
      </c>
      <c r="AA8" s="27"/>
      <c r="AB8" s="27"/>
      <c r="AC8" s="27"/>
      <c r="AD8" s="27"/>
      <c r="AE8" s="27"/>
      <c r="AF8" s="27"/>
      <c r="AG8" s="27"/>
      <c r="AH8" s="27"/>
      <c r="AI8" s="27"/>
      <c r="AJ8" s="27"/>
      <c r="AK8" s="27"/>
      <c r="AL8" s="27"/>
      <c r="AM8" s="27"/>
      <c r="AN8" s="27"/>
      <c r="AO8" s="28"/>
      <c r="AP8" s="29" t="s">
        <v>82</v>
      </c>
      <c r="AQ8" s="29" t="s">
        <v>82</v>
      </c>
      <c r="AR8" s="30" t="s">
        <v>117</v>
      </c>
      <c r="AT8" s="31">
        <v>218706</v>
      </c>
      <c r="AU8" s="31">
        <v>2</v>
      </c>
      <c r="AV8" s="31" t="s">
        <v>118</v>
      </c>
      <c r="AW8" s="31">
        <v>0</v>
      </c>
      <c r="AX8" s="31">
        <v>25</v>
      </c>
      <c r="AY8" s="32" t="s">
        <v>105</v>
      </c>
      <c r="AZ8" s="31">
        <v>3</v>
      </c>
      <c r="BA8" s="31">
        <v>1</v>
      </c>
      <c r="BB8" s="31"/>
      <c r="BC8" s="31" t="s">
        <v>114</v>
      </c>
      <c r="BD8" s="31"/>
      <c r="BE8" s="33" t="s">
        <v>109</v>
      </c>
      <c r="BF8" s="31" t="s">
        <v>94</v>
      </c>
      <c r="BG8" s="31" t="s">
        <v>94</v>
      </c>
      <c r="BH8" s="31" t="s">
        <v>94</v>
      </c>
      <c r="BI8" s="31" t="s">
        <v>94</v>
      </c>
      <c r="BK8" s="31">
        <v>0</v>
      </c>
      <c r="BL8" s="31">
        <v>0</v>
      </c>
      <c r="BM8" s="31">
        <v>4</v>
      </c>
      <c r="BN8" s="31">
        <v>3</v>
      </c>
      <c r="BO8" s="31">
        <v>8</v>
      </c>
      <c r="BQ8" s="31">
        <v>2</v>
      </c>
      <c r="BR8" s="31">
        <v>1</v>
      </c>
      <c r="BS8" s="31">
        <v>15</v>
      </c>
    </row>
    <row r="9" spans="1:71" ht="18.75" hidden="1" customHeight="1">
      <c r="A9" s="25">
        <v>9802</v>
      </c>
      <c r="B9" s="25" t="s">
        <v>119</v>
      </c>
      <c r="C9" s="25" t="s">
        <v>120</v>
      </c>
      <c r="D9" s="25" t="s">
        <v>121</v>
      </c>
      <c r="E9" s="26" t="s">
        <v>98</v>
      </c>
      <c r="F9" s="26" t="s">
        <v>72</v>
      </c>
      <c r="G9" s="26" t="s">
        <v>99</v>
      </c>
      <c r="H9" s="26" t="s">
        <v>74</v>
      </c>
      <c r="I9" s="26" t="s">
        <v>75</v>
      </c>
      <c r="J9" s="26" t="s">
        <v>76</v>
      </c>
      <c r="K9" s="26" t="s">
        <v>77</v>
      </c>
      <c r="L9" s="26" t="s">
        <v>86</v>
      </c>
      <c r="M9" s="26" t="s">
        <v>100</v>
      </c>
      <c r="N9" s="26" t="s">
        <v>101</v>
      </c>
      <c r="O9" s="26" t="s">
        <v>80</v>
      </c>
      <c r="P9" s="26" t="s">
        <v>102</v>
      </c>
      <c r="Q9" s="26" t="s">
        <v>82</v>
      </c>
      <c r="R9" s="26" t="s">
        <v>113</v>
      </c>
      <c r="S9" s="26" t="s">
        <v>104</v>
      </c>
      <c r="T9" s="26" t="s">
        <v>82</v>
      </c>
      <c r="U9" s="26" t="s">
        <v>101</v>
      </c>
      <c r="V9" s="26" t="s">
        <v>86</v>
      </c>
      <c r="W9" s="26" t="s">
        <v>86</v>
      </c>
      <c r="X9" s="26" t="s">
        <v>86</v>
      </c>
      <c r="Y9" s="26" t="s">
        <v>78</v>
      </c>
      <c r="Z9" s="26" t="s">
        <v>78</v>
      </c>
      <c r="AA9" s="27">
        <v>15.953625000000002</v>
      </c>
      <c r="AB9" s="27">
        <v>0</v>
      </c>
      <c r="AC9" s="27">
        <v>0</v>
      </c>
      <c r="AD9" s="27">
        <v>15.953625000000002</v>
      </c>
      <c r="AE9" s="27">
        <v>0</v>
      </c>
      <c r="AF9" s="27">
        <v>0</v>
      </c>
      <c r="AG9" s="27">
        <v>15.953625000000002</v>
      </c>
      <c r="AH9" s="27">
        <v>0</v>
      </c>
      <c r="AI9" s="27">
        <v>0</v>
      </c>
      <c r="AJ9" s="27">
        <v>0</v>
      </c>
      <c r="AK9" s="27">
        <v>0</v>
      </c>
      <c r="AL9" s="27">
        <v>1.6541666666666663</v>
      </c>
      <c r="AM9" s="27">
        <v>0</v>
      </c>
      <c r="AN9" s="27">
        <v>17.607791666666667</v>
      </c>
      <c r="AO9" s="28">
        <v>0.98287216596819116</v>
      </c>
      <c r="AP9" s="29">
        <v>8.8038958333333337</v>
      </c>
      <c r="AQ9" s="29">
        <v>8.8038958333333337</v>
      </c>
      <c r="AR9" s="30"/>
      <c r="AT9" s="31">
        <v>726045</v>
      </c>
      <c r="AU9" s="31">
        <v>0</v>
      </c>
      <c r="AV9" s="31">
        <v>187</v>
      </c>
      <c r="AW9" s="31">
        <v>0</v>
      </c>
      <c r="AX9" s="31">
        <v>226</v>
      </c>
      <c r="AY9" s="32" t="s">
        <v>105</v>
      </c>
      <c r="AZ9" s="31">
        <v>3</v>
      </c>
      <c r="BA9" s="31">
        <v>1</v>
      </c>
      <c r="BB9" s="31"/>
      <c r="BC9" s="31" t="s">
        <v>107</v>
      </c>
      <c r="BD9" s="31"/>
      <c r="BE9" s="33" t="s">
        <v>109</v>
      </c>
      <c r="BF9" s="31" t="s">
        <v>94</v>
      </c>
      <c r="BG9" s="31" t="s">
        <v>94</v>
      </c>
      <c r="BH9" s="31" t="s">
        <v>94</v>
      </c>
      <c r="BI9" s="31" t="s">
        <v>94</v>
      </c>
      <c r="BK9" s="31">
        <v>0</v>
      </c>
      <c r="BL9" s="31">
        <v>0</v>
      </c>
      <c r="BM9" s="31">
        <v>32</v>
      </c>
      <c r="BN9" s="31">
        <v>7</v>
      </c>
      <c r="BO9" s="31">
        <v>30</v>
      </c>
      <c r="BQ9" s="31">
        <v>17</v>
      </c>
      <c r="BR9" s="31">
        <v>18</v>
      </c>
      <c r="BS9" s="31">
        <v>183</v>
      </c>
    </row>
    <row r="10" spans="1:71" ht="18.75" hidden="1" customHeight="1">
      <c r="A10" s="25">
        <v>9803</v>
      </c>
      <c r="B10" s="25" t="s">
        <v>122</v>
      </c>
      <c r="C10" s="25" t="s">
        <v>123</v>
      </c>
      <c r="D10" s="25" t="s">
        <v>124</v>
      </c>
      <c r="E10" s="26" t="s">
        <v>98</v>
      </c>
      <c r="F10" s="26" t="s">
        <v>72</v>
      </c>
      <c r="G10" s="26" t="s">
        <v>99</v>
      </c>
      <c r="H10" s="26" t="s">
        <v>74</v>
      </c>
      <c r="I10" s="26" t="s">
        <v>75</v>
      </c>
      <c r="J10" s="26" t="s">
        <v>76</v>
      </c>
      <c r="K10" s="26" t="s">
        <v>77</v>
      </c>
      <c r="L10" s="26" t="s">
        <v>86</v>
      </c>
      <c r="M10" s="26" t="s">
        <v>100</v>
      </c>
      <c r="N10" s="26" t="s">
        <v>101</v>
      </c>
      <c r="O10" s="26" t="s">
        <v>80</v>
      </c>
      <c r="P10" s="26" t="s">
        <v>102</v>
      </c>
      <c r="Q10" s="26" t="s">
        <v>82</v>
      </c>
      <c r="R10" s="26" t="s">
        <v>103</v>
      </c>
      <c r="S10" s="26" t="s">
        <v>104</v>
      </c>
      <c r="T10" s="26" t="s">
        <v>82</v>
      </c>
      <c r="U10" s="26" t="s">
        <v>101</v>
      </c>
      <c r="V10" s="26" t="s">
        <v>86</v>
      </c>
      <c r="W10" s="26" t="s">
        <v>86</v>
      </c>
      <c r="X10" s="26" t="s">
        <v>86</v>
      </c>
      <c r="Y10" s="26" t="s">
        <v>78</v>
      </c>
      <c r="Z10" s="26" t="s">
        <v>78</v>
      </c>
      <c r="AA10" s="27">
        <v>8.8045833333333299</v>
      </c>
      <c r="AB10" s="27">
        <v>0</v>
      </c>
      <c r="AC10" s="27">
        <v>0</v>
      </c>
      <c r="AD10" s="27">
        <v>8.8045833333333299</v>
      </c>
      <c r="AE10" s="27">
        <v>0</v>
      </c>
      <c r="AF10" s="27">
        <v>0.25</v>
      </c>
      <c r="AG10" s="27">
        <v>8.5545833333333299</v>
      </c>
      <c r="AH10" s="27">
        <v>0</v>
      </c>
      <c r="AI10" s="27">
        <v>0</v>
      </c>
      <c r="AJ10" s="27">
        <v>0</v>
      </c>
      <c r="AK10" s="27">
        <v>0</v>
      </c>
      <c r="AL10" s="27">
        <v>0.85</v>
      </c>
      <c r="AM10" s="27">
        <v>0</v>
      </c>
      <c r="AN10" s="27">
        <v>9.6545833333333295</v>
      </c>
      <c r="AO10" s="28">
        <v>0.94821112597643609</v>
      </c>
      <c r="AP10" s="29">
        <v>4.8272916666666648</v>
      </c>
      <c r="AQ10" s="29">
        <v>4.8272916666666648</v>
      </c>
      <c r="AR10" s="30"/>
      <c r="AT10" s="31">
        <v>794523</v>
      </c>
      <c r="AU10" s="31">
        <v>16</v>
      </c>
      <c r="AV10" s="31">
        <v>35</v>
      </c>
      <c r="AW10" s="31">
        <v>0</v>
      </c>
      <c r="AX10" s="31">
        <v>13</v>
      </c>
      <c r="AY10" s="32" t="s">
        <v>105</v>
      </c>
      <c r="AZ10" s="31">
        <v>3</v>
      </c>
      <c r="BA10" s="31">
        <v>1</v>
      </c>
      <c r="BB10" s="31"/>
      <c r="BC10" s="31" t="s">
        <v>107</v>
      </c>
      <c r="BD10" s="31"/>
      <c r="BE10" s="33" t="s">
        <v>109</v>
      </c>
      <c r="BF10" s="31" t="s">
        <v>94</v>
      </c>
      <c r="BG10" s="31" t="s">
        <v>94</v>
      </c>
      <c r="BH10" s="31" t="s">
        <v>94</v>
      </c>
      <c r="BI10" s="31" t="s">
        <v>94</v>
      </c>
      <c r="BK10" s="31">
        <v>0</v>
      </c>
      <c r="BL10" s="31">
        <v>0</v>
      </c>
      <c r="BM10" s="31">
        <v>6</v>
      </c>
      <c r="BN10" s="31">
        <v>19</v>
      </c>
      <c r="BO10" s="31">
        <v>284</v>
      </c>
      <c r="BQ10" s="31">
        <v>3</v>
      </c>
      <c r="BR10" s="31">
        <v>75</v>
      </c>
      <c r="BS10" s="31">
        <v>128</v>
      </c>
    </row>
    <row r="11" spans="1:71" ht="18.75" hidden="1" customHeight="1">
      <c r="A11" s="25">
        <v>9804</v>
      </c>
      <c r="B11" s="25" t="s">
        <v>125</v>
      </c>
      <c r="C11" s="25" t="s">
        <v>126</v>
      </c>
      <c r="D11" s="25" t="s">
        <v>127</v>
      </c>
      <c r="E11" s="26" t="s">
        <v>98</v>
      </c>
      <c r="F11" s="26" t="s">
        <v>72</v>
      </c>
      <c r="G11" s="26" t="s">
        <v>99</v>
      </c>
      <c r="H11" s="26" t="s">
        <v>74</v>
      </c>
      <c r="I11" s="26" t="s">
        <v>75</v>
      </c>
      <c r="J11" s="26" t="s">
        <v>76</v>
      </c>
      <c r="K11" s="26" t="s">
        <v>77</v>
      </c>
      <c r="L11" s="26" t="s">
        <v>86</v>
      </c>
      <c r="M11" s="26" t="s">
        <v>79</v>
      </c>
      <c r="N11" s="26" t="s">
        <v>101</v>
      </c>
      <c r="O11" s="26" t="s">
        <v>80</v>
      </c>
      <c r="P11" s="26" t="s">
        <v>102</v>
      </c>
      <c r="Q11" s="26" t="s">
        <v>82</v>
      </c>
      <c r="R11" s="26" t="s">
        <v>113</v>
      </c>
      <c r="S11" s="26" t="s">
        <v>104</v>
      </c>
      <c r="T11" s="26" t="s">
        <v>82</v>
      </c>
      <c r="U11" s="26" t="s">
        <v>101</v>
      </c>
      <c r="V11" s="26" t="s">
        <v>86</v>
      </c>
      <c r="W11" s="26" t="s">
        <v>86</v>
      </c>
      <c r="X11" s="26" t="s">
        <v>86</v>
      </c>
      <c r="Y11" s="26" t="s">
        <v>78</v>
      </c>
      <c r="Z11" s="26" t="s">
        <v>78</v>
      </c>
      <c r="AA11" s="27">
        <v>10.784166666666668</v>
      </c>
      <c r="AB11" s="27">
        <v>1.8729166666666666</v>
      </c>
      <c r="AC11" s="27">
        <v>0</v>
      </c>
      <c r="AD11" s="27">
        <v>8.9112499999999972</v>
      </c>
      <c r="AE11" s="27">
        <v>0</v>
      </c>
      <c r="AF11" s="27">
        <v>0</v>
      </c>
      <c r="AG11" s="27">
        <v>10.784166666666668</v>
      </c>
      <c r="AH11" s="27">
        <v>0</v>
      </c>
      <c r="AI11" s="27">
        <v>0</v>
      </c>
      <c r="AJ11" s="27">
        <v>0</v>
      </c>
      <c r="AK11" s="27">
        <v>0</v>
      </c>
      <c r="AL11" s="27">
        <v>0.74583333333333335</v>
      </c>
      <c r="AM11" s="27">
        <v>0</v>
      </c>
      <c r="AN11" s="27">
        <v>11.530000000000001</v>
      </c>
      <c r="AO11" s="28">
        <v>0.83304423243712056</v>
      </c>
      <c r="AP11" s="29">
        <v>5.7650000000000006</v>
      </c>
      <c r="AQ11" s="29">
        <v>5.7650000000000006</v>
      </c>
      <c r="AR11" s="30"/>
      <c r="AT11" s="31">
        <v>760605</v>
      </c>
      <c r="AU11" s="31">
        <v>0</v>
      </c>
      <c r="AV11" s="31">
        <v>356</v>
      </c>
      <c r="AW11" s="31">
        <v>0</v>
      </c>
      <c r="AX11" s="31">
        <v>386</v>
      </c>
      <c r="AY11" s="32" t="s">
        <v>105</v>
      </c>
      <c r="AZ11" s="31">
        <v>3</v>
      </c>
      <c r="BA11" s="31">
        <v>1</v>
      </c>
      <c r="BB11" s="31"/>
      <c r="BC11" s="31" t="s">
        <v>107</v>
      </c>
      <c r="BD11" s="31"/>
      <c r="BE11" s="33" t="s">
        <v>109</v>
      </c>
      <c r="BF11" s="31" t="s">
        <v>94</v>
      </c>
      <c r="BG11" s="31" t="s">
        <v>94</v>
      </c>
      <c r="BH11" s="31" t="s">
        <v>94</v>
      </c>
      <c r="BI11" s="31" t="s">
        <v>94</v>
      </c>
      <c r="BK11" s="31">
        <v>0</v>
      </c>
      <c r="BL11" s="31">
        <v>0</v>
      </c>
      <c r="BM11" s="31">
        <v>20</v>
      </c>
      <c r="BN11" s="31">
        <v>8</v>
      </c>
      <c r="BO11" s="31">
        <v>37</v>
      </c>
      <c r="BQ11" s="31">
        <v>18</v>
      </c>
      <c r="BR11" s="31">
        <v>37</v>
      </c>
      <c r="BS11" s="31">
        <v>258</v>
      </c>
    </row>
    <row r="12" spans="1:71" ht="18.75" hidden="1" customHeight="1">
      <c r="A12" s="25">
        <v>9805</v>
      </c>
      <c r="B12" s="25" t="s">
        <v>128</v>
      </c>
      <c r="C12" s="25" t="s">
        <v>129</v>
      </c>
      <c r="D12" s="25" t="s">
        <v>130</v>
      </c>
      <c r="E12" s="26" t="s">
        <v>98</v>
      </c>
      <c r="F12" s="26" t="s">
        <v>72</v>
      </c>
      <c r="G12" s="26" t="s">
        <v>99</v>
      </c>
      <c r="H12" s="26" t="s">
        <v>74</v>
      </c>
      <c r="I12" s="26" t="s">
        <v>75</v>
      </c>
      <c r="J12" s="26" t="s">
        <v>76</v>
      </c>
      <c r="K12" s="26" t="s">
        <v>77</v>
      </c>
      <c r="L12" s="26" t="s">
        <v>86</v>
      </c>
      <c r="M12" s="26" t="s">
        <v>100</v>
      </c>
      <c r="N12" s="26" t="s">
        <v>101</v>
      </c>
      <c r="O12" s="26" t="s">
        <v>80</v>
      </c>
      <c r="P12" s="26" t="s">
        <v>102</v>
      </c>
      <c r="Q12" s="26" t="s">
        <v>82</v>
      </c>
      <c r="R12" s="26" t="s">
        <v>113</v>
      </c>
      <c r="S12" s="26" t="s">
        <v>104</v>
      </c>
      <c r="T12" s="26" t="s">
        <v>82</v>
      </c>
      <c r="U12" s="26" t="s">
        <v>101</v>
      </c>
      <c r="V12" s="26" t="s">
        <v>86</v>
      </c>
      <c r="W12" s="26" t="s">
        <v>86</v>
      </c>
      <c r="X12" s="26" t="s">
        <v>86</v>
      </c>
      <c r="Y12" s="26" t="s">
        <v>78</v>
      </c>
      <c r="Z12" s="26" t="s">
        <v>78</v>
      </c>
      <c r="AA12" s="27">
        <v>2.8966666666666661</v>
      </c>
      <c r="AB12" s="27">
        <v>0</v>
      </c>
      <c r="AC12" s="27">
        <v>0</v>
      </c>
      <c r="AD12" s="27">
        <v>2.8966666666666661</v>
      </c>
      <c r="AE12" s="27">
        <v>0</v>
      </c>
      <c r="AF12" s="27">
        <v>0.25</v>
      </c>
      <c r="AG12" s="27">
        <v>2.6466666666666665</v>
      </c>
      <c r="AH12" s="27">
        <v>0</v>
      </c>
      <c r="AI12" s="27">
        <v>0</v>
      </c>
      <c r="AJ12" s="27">
        <v>0</v>
      </c>
      <c r="AK12" s="27">
        <v>0</v>
      </c>
      <c r="AL12" s="27">
        <v>2.4999999999999998E-2</v>
      </c>
      <c r="AM12" s="27">
        <v>0</v>
      </c>
      <c r="AN12" s="27">
        <v>2.921666666666666</v>
      </c>
      <c r="AO12" s="28">
        <v>0.90587564175698809</v>
      </c>
      <c r="AP12" s="29">
        <v>1.460833333333333</v>
      </c>
      <c r="AQ12" s="29">
        <v>1.460833333333333</v>
      </c>
      <c r="AR12" s="30"/>
      <c r="AT12" s="31">
        <v>315432</v>
      </c>
      <c r="AU12" s="31">
        <v>0</v>
      </c>
      <c r="AV12" s="31">
        <v>190</v>
      </c>
      <c r="AW12" s="31">
        <v>0</v>
      </c>
      <c r="AX12" s="31">
        <v>280</v>
      </c>
      <c r="AY12" s="32" t="s">
        <v>105</v>
      </c>
      <c r="AZ12" s="31">
        <v>3</v>
      </c>
      <c r="BA12" s="31">
        <v>1</v>
      </c>
      <c r="BB12" s="31"/>
      <c r="BC12" s="31" t="s">
        <v>107</v>
      </c>
      <c r="BD12" s="31"/>
      <c r="BE12" s="33" t="s">
        <v>109</v>
      </c>
      <c r="BF12" s="31" t="s">
        <v>94</v>
      </c>
      <c r="BG12" s="31" t="s">
        <v>94</v>
      </c>
      <c r="BH12" s="31" t="s">
        <v>94</v>
      </c>
      <c r="BI12" s="31" t="s">
        <v>94</v>
      </c>
      <c r="BK12" s="31">
        <v>0</v>
      </c>
      <c r="BL12" s="31">
        <v>0</v>
      </c>
      <c r="BM12" s="31">
        <v>41</v>
      </c>
      <c r="BN12" s="31">
        <v>1</v>
      </c>
      <c r="BO12" s="31">
        <v>13</v>
      </c>
      <c r="BQ12" s="31">
        <v>20</v>
      </c>
      <c r="BR12" s="31">
        <v>15</v>
      </c>
      <c r="BS12" s="31">
        <v>89</v>
      </c>
    </row>
    <row r="13" spans="1:71" ht="18.75" hidden="1" customHeight="1">
      <c r="A13" s="25">
        <v>9806</v>
      </c>
      <c r="B13" s="25" t="s">
        <v>131</v>
      </c>
      <c r="C13" s="25" t="s">
        <v>132</v>
      </c>
      <c r="D13" s="25" t="s">
        <v>133</v>
      </c>
      <c r="E13" s="26" t="s">
        <v>98</v>
      </c>
      <c r="F13" s="26" t="s">
        <v>72</v>
      </c>
      <c r="G13" s="26" t="s">
        <v>99</v>
      </c>
      <c r="H13" s="26" t="s">
        <v>74</v>
      </c>
      <c r="I13" s="26" t="s">
        <v>75</v>
      </c>
      <c r="J13" s="26" t="s">
        <v>76</v>
      </c>
      <c r="K13" s="26" t="s">
        <v>77</v>
      </c>
      <c r="L13" s="26" t="s">
        <v>86</v>
      </c>
      <c r="M13" s="26" t="s">
        <v>134</v>
      </c>
      <c r="N13" s="26" t="s">
        <v>101</v>
      </c>
      <c r="O13" s="26" t="s">
        <v>80</v>
      </c>
      <c r="P13" s="26" t="s">
        <v>102</v>
      </c>
      <c r="Q13" s="26" t="s">
        <v>82</v>
      </c>
      <c r="R13" s="26" t="s">
        <v>113</v>
      </c>
      <c r="S13" s="26" t="s">
        <v>104</v>
      </c>
      <c r="T13" s="26" t="s">
        <v>82</v>
      </c>
      <c r="U13" s="26" t="s">
        <v>101</v>
      </c>
      <c r="V13" s="26" t="s">
        <v>86</v>
      </c>
      <c r="W13" s="26" t="s">
        <v>86</v>
      </c>
      <c r="X13" s="26" t="s">
        <v>86</v>
      </c>
      <c r="Y13" s="26" t="s">
        <v>78</v>
      </c>
      <c r="Z13" s="26" t="s">
        <v>78</v>
      </c>
      <c r="AA13" s="27">
        <v>5.2887500000000012</v>
      </c>
      <c r="AB13" s="27">
        <v>0</v>
      </c>
      <c r="AC13" s="27">
        <v>0</v>
      </c>
      <c r="AD13" s="27">
        <v>5.2887500000000012</v>
      </c>
      <c r="AE13" s="27">
        <v>0</v>
      </c>
      <c r="AF13" s="27">
        <v>0</v>
      </c>
      <c r="AG13" s="27">
        <v>5.2887500000000012</v>
      </c>
      <c r="AH13" s="27">
        <v>0</v>
      </c>
      <c r="AI13" s="27">
        <v>0</v>
      </c>
      <c r="AJ13" s="27">
        <v>0</v>
      </c>
      <c r="AK13" s="27">
        <v>0</v>
      </c>
      <c r="AL13" s="27">
        <v>1.0249999999999999</v>
      </c>
      <c r="AM13" s="27">
        <v>0</v>
      </c>
      <c r="AN13" s="27">
        <v>6.3137500000000006</v>
      </c>
      <c r="AO13" s="28">
        <v>0.83765590972084747</v>
      </c>
      <c r="AP13" s="29">
        <v>3.1568750000000003</v>
      </c>
      <c r="AQ13" s="29">
        <v>3.1568750000000003</v>
      </c>
      <c r="AR13" s="30"/>
      <c r="AT13" s="31">
        <v>473955</v>
      </c>
      <c r="AU13" s="31">
        <v>4</v>
      </c>
      <c r="AV13" s="31">
        <v>497</v>
      </c>
      <c r="AW13" s="31">
        <v>0</v>
      </c>
      <c r="AX13" s="34">
        <v>496</v>
      </c>
      <c r="AY13" s="32" t="s">
        <v>105</v>
      </c>
      <c r="AZ13" s="31">
        <v>3</v>
      </c>
      <c r="BA13" s="31">
        <v>1</v>
      </c>
      <c r="BB13" s="31"/>
      <c r="BC13" s="31" t="s">
        <v>107</v>
      </c>
      <c r="BD13" s="31"/>
      <c r="BE13" s="33" t="s">
        <v>109</v>
      </c>
      <c r="BF13" s="31" t="s">
        <v>94</v>
      </c>
      <c r="BG13" s="31" t="s">
        <v>94</v>
      </c>
      <c r="BH13" s="31" t="s">
        <v>94</v>
      </c>
      <c r="BI13" s="31" t="s">
        <v>94</v>
      </c>
      <c r="BK13" s="31">
        <v>0</v>
      </c>
      <c r="BL13" s="31">
        <v>0</v>
      </c>
      <c r="BM13" s="31">
        <v>48</v>
      </c>
      <c r="BN13" s="31">
        <v>19</v>
      </c>
      <c r="BO13" s="31">
        <v>117</v>
      </c>
      <c r="BQ13" s="31">
        <v>15</v>
      </c>
      <c r="BR13" s="31">
        <v>47</v>
      </c>
      <c r="BS13" s="31">
        <v>212</v>
      </c>
    </row>
    <row r="14" spans="1:71" ht="18.75" hidden="1" customHeight="1">
      <c r="A14" s="25">
        <v>9807</v>
      </c>
      <c r="B14" s="25" t="s">
        <v>135</v>
      </c>
      <c r="C14" s="25" t="s">
        <v>136</v>
      </c>
      <c r="D14" s="25" t="s">
        <v>137</v>
      </c>
      <c r="E14" s="26" t="s">
        <v>98</v>
      </c>
      <c r="F14" s="26" t="s">
        <v>72</v>
      </c>
      <c r="G14" s="26" t="s">
        <v>99</v>
      </c>
      <c r="H14" s="26" t="s">
        <v>74</v>
      </c>
      <c r="I14" s="26" t="s">
        <v>75</v>
      </c>
      <c r="J14" s="26" t="s">
        <v>76</v>
      </c>
      <c r="K14" s="26" t="s">
        <v>77</v>
      </c>
      <c r="L14" s="26" t="s">
        <v>78</v>
      </c>
      <c r="M14" s="26" t="s">
        <v>134</v>
      </c>
      <c r="N14" s="26" t="s">
        <v>101</v>
      </c>
      <c r="O14" s="26" t="s">
        <v>80</v>
      </c>
      <c r="P14" s="26" t="s">
        <v>102</v>
      </c>
      <c r="Q14" s="26" t="s">
        <v>82</v>
      </c>
      <c r="R14" s="26" t="s">
        <v>113</v>
      </c>
      <c r="S14" s="26" t="s">
        <v>104</v>
      </c>
      <c r="T14" s="26" t="s">
        <v>82</v>
      </c>
      <c r="U14" s="26" t="s">
        <v>101</v>
      </c>
      <c r="V14" s="26" t="s">
        <v>86</v>
      </c>
      <c r="W14" s="26" t="s">
        <v>86</v>
      </c>
      <c r="X14" s="26" t="s">
        <v>86</v>
      </c>
      <c r="Y14" s="26" t="s">
        <v>78</v>
      </c>
      <c r="Z14" s="26" t="s">
        <v>78</v>
      </c>
      <c r="AA14" s="27">
        <v>9.7687500000000007</v>
      </c>
      <c r="AB14" s="27">
        <v>0</v>
      </c>
      <c r="AC14" s="27">
        <v>0</v>
      </c>
      <c r="AD14" s="27">
        <v>9.7687500000000007</v>
      </c>
      <c r="AE14" s="27">
        <v>0</v>
      </c>
      <c r="AF14" s="27">
        <v>0</v>
      </c>
      <c r="AG14" s="27">
        <v>9.7687500000000007</v>
      </c>
      <c r="AH14" s="27">
        <v>0</v>
      </c>
      <c r="AI14" s="27">
        <v>0</v>
      </c>
      <c r="AJ14" s="27">
        <v>0</v>
      </c>
      <c r="AK14" s="27">
        <v>0</v>
      </c>
      <c r="AL14" s="27">
        <v>1.4833333333333334</v>
      </c>
      <c r="AM14" s="27">
        <v>0</v>
      </c>
      <c r="AN14" s="27">
        <v>11.252083333333335</v>
      </c>
      <c r="AO14" s="28">
        <v>0.85632290316608028</v>
      </c>
      <c r="AP14" s="29">
        <v>5.6260416666666675</v>
      </c>
      <c r="AQ14" s="29">
        <v>5.6260416666666675</v>
      </c>
      <c r="AR14" s="30"/>
      <c r="AT14" s="31">
        <v>1358360</v>
      </c>
      <c r="AU14" s="31">
        <v>0</v>
      </c>
      <c r="AV14" s="31">
        <v>775</v>
      </c>
      <c r="AW14" s="31">
        <v>0</v>
      </c>
      <c r="AX14" s="31">
        <v>1795</v>
      </c>
      <c r="AY14" s="32" t="s">
        <v>105</v>
      </c>
      <c r="AZ14" s="31">
        <v>3</v>
      </c>
      <c r="BA14" s="31">
        <v>1</v>
      </c>
      <c r="BB14" s="31"/>
      <c r="BC14" s="31" t="s">
        <v>107</v>
      </c>
      <c r="BD14" s="31"/>
      <c r="BE14" s="33" t="s">
        <v>109</v>
      </c>
      <c r="BF14" s="31" t="s">
        <v>94</v>
      </c>
      <c r="BG14" s="31" t="s">
        <v>94</v>
      </c>
      <c r="BH14" s="31" t="s">
        <v>94</v>
      </c>
      <c r="BI14" s="31" t="s">
        <v>94</v>
      </c>
      <c r="BK14" s="31">
        <v>0</v>
      </c>
      <c r="BL14" s="31">
        <v>0</v>
      </c>
      <c r="BM14" s="31">
        <v>79</v>
      </c>
      <c r="BN14" s="31">
        <v>11</v>
      </c>
      <c r="BO14" s="31">
        <v>33</v>
      </c>
      <c r="BQ14" s="31">
        <v>30</v>
      </c>
      <c r="BR14" s="31">
        <v>25</v>
      </c>
      <c r="BS14" s="31">
        <v>206</v>
      </c>
    </row>
    <row r="15" spans="1:71" ht="18.75" hidden="1" customHeight="1">
      <c r="A15" s="25">
        <v>9808</v>
      </c>
      <c r="B15" s="25" t="s">
        <v>138</v>
      </c>
      <c r="C15" s="25" t="s">
        <v>139</v>
      </c>
      <c r="D15" s="25" t="s">
        <v>140</v>
      </c>
      <c r="E15" s="26" t="s">
        <v>98</v>
      </c>
      <c r="F15" s="26" t="s">
        <v>72</v>
      </c>
      <c r="G15" s="26" t="s">
        <v>99</v>
      </c>
      <c r="H15" s="26" t="s">
        <v>74</v>
      </c>
      <c r="I15" s="26" t="s">
        <v>75</v>
      </c>
      <c r="J15" s="26" t="s">
        <v>76</v>
      </c>
      <c r="K15" s="26" t="s">
        <v>77</v>
      </c>
      <c r="L15" s="26" t="s">
        <v>86</v>
      </c>
      <c r="M15" s="26" t="s">
        <v>79</v>
      </c>
      <c r="N15" s="26" t="s">
        <v>101</v>
      </c>
      <c r="O15" s="26" t="s">
        <v>80</v>
      </c>
      <c r="P15" s="26" t="s">
        <v>102</v>
      </c>
      <c r="Q15" s="26" t="s">
        <v>82</v>
      </c>
      <c r="R15" s="26" t="s">
        <v>113</v>
      </c>
      <c r="S15" s="26" t="s">
        <v>104</v>
      </c>
      <c r="T15" s="26" t="s">
        <v>82</v>
      </c>
      <c r="U15" s="26" t="s">
        <v>101</v>
      </c>
      <c r="V15" s="26" t="s">
        <v>86</v>
      </c>
      <c r="W15" s="26" t="s">
        <v>86</v>
      </c>
      <c r="X15" s="26" t="s">
        <v>86</v>
      </c>
      <c r="Y15" s="26" t="s">
        <v>78</v>
      </c>
      <c r="Z15" s="26" t="s">
        <v>78</v>
      </c>
      <c r="AA15" s="27">
        <v>13.545708333333339</v>
      </c>
      <c r="AB15" s="27">
        <v>0</v>
      </c>
      <c r="AC15" s="27">
        <v>0</v>
      </c>
      <c r="AD15" s="27">
        <v>13.545708333333339</v>
      </c>
      <c r="AE15" s="27">
        <v>0</v>
      </c>
      <c r="AF15" s="27">
        <v>0.43750000000000006</v>
      </c>
      <c r="AG15" s="27">
        <v>13.108208333333337</v>
      </c>
      <c r="AH15" s="27">
        <v>0</v>
      </c>
      <c r="AI15" s="27">
        <v>0</v>
      </c>
      <c r="AJ15" s="27">
        <v>0</v>
      </c>
      <c r="AK15" s="27">
        <v>0</v>
      </c>
      <c r="AL15" s="27">
        <v>3.1437500000000003</v>
      </c>
      <c r="AM15" s="27">
        <v>0</v>
      </c>
      <c r="AN15" s="27">
        <v>16.689458333333338</v>
      </c>
      <c r="AO15" s="28">
        <v>0.72662384189620677</v>
      </c>
      <c r="AP15" s="29">
        <v>8.344729166666669</v>
      </c>
      <c r="AQ15" s="29">
        <v>8.344729166666669</v>
      </c>
      <c r="AR15" s="30"/>
      <c r="AT15" s="31">
        <v>1954166</v>
      </c>
      <c r="AU15" s="31">
        <v>40</v>
      </c>
      <c r="AV15" s="31">
        <v>1335</v>
      </c>
      <c r="AW15" s="31">
        <v>0</v>
      </c>
      <c r="AX15" s="31">
        <v>840</v>
      </c>
      <c r="AY15" s="32" t="s">
        <v>105</v>
      </c>
      <c r="AZ15" s="31">
        <v>3</v>
      </c>
      <c r="BA15" s="31">
        <v>1</v>
      </c>
      <c r="BB15" s="31"/>
      <c r="BC15" s="31" t="s">
        <v>107</v>
      </c>
      <c r="BD15" s="31"/>
      <c r="BE15" s="33" t="s">
        <v>109</v>
      </c>
      <c r="BF15" s="31" t="s">
        <v>94</v>
      </c>
      <c r="BG15" s="31" t="s">
        <v>94</v>
      </c>
      <c r="BH15" s="31" t="s">
        <v>94</v>
      </c>
      <c r="BI15" s="31" t="s">
        <v>94</v>
      </c>
      <c r="BK15" s="31">
        <v>0</v>
      </c>
      <c r="BL15" s="31">
        <v>0</v>
      </c>
      <c r="BM15" s="31">
        <v>135</v>
      </c>
      <c r="BN15" s="31">
        <v>13</v>
      </c>
      <c r="BO15" s="31">
        <v>67</v>
      </c>
      <c r="BQ15" s="31">
        <v>83</v>
      </c>
      <c r="BR15" s="31">
        <v>83</v>
      </c>
      <c r="BS15" s="31">
        <v>613</v>
      </c>
    </row>
    <row r="16" spans="1:71" ht="18.75" hidden="1" customHeight="1">
      <c r="A16" s="25">
        <v>9810</v>
      </c>
      <c r="B16" s="25" t="s">
        <v>141</v>
      </c>
      <c r="C16" s="25" t="s">
        <v>142</v>
      </c>
      <c r="D16" s="25" t="s">
        <v>143</v>
      </c>
      <c r="E16" s="26" t="s">
        <v>98</v>
      </c>
      <c r="F16" s="26" t="s">
        <v>72</v>
      </c>
      <c r="G16" s="26" t="s">
        <v>99</v>
      </c>
      <c r="H16" s="26" t="s">
        <v>74</v>
      </c>
      <c r="I16" s="26" t="s">
        <v>75</v>
      </c>
      <c r="J16" s="26" t="s">
        <v>76</v>
      </c>
      <c r="K16" s="26" t="s">
        <v>77</v>
      </c>
      <c r="L16" s="26" t="s">
        <v>86</v>
      </c>
      <c r="M16" s="26" t="s">
        <v>100</v>
      </c>
      <c r="N16" s="26" t="s">
        <v>101</v>
      </c>
      <c r="O16" s="26" t="s">
        <v>80</v>
      </c>
      <c r="P16" s="26" t="s">
        <v>102</v>
      </c>
      <c r="Q16" s="26" t="s">
        <v>82</v>
      </c>
      <c r="R16" s="26" t="s">
        <v>144</v>
      </c>
      <c r="S16" s="26" t="s">
        <v>104</v>
      </c>
      <c r="T16" s="26" t="s">
        <v>82</v>
      </c>
      <c r="U16" s="26" t="s">
        <v>101</v>
      </c>
      <c r="V16" s="26" t="s">
        <v>86</v>
      </c>
      <c r="W16" s="26" t="s">
        <v>86</v>
      </c>
      <c r="X16" s="26" t="s">
        <v>86</v>
      </c>
      <c r="Y16" s="26" t="s">
        <v>78</v>
      </c>
      <c r="Z16" s="26" t="s">
        <v>78</v>
      </c>
      <c r="AA16" s="27">
        <v>7.6683333333333339</v>
      </c>
      <c r="AB16" s="27">
        <v>3.6833333333333331</v>
      </c>
      <c r="AC16" s="27">
        <v>0</v>
      </c>
      <c r="AD16" s="27">
        <v>3.9850000000000003</v>
      </c>
      <c r="AE16" s="27">
        <v>0</v>
      </c>
      <c r="AF16" s="27">
        <v>0</v>
      </c>
      <c r="AG16" s="27">
        <v>7.6683333333333339</v>
      </c>
      <c r="AH16" s="27">
        <v>0</v>
      </c>
      <c r="AI16" s="27">
        <v>0</v>
      </c>
      <c r="AJ16" s="27">
        <v>0</v>
      </c>
      <c r="AK16" s="27">
        <v>0</v>
      </c>
      <c r="AL16" s="27">
        <v>1.1291666666666667</v>
      </c>
      <c r="AM16" s="27">
        <v>0</v>
      </c>
      <c r="AN16" s="27">
        <v>8.7975000000000012</v>
      </c>
      <c r="AO16" s="28">
        <v>0.75561238988348978</v>
      </c>
      <c r="AP16" s="29">
        <v>4.3987500000000006</v>
      </c>
      <c r="AQ16" s="29">
        <v>4.3987500000000006</v>
      </c>
      <c r="AR16" s="30"/>
      <c r="AT16" s="31">
        <v>894522</v>
      </c>
      <c r="AU16" s="31">
        <v>10</v>
      </c>
      <c r="AV16" s="31">
        <v>334</v>
      </c>
      <c r="AW16" s="31">
        <v>0</v>
      </c>
      <c r="AX16" s="31">
        <v>369</v>
      </c>
      <c r="AY16" s="32" t="s">
        <v>105</v>
      </c>
      <c r="AZ16" s="31">
        <v>3</v>
      </c>
      <c r="BA16" s="31">
        <v>1</v>
      </c>
      <c r="BB16" s="31"/>
      <c r="BC16" s="31" t="s">
        <v>107</v>
      </c>
      <c r="BD16" s="31"/>
      <c r="BE16" s="33" t="s">
        <v>109</v>
      </c>
      <c r="BF16" s="31" t="s">
        <v>94</v>
      </c>
      <c r="BG16" s="31" t="s">
        <v>94</v>
      </c>
      <c r="BH16" s="31" t="s">
        <v>94</v>
      </c>
      <c r="BI16" s="31" t="s">
        <v>94</v>
      </c>
      <c r="BK16" s="31">
        <v>0</v>
      </c>
      <c r="BL16" s="31">
        <v>0</v>
      </c>
      <c r="BM16" s="31">
        <v>26</v>
      </c>
      <c r="BN16" s="31">
        <v>10</v>
      </c>
      <c r="BO16" s="31">
        <v>44</v>
      </c>
      <c r="BQ16" s="31">
        <v>7</v>
      </c>
      <c r="BR16" s="31">
        <v>48</v>
      </c>
      <c r="BS16" s="31">
        <v>149</v>
      </c>
    </row>
    <row r="17" spans="1:71" ht="18.75" hidden="1" customHeight="1">
      <c r="A17" s="25">
        <v>9811</v>
      </c>
      <c r="B17" s="25" t="s">
        <v>145</v>
      </c>
      <c r="C17" s="25" t="s">
        <v>146</v>
      </c>
      <c r="D17" s="25" t="s">
        <v>147</v>
      </c>
      <c r="E17" s="26" t="s">
        <v>98</v>
      </c>
      <c r="F17" s="26" t="s">
        <v>72</v>
      </c>
      <c r="G17" s="26" t="s">
        <v>99</v>
      </c>
      <c r="H17" s="26" t="s">
        <v>74</v>
      </c>
      <c r="I17" s="26" t="s">
        <v>75</v>
      </c>
      <c r="J17" s="26" t="s">
        <v>76</v>
      </c>
      <c r="K17" s="26" t="s">
        <v>77</v>
      </c>
      <c r="L17" s="26" t="s">
        <v>86</v>
      </c>
      <c r="M17" s="26" t="s">
        <v>79</v>
      </c>
      <c r="N17" s="26" t="s">
        <v>101</v>
      </c>
      <c r="O17" s="26" t="s">
        <v>80</v>
      </c>
      <c r="P17" s="26" t="s">
        <v>102</v>
      </c>
      <c r="Q17" s="26" t="s">
        <v>82</v>
      </c>
      <c r="R17" s="26" t="s">
        <v>144</v>
      </c>
      <c r="S17" s="26" t="s">
        <v>104</v>
      </c>
      <c r="T17" s="26" t="s">
        <v>82</v>
      </c>
      <c r="U17" s="26" t="s">
        <v>101</v>
      </c>
      <c r="V17" s="26" t="s">
        <v>86</v>
      </c>
      <c r="W17" s="26" t="s">
        <v>86</v>
      </c>
      <c r="X17" s="26" t="s">
        <v>86</v>
      </c>
      <c r="Y17" s="26" t="s">
        <v>78</v>
      </c>
      <c r="Z17" s="26" t="s">
        <v>78</v>
      </c>
      <c r="AA17" s="27">
        <v>1.9683333333333333</v>
      </c>
      <c r="AB17" s="27">
        <v>0</v>
      </c>
      <c r="AC17" s="27">
        <v>0</v>
      </c>
      <c r="AD17" s="27">
        <v>1.9683333333333333</v>
      </c>
      <c r="AE17" s="27">
        <v>0</v>
      </c>
      <c r="AF17" s="27">
        <v>0</v>
      </c>
      <c r="AG17" s="27">
        <v>1.9683333333333333</v>
      </c>
      <c r="AH17" s="27">
        <v>0</v>
      </c>
      <c r="AI17" s="27">
        <v>0</v>
      </c>
      <c r="AJ17" s="27">
        <v>0</v>
      </c>
      <c r="AK17" s="27">
        <v>0</v>
      </c>
      <c r="AL17" s="27">
        <v>0.16458333333333336</v>
      </c>
      <c r="AM17" s="27">
        <v>0</v>
      </c>
      <c r="AN17" s="27">
        <v>2.1329166666666666</v>
      </c>
      <c r="AO17" s="28">
        <v>0.95311584293807383</v>
      </c>
      <c r="AP17" s="29">
        <v>1.0664583333333333</v>
      </c>
      <c r="AQ17" s="29">
        <v>1.0664583333333333</v>
      </c>
      <c r="AR17" s="30"/>
      <c r="AT17" s="31">
        <v>162839</v>
      </c>
      <c r="AU17" s="31">
        <v>14</v>
      </c>
      <c r="AV17" s="31">
        <v>137</v>
      </c>
      <c r="AW17" s="31">
        <v>0</v>
      </c>
      <c r="AX17" s="31">
        <v>260</v>
      </c>
      <c r="AY17" s="32" t="s">
        <v>105</v>
      </c>
      <c r="AZ17" s="31">
        <v>3</v>
      </c>
      <c r="BA17" s="31">
        <v>1</v>
      </c>
      <c r="BB17" s="31"/>
      <c r="BC17" s="31" t="s">
        <v>114</v>
      </c>
      <c r="BD17" s="31"/>
      <c r="BE17" s="33" t="s">
        <v>109</v>
      </c>
      <c r="BF17" s="31" t="s">
        <v>148</v>
      </c>
      <c r="BG17" s="31" t="s">
        <v>94</v>
      </c>
      <c r="BH17" s="31" t="s">
        <v>148</v>
      </c>
      <c r="BI17" s="31" t="s">
        <v>148</v>
      </c>
      <c r="BK17" s="31">
        <v>0</v>
      </c>
      <c r="BL17" s="31">
        <v>0</v>
      </c>
      <c r="BM17" s="31">
        <v>5</v>
      </c>
      <c r="BN17" s="31">
        <v>2</v>
      </c>
      <c r="BO17" s="31">
        <v>9</v>
      </c>
      <c r="BQ17" s="31">
        <v>5</v>
      </c>
      <c r="BR17" s="31">
        <v>14</v>
      </c>
      <c r="BS17" s="31">
        <v>51</v>
      </c>
    </row>
    <row r="18" spans="1:71" ht="18.75" hidden="1" customHeight="1">
      <c r="A18" s="25">
        <v>9813</v>
      </c>
      <c r="B18" s="25" t="s">
        <v>149</v>
      </c>
      <c r="C18" s="25" t="s">
        <v>150</v>
      </c>
      <c r="D18" s="25" t="s">
        <v>151</v>
      </c>
      <c r="E18" s="26" t="s">
        <v>98</v>
      </c>
      <c r="F18" s="26" t="s">
        <v>72</v>
      </c>
      <c r="G18" s="26" t="s">
        <v>99</v>
      </c>
      <c r="H18" s="26" t="s">
        <v>74</v>
      </c>
      <c r="I18" s="26" t="s">
        <v>75</v>
      </c>
      <c r="J18" s="26" t="s">
        <v>76</v>
      </c>
      <c r="K18" s="26" t="s">
        <v>77</v>
      </c>
      <c r="L18" s="26" t="s">
        <v>86</v>
      </c>
      <c r="M18" s="26" t="s">
        <v>79</v>
      </c>
      <c r="N18" s="26" t="s">
        <v>101</v>
      </c>
      <c r="O18" s="26" t="s">
        <v>80</v>
      </c>
      <c r="P18" s="26" t="s">
        <v>102</v>
      </c>
      <c r="Q18" s="26" t="s">
        <v>82</v>
      </c>
      <c r="R18" s="26" t="s">
        <v>144</v>
      </c>
      <c r="S18" s="26" t="s">
        <v>104</v>
      </c>
      <c r="T18" s="26" t="s">
        <v>82</v>
      </c>
      <c r="U18" s="26" t="s">
        <v>101</v>
      </c>
      <c r="V18" s="26" t="s">
        <v>86</v>
      </c>
      <c r="W18" s="26" t="s">
        <v>86</v>
      </c>
      <c r="X18" s="26" t="s">
        <v>86</v>
      </c>
      <c r="Y18" s="26" t="s">
        <v>78</v>
      </c>
      <c r="Z18" s="26" t="s">
        <v>78</v>
      </c>
      <c r="AA18" s="27">
        <v>2.1174999999999997</v>
      </c>
      <c r="AB18" s="27">
        <v>0.28041666666666665</v>
      </c>
      <c r="AC18" s="27">
        <v>0</v>
      </c>
      <c r="AD18" s="27">
        <v>1.8370833333333334</v>
      </c>
      <c r="AE18" s="27">
        <v>0</v>
      </c>
      <c r="AF18" s="27">
        <v>0</v>
      </c>
      <c r="AG18" s="27">
        <v>2.1174999999999997</v>
      </c>
      <c r="AH18" s="27">
        <v>0</v>
      </c>
      <c r="AI18" s="27">
        <v>0</v>
      </c>
      <c r="AJ18" s="27">
        <v>0</v>
      </c>
      <c r="AK18" s="27">
        <v>0</v>
      </c>
      <c r="AL18" s="27">
        <v>0</v>
      </c>
      <c r="AM18" s="27">
        <v>0</v>
      </c>
      <c r="AN18" s="27">
        <v>2.1174999999999997</v>
      </c>
      <c r="AO18" s="28">
        <v>0.64580873671782768</v>
      </c>
      <c r="AP18" s="29">
        <v>1.0587499999999999</v>
      </c>
      <c r="AQ18" s="29">
        <v>1.0587499999999999</v>
      </c>
      <c r="AR18" s="30"/>
      <c r="AT18" s="31">
        <v>63502</v>
      </c>
      <c r="AU18" s="31">
        <v>9</v>
      </c>
      <c r="AV18" s="31">
        <v>109</v>
      </c>
      <c r="AW18" s="31">
        <v>0</v>
      </c>
      <c r="AX18" s="31">
        <v>96</v>
      </c>
      <c r="AY18" s="32" t="s">
        <v>105</v>
      </c>
      <c r="AZ18" s="31">
        <v>3</v>
      </c>
      <c r="BA18" s="31">
        <v>1</v>
      </c>
      <c r="BB18" s="31"/>
      <c r="BC18" s="31" t="s">
        <v>114</v>
      </c>
      <c r="BD18" s="31"/>
      <c r="BE18" s="33" t="s">
        <v>109</v>
      </c>
      <c r="BF18" s="31" t="s">
        <v>94</v>
      </c>
      <c r="BG18" s="31" t="s">
        <v>94</v>
      </c>
      <c r="BH18" s="31" t="s">
        <v>94</v>
      </c>
      <c r="BI18" s="31" t="s">
        <v>94</v>
      </c>
      <c r="BK18" s="31">
        <v>0</v>
      </c>
      <c r="BL18" s="31">
        <v>0</v>
      </c>
      <c r="BM18" s="31">
        <v>12</v>
      </c>
      <c r="BN18" s="31">
        <v>1</v>
      </c>
      <c r="BO18" s="31">
        <v>13</v>
      </c>
      <c r="BQ18" s="31">
        <v>6</v>
      </c>
      <c r="BR18" s="31">
        <v>3</v>
      </c>
      <c r="BS18" s="31">
        <v>81</v>
      </c>
    </row>
    <row r="19" spans="1:71" ht="18.75" hidden="1" customHeight="1">
      <c r="A19" s="25">
        <v>9814</v>
      </c>
      <c r="B19" s="25" t="s">
        <v>152</v>
      </c>
      <c r="C19" s="25" t="s">
        <v>153</v>
      </c>
      <c r="D19" s="25" t="s">
        <v>154</v>
      </c>
      <c r="E19" s="26" t="s">
        <v>98</v>
      </c>
      <c r="F19" s="26" t="s">
        <v>72</v>
      </c>
      <c r="G19" s="26" t="s">
        <v>99</v>
      </c>
      <c r="H19" s="26" t="s">
        <v>74</v>
      </c>
      <c r="I19" s="26" t="s">
        <v>75</v>
      </c>
      <c r="J19" s="26" t="s">
        <v>76</v>
      </c>
      <c r="K19" s="26" t="s">
        <v>77</v>
      </c>
      <c r="L19" s="26" t="s">
        <v>78</v>
      </c>
      <c r="M19" s="26" t="s">
        <v>100</v>
      </c>
      <c r="N19" s="26" t="s">
        <v>101</v>
      </c>
      <c r="O19" s="26" t="s">
        <v>80</v>
      </c>
      <c r="P19" s="26" t="s">
        <v>102</v>
      </c>
      <c r="Q19" s="26" t="s">
        <v>82</v>
      </c>
      <c r="R19" s="26" t="s">
        <v>144</v>
      </c>
      <c r="S19" s="26" t="s">
        <v>104</v>
      </c>
      <c r="T19" s="26" t="s">
        <v>82</v>
      </c>
      <c r="U19" s="26" t="s">
        <v>101</v>
      </c>
      <c r="V19" s="26" t="s">
        <v>86</v>
      </c>
      <c r="W19" s="26" t="s">
        <v>86</v>
      </c>
      <c r="X19" s="26" t="s">
        <v>86</v>
      </c>
      <c r="Y19" s="26" t="s">
        <v>78</v>
      </c>
      <c r="Z19" s="26" t="s">
        <v>78</v>
      </c>
      <c r="AA19" s="27"/>
      <c r="AB19" s="27"/>
      <c r="AC19" s="27"/>
      <c r="AD19" s="27"/>
      <c r="AE19" s="27"/>
      <c r="AF19" s="27"/>
      <c r="AG19" s="27"/>
      <c r="AH19" s="27"/>
      <c r="AI19" s="27"/>
      <c r="AJ19" s="27"/>
      <c r="AK19" s="27"/>
      <c r="AL19" s="27"/>
      <c r="AM19" s="27"/>
      <c r="AN19" s="27"/>
      <c r="AO19" s="28"/>
      <c r="AP19" s="29" t="s">
        <v>82</v>
      </c>
      <c r="AQ19" s="29" t="s">
        <v>82</v>
      </c>
      <c r="AR19" s="30" t="s">
        <v>155</v>
      </c>
      <c r="AT19" s="31">
        <v>2164</v>
      </c>
      <c r="AU19" s="31">
        <v>0</v>
      </c>
      <c r="AV19" s="31">
        <v>5</v>
      </c>
      <c r="AW19" s="31">
        <v>0</v>
      </c>
      <c r="AX19" s="31">
        <v>3</v>
      </c>
      <c r="AY19" s="32" t="s">
        <v>105</v>
      </c>
      <c r="AZ19" s="31">
        <v>3</v>
      </c>
      <c r="BA19" s="31">
        <v>1</v>
      </c>
      <c r="BB19" s="31"/>
      <c r="BC19" s="31" t="s">
        <v>114</v>
      </c>
      <c r="BD19" s="31"/>
      <c r="BE19" s="33" t="s">
        <v>109</v>
      </c>
      <c r="BF19" s="31" t="s">
        <v>156</v>
      </c>
      <c r="BG19" s="31" t="s">
        <v>156</v>
      </c>
      <c r="BH19" s="31" t="s">
        <v>156</v>
      </c>
      <c r="BI19" s="31" t="s">
        <v>156</v>
      </c>
      <c r="BK19" s="31">
        <v>0</v>
      </c>
      <c r="BL19" s="31">
        <v>0</v>
      </c>
      <c r="BM19" s="31">
        <v>0</v>
      </c>
      <c r="BN19" s="31">
        <v>0</v>
      </c>
      <c r="BO19" s="31">
        <v>0</v>
      </c>
      <c r="BQ19" s="31">
        <v>0</v>
      </c>
      <c r="BR19" s="31">
        <v>0</v>
      </c>
      <c r="BS19" s="31">
        <v>0</v>
      </c>
    </row>
    <row r="20" spans="1:71" ht="18.75" hidden="1" customHeight="1">
      <c r="A20" s="25">
        <v>9816</v>
      </c>
      <c r="B20" s="25" t="s">
        <v>157</v>
      </c>
      <c r="C20" s="25" t="s">
        <v>158</v>
      </c>
      <c r="D20" s="25" t="s">
        <v>159</v>
      </c>
      <c r="E20" s="26" t="s">
        <v>98</v>
      </c>
      <c r="F20" s="26" t="s">
        <v>72</v>
      </c>
      <c r="G20" s="26" t="s">
        <v>99</v>
      </c>
      <c r="H20" s="26" t="s">
        <v>74</v>
      </c>
      <c r="I20" s="26" t="s">
        <v>75</v>
      </c>
      <c r="J20" s="26" t="s">
        <v>76</v>
      </c>
      <c r="K20" s="26" t="s">
        <v>77</v>
      </c>
      <c r="L20" s="26" t="s">
        <v>86</v>
      </c>
      <c r="M20" s="26" t="s">
        <v>79</v>
      </c>
      <c r="N20" s="26" t="s">
        <v>101</v>
      </c>
      <c r="O20" s="26" t="s">
        <v>80</v>
      </c>
      <c r="P20" s="26" t="s">
        <v>102</v>
      </c>
      <c r="Q20" s="26" t="s">
        <v>82</v>
      </c>
      <c r="R20" s="26" t="s">
        <v>144</v>
      </c>
      <c r="S20" s="26" t="s">
        <v>104</v>
      </c>
      <c r="T20" s="26" t="s">
        <v>82</v>
      </c>
      <c r="U20" s="26" t="s">
        <v>101</v>
      </c>
      <c r="V20" s="26" t="s">
        <v>86</v>
      </c>
      <c r="W20" s="26" t="s">
        <v>86</v>
      </c>
      <c r="X20" s="26" t="s">
        <v>86</v>
      </c>
      <c r="Y20" s="26" t="s">
        <v>78</v>
      </c>
      <c r="Z20" s="26" t="s">
        <v>78</v>
      </c>
      <c r="AA20" s="27">
        <v>0.2</v>
      </c>
      <c r="AB20" s="27">
        <v>0</v>
      </c>
      <c r="AC20" s="27">
        <v>0</v>
      </c>
      <c r="AD20" s="27">
        <v>0.19999999999999998</v>
      </c>
      <c r="AE20" s="27">
        <v>0</v>
      </c>
      <c r="AF20" s="27">
        <v>0</v>
      </c>
      <c r="AG20" s="27">
        <v>0.19999999999999998</v>
      </c>
      <c r="AH20" s="27">
        <v>0</v>
      </c>
      <c r="AI20" s="27">
        <v>0</v>
      </c>
      <c r="AJ20" s="27">
        <v>0</v>
      </c>
      <c r="AK20" s="27">
        <v>0</v>
      </c>
      <c r="AL20" s="27">
        <v>0</v>
      </c>
      <c r="AM20" s="27">
        <v>0</v>
      </c>
      <c r="AN20" s="27">
        <v>0.19999999999999998</v>
      </c>
      <c r="AO20" s="28">
        <v>0</v>
      </c>
      <c r="AP20" s="29">
        <v>9.9999999999999992E-2</v>
      </c>
      <c r="AQ20" s="29">
        <v>9.9999999999999992E-2</v>
      </c>
      <c r="AR20" s="30"/>
      <c r="AT20" s="31">
        <v>347397</v>
      </c>
      <c r="AU20" s="31">
        <v>18</v>
      </c>
      <c r="AV20" s="31">
        <v>120</v>
      </c>
      <c r="AW20" s="31">
        <v>0</v>
      </c>
      <c r="AX20" s="31">
        <v>44</v>
      </c>
      <c r="AY20" s="32" t="s">
        <v>105</v>
      </c>
      <c r="AZ20" s="31">
        <v>3</v>
      </c>
      <c r="BA20" s="31">
        <v>1</v>
      </c>
      <c r="BB20" s="31"/>
      <c r="BC20" s="31" t="s">
        <v>114</v>
      </c>
      <c r="BD20" s="31"/>
      <c r="BE20" s="33" t="s">
        <v>109</v>
      </c>
      <c r="BF20" s="31" t="s">
        <v>94</v>
      </c>
      <c r="BG20" s="31" t="s">
        <v>94</v>
      </c>
      <c r="BH20" s="31" t="s">
        <v>94</v>
      </c>
      <c r="BI20" s="31" t="s">
        <v>94</v>
      </c>
      <c r="BK20" s="31">
        <v>0</v>
      </c>
      <c r="BL20" s="31">
        <v>0</v>
      </c>
      <c r="BM20" s="31">
        <v>1</v>
      </c>
      <c r="BN20" s="31">
        <v>2</v>
      </c>
      <c r="BO20" s="31">
        <v>13</v>
      </c>
      <c r="BQ20" s="31">
        <v>1</v>
      </c>
      <c r="BR20" s="31">
        <v>0</v>
      </c>
      <c r="BS20" s="31">
        <v>12</v>
      </c>
    </row>
    <row r="21" spans="1:71" ht="18.75" hidden="1" customHeight="1">
      <c r="A21" s="25">
        <v>9817</v>
      </c>
      <c r="B21" s="25" t="s">
        <v>160</v>
      </c>
      <c r="C21" s="25" t="s">
        <v>161</v>
      </c>
      <c r="D21" s="25" t="s">
        <v>162</v>
      </c>
      <c r="E21" s="26" t="s">
        <v>98</v>
      </c>
      <c r="F21" s="26" t="s">
        <v>163</v>
      </c>
      <c r="G21" s="26" t="s">
        <v>99</v>
      </c>
      <c r="H21" s="26" t="s">
        <v>74</v>
      </c>
      <c r="I21" s="26" t="s">
        <v>75</v>
      </c>
      <c r="J21" s="26" t="s">
        <v>76</v>
      </c>
      <c r="K21" s="26" t="s">
        <v>77</v>
      </c>
      <c r="L21" s="26" t="s">
        <v>78</v>
      </c>
      <c r="M21" s="26" t="s">
        <v>100</v>
      </c>
      <c r="N21" s="26" t="s">
        <v>101</v>
      </c>
      <c r="O21" s="26" t="s">
        <v>80</v>
      </c>
      <c r="P21" s="26" t="s">
        <v>102</v>
      </c>
      <c r="Q21" s="26" t="s">
        <v>82</v>
      </c>
      <c r="R21" s="26" t="s">
        <v>144</v>
      </c>
      <c r="S21" s="26" t="s">
        <v>104</v>
      </c>
      <c r="T21" s="26" t="s">
        <v>82</v>
      </c>
      <c r="U21" s="26" t="s">
        <v>101</v>
      </c>
      <c r="V21" s="26" t="s">
        <v>86</v>
      </c>
      <c r="W21" s="26" t="s">
        <v>86</v>
      </c>
      <c r="X21" s="26" t="s">
        <v>86</v>
      </c>
      <c r="Y21" s="26" t="s">
        <v>78</v>
      </c>
      <c r="Z21" s="26" t="s">
        <v>78</v>
      </c>
      <c r="AA21" s="27">
        <v>1.6648749999999999</v>
      </c>
      <c r="AB21" s="27">
        <v>0</v>
      </c>
      <c r="AC21" s="27">
        <v>0</v>
      </c>
      <c r="AD21" s="27">
        <v>1.6648749999999999</v>
      </c>
      <c r="AE21" s="27">
        <v>0</v>
      </c>
      <c r="AF21" s="27">
        <v>0</v>
      </c>
      <c r="AG21" s="27">
        <v>1.6648749999999999</v>
      </c>
      <c r="AH21" s="27">
        <v>0</v>
      </c>
      <c r="AI21" s="27">
        <v>0</v>
      </c>
      <c r="AJ21" s="27">
        <v>0</v>
      </c>
      <c r="AK21" s="27">
        <v>0</v>
      </c>
      <c r="AL21" s="27">
        <v>0</v>
      </c>
      <c r="AM21" s="27">
        <v>0</v>
      </c>
      <c r="AN21" s="27">
        <v>1.6648749999999999</v>
      </c>
      <c r="AO21" s="28">
        <v>0.40748804965337743</v>
      </c>
      <c r="AP21" s="29">
        <v>0.83243749999999994</v>
      </c>
      <c r="AQ21" s="29">
        <v>0.83243749999999994</v>
      </c>
      <c r="AR21" s="30"/>
      <c r="AT21" s="31">
        <v>254359</v>
      </c>
      <c r="AU21" s="31">
        <v>0</v>
      </c>
      <c r="AV21" s="31">
        <v>347</v>
      </c>
      <c r="AW21" s="31">
        <v>0</v>
      </c>
      <c r="AX21" s="31">
        <v>131</v>
      </c>
      <c r="AY21" s="32" t="s">
        <v>105</v>
      </c>
      <c r="AZ21" s="31">
        <v>3</v>
      </c>
      <c r="BA21" s="31">
        <v>1</v>
      </c>
      <c r="BB21" s="31"/>
      <c r="BC21" s="31" t="s">
        <v>107</v>
      </c>
      <c r="BD21" s="31"/>
      <c r="BE21" s="33" t="s">
        <v>109</v>
      </c>
      <c r="BF21" s="31" t="s">
        <v>94</v>
      </c>
      <c r="BG21" s="31" t="s">
        <v>94</v>
      </c>
      <c r="BH21" s="31" t="s">
        <v>94</v>
      </c>
      <c r="BI21" s="31" t="s">
        <v>94</v>
      </c>
      <c r="BK21" s="31">
        <v>0</v>
      </c>
      <c r="BL21" s="31">
        <v>0</v>
      </c>
      <c r="BM21" s="31">
        <v>11</v>
      </c>
      <c r="BN21" s="31">
        <v>1</v>
      </c>
      <c r="BO21" s="31">
        <v>6</v>
      </c>
      <c r="BQ21" s="31">
        <v>5</v>
      </c>
      <c r="BR21" s="31">
        <v>8</v>
      </c>
      <c r="BS21" s="31">
        <v>94</v>
      </c>
    </row>
    <row r="22" spans="1:71" ht="18.75" hidden="1" customHeight="1">
      <c r="A22" s="25">
        <v>9818</v>
      </c>
      <c r="B22" s="25" t="s">
        <v>164</v>
      </c>
      <c r="C22" s="25" t="s">
        <v>165</v>
      </c>
      <c r="D22" s="25" t="s">
        <v>166</v>
      </c>
      <c r="E22" s="26" t="s">
        <v>98</v>
      </c>
      <c r="F22" s="26" t="s">
        <v>72</v>
      </c>
      <c r="G22" s="26" t="s">
        <v>99</v>
      </c>
      <c r="H22" s="26" t="s">
        <v>74</v>
      </c>
      <c r="I22" s="26" t="s">
        <v>75</v>
      </c>
      <c r="J22" s="26" t="s">
        <v>76</v>
      </c>
      <c r="K22" s="26" t="s">
        <v>77</v>
      </c>
      <c r="L22" s="26" t="s">
        <v>78</v>
      </c>
      <c r="M22" s="26" t="s">
        <v>100</v>
      </c>
      <c r="N22" s="26" t="s">
        <v>101</v>
      </c>
      <c r="O22" s="26" t="s">
        <v>80</v>
      </c>
      <c r="P22" s="26" t="s">
        <v>102</v>
      </c>
      <c r="Q22" s="26" t="s">
        <v>82</v>
      </c>
      <c r="R22" s="26" t="s">
        <v>144</v>
      </c>
      <c r="S22" s="26" t="s">
        <v>104</v>
      </c>
      <c r="T22" s="26" t="s">
        <v>82</v>
      </c>
      <c r="U22" s="26" t="s">
        <v>101</v>
      </c>
      <c r="V22" s="26" t="s">
        <v>86</v>
      </c>
      <c r="W22" s="26" t="s">
        <v>86</v>
      </c>
      <c r="X22" s="26" t="s">
        <v>86</v>
      </c>
      <c r="Y22" s="26" t="s">
        <v>78</v>
      </c>
      <c r="Z22" s="26" t="s">
        <v>78</v>
      </c>
      <c r="AA22" s="27"/>
      <c r="AB22" s="27"/>
      <c r="AC22" s="27"/>
      <c r="AD22" s="27"/>
      <c r="AE22" s="27"/>
      <c r="AF22" s="27"/>
      <c r="AG22" s="27"/>
      <c r="AH22" s="27"/>
      <c r="AI22" s="27"/>
      <c r="AJ22" s="27"/>
      <c r="AK22" s="27"/>
      <c r="AL22" s="27"/>
      <c r="AM22" s="27"/>
      <c r="AN22" s="27"/>
      <c r="AO22" s="28"/>
      <c r="AP22" s="29" t="s">
        <v>82</v>
      </c>
      <c r="AQ22" s="29" t="s">
        <v>82</v>
      </c>
      <c r="AR22" s="30" t="s">
        <v>167</v>
      </c>
      <c r="AT22" s="31">
        <v>102166</v>
      </c>
      <c r="AU22" s="31">
        <v>0</v>
      </c>
      <c r="AV22" s="31">
        <v>58</v>
      </c>
      <c r="AW22" s="31">
        <v>0</v>
      </c>
      <c r="AX22" s="31" t="s">
        <v>168</v>
      </c>
      <c r="AY22" s="32" t="s">
        <v>105</v>
      </c>
      <c r="AZ22" s="31">
        <v>3</v>
      </c>
      <c r="BA22" s="31">
        <v>1</v>
      </c>
      <c r="BB22" s="31"/>
      <c r="BC22" s="31" t="s">
        <v>107</v>
      </c>
      <c r="BD22" s="31"/>
      <c r="BE22" s="33" t="s">
        <v>109</v>
      </c>
      <c r="BF22" s="31" t="s">
        <v>156</v>
      </c>
      <c r="BG22" s="31" t="s">
        <v>156</v>
      </c>
      <c r="BH22" s="31" t="s">
        <v>156</v>
      </c>
      <c r="BI22" s="31" t="s">
        <v>156</v>
      </c>
      <c r="BK22" s="31">
        <v>0</v>
      </c>
      <c r="BL22" s="31">
        <v>0</v>
      </c>
      <c r="BM22" s="31">
        <v>0</v>
      </c>
      <c r="BN22" s="31">
        <v>0</v>
      </c>
      <c r="BO22" s="31">
        <v>0</v>
      </c>
      <c r="BQ22" s="31">
        <v>0</v>
      </c>
      <c r="BR22" s="31">
        <v>0</v>
      </c>
      <c r="BS22" s="31">
        <v>0</v>
      </c>
    </row>
    <row r="23" spans="1:71" ht="18.75" hidden="1" customHeight="1">
      <c r="A23" s="25">
        <v>9819</v>
      </c>
      <c r="B23" s="25" t="s">
        <v>169</v>
      </c>
      <c r="C23" s="25" t="s">
        <v>170</v>
      </c>
      <c r="D23" s="25" t="s">
        <v>171</v>
      </c>
      <c r="E23" s="26" t="s">
        <v>98</v>
      </c>
      <c r="F23" s="26" t="s">
        <v>72</v>
      </c>
      <c r="G23" s="26" t="s">
        <v>99</v>
      </c>
      <c r="H23" s="26" t="s">
        <v>74</v>
      </c>
      <c r="I23" s="26" t="s">
        <v>75</v>
      </c>
      <c r="J23" s="26" t="s">
        <v>76</v>
      </c>
      <c r="K23" s="26" t="s">
        <v>77</v>
      </c>
      <c r="L23" s="26" t="s">
        <v>78</v>
      </c>
      <c r="M23" s="26" t="s">
        <v>100</v>
      </c>
      <c r="N23" s="26" t="s">
        <v>101</v>
      </c>
      <c r="O23" s="26" t="s">
        <v>80</v>
      </c>
      <c r="P23" s="26" t="s">
        <v>102</v>
      </c>
      <c r="Q23" s="26" t="s">
        <v>82</v>
      </c>
      <c r="R23" s="26" t="s">
        <v>144</v>
      </c>
      <c r="S23" s="26" t="s">
        <v>104</v>
      </c>
      <c r="T23" s="26" t="s">
        <v>82</v>
      </c>
      <c r="U23" s="26" t="s">
        <v>101</v>
      </c>
      <c r="V23" s="26" t="s">
        <v>86</v>
      </c>
      <c r="W23" s="26" t="s">
        <v>86</v>
      </c>
      <c r="X23" s="26" t="s">
        <v>86</v>
      </c>
      <c r="Y23" s="26" t="s">
        <v>78</v>
      </c>
      <c r="Z23" s="26" t="s">
        <v>78</v>
      </c>
      <c r="AA23" s="27"/>
      <c r="AB23" s="27"/>
      <c r="AC23" s="27"/>
      <c r="AD23" s="27"/>
      <c r="AE23" s="27"/>
      <c r="AF23" s="27"/>
      <c r="AG23" s="27"/>
      <c r="AH23" s="27"/>
      <c r="AI23" s="27"/>
      <c r="AJ23" s="27"/>
      <c r="AK23" s="27"/>
      <c r="AL23" s="27"/>
      <c r="AM23" s="27"/>
      <c r="AN23" s="27"/>
      <c r="AO23" s="28"/>
      <c r="AP23" s="29" t="s">
        <v>82</v>
      </c>
      <c r="AQ23" s="29" t="s">
        <v>82</v>
      </c>
      <c r="AR23" s="30" t="s">
        <v>167</v>
      </c>
      <c r="AT23" s="31">
        <v>14816</v>
      </c>
      <c r="AU23" s="31">
        <v>0</v>
      </c>
      <c r="AV23" s="31">
        <v>11</v>
      </c>
      <c r="AW23" s="31">
        <v>0</v>
      </c>
      <c r="AX23" s="31" t="s">
        <v>168</v>
      </c>
      <c r="AY23" s="32" t="s">
        <v>105</v>
      </c>
      <c r="AZ23" s="31">
        <v>3</v>
      </c>
      <c r="BA23" s="31">
        <v>1</v>
      </c>
      <c r="BB23" s="31"/>
      <c r="BC23" s="31" t="s">
        <v>107</v>
      </c>
      <c r="BD23" s="31"/>
      <c r="BE23" s="33" t="s">
        <v>109</v>
      </c>
      <c r="BF23" s="31" t="s">
        <v>94</v>
      </c>
      <c r="BG23" s="31" t="s">
        <v>94</v>
      </c>
      <c r="BH23" s="31" t="s">
        <v>94</v>
      </c>
      <c r="BI23" s="31" t="s">
        <v>94</v>
      </c>
      <c r="BK23" s="31">
        <v>0</v>
      </c>
      <c r="BL23" s="31">
        <v>0</v>
      </c>
      <c r="BM23" s="31">
        <v>0</v>
      </c>
      <c r="BN23" s="31">
        <v>0</v>
      </c>
      <c r="BO23" s="31">
        <v>1</v>
      </c>
      <c r="BQ23" s="31">
        <v>0</v>
      </c>
      <c r="BR23" s="31">
        <v>0</v>
      </c>
      <c r="BS23" s="31">
        <v>0</v>
      </c>
    </row>
    <row r="24" spans="1:71" ht="18.75" hidden="1" customHeight="1">
      <c r="A24" s="25">
        <v>9820</v>
      </c>
      <c r="B24" s="25" t="s">
        <v>172</v>
      </c>
      <c r="C24" s="25" t="s">
        <v>173</v>
      </c>
      <c r="D24" s="25" t="s">
        <v>174</v>
      </c>
      <c r="E24" s="26" t="s">
        <v>98</v>
      </c>
      <c r="F24" s="26" t="s">
        <v>72</v>
      </c>
      <c r="G24" s="26" t="s">
        <v>99</v>
      </c>
      <c r="H24" s="26" t="s">
        <v>74</v>
      </c>
      <c r="I24" s="26" t="s">
        <v>75</v>
      </c>
      <c r="J24" s="26" t="s">
        <v>76</v>
      </c>
      <c r="K24" s="26" t="s">
        <v>77</v>
      </c>
      <c r="L24" s="26" t="s">
        <v>86</v>
      </c>
      <c r="M24" s="26" t="s">
        <v>100</v>
      </c>
      <c r="N24" s="26" t="s">
        <v>101</v>
      </c>
      <c r="O24" s="26" t="s">
        <v>80</v>
      </c>
      <c r="P24" s="26" t="s">
        <v>102</v>
      </c>
      <c r="Q24" s="26" t="s">
        <v>82</v>
      </c>
      <c r="R24" s="26" t="s">
        <v>144</v>
      </c>
      <c r="S24" s="26" t="s">
        <v>104</v>
      </c>
      <c r="T24" s="26" t="s">
        <v>82</v>
      </c>
      <c r="U24" s="26" t="s">
        <v>101</v>
      </c>
      <c r="V24" s="26" t="s">
        <v>86</v>
      </c>
      <c r="W24" s="26" t="s">
        <v>86</v>
      </c>
      <c r="X24" s="26" t="s">
        <v>86</v>
      </c>
      <c r="Y24" s="26" t="s">
        <v>78</v>
      </c>
      <c r="Z24" s="26" t="s">
        <v>78</v>
      </c>
      <c r="AA24" s="27"/>
      <c r="AB24" s="27"/>
      <c r="AC24" s="27"/>
      <c r="AD24" s="27"/>
      <c r="AE24" s="27"/>
      <c r="AF24" s="27"/>
      <c r="AG24" s="27"/>
      <c r="AH24" s="27"/>
      <c r="AI24" s="27"/>
      <c r="AJ24" s="27"/>
      <c r="AK24" s="27"/>
      <c r="AL24" s="27"/>
      <c r="AM24" s="27"/>
      <c r="AN24" s="27"/>
      <c r="AO24" s="28"/>
      <c r="AP24" s="29" t="s">
        <v>82</v>
      </c>
      <c r="AQ24" s="29" t="s">
        <v>82</v>
      </c>
      <c r="AR24" s="30" t="s">
        <v>167</v>
      </c>
      <c r="AT24" s="31">
        <v>45762</v>
      </c>
      <c r="AU24" s="31">
        <v>0</v>
      </c>
      <c r="AV24" s="31">
        <v>14</v>
      </c>
      <c r="AW24" s="31">
        <v>0</v>
      </c>
      <c r="AX24" s="31" t="s">
        <v>168</v>
      </c>
      <c r="AY24" s="32" t="s">
        <v>105</v>
      </c>
      <c r="AZ24" s="31">
        <v>3</v>
      </c>
      <c r="BA24" s="31">
        <v>1</v>
      </c>
      <c r="BB24" s="31"/>
      <c r="BC24" s="31" t="s">
        <v>107</v>
      </c>
      <c r="BD24" s="31"/>
      <c r="BE24" s="33" t="s">
        <v>109</v>
      </c>
      <c r="BF24" s="31" t="s">
        <v>156</v>
      </c>
      <c r="BG24" s="31" t="s">
        <v>156</v>
      </c>
      <c r="BH24" s="31" t="s">
        <v>156</v>
      </c>
      <c r="BI24" s="31" t="s">
        <v>156</v>
      </c>
      <c r="BK24" s="31">
        <v>0</v>
      </c>
      <c r="BL24" s="31">
        <v>0</v>
      </c>
      <c r="BM24" s="31">
        <v>0</v>
      </c>
      <c r="BN24" s="31">
        <v>0</v>
      </c>
      <c r="BO24" s="31">
        <v>1</v>
      </c>
      <c r="BQ24" s="31">
        <v>0</v>
      </c>
      <c r="BR24" s="31">
        <v>0</v>
      </c>
      <c r="BS24" s="31">
        <v>0</v>
      </c>
    </row>
    <row r="25" spans="1:71" ht="18.75" hidden="1" customHeight="1">
      <c r="A25" s="25">
        <v>9821</v>
      </c>
      <c r="B25" s="25" t="s">
        <v>175</v>
      </c>
      <c r="C25" s="25" t="s">
        <v>176</v>
      </c>
      <c r="D25" s="25" t="s">
        <v>177</v>
      </c>
      <c r="E25" s="26" t="s">
        <v>98</v>
      </c>
      <c r="F25" s="26" t="s">
        <v>72</v>
      </c>
      <c r="G25" s="26" t="s">
        <v>99</v>
      </c>
      <c r="H25" s="26" t="s">
        <v>74</v>
      </c>
      <c r="I25" s="26" t="s">
        <v>75</v>
      </c>
      <c r="J25" s="26" t="s">
        <v>76</v>
      </c>
      <c r="K25" s="26" t="s">
        <v>77</v>
      </c>
      <c r="L25" s="26" t="s">
        <v>86</v>
      </c>
      <c r="M25" s="26" t="s">
        <v>100</v>
      </c>
      <c r="N25" s="26" t="s">
        <v>101</v>
      </c>
      <c r="O25" s="26" t="s">
        <v>80</v>
      </c>
      <c r="P25" s="26" t="s">
        <v>102</v>
      </c>
      <c r="Q25" s="26" t="s">
        <v>82</v>
      </c>
      <c r="R25" s="26" t="s">
        <v>144</v>
      </c>
      <c r="S25" s="26" t="s">
        <v>104</v>
      </c>
      <c r="T25" s="26" t="s">
        <v>82</v>
      </c>
      <c r="U25" s="26" t="s">
        <v>101</v>
      </c>
      <c r="V25" s="26" t="s">
        <v>86</v>
      </c>
      <c r="W25" s="26" t="s">
        <v>86</v>
      </c>
      <c r="X25" s="26" t="s">
        <v>86</v>
      </c>
      <c r="Y25" s="26" t="s">
        <v>78</v>
      </c>
      <c r="Z25" s="26" t="s">
        <v>78</v>
      </c>
      <c r="AA25" s="27">
        <v>4.378333333333333</v>
      </c>
      <c r="AB25" s="27">
        <v>0.72166666666666657</v>
      </c>
      <c r="AC25" s="27">
        <v>0</v>
      </c>
      <c r="AD25" s="27">
        <v>3.6566666666666663</v>
      </c>
      <c r="AE25" s="27">
        <v>0</v>
      </c>
      <c r="AF25" s="27">
        <v>0</v>
      </c>
      <c r="AG25" s="27">
        <v>4.378333333333333</v>
      </c>
      <c r="AH25" s="27">
        <v>0</v>
      </c>
      <c r="AI25" s="27">
        <v>0</v>
      </c>
      <c r="AJ25" s="27">
        <v>0</v>
      </c>
      <c r="AK25" s="27">
        <v>0</v>
      </c>
      <c r="AL25" s="27">
        <v>0.97083333333333321</v>
      </c>
      <c r="AM25" s="27">
        <v>0</v>
      </c>
      <c r="AN25" s="27">
        <v>5.3491666666666662</v>
      </c>
      <c r="AO25" s="28">
        <v>0.62610998597912448</v>
      </c>
      <c r="AP25" s="29">
        <v>2.6745833333333331</v>
      </c>
      <c r="AQ25" s="29">
        <v>2.6745833333333331</v>
      </c>
      <c r="AR25" s="30"/>
      <c r="AT25" s="31" t="s">
        <v>178</v>
      </c>
      <c r="AU25" s="31">
        <v>0</v>
      </c>
      <c r="AV25" s="31">
        <v>140</v>
      </c>
      <c r="AW25" s="31">
        <v>0</v>
      </c>
      <c r="AX25" s="31">
        <v>8</v>
      </c>
      <c r="AY25" s="32" t="s">
        <v>105</v>
      </c>
      <c r="AZ25" s="31">
        <v>3</v>
      </c>
      <c r="BA25" s="31">
        <v>1</v>
      </c>
      <c r="BB25" s="31"/>
      <c r="BC25" s="31" t="s">
        <v>107</v>
      </c>
      <c r="BD25" s="31"/>
      <c r="BE25" s="33" t="s">
        <v>109</v>
      </c>
      <c r="BF25" s="31" t="s">
        <v>94</v>
      </c>
      <c r="BG25" s="31" t="s">
        <v>94</v>
      </c>
      <c r="BH25" s="31" t="s">
        <v>94</v>
      </c>
      <c r="BI25" s="31" t="s">
        <v>94</v>
      </c>
      <c r="BK25" s="31">
        <v>0</v>
      </c>
      <c r="BL25" s="31">
        <v>0</v>
      </c>
      <c r="BM25" s="31">
        <v>11</v>
      </c>
      <c r="BN25" s="31">
        <v>0</v>
      </c>
      <c r="BO25" s="31">
        <v>36</v>
      </c>
      <c r="BQ25" s="31">
        <v>3</v>
      </c>
      <c r="BR25" s="31">
        <v>9</v>
      </c>
      <c r="BS25" s="31">
        <v>58</v>
      </c>
    </row>
    <row r="26" spans="1:71" ht="18.75" hidden="1" customHeight="1">
      <c r="A26" s="25">
        <v>9822</v>
      </c>
      <c r="B26" s="25" t="s">
        <v>179</v>
      </c>
      <c r="C26" s="25" t="s">
        <v>180</v>
      </c>
      <c r="D26" s="25" t="s">
        <v>181</v>
      </c>
      <c r="E26" s="26" t="s">
        <v>98</v>
      </c>
      <c r="F26" s="26" t="s">
        <v>72</v>
      </c>
      <c r="G26" s="26" t="s">
        <v>99</v>
      </c>
      <c r="H26" s="26" t="s">
        <v>74</v>
      </c>
      <c r="I26" s="26" t="s">
        <v>75</v>
      </c>
      <c r="J26" s="26" t="s">
        <v>76</v>
      </c>
      <c r="K26" s="26" t="s">
        <v>77</v>
      </c>
      <c r="L26" s="26" t="s">
        <v>78</v>
      </c>
      <c r="M26" s="26" t="s">
        <v>134</v>
      </c>
      <c r="N26" s="26" t="s">
        <v>101</v>
      </c>
      <c r="O26" s="26" t="s">
        <v>80</v>
      </c>
      <c r="P26" s="26" t="s">
        <v>102</v>
      </c>
      <c r="Q26" s="26" t="s">
        <v>82</v>
      </c>
      <c r="R26" s="26" t="s">
        <v>144</v>
      </c>
      <c r="S26" s="26" t="s">
        <v>104</v>
      </c>
      <c r="T26" s="26" t="s">
        <v>82</v>
      </c>
      <c r="U26" s="26" t="s">
        <v>101</v>
      </c>
      <c r="V26" s="26" t="s">
        <v>86</v>
      </c>
      <c r="W26" s="26" t="s">
        <v>86</v>
      </c>
      <c r="X26" s="26" t="s">
        <v>86</v>
      </c>
      <c r="Y26" s="26" t="s">
        <v>78</v>
      </c>
      <c r="Z26" s="26" t="s">
        <v>78</v>
      </c>
      <c r="AA26" s="27">
        <v>6.0129166666666656</v>
      </c>
      <c r="AB26" s="27">
        <v>1.6883333333333335</v>
      </c>
      <c r="AC26" s="27">
        <v>0</v>
      </c>
      <c r="AD26" s="27">
        <v>4.324583333333333</v>
      </c>
      <c r="AE26" s="27">
        <v>0</v>
      </c>
      <c r="AF26" s="27">
        <v>0.25</v>
      </c>
      <c r="AG26" s="27">
        <v>5.7629166666666656</v>
      </c>
      <c r="AH26" s="27">
        <v>0</v>
      </c>
      <c r="AI26" s="27">
        <v>0</v>
      </c>
      <c r="AJ26" s="27">
        <v>0</v>
      </c>
      <c r="AK26" s="27">
        <v>0</v>
      </c>
      <c r="AL26" s="27">
        <v>0.25416666666666665</v>
      </c>
      <c r="AM26" s="27">
        <v>0</v>
      </c>
      <c r="AN26" s="27">
        <v>6.267083333333332</v>
      </c>
      <c r="AO26" s="28">
        <v>0.78990758593178645</v>
      </c>
      <c r="AP26" s="29">
        <v>3.133541666666666</v>
      </c>
      <c r="AQ26" s="29">
        <v>3.133541666666666</v>
      </c>
      <c r="AR26" s="30"/>
      <c r="AT26" s="31">
        <v>624174</v>
      </c>
      <c r="AU26" s="31">
        <v>0</v>
      </c>
      <c r="AV26" s="31">
        <v>337</v>
      </c>
      <c r="AW26" s="31">
        <v>0</v>
      </c>
      <c r="AX26" s="31">
        <v>453</v>
      </c>
      <c r="AY26" s="32" t="s">
        <v>105</v>
      </c>
      <c r="AZ26" s="31">
        <v>3</v>
      </c>
      <c r="BA26" s="31">
        <v>1</v>
      </c>
      <c r="BB26" s="31"/>
      <c r="BC26" s="31" t="s">
        <v>114</v>
      </c>
      <c r="BD26" s="31"/>
      <c r="BE26" s="33" t="s">
        <v>109</v>
      </c>
      <c r="BF26" s="31" t="s">
        <v>94</v>
      </c>
      <c r="BG26" s="31" t="s">
        <v>94</v>
      </c>
      <c r="BH26" s="31" t="s">
        <v>94</v>
      </c>
      <c r="BI26" s="31" t="s">
        <v>94</v>
      </c>
      <c r="BK26" s="31">
        <v>0</v>
      </c>
      <c r="BL26" s="31">
        <v>0</v>
      </c>
      <c r="BM26" s="31">
        <v>30</v>
      </c>
      <c r="BN26" s="31">
        <v>8</v>
      </c>
      <c r="BO26" s="31">
        <v>75</v>
      </c>
      <c r="BQ26" s="31">
        <v>23</v>
      </c>
      <c r="BR26" s="31">
        <v>39</v>
      </c>
      <c r="BS26" s="31">
        <v>177</v>
      </c>
    </row>
    <row r="27" spans="1:71" ht="18.75" hidden="1" customHeight="1">
      <c r="A27" s="25">
        <v>9823</v>
      </c>
      <c r="B27" s="25" t="s">
        <v>182</v>
      </c>
      <c r="C27" s="25" t="s">
        <v>183</v>
      </c>
      <c r="D27" s="25" t="s">
        <v>184</v>
      </c>
      <c r="E27" s="26" t="s">
        <v>98</v>
      </c>
      <c r="F27" s="26" t="s">
        <v>72</v>
      </c>
      <c r="G27" s="26" t="s">
        <v>99</v>
      </c>
      <c r="H27" s="26" t="s">
        <v>74</v>
      </c>
      <c r="I27" s="26" t="s">
        <v>185</v>
      </c>
      <c r="J27" s="26" t="s">
        <v>76</v>
      </c>
      <c r="K27" s="26" t="s">
        <v>77</v>
      </c>
      <c r="L27" s="26" t="s">
        <v>86</v>
      </c>
      <c r="M27" s="26" t="s">
        <v>100</v>
      </c>
      <c r="N27" s="26" t="s">
        <v>101</v>
      </c>
      <c r="O27" s="26" t="s">
        <v>80</v>
      </c>
      <c r="P27" s="26" t="s">
        <v>102</v>
      </c>
      <c r="Q27" s="26" t="s">
        <v>82</v>
      </c>
      <c r="R27" s="26" t="s">
        <v>144</v>
      </c>
      <c r="S27" s="26" t="s">
        <v>104</v>
      </c>
      <c r="T27" s="26" t="s">
        <v>82</v>
      </c>
      <c r="U27" s="26" t="s">
        <v>101</v>
      </c>
      <c r="V27" s="26" t="s">
        <v>86</v>
      </c>
      <c r="W27" s="26" t="s">
        <v>86</v>
      </c>
      <c r="X27" s="26" t="s">
        <v>86</v>
      </c>
      <c r="Y27" s="26" t="s">
        <v>78</v>
      </c>
      <c r="Z27" s="26" t="s">
        <v>78</v>
      </c>
      <c r="AA27" s="27">
        <v>6.7267083333333355</v>
      </c>
      <c r="AB27" s="27">
        <v>0</v>
      </c>
      <c r="AC27" s="27">
        <v>0</v>
      </c>
      <c r="AD27" s="27">
        <v>6.7267083333333355</v>
      </c>
      <c r="AE27" s="27">
        <v>0</v>
      </c>
      <c r="AF27" s="27">
        <v>1</v>
      </c>
      <c r="AG27" s="27">
        <v>5.7267083333333355</v>
      </c>
      <c r="AH27" s="27">
        <v>0</v>
      </c>
      <c r="AI27" s="27">
        <v>0</v>
      </c>
      <c r="AJ27" s="27">
        <v>0</v>
      </c>
      <c r="AK27" s="27">
        <v>0</v>
      </c>
      <c r="AL27" s="27">
        <v>1.4624999999999999</v>
      </c>
      <c r="AM27" s="27">
        <v>0</v>
      </c>
      <c r="AN27" s="27">
        <v>8.189208333333335</v>
      </c>
      <c r="AO27" s="28">
        <v>0.72808726932294032</v>
      </c>
      <c r="AP27" s="29">
        <v>4.0946041666666675</v>
      </c>
      <c r="AQ27" s="29">
        <v>4.0946041666666675</v>
      </c>
      <c r="AR27" s="30"/>
      <c r="AT27" s="31">
        <v>233631</v>
      </c>
      <c r="AU27" s="31">
        <v>0</v>
      </c>
      <c r="AV27" s="31">
        <v>242</v>
      </c>
      <c r="AW27" s="31">
        <v>0</v>
      </c>
      <c r="AX27" s="31">
        <v>305</v>
      </c>
      <c r="AY27" s="32" t="s">
        <v>105</v>
      </c>
      <c r="AZ27" s="31">
        <v>3</v>
      </c>
      <c r="BA27" s="31">
        <v>1</v>
      </c>
      <c r="BB27" s="31"/>
      <c r="BC27" s="31" t="s">
        <v>114</v>
      </c>
      <c r="BD27" s="31"/>
      <c r="BE27" s="33" t="s">
        <v>109</v>
      </c>
      <c r="BF27" s="31" t="s">
        <v>94</v>
      </c>
      <c r="BG27" s="31" t="s">
        <v>94</v>
      </c>
      <c r="BH27" s="31" t="s">
        <v>94</v>
      </c>
      <c r="BI27" s="31" t="s">
        <v>94</v>
      </c>
      <c r="BK27" s="31">
        <v>0</v>
      </c>
      <c r="BL27" s="31">
        <v>1</v>
      </c>
      <c r="BM27" s="31">
        <v>24</v>
      </c>
      <c r="BN27" s="31">
        <v>6</v>
      </c>
      <c r="BO27" s="31">
        <v>48</v>
      </c>
      <c r="BQ27" s="31">
        <v>11</v>
      </c>
      <c r="BR27" s="31">
        <v>4</v>
      </c>
      <c r="BS27" s="31">
        <v>144</v>
      </c>
    </row>
    <row r="28" spans="1:71" ht="18.75" hidden="1" customHeight="1">
      <c r="A28" s="25">
        <v>9824</v>
      </c>
      <c r="B28" s="25" t="s">
        <v>186</v>
      </c>
      <c r="C28" s="25" t="s">
        <v>187</v>
      </c>
      <c r="D28" s="25" t="s">
        <v>188</v>
      </c>
      <c r="E28" s="26" t="s">
        <v>98</v>
      </c>
      <c r="F28" s="26" t="s">
        <v>163</v>
      </c>
      <c r="G28" s="26" t="s">
        <v>99</v>
      </c>
      <c r="H28" s="26" t="s">
        <v>74</v>
      </c>
      <c r="I28" s="26" t="s">
        <v>75</v>
      </c>
      <c r="J28" s="26" t="s">
        <v>76</v>
      </c>
      <c r="K28" s="26" t="s">
        <v>77</v>
      </c>
      <c r="L28" s="26" t="s">
        <v>86</v>
      </c>
      <c r="M28" s="26" t="s">
        <v>100</v>
      </c>
      <c r="N28" s="26" t="s">
        <v>101</v>
      </c>
      <c r="O28" s="26" t="s">
        <v>80</v>
      </c>
      <c r="P28" s="26" t="s">
        <v>102</v>
      </c>
      <c r="Q28" s="26" t="s">
        <v>82</v>
      </c>
      <c r="R28" s="26" t="s">
        <v>144</v>
      </c>
      <c r="S28" s="26" t="s">
        <v>104</v>
      </c>
      <c r="T28" s="26" t="s">
        <v>82</v>
      </c>
      <c r="U28" s="26" t="s">
        <v>101</v>
      </c>
      <c r="V28" s="26" t="s">
        <v>86</v>
      </c>
      <c r="W28" s="26" t="s">
        <v>86</v>
      </c>
      <c r="X28" s="26" t="s">
        <v>86</v>
      </c>
      <c r="Y28" s="26" t="s">
        <v>78</v>
      </c>
      <c r="Z28" s="26" t="s">
        <v>78</v>
      </c>
      <c r="AA28" s="27">
        <v>1.6308333333333336</v>
      </c>
      <c r="AB28" s="27">
        <v>0</v>
      </c>
      <c r="AC28" s="27">
        <v>0</v>
      </c>
      <c r="AD28" s="27">
        <v>1.6308333333333336</v>
      </c>
      <c r="AE28" s="27">
        <v>0</v>
      </c>
      <c r="AF28" s="27">
        <v>0</v>
      </c>
      <c r="AG28" s="27">
        <v>1.6308333333333336</v>
      </c>
      <c r="AH28" s="27">
        <v>0</v>
      </c>
      <c r="AI28" s="27">
        <v>0</v>
      </c>
      <c r="AJ28" s="27">
        <v>0</v>
      </c>
      <c r="AK28" s="27">
        <v>0</v>
      </c>
      <c r="AL28" s="27">
        <v>0</v>
      </c>
      <c r="AM28" s="27">
        <v>0</v>
      </c>
      <c r="AN28" s="27">
        <v>1.6308333333333336</v>
      </c>
      <c r="AO28" s="28">
        <v>0.38681655595298936</v>
      </c>
      <c r="AP28" s="29">
        <v>0.81541666666666679</v>
      </c>
      <c r="AQ28" s="29">
        <v>0.81541666666666679</v>
      </c>
      <c r="AR28" s="30"/>
      <c r="AT28" s="31">
        <v>201829</v>
      </c>
      <c r="AU28" s="31">
        <v>21</v>
      </c>
      <c r="AV28" s="31">
        <v>184</v>
      </c>
      <c r="AW28" s="31">
        <v>0</v>
      </c>
      <c r="AX28" s="31">
        <v>63</v>
      </c>
      <c r="AY28" s="32" t="s">
        <v>105</v>
      </c>
      <c r="AZ28" s="31">
        <v>3</v>
      </c>
      <c r="BA28" s="31">
        <v>1</v>
      </c>
      <c r="BB28" s="31"/>
      <c r="BC28" s="31" t="s">
        <v>107</v>
      </c>
      <c r="BD28" s="31"/>
      <c r="BE28" s="33" t="s">
        <v>109</v>
      </c>
      <c r="BF28" s="31" t="s">
        <v>94</v>
      </c>
      <c r="BG28" s="31" t="s">
        <v>94</v>
      </c>
      <c r="BH28" s="31" t="s">
        <v>94</v>
      </c>
      <c r="BI28" s="31" t="s">
        <v>94</v>
      </c>
      <c r="BK28" s="31">
        <v>0</v>
      </c>
      <c r="BL28" s="31">
        <v>0</v>
      </c>
      <c r="BM28" s="31">
        <v>22</v>
      </c>
      <c r="BN28" s="31">
        <v>5</v>
      </c>
      <c r="BO28" s="31">
        <v>17</v>
      </c>
      <c r="BQ28" s="31">
        <v>16</v>
      </c>
      <c r="BR28" s="31">
        <v>56</v>
      </c>
      <c r="BS28" s="31">
        <v>186</v>
      </c>
    </row>
    <row r="29" spans="1:71" ht="18.75" hidden="1" customHeight="1">
      <c r="A29" s="25">
        <v>9833</v>
      </c>
      <c r="B29" s="25" t="s">
        <v>189</v>
      </c>
      <c r="C29" s="25" t="s">
        <v>190</v>
      </c>
      <c r="D29" s="35" t="s">
        <v>191</v>
      </c>
      <c r="E29" s="26" t="s">
        <v>192</v>
      </c>
      <c r="F29" s="26" t="s">
        <v>193</v>
      </c>
      <c r="G29" s="26" t="s">
        <v>194</v>
      </c>
      <c r="H29" s="26" t="s">
        <v>74</v>
      </c>
      <c r="I29" s="26" t="s">
        <v>75</v>
      </c>
      <c r="J29" s="26" t="s">
        <v>76</v>
      </c>
      <c r="K29" s="26" t="s">
        <v>77</v>
      </c>
      <c r="L29" s="26" t="s">
        <v>78</v>
      </c>
      <c r="M29" s="26" t="s">
        <v>100</v>
      </c>
      <c r="N29" s="26" t="s">
        <v>101</v>
      </c>
      <c r="O29" s="26" t="s">
        <v>80</v>
      </c>
      <c r="P29" s="26" t="s">
        <v>195</v>
      </c>
      <c r="Q29" s="26" t="s">
        <v>82</v>
      </c>
      <c r="R29" s="26" t="s">
        <v>196</v>
      </c>
      <c r="S29" s="26" t="s">
        <v>104</v>
      </c>
      <c r="T29" s="26" t="s">
        <v>82</v>
      </c>
      <c r="U29" s="26" t="s">
        <v>101</v>
      </c>
      <c r="V29" s="26" t="s">
        <v>86</v>
      </c>
      <c r="W29" s="26" t="s">
        <v>86</v>
      </c>
      <c r="X29" s="26" t="s">
        <v>86</v>
      </c>
      <c r="Y29" s="26" t="s">
        <v>78</v>
      </c>
      <c r="Z29" s="26" t="s">
        <v>78</v>
      </c>
      <c r="AA29" s="27">
        <v>8.7316666666666691</v>
      </c>
      <c r="AB29" s="27">
        <v>0</v>
      </c>
      <c r="AC29" s="27">
        <v>0</v>
      </c>
      <c r="AD29" s="27">
        <v>8.7316666666666691</v>
      </c>
      <c r="AE29" s="27">
        <v>0</v>
      </c>
      <c r="AF29" s="27">
        <v>0</v>
      </c>
      <c r="AG29" s="27">
        <v>8.331666666666667</v>
      </c>
      <c r="AH29" s="27">
        <v>0</v>
      </c>
      <c r="AI29" s="27">
        <v>0.39999999999999997</v>
      </c>
      <c r="AJ29" s="27">
        <v>0</v>
      </c>
      <c r="AK29" s="27">
        <v>0</v>
      </c>
      <c r="AL29" s="27">
        <v>0.11041666666666666</v>
      </c>
      <c r="AM29" s="27">
        <v>0</v>
      </c>
      <c r="AN29" s="27">
        <v>8.8420833333333366</v>
      </c>
      <c r="AO29" s="28">
        <v>0.91687479383629433</v>
      </c>
      <c r="AP29" s="29">
        <v>4.4210416666666683</v>
      </c>
      <c r="AQ29" s="29">
        <v>4.4210416666666683</v>
      </c>
      <c r="AR29" s="30"/>
      <c r="AT29" s="36">
        <v>675757</v>
      </c>
      <c r="AU29" s="37">
        <v>16</v>
      </c>
      <c r="AV29" s="37">
        <v>0</v>
      </c>
      <c r="AW29" s="37">
        <v>0</v>
      </c>
      <c r="AX29" s="37">
        <v>1</v>
      </c>
      <c r="AY29" s="32"/>
      <c r="AZ29" s="31">
        <v>3</v>
      </c>
      <c r="BA29" s="31">
        <v>1</v>
      </c>
      <c r="BB29" s="31" t="s">
        <v>197</v>
      </c>
      <c r="BC29" s="31" t="s">
        <v>198</v>
      </c>
      <c r="BD29" s="31" t="s">
        <v>199</v>
      </c>
      <c r="BE29" s="38" t="s">
        <v>200</v>
      </c>
      <c r="BF29" s="31" t="s">
        <v>94</v>
      </c>
      <c r="BG29" s="31" t="s">
        <v>94</v>
      </c>
      <c r="BH29" s="31" t="s">
        <v>94</v>
      </c>
      <c r="BI29" s="31" t="s">
        <v>94</v>
      </c>
      <c r="BK29" s="31">
        <v>0</v>
      </c>
      <c r="BL29" s="31">
        <v>0</v>
      </c>
      <c r="BM29" s="31">
        <v>36</v>
      </c>
      <c r="BN29" s="31">
        <v>7</v>
      </c>
      <c r="BO29" s="31">
        <v>161</v>
      </c>
      <c r="BQ29" s="31">
        <v>21</v>
      </c>
      <c r="BR29" s="31">
        <v>7</v>
      </c>
      <c r="BS29" s="31">
        <v>142</v>
      </c>
    </row>
    <row r="30" spans="1:71" ht="18.75" customHeight="1">
      <c r="A30" s="25">
        <v>9834</v>
      </c>
      <c r="B30" s="25" t="s">
        <v>201</v>
      </c>
      <c r="C30" s="25" t="s">
        <v>202</v>
      </c>
      <c r="D30" s="39" t="s">
        <v>203</v>
      </c>
      <c r="E30" s="26" t="s">
        <v>204</v>
      </c>
      <c r="F30" s="26" t="s">
        <v>193</v>
      </c>
      <c r="G30" s="26" t="s">
        <v>205</v>
      </c>
      <c r="H30" s="26" t="s">
        <v>74</v>
      </c>
      <c r="I30" s="26" t="s">
        <v>75</v>
      </c>
      <c r="J30" s="26" t="s">
        <v>76</v>
      </c>
      <c r="K30" s="26" t="s">
        <v>77</v>
      </c>
      <c r="L30" s="26" t="s">
        <v>86</v>
      </c>
      <c r="M30" s="26" t="s">
        <v>100</v>
      </c>
      <c r="N30" s="26" t="s">
        <v>101</v>
      </c>
      <c r="O30" s="26" t="s">
        <v>80</v>
      </c>
      <c r="P30" s="26" t="s">
        <v>206</v>
      </c>
      <c r="Q30" s="26" t="s">
        <v>82</v>
      </c>
      <c r="R30" s="26" t="s">
        <v>207</v>
      </c>
      <c r="S30" s="26" t="s">
        <v>104</v>
      </c>
      <c r="T30" s="26" t="s">
        <v>82</v>
      </c>
      <c r="U30" s="26" t="s">
        <v>101</v>
      </c>
      <c r="V30" s="26" t="s">
        <v>86</v>
      </c>
      <c r="W30" s="26" t="s">
        <v>86</v>
      </c>
      <c r="X30" s="26" t="s">
        <v>86</v>
      </c>
      <c r="Y30" s="26" t="s">
        <v>78</v>
      </c>
      <c r="Z30" s="26" t="s">
        <v>78</v>
      </c>
      <c r="AA30" s="40">
        <v>0.13333333333333333</v>
      </c>
      <c r="AB30" s="40">
        <v>0</v>
      </c>
      <c r="AC30" s="40">
        <v>0</v>
      </c>
      <c r="AD30" s="40">
        <v>0.13333333333333333</v>
      </c>
      <c r="AE30" s="40">
        <v>0</v>
      </c>
      <c r="AF30" s="40">
        <v>0</v>
      </c>
      <c r="AG30" s="40">
        <v>3.3333333333333333E-2</v>
      </c>
      <c r="AH30" s="40">
        <v>0</v>
      </c>
      <c r="AI30" s="40">
        <v>9.9999999999999992E-2</v>
      </c>
      <c r="AJ30" s="40">
        <v>0</v>
      </c>
      <c r="AK30" s="40">
        <v>0</v>
      </c>
      <c r="AL30" s="40">
        <v>0.2</v>
      </c>
      <c r="AM30" s="40">
        <v>0</v>
      </c>
      <c r="AN30" s="27">
        <f>AA30+AL30+AM30</f>
        <v>0.33333333333333337</v>
      </c>
      <c r="AO30" s="28">
        <v>0.32584269662921345</v>
      </c>
      <c r="AP30" s="29">
        <v>0.18541666666666667</v>
      </c>
      <c r="AQ30" s="29">
        <v>0.18541666666666667</v>
      </c>
      <c r="AR30" s="30" t="s">
        <v>208</v>
      </c>
      <c r="AT30" s="31">
        <v>183197</v>
      </c>
      <c r="AU30" s="31">
        <v>54</v>
      </c>
      <c r="AV30" s="31">
        <v>21</v>
      </c>
      <c r="AW30" s="31">
        <v>2</v>
      </c>
      <c r="AX30" s="31">
        <v>795</v>
      </c>
      <c r="AY30" s="32"/>
      <c r="AZ30" s="31">
        <v>3</v>
      </c>
      <c r="BA30" s="31">
        <v>1</v>
      </c>
      <c r="BB30" s="31" t="s">
        <v>209</v>
      </c>
      <c r="BC30" s="31" t="s">
        <v>210</v>
      </c>
      <c r="BD30" s="31" t="s">
        <v>211</v>
      </c>
      <c r="BE30" s="33" t="s">
        <v>212</v>
      </c>
      <c r="BF30" s="31" t="s">
        <v>213</v>
      </c>
      <c r="BG30" s="31" t="s">
        <v>156</v>
      </c>
      <c r="BH30" s="31" t="s">
        <v>213</v>
      </c>
      <c r="BI30" s="31"/>
      <c r="BK30" s="31">
        <v>0</v>
      </c>
      <c r="BL30" s="31">
        <v>0</v>
      </c>
      <c r="BM30" s="31">
        <v>14</v>
      </c>
      <c r="BN30" s="31">
        <v>4</v>
      </c>
      <c r="BO30" s="31">
        <v>51</v>
      </c>
      <c r="BQ30" s="31">
        <v>6</v>
      </c>
      <c r="BR30" s="31">
        <v>0</v>
      </c>
      <c r="BS30" s="31">
        <v>37</v>
      </c>
    </row>
    <row r="31" spans="1:71" ht="18.75" hidden="1" customHeight="1">
      <c r="A31" s="25">
        <v>9835</v>
      </c>
      <c r="B31" s="25" t="s">
        <v>214</v>
      </c>
      <c r="C31" s="25" t="s">
        <v>215</v>
      </c>
      <c r="D31" s="39" t="s">
        <v>216</v>
      </c>
      <c r="E31" s="26" t="s">
        <v>217</v>
      </c>
      <c r="F31" s="26" t="s">
        <v>193</v>
      </c>
      <c r="G31" s="26" t="s">
        <v>218</v>
      </c>
      <c r="H31" s="26" t="s">
        <v>74</v>
      </c>
      <c r="I31" s="26" t="s">
        <v>75</v>
      </c>
      <c r="J31" s="26" t="s">
        <v>76</v>
      </c>
      <c r="K31" s="26" t="s">
        <v>77</v>
      </c>
      <c r="L31" s="26" t="s">
        <v>86</v>
      </c>
      <c r="M31" s="26" t="s">
        <v>100</v>
      </c>
      <c r="N31" s="26" t="s">
        <v>101</v>
      </c>
      <c r="O31" s="26" t="s">
        <v>80</v>
      </c>
      <c r="P31" s="26" t="s">
        <v>206</v>
      </c>
      <c r="Q31" s="26" t="s">
        <v>82</v>
      </c>
      <c r="R31" s="26" t="s">
        <v>219</v>
      </c>
      <c r="S31" s="26" t="s">
        <v>104</v>
      </c>
      <c r="T31" s="26" t="s">
        <v>82</v>
      </c>
      <c r="U31" s="26" t="s">
        <v>101</v>
      </c>
      <c r="V31" s="26" t="s">
        <v>86</v>
      </c>
      <c r="W31" s="26" t="s">
        <v>86</v>
      </c>
      <c r="X31" s="26" t="s">
        <v>86</v>
      </c>
      <c r="Y31" s="26" t="s">
        <v>78</v>
      </c>
      <c r="Z31" s="26" t="s">
        <v>78</v>
      </c>
      <c r="AA31" s="27">
        <v>29.379874999999988</v>
      </c>
      <c r="AB31" s="27">
        <v>9.5890416666666631</v>
      </c>
      <c r="AC31" s="27">
        <v>0</v>
      </c>
      <c r="AD31" s="27">
        <v>19.790833333333328</v>
      </c>
      <c r="AE31" s="27">
        <v>0</v>
      </c>
      <c r="AF31" s="27">
        <v>2</v>
      </c>
      <c r="AG31" s="27">
        <v>27.379874999999995</v>
      </c>
      <c r="AH31" s="27">
        <v>0</v>
      </c>
      <c r="AI31" s="27">
        <v>0</v>
      </c>
      <c r="AJ31" s="27">
        <v>0</v>
      </c>
      <c r="AK31" s="27">
        <v>0</v>
      </c>
      <c r="AL31" s="27">
        <v>5.6166666666666663</v>
      </c>
      <c r="AM31" s="27">
        <v>0</v>
      </c>
      <c r="AN31" s="27">
        <v>34.996541666666651</v>
      </c>
      <c r="AO31" s="28">
        <v>0.90522873093412803</v>
      </c>
      <c r="AP31" s="29">
        <v>17.498270833333326</v>
      </c>
      <c r="AQ31" s="29">
        <v>17.498270833333326</v>
      </c>
      <c r="AR31" s="30"/>
      <c r="AT31" s="41" t="s">
        <v>220</v>
      </c>
      <c r="AU31" s="31">
        <v>600</v>
      </c>
      <c r="AV31" s="31">
        <v>170</v>
      </c>
      <c r="AW31" s="31">
        <v>0</v>
      </c>
      <c r="AX31" s="31">
        <v>280</v>
      </c>
      <c r="AY31" s="32"/>
      <c r="AZ31" s="31">
        <v>3</v>
      </c>
      <c r="BA31" s="31">
        <v>1</v>
      </c>
      <c r="BB31" s="31" t="s">
        <v>209</v>
      </c>
      <c r="BC31" s="42" t="s">
        <v>221</v>
      </c>
      <c r="BD31" s="31" t="s">
        <v>222</v>
      </c>
      <c r="BE31" s="41" t="s">
        <v>223</v>
      </c>
      <c r="BF31" s="31" t="s">
        <v>213</v>
      </c>
      <c r="BG31" s="31" t="s">
        <v>94</v>
      </c>
      <c r="BH31" s="31" t="s">
        <v>94</v>
      </c>
      <c r="BI31" s="31" t="s">
        <v>213</v>
      </c>
      <c r="BK31" s="31">
        <v>0</v>
      </c>
      <c r="BL31" s="31">
        <v>1</v>
      </c>
      <c r="BM31" s="31">
        <v>68</v>
      </c>
      <c r="BN31" s="31">
        <v>97</v>
      </c>
      <c r="BO31" s="31">
        <v>415</v>
      </c>
      <c r="BQ31" s="31">
        <v>20</v>
      </c>
      <c r="BR31" s="31">
        <v>34</v>
      </c>
      <c r="BS31" s="31">
        <v>554</v>
      </c>
    </row>
    <row r="32" spans="1:71" ht="18.75" customHeight="1">
      <c r="A32" s="25">
        <v>9836</v>
      </c>
      <c r="B32" s="25" t="s">
        <v>224</v>
      </c>
      <c r="C32" s="25" t="s">
        <v>225</v>
      </c>
      <c r="D32" s="39" t="s">
        <v>226</v>
      </c>
      <c r="E32" s="26" t="s">
        <v>204</v>
      </c>
      <c r="F32" s="26" t="s">
        <v>193</v>
      </c>
      <c r="G32" s="26" t="s">
        <v>205</v>
      </c>
      <c r="H32" s="26" t="s">
        <v>74</v>
      </c>
      <c r="I32" s="26" t="s">
        <v>75</v>
      </c>
      <c r="J32" s="26" t="s">
        <v>76</v>
      </c>
      <c r="K32" s="26" t="s">
        <v>77</v>
      </c>
      <c r="L32" s="26" t="s">
        <v>86</v>
      </c>
      <c r="M32" s="26" t="s">
        <v>100</v>
      </c>
      <c r="N32" s="26" t="s">
        <v>101</v>
      </c>
      <c r="O32" s="26" t="s">
        <v>80</v>
      </c>
      <c r="P32" s="26" t="s">
        <v>206</v>
      </c>
      <c r="Q32" s="26" t="s">
        <v>82</v>
      </c>
      <c r="R32" s="26" t="s">
        <v>207</v>
      </c>
      <c r="S32" s="26" t="s">
        <v>104</v>
      </c>
      <c r="T32" s="26" t="s">
        <v>82</v>
      </c>
      <c r="U32" s="26" t="s">
        <v>101</v>
      </c>
      <c r="V32" s="26" t="s">
        <v>86</v>
      </c>
      <c r="W32" s="26" t="s">
        <v>86</v>
      </c>
      <c r="X32" s="26" t="s">
        <v>86</v>
      </c>
      <c r="Y32" s="26" t="s">
        <v>78</v>
      </c>
      <c r="Z32" s="26" t="s">
        <v>78</v>
      </c>
      <c r="AA32" s="40">
        <v>2.2883333333333336</v>
      </c>
      <c r="AB32" s="40">
        <v>0</v>
      </c>
      <c r="AC32" s="40">
        <v>0</v>
      </c>
      <c r="AD32" s="40">
        <v>2.2883333333333331</v>
      </c>
      <c r="AE32" s="40">
        <v>0</v>
      </c>
      <c r="AF32" s="40">
        <v>0</v>
      </c>
      <c r="AG32" s="40">
        <v>2.1883333333333335</v>
      </c>
      <c r="AH32" s="40">
        <v>0</v>
      </c>
      <c r="AI32" s="40">
        <v>9.9999999999999992E-2</v>
      </c>
      <c r="AJ32" s="40">
        <v>0</v>
      </c>
      <c r="AK32" s="40">
        <v>0</v>
      </c>
      <c r="AL32" s="40">
        <v>0.23749999999999999</v>
      </c>
      <c r="AM32" s="40">
        <v>0</v>
      </c>
      <c r="AN32" s="27">
        <f>AA32+AL32+AM32</f>
        <v>2.5258333333333334</v>
      </c>
      <c r="AO32" s="28">
        <v>0.90102276476410426</v>
      </c>
      <c r="AP32" s="29">
        <v>1.2629166666666665</v>
      </c>
      <c r="AQ32" s="29">
        <v>1.2629166666666665</v>
      </c>
      <c r="AR32" s="30" t="s">
        <v>208</v>
      </c>
      <c r="AT32" s="31">
        <v>125022</v>
      </c>
      <c r="AU32" s="31">
        <v>24</v>
      </c>
      <c r="AV32" s="31">
        <v>0</v>
      </c>
      <c r="AW32" s="31">
        <v>3</v>
      </c>
      <c r="AX32" s="31">
        <v>14</v>
      </c>
      <c r="AY32" s="32"/>
      <c r="AZ32" s="31">
        <v>3</v>
      </c>
      <c r="BA32" s="31">
        <v>1</v>
      </c>
      <c r="BB32" s="31" t="s">
        <v>209</v>
      </c>
      <c r="BC32" s="31" t="s">
        <v>210</v>
      </c>
      <c r="BD32" s="31" t="s">
        <v>227</v>
      </c>
      <c r="BE32" s="33" t="s">
        <v>212</v>
      </c>
      <c r="BF32" s="31" t="s">
        <v>94</v>
      </c>
      <c r="BG32" s="31" t="s">
        <v>94</v>
      </c>
      <c r="BH32" s="31" t="s">
        <v>94</v>
      </c>
      <c r="BI32" s="31" t="s">
        <v>94</v>
      </c>
      <c r="BK32" s="31">
        <v>0</v>
      </c>
      <c r="BL32" s="31">
        <v>0</v>
      </c>
      <c r="BM32" s="31">
        <v>2</v>
      </c>
      <c r="BN32" s="31">
        <v>6</v>
      </c>
      <c r="BO32" s="31">
        <v>50</v>
      </c>
      <c r="BQ32" s="31">
        <v>1</v>
      </c>
      <c r="BR32" s="31">
        <v>0</v>
      </c>
      <c r="BS32" s="31">
        <v>31</v>
      </c>
    </row>
    <row r="33" spans="1:71" ht="18.75" customHeight="1">
      <c r="A33" s="25">
        <v>9842</v>
      </c>
      <c r="B33" s="25" t="s">
        <v>228</v>
      </c>
      <c r="C33" s="25" t="s">
        <v>229</v>
      </c>
      <c r="D33" s="35" t="s">
        <v>230</v>
      </c>
      <c r="E33" s="26" t="s">
        <v>204</v>
      </c>
      <c r="F33" s="26" t="s">
        <v>193</v>
      </c>
      <c r="G33" s="26" t="s">
        <v>205</v>
      </c>
      <c r="H33" s="26" t="s">
        <v>74</v>
      </c>
      <c r="I33" s="26" t="s">
        <v>75</v>
      </c>
      <c r="J33" s="26" t="s">
        <v>76</v>
      </c>
      <c r="K33" s="26" t="s">
        <v>77</v>
      </c>
      <c r="L33" s="26" t="s">
        <v>78</v>
      </c>
      <c r="M33" s="26" t="s">
        <v>100</v>
      </c>
      <c r="N33" s="26" t="s">
        <v>101</v>
      </c>
      <c r="O33" s="26" t="s">
        <v>80</v>
      </c>
      <c r="P33" s="26" t="s">
        <v>231</v>
      </c>
      <c r="Q33" s="26" t="s">
        <v>82</v>
      </c>
      <c r="R33" s="26" t="s">
        <v>232</v>
      </c>
      <c r="S33" s="26" t="s">
        <v>104</v>
      </c>
      <c r="T33" s="26" t="s">
        <v>82</v>
      </c>
      <c r="U33" s="26" t="s">
        <v>101</v>
      </c>
      <c r="V33" s="26" t="s">
        <v>86</v>
      </c>
      <c r="W33" s="26" t="s">
        <v>86</v>
      </c>
      <c r="X33" s="26" t="s">
        <v>86</v>
      </c>
      <c r="Y33" s="26" t="s">
        <v>78</v>
      </c>
      <c r="Z33" s="26" t="s">
        <v>78</v>
      </c>
      <c r="AA33" s="40">
        <v>2.63625</v>
      </c>
      <c r="AB33" s="40">
        <v>0</v>
      </c>
      <c r="AC33" s="40">
        <v>0</v>
      </c>
      <c r="AD33" s="40">
        <v>2.6362500000000004</v>
      </c>
      <c r="AE33" s="40">
        <v>0</v>
      </c>
      <c r="AF33" s="40">
        <v>0</v>
      </c>
      <c r="AG33" s="40">
        <v>2.6362500000000004</v>
      </c>
      <c r="AH33" s="40">
        <v>0</v>
      </c>
      <c r="AI33" s="40">
        <v>0</v>
      </c>
      <c r="AJ33" s="40">
        <v>0</v>
      </c>
      <c r="AK33" s="40">
        <v>0</v>
      </c>
      <c r="AL33" s="40">
        <v>0.25</v>
      </c>
      <c r="AM33" s="40">
        <v>0</v>
      </c>
      <c r="AN33" s="27">
        <f>AA33+AL33+AM33</f>
        <v>2.88625</v>
      </c>
      <c r="AO33" s="28">
        <v>0.90298830662624519</v>
      </c>
      <c r="AP33" s="29">
        <v>1.4431250000000002</v>
      </c>
      <c r="AQ33" s="29">
        <v>1.4431250000000002</v>
      </c>
      <c r="AR33" s="30" t="s">
        <v>208</v>
      </c>
      <c r="AT33" s="31">
        <v>311649</v>
      </c>
      <c r="AU33" s="31">
        <v>48</v>
      </c>
      <c r="AV33" s="31">
        <v>9</v>
      </c>
      <c r="AW33" s="31">
        <v>2</v>
      </c>
      <c r="AX33" s="31">
        <v>46</v>
      </c>
      <c r="AY33" s="32"/>
      <c r="AZ33" s="31">
        <v>3</v>
      </c>
      <c r="BA33" s="31">
        <v>1</v>
      </c>
      <c r="BB33" s="31" t="s">
        <v>209</v>
      </c>
      <c r="BC33" s="31" t="s">
        <v>233</v>
      </c>
      <c r="BD33" s="31" t="s">
        <v>234</v>
      </c>
      <c r="BE33" s="33" t="s">
        <v>212</v>
      </c>
      <c r="BF33" s="31" t="s">
        <v>94</v>
      </c>
      <c r="BG33" s="31" t="s">
        <v>94</v>
      </c>
      <c r="BH33" s="31" t="s">
        <v>94</v>
      </c>
      <c r="BI33" s="31" t="s">
        <v>94</v>
      </c>
      <c r="BK33" s="31">
        <v>0</v>
      </c>
      <c r="BL33" s="31">
        <v>0</v>
      </c>
      <c r="BM33" s="31">
        <v>10</v>
      </c>
      <c r="BN33" s="31">
        <v>0</v>
      </c>
      <c r="BO33" s="31">
        <v>35</v>
      </c>
      <c r="BQ33" s="31">
        <v>5</v>
      </c>
      <c r="BR33" s="31">
        <v>4</v>
      </c>
      <c r="BS33" s="31">
        <v>29</v>
      </c>
    </row>
    <row r="34" spans="1:71" ht="18.75" hidden="1" customHeight="1">
      <c r="A34" s="25">
        <v>9843</v>
      </c>
      <c r="B34" s="25" t="s">
        <v>235</v>
      </c>
      <c r="C34" s="25" t="s">
        <v>236</v>
      </c>
      <c r="D34" s="35" t="s">
        <v>237</v>
      </c>
      <c r="E34" s="26" t="s">
        <v>238</v>
      </c>
      <c r="F34" s="26" t="s">
        <v>193</v>
      </c>
      <c r="G34" s="26" t="s">
        <v>239</v>
      </c>
      <c r="H34" s="26" t="s">
        <v>74</v>
      </c>
      <c r="I34" s="26" t="s">
        <v>75</v>
      </c>
      <c r="J34" s="26" t="s">
        <v>76</v>
      </c>
      <c r="K34" s="26" t="s">
        <v>77</v>
      </c>
      <c r="L34" s="26" t="s">
        <v>78</v>
      </c>
      <c r="M34" s="26" t="s">
        <v>100</v>
      </c>
      <c r="N34" s="26" t="s">
        <v>101</v>
      </c>
      <c r="O34" s="26" t="s">
        <v>80</v>
      </c>
      <c r="P34" s="26" t="s">
        <v>240</v>
      </c>
      <c r="Q34" s="26" t="s">
        <v>82</v>
      </c>
      <c r="R34" s="26" t="s">
        <v>207</v>
      </c>
      <c r="S34" s="26" t="s">
        <v>104</v>
      </c>
      <c r="T34" s="26" t="s">
        <v>82</v>
      </c>
      <c r="U34" s="26" t="s">
        <v>101</v>
      </c>
      <c r="V34" s="26" t="s">
        <v>86</v>
      </c>
      <c r="W34" s="26" t="s">
        <v>86</v>
      </c>
      <c r="X34" s="26" t="s">
        <v>86</v>
      </c>
      <c r="Y34" s="26" t="s">
        <v>78</v>
      </c>
      <c r="Z34" s="26" t="s">
        <v>78</v>
      </c>
      <c r="AA34" s="27">
        <v>1.2120833333333334</v>
      </c>
      <c r="AB34" s="27">
        <v>0</v>
      </c>
      <c r="AC34" s="27">
        <v>0</v>
      </c>
      <c r="AD34" s="27">
        <v>1.2120833333333334</v>
      </c>
      <c r="AE34" s="27">
        <v>0</v>
      </c>
      <c r="AF34" s="27">
        <v>0</v>
      </c>
      <c r="AG34" s="27">
        <v>1.2120833333333334</v>
      </c>
      <c r="AH34" s="27">
        <v>0</v>
      </c>
      <c r="AI34" s="27">
        <v>0</v>
      </c>
      <c r="AJ34" s="27">
        <v>0</v>
      </c>
      <c r="AK34" s="27">
        <v>0</v>
      </c>
      <c r="AL34" s="27">
        <v>0.20833333333333334</v>
      </c>
      <c r="AM34" s="27">
        <v>0</v>
      </c>
      <c r="AN34" s="27">
        <v>1.4204166666666667</v>
      </c>
      <c r="AO34" s="28">
        <v>0.63596362569668519</v>
      </c>
      <c r="AP34" s="29">
        <v>0.71020833333333333</v>
      </c>
      <c r="AQ34" s="29">
        <v>0.71020833333333333</v>
      </c>
      <c r="AR34" s="30"/>
      <c r="AT34" s="31" t="s">
        <v>241</v>
      </c>
      <c r="AU34" s="31">
        <v>21</v>
      </c>
      <c r="AV34" s="31">
        <v>8</v>
      </c>
      <c r="AW34" s="31">
        <v>1</v>
      </c>
      <c r="AX34" s="31">
        <v>7</v>
      </c>
      <c r="AY34" s="32"/>
      <c r="AZ34" s="31">
        <v>3</v>
      </c>
      <c r="BA34" s="31">
        <v>1</v>
      </c>
      <c r="BB34" s="31" t="s">
        <v>209</v>
      </c>
      <c r="BC34" s="31" t="s">
        <v>198</v>
      </c>
      <c r="BD34" s="31" t="s">
        <v>242</v>
      </c>
      <c r="BE34" s="33" t="s">
        <v>212</v>
      </c>
      <c r="BF34" s="31" t="s">
        <v>94</v>
      </c>
      <c r="BG34" s="31" t="s">
        <v>94</v>
      </c>
      <c r="BH34" s="31" t="s">
        <v>94</v>
      </c>
      <c r="BI34" s="31" t="s">
        <v>94</v>
      </c>
      <c r="BK34" s="31">
        <v>0</v>
      </c>
      <c r="BL34" s="31">
        <v>0</v>
      </c>
      <c r="BM34" s="31">
        <v>5</v>
      </c>
      <c r="BN34" s="31">
        <v>4</v>
      </c>
      <c r="BO34" s="31">
        <v>25</v>
      </c>
      <c r="BQ34" s="31">
        <v>6</v>
      </c>
      <c r="BR34" s="31">
        <v>2</v>
      </c>
      <c r="BS34" s="31">
        <v>87</v>
      </c>
    </row>
    <row r="35" spans="1:71" ht="18.75" hidden="1" customHeight="1">
      <c r="A35" s="25">
        <v>9844</v>
      </c>
      <c r="B35" s="25" t="s">
        <v>243</v>
      </c>
      <c r="C35" s="25" t="s">
        <v>244</v>
      </c>
      <c r="D35" s="25" t="s">
        <v>245</v>
      </c>
      <c r="E35" s="26" t="s">
        <v>246</v>
      </c>
      <c r="F35" s="26" t="s">
        <v>72</v>
      </c>
      <c r="G35" s="26" t="s">
        <v>247</v>
      </c>
      <c r="H35" s="26" t="s">
        <v>74</v>
      </c>
      <c r="I35" s="26" t="s">
        <v>75</v>
      </c>
      <c r="J35" s="26" t="s">
        <v>76</v>
      </c>
      <c r="K35" s="26" t="s">
        <v>77</v>
      </c>
      <c r="L35" s="26" t="s">
        <v>86</v>
      </c>
      <c r="M35" s="26" t="s">
        <v>100</v>
      </c>
      <c r="N35" s="26" t="s">
        <v>101</v>
      </c>
      <c r="O35" s="26" t="s">
        <v>80</v>
      </c>
      <c r="P35" s="26" t="s">
        <v>206</v>
      </c>
      <c r="Q35" s="26" t="s">
        <v>82</v>
      </c>
      <c r="R35" s="26" t="s">
        <v>207</v>
      </c>
      <c r="S35" s="26" t="s">
        <v>104</v>
      </c>
      <c r="T35" s="26" t="s">
        <v>82</v>
      </c>
      <c r="U35" s="26" t="s">
        <v>101</v>
      </c>
      <c r="V35" s="26" t="s">
        <v>86</v>
      </c>
      <c r="W35" s="26" t="s">
        <v>86</v>
      </c>
      <c r="X35" s="26" t="s">
        <v>86</v>
      </c>
      <c r="Y35" s="26" t="s">
        <v>78</v>
      </c>
      <c r="Z35" s="26" t="s">
        <v>78</v>
      </c>
      <c r="AA35" s="27">
        <v>0.67083333333333339</v>
      </c>
      <c r="AB35" s="27">
        <v>0</v>
      </c>
      <c r="AC35" s="27">
        <v>0</v>
      </c>
      <c r="AD35" s="27">
        <v>0.67083333333333339</v>
      </c>
      <c r="AE35" s="27">
        <v>0</v>
      </c>
      <c r="AF35" s="27">
        <v>0</v>
      </c>
      <c r="AG35" s="27">
        <v>0.67083333333333339</v>
      </c>
      <c r="AH35" s="27">
        <v>0</v>
      </c>
      <c r="AI35" s="27">
        <v>0</v>
      </c>
      <c r="AJ35" s="27">
        <v>0</v>
      </c>
      <c r="AK35" s="27">
        <v>0</v>
      </c>
      <c r="AL35" s="27">
        <v>0.68333333333333324</v>
      </c>
      <c r="AM35" s="27">
        <v>0</v>
      </c>
      <c r="AN35" s="27">
        <v>1.3541666666666665</v>
      </c>
      <c r="AO35" s="28">
        <v>0.36923076923076931</v>
      </c>
      <c r="AP35" s="29">
        <v>0.67708333333333326</v>
      </c>
      <c r="AQ35" s="29">
        <v>0.67708333333333326</v>
      </c>
      <c r="AR35" s="30"/>
      <c r="AT35" s="31" t="s">
        <v>248</v>
      </c>
      <c r="AU35" s="31">
        <v>19</v>
      </c>
      <c r="AV35" s="31">
        <v>6</v>
      </c>
      <c r="AW35" s="31" t="s">
        <v>197</v>
      </c>
      <c r="AX35" s="31">
        <v>51</v>
      </c>
      <c r="AY35" s="32"/>
      <c r="AZ35" s="31">
        <v>3</v>
      </c>
      <c r="BA35" s="31">
        <v>1</v>
      </c>
      <c r="BB35" s="31" t="s">
        <v>249</v>
      </c>
      <c r="BC35" s="31" t="s">
        <v>250</v>
      </c>
      <c r="BD35" s="31" t="s">
        <v>250</v>
      </c>
      <c r="BE35" s="33" t="s">
        <v>251</v>
      </c>
      <c r="BF35" s="31" t="s">
        <v>148</v>
      </c>
      <c r="BG35" s="31" t="s">
        <v>156</v>
      </c>
      <c r="BH35" s="31" t="s">
        <v>156</v>
      </c>
      <c r="BI35" s="31" t="s">
        <v>156</v>
      </c>
      <c r="BK35" s="31">
        <v>0</v>
      </c>
      <c r="BL35" s="31">
        <v>0</v>
      </c>
      <c r="BM35" s="31">
        <v>5</v>
      </c>
      <c r="BN35" s="31">
        <v>3</v>
      </c>
      <c r="BO35" s="31">
        <v>23</v>
      </c>
      <c r="BQ35" s="31">
        <v>7</v>
      </c>
      <c r="BR35" s="31">
        <v>0</v>
      </c>
      <c r="BS35" s="31">
        <v>17</v>
      </c>
    </row>
    <row r="36" spans="1:71" ht="18.75" hidden="1" customHeight="1">
      <c r="A36" s="25">
        <v>9845</v>
      </c>
      <c r="B36" s="25" t="s">
        <v>252</v>
      </c>
      <c r="C36" s="25" t="s">
        <v>253</v>
      </c>
      <c r="D36" s="35" t="s">
        <v>254</v>
      </c>
      <c r="E36" s="26" t="s">
        <v>192</v>
      </c>
      <c r="F36" s="26" t="s">
        <v>193</v>
      </c>
      <c r="G36" s="26" t="s">
        <v>194</v>
      </c>
      <c r="H36" s="26" t="s">
        <v>74</v>
      </c>
      <c r="I36" s="26" t="s">
        <v>75</v>
      </c>
      <c r="J36" s="26" t="s">
        <v>76</v>
      </c>
      <c r="K36" s="26" t="s">
        <v>77</v>
      </c>
      <c r="L36" s="26" t="s">
        <v>78</v>
      </c>
      <c r="M36" s="26" t="s">
        <v>100</v>
      </c>
      <c r="N36" s="26" t="s">
        <v>101</v>
      </c>
      <c r="O36" s="26" t="s">
        <v>80</v>
      </c>
      <c r="P36" s="26" t="s">
        <v>255</v>
      </c>
      <c r="Q36" s="26" t="s">
        <v>82</v>
      </c>
      <c r="R36" s="26" t="s">
        <v>207</v>
      </c>
      <c r="S36" s="26" t="s">
        <v>104</v>
      </c>
      <c r="T36" s="26" t="s">
        <v>82</v>
      </c>
      <c r="U36" s="26" t="s">
        <v>101</v>
      </c>
      <c r="V36" s="26" t="s">
        <v>86</v>
      </c>
      <c r="W36" s="26" t="s">
        <v>86</v>
      </c>
      <c r="X36" s="26" t="s">
        <v>86</v>
      </c>
      <c r="Y36" s="26" t="s">
        <v>78</v>
      </c>
      <c r="Z36" s="26" t="s">
        <v>78</v>
      </c>
      <c r="AA36" s="27">
        <v>3.4049166666666668</v>
      </c>
      <c r="AB36" s="27">
        <v>0</v>
      </c>
      <c r="AC36" s="27">
        <v>0</v>
      </c>
      <c r="AD36" s="27">
        <v>3.4049166666666668</v>
      </c>
      <c r="AE36" s="27">
        <v>0</v>
      </c>
      <c r="AF36" s="27">
        <v>0</v>
      </c>
      <c r="AG36" s="27">
        <v>2.8632499999999999</v>
      </c>
      <c r="AH36" s="27">
        <v>0</v>
      </c>
      <c r="AI36" s="27">
        <v>0.54166666666666663</v>
      </c>
      <c r="AJ36" s="27">
        <v>0</v>
      </c>
      <c r="AK36" s="27">
        <v>0</v>
      </c>
      <c r="AL36" s="27">
        <v>0</v>
      </c>
      <c r="AM36" s="27">
        <v>0</v>
      </c>
      <c r="AN36" s="27">
        <v>3.4049166666666668</v>
      </c>
      <c r="AO36" s="28">
        <v>0.84091632198536437</v>
      </c>
      <c r="AP36" s="29">
        <v>1.7024583333333334</v>
      </c>
      <c r="AQ36" s="29">
        <v>1.7024583333333334</v>
      </c>
      <c r="AR36" s="30"/>
      <c r="AT36" s="31"/>
      <c r="AU36" s="31"/>
      <c r="AV36" s="31"/>
      <c r="AW36" s="31"/>
      <c r="AX36" s="31"/>
      <c r="AY36" s="32"/>
      <c r="AZ36" s="31">
        <v>3</v>
      </c>
      <c r="BA36" s="31">
        <v>1</v>
      </c>
      <c r="BB36" s="31" t="s">
        <v>197</v>
      </c>
      <c r="BC36" s="31" t="s">
        <v>198</v>
      </c>
      <c r="BD36" s="31" t="s">
        <v>256</v>
      </c>
      <c r="BE36" s="33"/>
      <c r="BF36" s="31" t="s">
        <v>94</v>
      </c>
      <c r="BG36" s="31" t="s">
        <v>94</v>
      </c>
      <c r="BH36" s="31" t="s">
        <v>94</v>
      </c>
      <c r="BI36" s="31" t="s">
        <v>94</v>
      </c>
      <c r="BK36" s="31">
        <v>0</v>
      </c>
      <c r="BL36" s="31">
        <v>0</v>
      </c>
      <c r="BM36" s="31">
        <v>27</v>
      </c>
      <c r="BN36" s="31">
        <v>12</v>
      </c>
      <c r="BO36" s="31">
        <v>118</v>
      </c>
      <c r="BQ36" s="31">
        <v>28</v>
      </c>
      <c r="BR36" s="31">
        <v>2</v>
      </c>
      <c r="BS36" s="31">
        <v>274</v>
      </c>
    </row>
    <row r="37" spans="1:71" ht="18.75" hidden="1" customHeight="1">
      <c r="A37" s="25">
        <v>9846</v>
      </c>
      <c r="B37" s="25" t="s">
        <v>257</v>
      </c>
      <c r="C37" s="25" t="s">
        <v>258</v>
      </c>
      <c r="D37" s="35" t="s">
        <v>259</v>
      </c>
      <c r="E37" s="26" t="s">
        <v>238</v>
      </c>
      <c r="F37" s="26" t="s">
        <v>193</v>
      </c>
      <c r="G37" s="26" t="s">
        <v>239</v>
      </c>
      <c r="H37" s="26" t="s">
        <v>74</v>
      </c>
      <c r="I37" s="26" t="s">
        <v>75</v>
      </c>
      <c r="J37" s="26" t="s">
        <v>76</v>
      </c>
      <c r="K37" s="26" t="s">
        <v>77</v>
      </c>
      <c r="L37" s="26" t="s">
        <v>78</v>
      </c>
      <c r="M37" s="26" t="s">
        <v>100</v>
      </c>
      <c r="N37" s="26" t="s">
        <v>101</v>
      </c>
      <c r="O37" s="26" t="s">
        <v>80</v>
      </c>
      <c r="P37" s="26" t="s">
        <v>231</v>
      </c>
      <c r="Q37" s="26" t="s">
        <v>82</v>
      </c>
      <c r="R37" s="26" t="s">
        <v>207</v>
      </c>
      <c r="S37" s="26" t="s">
        <v>104</v>
      </c>
      <c r="T37" s="26" t="s">
        <v>82</v>
      </c>
      <c r="U37" s="26" t="s">
        <v>101</v>
      </c>
      <c r="V37" s="26" t="s">
        <v>86</v>
      </c>
      <c r="W37" s="26" t="s">
        <v>86</v>
      </c>
      <c r="X37" s="26" t="s">
        <v>86</v>
      </c>
      <c r="Y37" s="26" t="s">
        <v>78</v>
      </c>
      <c r="Z37" s="26" t="s">
        <v>78</v>
      </c>
      <c r="AA37" s="27">
        <v>3.125E-2</v>
      </c>
      <c r="AB37" s="27">
        <v>0</v>
      </c>
      <c r="AC37" s="27">
        <v>0</v>
      </c>
      <c r="AD37" s="27">
        <v>3.125E-2</v>
      </c>
      <c r="AE37" s="27">
        <v>0</v>
      </c>
      <c r="AF37" s="27">
        <v>0</v>
      </c>
      <c r="AG37" s="27">
        <v>0</v>
      </c>
      <c r="AH37" s="27">
        <v>0</v>
      </c>
      <c r="AI37" s="27">
        <v>3.125E-2</v>
      </c>
      <c r="AJ37" s="27">
        <v>0</v>
      </c>
      <c r="AK37" s="27">
        <v>0</v>
      </c>
      <c r="AL37" s="27">
        <v>0.39999999999999997</v>
      </c>
      <c r="AM37" s="27">
        <v>0</v>
      </c>
      <c r="AN37" s="27">
        <v>0.43124999999999997</v>
      </c>
      <c r="AO37" s="28">
        <v>0.92753623188405798</v>
      </c>
      <c r="AP37" s="29">
        <v>0.21562499999999998</v>
      </c>
      <c r="AQ37" s="29">
        <v>0.21562499999999998</v>
      </c>
      <c r="AR37" s="30"/>
      <c r="AT37" s="31" t="s">
        <v>260</v>
      </c>
      <c r="AU37" s="31">
        <v>9</v>
      </c>
      <c r="AV37" s="31">
        <v>5</v>
      </c>
      <c r="AW37" s="31">
        <v>0</v>
      </c>
      <c r="AX37" s="31">
        <v>9</v>
      </c>
      <c r="AY37" s="32"/>
      <c r="AZ37" s="31">
        <v>3</v>
      </c>
      <c r="BA37" s="31">
        <v>1</v>
      </c>
      <c r="BB37" s="31" t="s">
        <v>209</v>
      </c>
      <c r="BC37" s="31" t="s">
        <v>198</v>
      </c>
      <c r="BD37" s="43" t="s">
        <v>261</v>
      </c>
      <c r="BE37" s="33" t="s">
        <v>212</v>
      </c>
      <c r="BF37" s="31" t="s">
        <v>156</v>
      </c>
      <c r="BG37" s="31" t="s">
        <v>156</v>
      </c>
      <c r="BH37" s="31" t="s">
        <v>156</v>
      </c>
      <c r="BI37" s="31" t="s">
        <v>156</v>
      </c>
      <c r="BK37" s="31">
        <v>0</v>
      </c>
      <c r="BL37" s="31">
        <v>0</v>
      </c>
      <c r="BM37" s="31">
        <v>0</v>
      </c>
      <c r="BN37" s="31">
        <v>4</v>
      </c>
      <c r="BO37" s="31">
        <v>51</v>
      </c>
      <c r="BQ37" s="31">
        <v>0</v>
      </c>
      <c r="BR37" s="31">
        <v>0</v>
      </c>
      <c r="BS37" s="31">
        <v>21</v>
      </c>
    </row>
    <row r="38" spans="1:71" ht="18.75" hidden="1" customHeight="1">
      <c r="A38" s="25">
        <v>9847</v>
      </c>
      <c r="B38" s="25" t="s">
        <v>262</v>
      </c>
      <c r="C38" s="25" t="s">
        <v>263</v>
      </c>
      <c r="D38" s="25" t="s">
        <v>264</v>
      </c>
      <c r="E38" s="26" t="s">
        <v>98</v>
      </c>
      <c r="F38" s="26" t="s">
        <v>72</v>
      </c>
      <c r="G38" s="26" t="s">
        <v>99</v>
      </c>
      <c r="H38" s="26" t="s">
        <v>74</v>
      </c>
      <c r="I38" s="26" t="s">
        <v>75</v>
      </c>
      <c r="J38" s="26" t="s">
        <v>76</v>
      </c>
      <c r="K38" s="26" t="s">
        <v>77</v>
      </c>
      <c r="L38" s="26" t="s">
        <v>78</v>
      </c>
      <c r="M38" s="26" t="s">
        <v>100</v>
      </c>
      <c r="N38" s="26" t="s">
        <v>101</v>
      </c>
      <c r="O38" s="26" t="s">
        <v>80</v>
      </c>
      <c r="P38" s="26" t="s">
        <v>231</v>
      </c>
      <c r="Q38" s="26" t="s">
        <v>82</v>
      </c>
      <c r="R38" s="26" t="s">
        <v>207</v>
      </c>
      <c r="S38" s="26" t="s">
        <v>104</v>
      </c>
      <c r="T38" s="26" t="s">
        <v>82</v>
      </c>
      <c r="U38" s="26" t="s">
        <v>101</v>
      </c>
      <c r="V38" s="26" t="s">
        <v>86</v>
      </c>
      <c r="W38" s="26" t="s">
        <v>86</v>
      </c>
      <c r="X38" s="26" t="s">
        <v>86</v>
      </c>
      <c r="Y38" s="26" t="s">
        <v>78</v>
      </c>
      <c r="Z38" s="26" t="s">
        <v>78</v>
      </c>
      <c r="AA38" s="27">
        <v>0.15262499999999998</v>
      </c>
      <c r="AB38" s="27">
        <v>0</v>
      </c>
      <c r="AC38" s="27">
        <v>0</v>
      </c>
      <c r="AD38" s="27">
        <v>0.15262499999999998</v>
      </c>
      <c r="AE38" s="27">
        <v>0</v>
      </c>
      <c r="AF38" s="27">
        <v>0</v>
      </c>
      <c r="AG38" s="27">
        <v>0.15262499999999998</v>
      </c>
      <c r="AH38" s="27">
        <v>0</v>
      </c>
      <c r="AI38" s="27">
        <v>0</v>
      </c>
      <c r="AJ38" s="27">
        <v>0</v>
      </c>
      <c r="AK38" s="27">
        <v>0</v>
      </c>
      <c r="AL38" s="27">
        <v>0.3</v>
      </c>
      <c r="AM38" s="27">
        <v>0</v>
      </c>
      <c r="AN38" s="27">
        <v>0.45262499999999994</v>
      </c>
      <c r="AO38" s="28">
        <v>1</v>
      </c>
      <c r="AP38" s="29">
        <v>0.22631249999999997</v>
      </c>
      <c r="AQ38" s="29">
        <v>0.22631249999999997</v>
      </c>
      <c r="AR38" s="30"/>
      <c r="AT38" s="31">
        <v>41868</v>
      </c>
      <c r="AU38" s="31">
        <v>4</v>
      </c>
      <c r="AV38" s="31">
        <v>7</v>
      </c>
      <c r="AW38" s="31">
        <v>0</v>
      </c>
      <c r="AX38" s="31">
        <v>8</v>
      </c>
      <c r="AY38" s="32" t="s">
        <v>105</v>
      </c>
      <c r="AZ38" s="31">
        <v>3</v>
      </c>
      <c r="BA38" s="31">
        <v>1</v>
      </c>
      <c r="BB38" s="31" t="s">
        <v>209</v>
      </c>
      <c r="BC38" s="31" t="s">
        <v>198</v>
      </c>
      <c r="BD38" s="43" t="s">
        <v>265</v>
      </c>
      <c r="BE38" t="s">
        <v>266</v>
      </c>
      <c r="BF38" s="31" t="s">
        <v>213</v>
      </c>
      <c r="BG38" s="31" t="s">
        <v>213</v>
      </c>
      <c r="BH38" s="31"/>
      <c r="BI38" s="31"/>
      <c r="BK38" s="31">
        <v>0</v>
      </c>
      <c r="BL38" s="31">
        <v>0</v>
      </c>
      <c r="BM38" s="31">
        <v>0</v>
      </c>
      <c r="BN38" s="31">
        <v>1</v>
      </c>
      <c r="BO38" s="31">
        <v>1</v>
      </c>
      <c r="BQ38" s="31">
        <v>0</v>
      </c>
      <c r="BR38" s="31">
        <v>0</v>
      </c>
      <c r="BS38" s="31">
        <v>4</v>
      </c>
    </row>
    <row r="39" spans="1:71" ht="18.75" hidden="1" customHeight="1">
      <c r="A39" s="25">
        <v>9848</v>
      </c>
      <c r="B39" s="25" t="s">
        <v>267</v>
      </c>
      <c r="C39" s="25" t="s">
        <v>268</v>
      </c>
      <c r="D39" s="35" t="s">
        <v>269</v>
      </c>
      <c r="E39" s="26" t="s">
        <v>192</v>
      </c>
      <c r="F39" s="26" t="s">
        <v>193</v>
      </c>
      <c r="G39" s="26" t="s">
        <v>194</v>
      </c>
      <c r="H39" s="26" t="s">
        <v>74</v>
      </c>
      <c r="I39" s="26" t="s">
        <v>75</v>
      </c>
      <c r="J39" s="26" t="s">
        <v>76</v>
      </c>
      <c r="K39" s="26" t="s">
        <v>77</v>
      </c>
      <c r="L39" s="26" t="s">
        <v>78</v>
      </c>
      <c r="M39" s="26" t="s">
        <v>100</v>
      </c>
      <c r="N39" s="26" t="s">
        <v>101</v>
      </c>
      <c r="O39" s="26" t="s">
        <v>80</v>
      </c>
      <c r="P39" s="26" t="s">
        <v>240</v>
      </c>
      <c r="Q39" s="26" t="s">
        <v>82</v>
      </c>
      <c r="R39" s="26" t="s">
        <v>207</v>
      </c>
      <c r="S39" s="26" t="s">
        <v>104</v>
      </c>
      <c r="T39" s="26" t="s">
        <v>82</v>
      </c>
      <c r="U39" s="26" t="s">
        <v>101</v>
      </c>
      <c r="V39" s="26" t="s">
        <v>86</v>
      </c>
      <c r="W39" s="26" t="s">
        <v>86</v>
      </c>
      <c r="X39" s="26" t="s">
        <v>86</v>
      </c>
      <c r="Y39" s="26" t="s">
        <v>78</v>
      </c>
      <c r="Z39" s="26" t="s">
        <v>78</v>
      </c>
      <c r="AA39" s="27">
        <v>0.88541666666666663</v>
      </c>
      <c r="AB39" s="27">
        <v>0</v>
      </c>
      <c r="AC39" s="27">
        <v>0</v>
      </c>
      <c r="AD39" s="27">
        <v>0.88541666666666663</v>
      </c>
      <c r="AE39" s="27">
        <v>0</v>
      </c>
      <c r="AF39" s="27">
        <v>0</v>
      </c>
      <c r="AG39" s="27">
        <v>0.88541666666666663</v>
      </c>
      <c r="AH39" s="27">
        <v>0</v>
      </c>
      <c r="AI39" s="27">
        <v>0</v>
      </c>
      <c r="AJ39" s="27">
        <v>0</v>
      </c>
      <c r="AK39" s="27">
        <v>0</v>
      </c>
      <c r="AL39" s="27">
        <v>0</v>
      </c>
      <c r="AM39" s="27">
        <v>0</v>
      </c>
      <c r="AN39" s="27">
        <v>0.88541666666666663</v>
      </c>
      <c r="AO39" s="28">
        <v>0.83058823529411763</v>
      </c>
      <c r="AP39" s="29">
        <v>0.44270833333333331</v>
      </c>
      <c r="AQ39" s="29">
        <v>0.44270833333333331</v>
      </c>
      <c r="AR39" s="30"/>
      <c r="AT39" s="31"/>
      <c r="AU39" s="31"/>
      <c r="AV39" s="31"/>
      <c r="AW39" s="31"/>
      <c r="AX39" s="31"/>
      <c r="AY39" s="32"/>
      <c r="AZ39" s="31">
        <v>3</v>
      </c>
      <c r="BA39" s="31">
        <v>1</v>
      </c>
      <c r="BB39" s="31" t="s">
        <v>197</v>
      </c>
      <c r="BC39" s="31" t="s">
        <v>198</v>
      </c>
      <c r="BD39" s="31" t="s">
        <v>270</v>
      </c>
      <c r="BE39" s="33"/>
      <c r="BF39" s="31" t="s">
        <v>156</v>
      </c>
      <c r="BG39" s="31" t="s">
        <v>156</v>
      </c>
      <c r="BH39" s="31" t="s">
        <v>156</v>
      </c>
      <c r="BI39" s="31" t="s">
        <v>156</v>
      </c>
      <c r="BK39" s="31">
        <v>0</v>
      </c>
      <c r="BL39" s="31">
        <v>0</v>
      </c>
      <c r="BM39" s="31">
        <v>0</v>
      </c>
      <c r="BN39" s="31">
        <v>2</v>
      </c>
      <c r="BO39" s="31">
        <v>14</v>
      </c>
      <c r="BQ39" s="31">
        <v>1</v>
      </c>
      <c r="BR39" s="31">
        <v>0</v>
      </c>
      <c r="BS39" s="31">
        <v>34</v>
      </c>
    </row>
    <row r="40" spans="1:71" ht="18.75" hidden="1" customHeight="1">
      <c r="A40" s="25">
        <v>9849</v>
      </c>
      <c r="B40" s="25" t="s">
        <v>271</v>
      </c>
      <c r="C40" s="25" t="s">
        <v>272</v>
      </c>
      <c r="D40" s="35" t="s">
        <v>273</v>
      </c>
      <c r="E40" s="26" t="s">
        <v>192</v>
      </c>
      <c r="F40" s="26" t="s">
        <v>193</v>
      </c>
      <c r="G40" s="26" t="s">
        <v>194</v>
      </c>
      <c r="H40" s="26" t="s">
        <v>74</v>
      </c>
      <c r="I40" s="26" t="s">
        <v>185</v>
      </c>
      <c r="J40" s="26" t="s">
        <v>76</v>
      </c>
      <c r="K40" s="26" t="s">
        <v>77</v>
      </c>
      <c r="L40" s="26" t="s">
        <v>78</v>
      </c>
      <c r="M40" s="26" t="s">
        <v>100</v>
      </c>
      <c r="N40" s="26" t="s">
        <v>101</v>
      </c>
      <c r="O40" s="26" t="s">
        <v>80</v>
      </c>
      <c r="P40" s="26" t="s">
        <v>240</v>
      </c>
      <c r="Q40" s="26" t="s">
        <v>82</v>
      </c>
      <c r="R40" s="26" t="s">
        <v>274</v>
      </c>
      <c r="S40" s="26" t="s">
        <v>104</v>
      </c>
      <c r="T40" s="26" t="s">
        <v>82</v>
      </c>
      <c r="U40" s="26" t="s">
        <v>101</v>
      </c>
      <c r="V40" s="26" t="s">
        <v>86</v>
      </c>
      <c r="W40" s="26" t="s">
        <v>86</v>
      </c>
      <c r="X40" s="26" t="s">
        <v>86</v>
      </c>
      <c r="Y40" s="26" t="s">
        <v>78</v>
      </c>
      <c r="Z40" s="26" t="s">
        <v>78</v>
      </c>
      <c r="AA40" s="27">
        <v>5.1862499999999994</v>
      </c>
      <c r="AB40" s="27">
        <v>0</v>
      </c>
      <c r="AC40" s="27">
        <v>0</v>
      </c>
      <c r="AD40" s="27">
        <v>5.1862499999999994</v>
      </c>
      <c r="AE40" s="27">
        <v>0</v>
      </c>
      <c r="AF40" s="27">
        <v>0</v>
      </c>
      <c r="AG40" s="27">
        <v>4.4362499999999994</v>
      </c>
      <c r="AH40" s="27">
        <v>0</v>
      </c>
      <c r="AI40" s="27">
        <v>0.75</v>
      </c>
      <c r="AJ40" s="27">
        <v>0</v>
      </c>
      <c r="AK40" s="27">
        <v>0</v>
      </c>
      <c r="AL40" s="27">
        <v>0.3833333333333333</v>
      </c>
      <c r="AM40" s="27">
        <v>0</v>
      </c>
      <c r="AN40" s="27">
        <v>5.5695833333333322</v>
      </c>
      <c r="AO40" s="28">
        <v>0.83152539836911799</v>
      </c>
      <c r="AP40" s="29">
        <v>2.7847916666666661</v>
      </c>
      <c r="AQ40" s="29">
        <v>2.7847916666666661</v>
      </c>
      <c r="AR40" s="30"/>
      <c r="AT40" s="36">
        <v>637679</v>
      </c>
      <c r="AU40" s="37">
        <v>22</v>
      </c>
      <c r="AV40" s="37">
        <v>26</v>
      </c>
      <c r="AW40" s="37">
        <v>0</v>
      </c>
      <c r="AX40" s="37">
        <v>0</v>
      </c>
      <c r="AY40" s="32"/>
      <c r="AZ40" s="31">
        <v>3</v>
      </c>
      <c r="BA40" s="31">
        <v>1</v>
      </c>
      <c r="BB40" s="31" t="s">
        <v>197</v>
      </c>
      <c r="BC40" s="31" t="s">
        <v>198</v>
      </c>
      <c r="BD40" s="31" t="s">
        <v>275</v>
      </c>
      <c r="BE40" s="38" t="s">
        <v>200</v>
      </c>
      <c r="BF40" s="31" t="s">
        <v>94</v>
      </c>
      <c r="BG40" s="31" t="s">
        <v>94</v>
      </c>
      <c r="BH40" s="31" t="s">
        <v>94</v>
      </c>
      <c r="BI40" s="31" t="s">
        <v>94</v>
      </c>
      <c r="BK40" s="31">
        <v>0</v>
      </c>
      <c r="BL40" s="31">
        <v>0</v>
      </c>
      <c r="BM40" s="31">
        <v>10</v>
      </c>
      <c r="BN40" s="31">
        <v>3</v>
      </c>
      <c r="BO40" s="31">
        <v>129</v>
      </c>
      <c r="BQ40" s="31">
        <v>14</v>
      </c>
      <c r="BR40" s="31">
        <v>0</v>
      </c>
      <c r="BS40" s="31">
        <v>70</v>
      </c>
    </row>
    <row r="41" spans="1:71" ht="18.75" hidden="1" customHeight="1">
      <c r="A41" s="25">
        <v>9851</v>
      </c>
      <c r="B41" s="25" t="s">
        <v>276</v>
      </c>
      <c r="C41" s="25" t="s">
        <v>277</v>
      </c>
      <c r="D41" s="44" t="s">
        <v>278</v>
      </c>
      <c r="E41" s="26" t="s">
        <v>246</v>
      </c>
      <c r="F41" s="26" t="s">
        <v>72</v>
      </c>
      <c r="G41" s="26" t="s">
        <v>247</v>
      </c>
      <c r="H41" s="26" t="s">
        <v>74</v>
      </c>
      <c r="I41" s="26" t="s">
        <v>75</v>
      </c>
      <c r="J41" s="26" t="s">
        <v>76</v>
      </c>
      <c r="K41" s="26" t="s">
        <v>77</v>
      </c>
      <c r="L41" s="26" t="s">
        <v>78</v>
      </c>
      <c r="M41" s="26" t="s">
        <v>100</v>
      </c>
      <c r="N41" s="26" t="s">
        <v>101</v>
      </c>
      <c r="O41" s="26" t="s">
        <v>80</v>
      </c>
      <c r="P41" s="26" t="s">
        <v>279</v>
      </c>
      <c r="Q41" s="26" t="s">
        <v>82</v>
      </c>
      <c r="R41" s="26" t="s">
        <v>280</v>
      </c>
      <c r="S41" s="26" t="s">
        <v>104</v>
      </c>
      <c r="T41" s="26" t="s">
        <v>281</v>
      </c>
      <c r="U41" s="26" t="s">
        <v>80</v>
      </c>
      <c r="V41" s="26" t="s">
        <v>86</v>
      </c>
      <c r="W41" s="26" t="s">
        <v>86</v>
      </c>
      <c r="X41" s="26" t="s">
        <v>86</v>
      </c>
      <c r="Y41" s="26" t="s">
        <v>78</v>
      </c>
      <c r="Z41" s="26" t="s">
        <v>78</v>
      </c>
      <c r="AA41" s="27">
        <v>0.29166666666666663</v>
      </c>
      <c r="AB41" s="27">
        <v>0</v>
      </c>
      <c r="AC41" s="27">
        <v>0</v>
      </c>
      <c r="AD41" s="27">
        <v>0.29166666666666663</v>
      </c>
      <c r="AE41" s="27">
        <v>0</v>
      </c>
      <c r="AF41" s="27">
        <v>0</v>
      </c>
      <c r="AG41" s="27">
        <v>0.29166666666666663</v>
      </c>
      <c r="AH41" s="27">
        <v>0</v>
      </c>
      <c r="AI41" s="27">
        <v>0</v>
      </c>
      <c r="AJ41" s="27">
        <v>0</v>
      </c>
      <c r="AK41" s="27">
        <v>0</v>
      </c>
      <c r="AL41" s="27">
        <v>0.11666666666666667</v>
      </c>
      <c r="AM41" s="27">
        <v>0</v>
      </c>
      <c r="AN41" s="27">
        <v>0.40833333333333333</v>
      </c>
      <c r="AO41" s="28">
        <v>0.82653061224489799</v>
      </c>
      <c r="AP41" s="29">
        <v>0.20416666666666666</v>
      </c>
      <c r="AQ41" s="29">
        <v>0.20416666666666666</v>
      </c>
      <c r="AR41" s="30"/>
      <c r="AT41" s="38">
        <v>14000</v>
      </c>
      <c r="AU41" s="38">
        <v>17</v>
      </c>
      <c r="AV41" s="38">
        <v>18</v>
      </c>
      <c r="AW41" s="38">
        <v>3</v>
      </c>
      <c r="AX41" s="38">
        <v>1</v>
      </c>
      <c r="AY41" s="45"/>
      <c r="AZ41" s="38">
        <v>3</v>
      </c>
      <c r="BA41" s="38">
        <v>1</v>
      </c>
      <c r="BB41" s="38" t="s">
        <v>282</v>
      </c>
      <c r="BC41" s="38" t="s">
        <v>198</v>
      </c>
      <c r="BD41" s="38" t="s">
        <v>283</v>
      </c>
      <c r="BE41" s="46" t="s">
        <v>284</v>
      </c>
      <c r="BF41" s="31" t="s">
        <v>148</v>
      </c>
      <c r="BG41" s="31" t="s">
        <v>148</v>
      </c>
      <c r="BH41" s="31" t="s">
        <v>156</v>
      </c>
      <c r="BI41" s="31" t="s">
        <v>156</v>
      </c>
      <c r="BK41" s="31">
        <v>0</v>
      </c>
      <c r="BL41" s="31">
        <v>0</v>
      </c>
      <c r="BM41" s="31">
        <v>0</v>
      </c>
      <c r="BN41" s="31">
        <v>0</v>
      </c>
      <c r="BO41" s="31">
        <v>3</v>
      </c>
      <c r="BQ41" s="31">
        <v>0</v>
      </c>
      <c r="BR41" s="31">
        <v>0</v>
      </c>
      <c r="BS41" s="31">
        <v>21</v>
      </c>
    </row>
    <row r="42" spans="1:71" ht="18.75" hidden="1" customHeight="1">
      <c r="A42" s="25">
        <v>9852</v>
      </c>
      <c r="B42" s="25" t="s">
        <v>285</v>
      </c>
      <c r="C42" s="25" t="s">
        <v>286</v>
      </c>
      <c r="D42" s="44" t="s">
        <v>287</v>
      </c>
      <c r="E42" s="26" t="s">
        <v>246</v>
      </c>
      <c r="F42" s="26" t="s">
        <v>72</v>
      </c>
      <c r="G42" s="26" t="s">
        <v>247</v>
      </c>
      <c r="H42" s="26" t="s">
        <v>74</v>
      </c>
      <c r="I42" s="26" t="s">
        <v>75</v>
      </c>
      <c r="J42" s="26" t="s">
        <v>76</v>
      </c>
      <c r="K42" s="26" t="s">
        <v>77</v>
      </c>
      <c r="L42" s="26" t="s">
        <v>78</v>
      </c>
      <c r="M42" s="26" t="s">
        <v>100</v>
      </c>
      <c r="N42" s="26" t="s">
        <v>101</v>
      </c>
      <c r="O42" s="26" t="s">
        <v>80</v>
      </c>
      <c r="P42" s="26" t="s">
        <v>231</v>
      </c>
      <c r="Q42" s="26" t="s">
        <v>82</v>
      </c>
      <c r="R42" s="26" t="s">
        <v>288</v>
      </c>
      <c r="S42" s="26" t="s">
        <v>84</v>
      </c>
      <c r="T42" s="26" t="s">
        <v>82</v>
      </c>
      <c r="U42" s="26" t="s">
        <v>101</v>
      </c>
      <c r="V42" s="26" t="s">
        <v>86</v>
      </c>
      <c r="W42" s="26" t="s">
        <v>78</v>
      </c>
      <c r="X42" s="26" t="s">
        <v>86</v>
      </c>
      <c r="Y42" s="26" t="s">
        <v>78</v>
      </c>
      <c r="Z42" s="26" t="s">
        <v>78</v>
      </c>
      <c r="AA42" s="27">
        <v>0.5083333333333333</v>
      </c>
      <c r="AB42" s="27">
        <v>0</v>
      </c>
      <c r="AC42" s="27">
        <v>0</v>
      </c>
      <c r="AD42" s="27">
        <v>0.5083333333333333</v>
      </c>
      <c r="AE42" s="27">
        <v>0</v>
      </c>
      <c r="AF42" s="27">
        <v>0</v>
      </c>
      <c r="AG42" s="27">
        <v>0.5083333333333333</v>
      </c>
      <c r="AH42" s="27">
        <v>0</v>
      </c>
      <c r="AI42" s="27">
        <v>0</v>
      </c>
      <c r="AJ42" s="27">
        <v>0</v>
      </c>
      <c r="AK42" s="27">
        <v>0</v>
      </c>
      <c r="AL42" s="27">
        <v>0</v>
      </c>
      <c r="AM42" s="27">
        <v>0</v>
      </c>
      <c r="AN42" s="27">
        <v>0.5083333333333333</v>
      </c>
      <c r="AO42" s="28">
        <v>0.36885245901639346</v>
      </c>
      <c r="AP42" s="29">
        <v>0.25416666666666665</v>
      </c>
      <c r="AQ42" s="29">
        <v>0.25416666666666665</v>
      </c>
      <c r="AR42" s="30"/>
      <c r="AT42" s="47" t="s">
        <v>289</v>
      </c>
      <c r="AU42" s="38">
        <v>5</v>
      </c>
      <c r="AV42" s="38">
        <v>20</v>
      </c>
      <c r="AW42" s="38">
        <v>0</v>
      </c>
      <c r="AX42" s="38">
        <v>30</v>
      </c>
      <c r="AY42" s="45"/>
      <c r="AZ42" s="38">
        <v>3</v>
      </c>
      <c r="BA42" s="38">
        <v>3</v>
      </c>
      <c r="BB42" s="38" t="s">
        <v>197</v>
      </c>
      <c r="BC42" s="38" t="s">
        <v>290</v>
      </c>
      <c r="BD42" s="38" t="s">
        <v>291</v>
      </c>
      <c r="BE42" s="46" t="s">
        <v>292</v>
      </c>
      <c r="BF42" s="31" t="s">
        <v>156</v>
      </c>
      <c r="BG42" s="31" t="s">
        <v>156</v>
      </c>
      <c r="BH42" s="31" t="s">
        <v>156</v>
      </c>
      <c r="BI42" s="31" t="s">
        <v>156</v>
      </c>
      <c r="BK42" s="31">
        <v>0</v>
      </c>
      <c r="BL42" s="31">
        <v>0</v>
      </c>
      <c r="BM42" s="31">
        <v>5</v>
      </c>
      <c r="BN42" s="31">
        <v>8</v>
      </c>
      <c r="BO42" s="31">
        <v>79</v>
      </c>
      <c r="BQ42" s="31">
        <v>4</v>
      </c>
      <c r="BR42" s="31">
        <v>0</v>
      </c>
      <c r="BS42" s="31">
        <v>76</v>
      </c>
    </row>
    <row r="43" spans="1:71" ht="18.75" hidden="1" customHeight="1">
      <c r="A43" s="25">
        <v>9854</v>
      </c>
      <c r="B43" s="25" t="s">
        <v>293</v>
      </c>
      <c r="C43" s="25" t="s">
        <v>294</v>
      </c>
      <c r="D43" s="35" t="s">
        <v>295</v>
      </c>
      <c r="E43" s="26" t="s">
        <v>192</v>
      </c>
      <c r="F43" s="26" t="s">
        <v>193</v>
      </c>
      <c r="G43" s="26" t="s">
        <v>194</v>
      </c>
      <c r="H43" s="26" t="s">
        <v>74</v>
      </c>
      <c r="I43" s="26" t="s">
        <v>75</v>
      </c>
      <c r="J43" s="26" t="s">
        <v>76</v>
      </c>
      <c r="K43" s="26" t="s">
        <v>77</v>
      </c>
      <c r="L43" s="26" t="s">
        <v>78</v>
      </c>
      <c r="M43" s="26" t="s">
        <v>100</v>
      </c>
      <c r="N43" s="26" t="s">
        <v>101</v>
      </c>
      <c r="O43" s="26" t="s">
        <v>80</v>
      </c>
      <c r="P43" s="26" t="s">
        <v>240</v>
      </c>
      <c r="Q43" s="26" t="s">
        <v>82</v>
      </c>
      <c r="R43" s="26" t="s">
        <v>296</v>
      </c>
      <c r="S43" s="26" t="s">
        <v>104</v>
      </c>
      <c r="T43" s="26" t="s">
        <v>82</v>
      </c>
      <c r="U43" s="26" t="s">
        <v>101</v>
      </c>
      <c r="V43" s="26" t="s">
        <v>86</v>
      </c>
      <c r="W43" s="26" t="s">
        <v>86</v>
      </c>
      <c r="X43" s="26" t="s">
        <v>86</v>
      </c>
      <c r="Y43" s="26" t="s">
        <v>78</v>
      </c>
      <c r="Z43" s="26" t="s">
        <v>78</v>
      </c>
      <c r="AA43" s="27">
        <v>1.4004166666666666</v>
      </c>
      <c r="AB43" s="27">
        <v>0</v>
      </c>
      <c r="AC43" s="27">
        <v>0</v>
      </c>
      <c r="AD43" s="27">
        <v>1.4004166666666666</v>
      </c>
      <c r="AE43" s="27">
        <v>0</v>
      </c>
      <c r="AF43" s="27">
        <v>0</v>
      </c>
      <c r="AG43" s="27">
        <v>1.3004166666666666</v>
      </c>
      <c r="AH43" s="27">
        <v>0</v>
      </c>
      <c r="AI43" s="27">
        <v>9.9999999999999992E-2</v>
      </c>
      <c r="AJ43" s="27">
        <v>0</v>
      </c>
      <c r="AK43" s="27">
        <v>0</v>
      </c>
      <c r="AL43" s="27">
        <v>0</v>
      </c>
      <c r="AM43" s="27">
        <v>0</v>
      </c>
      <c r="AN43" s="27">
        <v>1.4004166666666666</v>
      </c>
      <c r="AO43" s="28">
        <v>0.92859268074977674</v>
      </c>
      <c r="AP43" s="29">
        <v>0.70020833333333332</v>
      </c>
      <c r="AQ43" s="29">
        <v>0.70020833333333332</v>
      </c>
      <c r="AR43" s="30"/>
      <c r="AT43" s="31"/>
      <c r="AU43" s="31"/>
      <c r="AV43" s="31"/>
      <c r="AW43" s="31"/>
      <c r="AX43" s="31"/>
      <c r="AY43" s="32"/>
      <c r="AZ43" s="31">
        <v>3</v>
      </c>
      <c r="BA43" s="31">
        <v>1</v>
      </c>
      <c r="BB43" s="31" t="s">
        <v>197</v>
      </c>
      <c r="BC43" s="31" t="s">
        <v>198</v>
      </c>
      <c r="BD43" s="31" t="s">
        <v>297</v>
      </c>
      <c r="BE43" s="33"/>
      <c r="BF43" s="31" t="s">
        <v>94</v>
      </c>
      <c r="BG43" s="31" t="s">
        <v>94</v>
      </c>
      <c r="BH43" s="31" t="s">
        <v>94</v>
      </c>
      <c r="BI43" s="31" t="s">
        <v>94</v>
      </c>
      <c r="BK43" s="31">
        <v>0</v>
      </c>
      <c r="BL43" s="31">
        <v>0</v>
      </c>
      <c r="BM43" s="31">
        <v>13</v>
      </c>
      <c r="BN43" s="31">
        <v>6</v>
      </c>
      <c r="BO43" s="31">
        <v>146</v>
      </c>
      <c r="BQ43" s="31">
        <v>11</v>
      </c>
      <c r="BR43" s="31">
        <v>7</v>
      </c>
      <c r="BS43" s="31">
        <v>232</v>
      </c>
    </row>
    <row r="44" spans="1:71" ht="18.75" hidden="1" customHeight="1">
      <c r="A44" s="25">
        <v>9857</v>
      </c>
      <c r="B44" s="25" t="s">
        <v>298</v>
      </c>
      <c r="C44" s="25" t="s">
        <v>299</v>
      </c>
      <c r="D44" s="35" t="s">
        <v>300</v>
      </c>
      <c r="E44" s="26" t="s">
        <v>217</v>
      </c>
      <c r="F44" s="26" t="s">
        <v>193</v>
      </c>
      <c r="G44" s="26" t="s">
        <v>301</v>
      </c>
      <c r="H44" s="26" t="s">
        <v>74</v>
      </c>
      <c r="I44" s="26" t="s">
        <v>75</v>
      </c>
      <c r="J44" s="26" t="s">
        <v>76</v>
      </c>
      <c r="K44" s="26" t="s">
        <v>77</v>
      </c>
      <c r="L44" s="26" t="s">
        <v>86</v>
      </c>
      <c r="M44" s="26" t="s">
        <v>100</v>
      </c>
      <c r="N44" s="26" t="s">
        <v>101</v>
      </c>
      <c r="O44" s="26" t="s">
        <v>80</v>
      </c>
      <c r="P44" s="26" t="s">
        <v>279</v>
      </c>
      <c r="Q44" s="26" t="s">
        <v>82</v>
      </c>
      <c r="R44" s="26" t="s">
        <v>302</v>
      </c>
      <c r="S44" s="26" t="s">
        <v>104</v>
      </c>
      <c r="T44" s="26" t="s">
        <v>82</v>
      </c>
      <c r="U44" s="26" t="s">
        <v>101</v>
      </c>
      <c r="V44" s="26" t="s">
        <v>86</v>
      </c>
      <c r="W44" s="26" t="s">
        <v>86</v>
      </c>
      <c r="X44" s="26" t="s">
        <v>86</v>
      </c>
      <c r="Y44" s="26" t="s">
        <v>78</v>
      </c>
      <c r="Z44" s="26" t="s">
        <v>78</v>
      </c>
      <c r="AA44" s="27">
        <v>20.211666666666652</v>
      </c>
      <c r="AB44" s="27">
        <v>0</v>
      </c>
      <c r="AC44" s="27">
        <v>0</v>
      </c>
      <c r="AD44" s="27">
        <v>20.211666666666652</v>
      </c>
      <c r="AE44" s="27">
        <v>0</v>
      </c>
      <c r="AF44" s="27">
        <v>1.9166666666666665</v>
      </c>
      <c r="AG44" s="27">
        <v>18.294999999999998</v>
      </c>
      <c r="AH44" s="27">
        <v>0</v>
      </c>
      <c r="AI44" s="27">
        <v>0</v>
      </c>
      <c r="AJ44" s="27">
        <v>0</v>
      </c>
      <c r="AK44" s="27">
        <v>0</v>
      </c>
      <c r="AL44" s="27">
        <v>1.8166666666666667</v>
      </c>
      <c r="AM44" s="27">
        <v>0</v>
      </c>
      <c r="AN44" s="27">
        <v>22.028333333333318</v>
      </c>
      <c r="AO44" s="28">
        <v>0.92547476734508582</v>
      </c>
      <c r="AP44" s="29">
        <v>11.014166666666659</v>
      </c>
      <c r="AQ44" s="29">
        <v>11.014166666666659</v>
      </c>
      <c r="AR44" s="30"/>
      <c r="AT44" s="41" t="s">
        <v>303</v>
      </c>
      <c r="AU44" s="31">
        <v>181</v>
      </c>
      <c r="AV44" s="31">
        <v>186</v>
      </c>
      <c r="AW44" s="31">
        <v>5</v>
      </c>
      <c r="AX44" s="31">
        <v>1616</v>
      </c>
      <c r="AY44" s="32"/>
      <c r="AZ44" s="31">
        <v>3</v>
      </c>
      <c r="BA44" s="31">
        <v>1</v>
      </c>
      <c r="BB44" s="41" t="s">
        <v>304</v>
      </c>
      <c r="BC44" s="31" t="s">
        <v>305</v>
      </c>
      <c r="BD44" s="31" t="s">
        <v>306</v>
      </c>
      <c r="BE44" s="48" t="s">
        <v>307</v>
      </c>
      <c r="BF44" s="31" t="s">
        <v>156</v>
      </c>
      <c r="BG44" s="31" t="s">
        <v>156</v>
      </c>
      <c r="BH44" s="31" t="s">
        <v>156</v>
      </c>
      <c r="BI44" s="31" t="s">
        <v>156</v>
      </c>
      <c r="BK44" s="31">
        <v>0</v>
      </c>
      <c r="BL44" s="31">
        <v>0</v>
      </c>
      <c r="BM44" s="31">
        <v>16</v>
      </c>
      <c r="BN44" s="31">
        <v>25</v>
      </c>
      <c r="BO44" s="31">
        <v>45</v>
      </c>
      <c r="BQ44" s="31">
        <v>8</v>
      </c>
      <c r="BR44" s="31">
        <v>84</v>
      </c>
      <c r="BS44" s="31">
        <v>180</v>
      </c>
    </row>
    <row r="45" spans="1:71" ht="18.75" hidden="1" customHeight="1">
      <c r="A45" s="25">
        <v>9858</v>
      </c>
      <c r="B45" s="25" t="s">
        <v>308</v>
      </c>
      <c r="C45" s="25" t="s">
        <v>309</v>
      </c>
      <c r="D45" s="25" t="s">
        <v>310</v>
      </c>
      <c r="E45" s="26" t="s">
        <v>311</v>
      </c>
      <c r="F45" s="26" t="s">
        <v>312</v>
      </c>
      <c r="G45" s="26"/>
      <c r="H45" s="26" t="s">
        <v>74</v>
      </c>
      <c r="I45" s="26" t="s">
        <v>75</v>
      </c>
      <c r="J45" s="26" t="s">
        <v>76</v>
      </c>
      <c r="K45" s="26" t="s">
        <v>77</v>
      </c>
      <c r="L45" s="26" t="s">
        <v>78</v>
      </c>
      <c r="M45" s="26" t="s">
        <v>79</v>
      </c>
      <c r="N45" s="26" t="s">
        <v>101</v>
      </c>
      <c r="O45" s="26" t="s">
        <v>80</v>
      </c>
      <c r="P45" s="26" t="s">
        <v>313</v>
      </c>
      <c r="Q45" s="26" t="s">
        <v>82</v>
      </c>
      <c r="R45" s="26" t="s">
        <v>280</v>
      </c>
      <c r="S45" s="26" t="s">
        <v>104</v>
      </c>
      <c r="T45" s="26" t="s">
        <v>82</v>
      </c>
      <c r="U45" s="26" t="s">
        <v>101</v>
      </c>
      <c r="V45" s="26" t="s">
        <v>86</v>
      </c>
      <c r="W45" s="26" t="s">
        <v>86</v>
      </c>
      <c r="X45" s="26" t="s">
        <v>86</v>
      </c>
      <c r="Y45" s="26" t="s">
        <v>78</v>
      </c>
      <c r="Z45" s="26" t="s">
        <v>78</v>
      </c>
      <c r="AA45" s="27">
        <v>4.8333333333333339</v>
      </c>
      <c r="AB45" s="27">
        <v>0</v>
      </c>
      <c r="AC45" s="27">
        <v>1.9791666666666667</v>
      </c>
      <c r="AD45" s="27">
        <v>2.8541666666666665</v>
      </c>
      <c r="AE45" s="27">
        <v>0</v>
      </c>
      <c r="AF45" s="27">
        <v>0.85416666666666663</v>
      </c>
      <c r="AG45" s="27">
        <v>2.8958333333333335</v>
      </c>
      <c r="AH45" s="27">
        <v>1.0833333333333333</v>
      </c>
      <c r="AI45" s="27">
        <v>0</v>
      </c>
      <c r="AJ45" s="27">
        <v>0</v>
      </c>
      <c r="AK45" s="27">
        <v>0</v>
      </c>
      <c r="AL45" s="27">
        <v>1</v>
      </c>
      <c r="AM45" s="27">
        <v>1.0833333333333333</v>
      </c>
      <c r="AN45" s="27">
        <v>6.916666666666667</v>
      </c>
      <c r="AO45" s="28">
        <v>0.71084337349397586</v>
      </c>
      <c r="AP45" s="29">
        <v>3.4583333333333335</v>
      </c>
      <c r="AQ45" s="29">
        <v>3.4583333333333335</v>
      </c>
      <c r="AR45" s="30"/>
      <c r="AT45" s="49">
        <v>150000</v>
      </c>
      <c r="AU45" s="31">
        <v>35</v>
      </c>
      <c r="AV45" s="31">
        <v>25</v>
      </c>
      <c r="AW45" s="31">
        <v>3</v>
      </c>
      <c r="AX45" s="31">
        <v>12</v>
      </c>
      <c r="AY45" s="32"/>
      <c r="AZ45" s="31">
        <v>2</v>
      </c>
      <c r="BA45" s="31">
        <v>1</v>
      </c>
      <c r="BB45" s="31" t="s">
        <v>314</v>
      </c>
      <c r="BC45" s="31" t="s">
        <v>315</v>
      </c>
      <c r="BD45" s="31" t="s">
        <v>316</v>
      </c>
      <c r="BE45" s="33" t="s">
        <v>317</v>
      </c>
      <c r="BF45" s="31" t="s">
        <v>94</v>
      </c>
      <c r="BG45" s="31" t="s">
        <v>148</v>
      </c>
      <c r="BH45" s="31" t="s">
        <v>94</v>
      </c>
      <c r="BI45" s="31" t="s">
        <v>94</v>
      </c>
      <c r="BK45" s="31">
        <v>0</v>
      </c>
      <c r="BL45" s="31">
        <v>0</v>
      </c>
      <c r="BM45" s="31">
        <v>3</v>
      </c>
      <c r="BN45" s="31">
        <v>1</v>
      </c>
      <c r="BO45" s="31">
        <v>7</v>
      </c>
      <c r="BQ45" s="31">
        <v>2</v>
      </c>
      <c r="BR45" s="31">
        <v>1</v>
      </c>
      <c r="BS45" s="31">
        <v>37</v>
      </c>
    </row>
    <row r="46" spans="1:71" ht="18.75" hidden="1" customHeight="1">
      <c r="A46" s="25">
        <v>9861</v>
      </c>
      <c r="B46" s="25" t="s">
        <v>318</v>
      </c>
      <c r="C46" s="25" t="s">
        <v>319</v>
      </c>
      <c r="D46" s="35" t="s">
        <v>320</v>
      </c>
      <c r="E46" s="26" t="s">
        <v>192</v>
      </c>
      <c r="F46" s="26" t="s">
        <v>193</v>
      </c>
      <c r="G46" s="26" t="s">
        <v>194</v>
      </c>
      <c r="H46" s="26" t="s">
        <v>74</v>
      </c>
      <c r="I46" s="26" t="s">
        <v>75</v>
      </c>
      <c r="J46" s="26" t="s">
        <v>76</v>
      </c>
      <c r="K46" s="26" t="s">
        <v>77</v>
      </c>
      <c r="L46" s="26" t="s">
        <v>86</v>
      </c>
      <c r="M46" s="26" t="s">
        <v>100</v>
      </c>
      <c r="N46" s="26" t="s">
        <v>101</v>
      </c>
      <c r="O46" s="26" t="s">
        <v>80</v>
      </c>
      <c r="P46" s="26" t="s">
        <v>321</v>
      </c>
      <c r="Q46" s="26" t="s">
        <v>82</v>
      </c>
      <c r="R46" s="26" t="s">
        <v>280</v>
      </c>
      <c r="S46" s="26" t="s">
        <v>104</v>
      </c>
      <c r="T46" s="26" t="s">
        <v>82</v>
      </c>
      <c r="U46" s="26" t="s">
        <v>101</v>
      </c>
      <c r="V46" s="26" t="s">
        <v>86</v>
      </c>
      <c r="W46" s="26" t="s">
        <v>86</v>
      </c>
      <c r="X46" s="26" t="s">
        <v>86</v>
      </c>
      <c r="Y46" s="26" t="s">
        <v>78</v>
      </c>
      <c r="Z46" s="26" t="s">
        <v>78</v>
      </c>
      <c r="AA46" s="27">
        <v>6.3152916666666679</v>
      </c>
      <c r="AB46" s="27">
        <v>0</v>
      </c>
      <c r="AC46" s="27">
        <v>0</v>
      </c>
      <c r="AD46" s="27">
        <v>6.3152916666666679</v>
      </c>
      <c r="AE46" s="27">
        <v>0</v>
      </c>
      <c r="AF46" s="27">
        <v>0</v>
      </c>
      <c r="AG46" s="27">
        <v>6.2111250000000009</v>
      </c>
      <c r="AH46" s="27">
        <v>0</v>
      </c>
      <c r="AI46" s="27">
        <v>0.10416666666666667</v>
      </c>
      <c r="AJ46" s="27">
        <v>0</v>
      </c>
      <c r="AK46" s="27">
        <v>0</v>
      </c>
      <c r="AL46" s="27">
        <v>0</v>
      </c>
      <c r="AM46" s="27">
        <v>0</v>
      </c>
      <c r="AN46" s="27">
        <v>6.3152916666666679</v>
      </c>
      <c r="AO46" s="28">
        <v>0.87325737132753167</v>
      </c>
      <c r="AP46" s="29">
        <v>3.1576458333333339</v>
      </c>
      <c r="AQ46" s="29">
        <v>3.1576458333333339</v>
      </c>
      <c r="AR46" s="30"/>
      <c r="AT46" s="36">
        <v>678710</v>
      </c>
      <c r="AU46" s="37">
        <v>0</v>
      </c>
      <c r="AV46" s="37">
        <v>3</v>
      </c>
      <c r="AW46" s="37">
        <v>0</v>
      </c>
      <c r="AX46" s="37">
        <v>0</v>
      </c>
      <c r="AY46" s="32"/>
      <c r="AZ46" s="31">
        <v>3</v>
      </c>
      <c r="BA46" s="31">
        <v>1</v>
      </c>
      <c r="BB46" s="31" t="s">
        <v>197</v>
      </c>
      <c r="BC46" s="31" t="s">
        <v>322</v>
      </c>
      <c r="BD46" s="31" t="s">
        <v>199</v>
      </c>
      <c r="BE46" s="38" t="s">
        <v>200</v>
      </c>
      <c r="BF46" s="31" t="s">
        <v>94</v>
      </c>
      <c r="BG46" s="31" t="s">
        <v>94</v>
      </c>
      <c r="BH46" s="31" t="s">
        <v>94</v>
      </c>
      <c r="BI46" s="31" t="s">
        <v>94</v>
      </c>
      <c r="BK46" s="31">
        <v>0</v>
      </c>
      <c r="BL46" s="31">
        <v>0</v>
      </c>
      <c r="BM46" s="31">
        <v>2</v>
      </c>
      <c r="BN46" s="31">
        <v>1</v>
      </c>
      <c r="BO46" s="31">
        <v>8</v>
      </c>
      <c r="BQ46" s="31">
        <v>2</v>
      </c>
      <c r="BR46" s="31">
        <v>1</v>
      </c>
      <c r="BS46" s="31">
        <v>51</v>
      </c>
    </row>
    <row r="47" spans="1:71" ht="18.75" customHeight="1">
      <c r="A47" s="25">
        <v>9879</v>
      </c>
      <c r="B47" s="25" t="s">
        <v>323</v>
      </c>
      <c r="C47" s="25" t="s">
        <v>324</v>
      </c>
      <c r="D47" s="25" t="s">
        <v>324</v>
      </c>
      <c r="E47" s="26" t="s">
        <v>204</v>
      </c>
      <c r="F47" s="26" t="s">
        <v>193</v>
      </c>
      <c r="G47" s="26" t="s">
        <v>205</v>
      </c>
      <c r="H47" s="26" t="s">
        <v>74</v>
      </c>
      <c r="I47" s="26" t="s">
        <v>75</v>
      </c>
      <c r="J47" s="26" t="s">
        <v>76</v>
      </c>
      <c r="K47" s="26" t="s">
        <v>77</v>
      </c>
      <c r="L47" s="26" t="s">
        <v>78</v>
      </c>
      <c r="M47" s="26" t="s">
        <v>100</v>
      </c>
      <c r="N47" s="26" t="s">
        <v>101</v>
      </c>
      <c r="O47" s="26" t="s">
        <v>80</v>
      </c>
      <c r="P47" s="26" t="s">
        <v>279</v>
      </c>
      <c r="Q47" s="26" t="s">
        <v>82</v>
      </c>
      <c r="R47" s="26" t="s">
        <v>280</v>
      </c>
      <c r="S47" s="26" t="s">
        <v>104</v>
      </c>
      <c r="T47" s="26" t="s">
        <v>82</v>
      </c>
      <c r="U47" s="26" t="s">
        <v>101</v>
      </c>
      <c r="V47" s="26" t="s">
        <v>86</v>
      </c>
      <c r="W47" s="26" t="s">
        <v>86</v>
      </c>
      <c r="X47" s="26" t="s">
        <v>86</v>
      </c>
      <c r="Y47" s="26" t="s">
        <v>78</v>
      </c>
      <c r="Z47" s="26" t="s">
        <v>78</v>
      </c>
      <c r="AA47" s="40">
        <v>0.20833333333333334</v>
      </c>
      <c r="AB47" s="40">
        <v>0</v>
      </c>
      <c r="AC47" s="40">
        <v>0</v>
      </c>
      <c r="AD47" s="40">
        <v>0.20833333333333331</v>
      </c>
      <c r="AE47" s="40">
        <v>0</v>
      </c>
      <c r="AF47" s="40">
        <v>0</v>
      </c>
      <c r="AG47" s="40">
        <v>0.20833333333333331</v>
      </c>
      <c r="AH47" s="40">
        <v>0</v>
      </c>
      <c r="AI47" s="40">
        <v>0</v>
      </c>
      <c r="AJ47" s="40">
        <v>0</v>
      </c>
      <c r="AK47" s="40">
        <v>0</v>
      </c>
      <c r="AL47" s="40">
        <v>0.1</v>
      </c>
      <c r="AM47" s="40">
        <v>0</v>
      </c>
      <c r="AN47" s="27">
        <f>AA47+AL47+AM47</f>
        <v>0.30833333333333335</v>
      </c>
      <c r="AO47" s="28">
        <v>0.67567567567567566</v>
      </c>
      <c r="AP47" s="29">
        <v>0.15416666666666665</v>
      </c>
      <c r="AQ47" s="29">
        <v>0.15416666666666665</v>
      </c>
      <c r="AR47" s="30"/>
      <c r="AT47" s="36">
        <v>228784</v>
      </c>
      <c r="AU47" s="37">
        <v>89</v>
      </c>
      <c r="AV47" s="37">
        <v>1</v>
      </c>
      <c r="AW47" s="37">
        <v>109</v>
      </c>
      <c r="AX47" s="37">
        <v>2</v>
      </c>
      <c r="AY47" s="50" t="s">
        <v>82</v>
      </c>
      <c r="AZ47" s="37">
        <v>3</v>
      </c>
      <c r="BA47" s="37">
        <v>1</v>
      </c>
      <c r="BB47" s="37" t="s">
        <v>325</v>
      </c>
      <c r="BC47" s="37" t="s">
        <v>198</v>
      </c>
      <c r="BD47" s="37" t="s">
        <v>275</v>
      </c>
      <c r="BE47" s="37" t="s">
        <v>326</v>
      </c>
      <c r="BF47" s="31" t="s">
        <v>94</v>
      </c>
      <c r="BG47" s="31" t="s">
        <v>94</v>
      </c>
      <c r="BH47" s="31" t="s">
        <v>94</v>
      </c>
      <c r="BI47" s="31" t="s">
        <v>94</v>
      </c>
      <c r="BK47" s="31">
        <v>0</v>
      </c>
      <c r="BL47" s="31">
        <v>0</v>
      </c>
      <c r="BM47" s="31">
        <v>2</v>
      </c>
      <c r="BN47" s="31">
        <v>0</v>
      </c>
      <c r="BO47" s="31">
        <v>10</v>
      </c>
      <c r="BQ47" s="31">
        <v>0</v>
      </c>
      <c r="BR47" s="31">
        <v>0</v>
      </c>
      <c r="BS47" s="31">
        <v>22</v>
      </c>
    </row>
    <row r="48" spans="1:71" ht="18.75" hidden="1" customHeight="1">
      <c r="A48" s="25">
        <v>9890</v>
      </c>
      <c r="B48" s="25" t="s">
        <v>327</v>
      </c>
      <c r="C48" s="25" t="s">
        <v>328</v>
      </c>
      <c r="D48" s="25" t="s">
        <v>329</v>
      </c>
      <c r="E48" s="26" t="s">
        <v>246</v>
      </c>
      <c r="F48" s="26" t="s">
        <v>72</v>
      </c>
      <c r="G48" s="26" t="s">
        <v>247</v>
      </c>
      <c r="H48" s="26" t="s">
        <v>74</v>
      </c>
      <c r="I48" s="26" t="s">
        <v>75</v>
      </c>
      <c r="J48" s="26" t="s">
        <v>76</v>
      </c>
      <c r="K48" s="26" t="s">
        <v>77</v>
      </c>
      <c r="L48" s="26" t="s">
        <v>78</v>
      </c>
      <c r="M48" s="26" t="s">
        <v>79</v>
      </c>
      <c r="N48" s="26" t="s">
        <v>101</v>
      </c>
      <c r="O48" s="26" t="s">
        <v>80</v>
      </c>
      <c r="P48" s="26" t="s">
        <v>279</v>
      </c>
      <c r="Q48" s="26" t="s">
        <v>82</v>
      </c>
      <c r="R48" s="26" t="s">
        <v>280</v>
      </c>
      <c r="S48" s="26" t="s">
        <v>104</v>
      </c>
      <c r="T48" s="26" t="s">
        <v>82</v>
      </c>
      <c r="U48" s="26" t="s">
        <v>101</v>
      </c>
      <c r="V48" s="26" t="s">
        <v>86</v>
      </c>
      <c r="W48" s="26" t="s">
        <v>86</v>
      </c>
      <c r="X48" s="26" t="s">
        <v>86</v>
      </c>
      <c r="Y48" s="26" t="s">
        <v>78</v>
      </c>
      <c r="Z48" s="26" t="s">
        <v>78</v>
      </c>
      <c r="AA48" s="27">
        <v>1.5054583333333331</v>
      </c>
      <c r="AB48" s="27">
        <v>0</v>
      </c>
      <c r="AC48" s="27">
        <v>0</v>
      </c>
      <c r="AD48" s="27">
        <v>1.5054583333333331</v>
      </c>
      <c r="AE48" s="27">
        <v>0</v>
      </c>
      <c r="AF48" s="27">
        <v>0</v>
      </c>
      <c r="AG48" s="27">
        <v>1.5054583333333331</v>
      </c>
      <c r="AH48" s="27">
        <v>0</v>
      </c>
      <c r="AI48" s="27">
        <v>0</v>
      </c>
      <c r="AJ48" s="27">
        <v>0</v>
      </c>
      <c r="AK48" s="27">
        <v>0</v>
      </c>
      <c r="AL48" s="27">
        <v>4.5833333333333337E-2</v>
      </c>
      <c r="AM48" s="27">
        <v>0</v>
      </c>
      <c r="AN48" s="27">
        <v>1.5512916666666665</v>
      </c>
      <c r="AO48" s="28">
        <v>7.2009884236254748E-2</v>
      </c>
      <c r="AP48" s="29">
        <v>0.77564583333333326</v>
      </c>
      <c r="AQ48" s="29">
        <v>0.77564583333333326</v>
      </c>
      <c r="AR48" s="30"/>
      <c r="AT48" s="31" t="s">
        <v>330</v>
      </c>
      <c r="AU48" s="31">
        <v>18</v>
      </c>
      <c r="AV48" s="31">
        <v>1</v>
      </c>
      <c r="AW48" s="31" t="s">
        <v>197</v>
      </c>
      <c r="AX48" s="31">
        <v>0</v>
      </c>
      <c r="AY48" s="32"/>
      <c r="AZ48" s="31">
        <v>3</v>
      </c>
      <c r="BA48" s="31">
        <v>1</v>
      </c>
      <c r="BB48" s="31" t="s">
        <v>331</v>
      </c>
      <c r="BC48" s="31" t="s">
        <v>250</v>
      </c>
      <c r="BD48" s="31" t="s">
        <v>332</v>
      </c>
      <c r="BE48" s="33" t="s">
        <v>333</v>
      </c>
      <c r="BF48" s="31" t="s">
        <v>334</v>
      </c>
      <c r="BG48" s="31" t="s">
        <v>334</v>
      </c>
      <c r="BH48" s="31" t="s">
        <v>156</v>
      </c>
      <c r="BI48" s="31" t="s">
        <v>156</v>
      </c>
      <c r="BK48" s="31">
        <v>0</v>
      </c>
      <c r="BL48" s="31">
        <v>0</v>
      </c>
      <c r="BM48" s="31">
        <v>0</v>
      </c>
      <c r="BN48" s="31">
        <v>0</v>
      </c>
      <c r="BO48" s="31">
        <v>14</v>
      </c>
      <c r="BQ48" s="31">
        <v>0</v>
      </c>
      <c r="BR48" s="31">
        <v>0</v>
      </c>
      <c r="BS48" s="31">
        <v>13</v>
      </c>
    </row>
    <row r="49" spans="1:71" ht="18.75" hidden="1" customHeight="1">
      <c r="A49" s="25">
        <v>9894</v>
      </c>
      <c r="B49" s="25" t="s">
        <v>335</v>
      </c>
      <c r="C49" s="25" t="s">
        <v>336</v>
      </c>
      <c r="D49" s="25" t="s">
        <v>336</v>
      </c>
      <c r="E49" s="26" t="s">
        <v>337</v>
      </c>
      <c r="F49" s="26" t="s">
        <v>312</v>
      </c>
      <c r="G49" s="26" t="s">
        <v>338</v>
      </c>
      <c r="H49" s="26" t="s">
        <v>74</v>
      </c>
      <c r="I49" s="26" t="s">
        <v>75</v>
      </c>
      <c r="J49" s="26" t="s">
        <v>76</v>
      </c>
      <c r="K49" s="26" t="s">
        <v>77</v>
      </c>
      <c r="L49" s="26" t="s">
        <v>78</v>
      </c>
      <c r="M49" s="26" t="s">
        <v>79</v>
      </c>
      <c r="N49" s="26" t="s">
        <v>101</v>
      </c>
      <c r="O49" s="26" t="s">
        <v>80</v>
      </c>
      <c r="P49" s="26" t="s">
        <v>206</v>
      </c>
      <c r="Q49" s="26" t="s">
        <v>82</v>
      </c>
      <c r="R49" s="26" t="s">
        <v>232</v>
      </c>
      <c r="S49" s="26" t="s">
        <v>104</v>
      </c>
      <c r="T49" s="26" t="s">
        <v>82</v>
      </c>
      <c r="U49" s="26" t="s">
        <v>101</v>
      </c>
      <c r="V49" s="26" t="s">
        <v>86</v>
      </c>
      <c r="W49" s="26" t="s">
        <v>86</v>
      </c>
      <c r="X49" s="26" t="s">
        <v>86</v>
      </c>
      <c r="Y49" s="26" t="s">
        <v>78</v>
      </c>
      <c r="Z49" s="26" t="s">
        <v>78</v>
      </c>
      <c r="AA49" s="27">
        <v>2.8418749999999995</v>
      </c>
      <c r="AB49" s="27">
        <v>0</v>
      </c>
      <c r="AC49" s="27">
        <v>0</v>
      </c>
      <c r="AD49" s="27">
        <v>2.8418749999999995</v>
      </c>
      <c r="AE49" s="27">
        <v>0</v>
      </c>
      <c r="AF49" s="27">
        <v>0</v>
      </c>
      <c r="AG49" s="27">
        <v>2.8418749999999995</v>
      </c>
      <c r="AH49" s="27">
        <v>0</v>
      </c>
      <c r="AI49" s="27">
        <v>0</v>
      </c>
      <c r="AJ49" s="27">
        <v>0</v>
      </c>
      <c r="AK49" s="27">
        <v>0</v>
      </c>
      <c r="AL49" s="27">
        <v>0.3520833333333333</v>
      </c>
      <c r="AM49" s="27">
        <v>0</v>
      </c>
      <c r="AN49" s="27">
        <v>3.1939583333333328</v>
      </c>
      <c r="AO49" s="28">
        <v>0.79192485813058511</v>
      </c>
      <c r="AP49" s="29">
        <v>1.5969791666666664</v>
      </c>
      <c r="AQ49" s="29">
        <v>1.5969791666666664</v>
      </c>
      <c r="AR49" s="30"/>
      <c r="AT49" s="49">
        <v>83000</v>
      </c>
      <c r="AU49" s="31">
        <v>25</v>
      </c>
      <c r="AV49" s="31">
        <v>50</v>
      </c>
      <c r="AW49" s="31">
        <v>0</v>
      </c>
      <c r="AX49" s="31">
        <v>30</v>
      </c>
      <c r="AY49" s="32"/>
      <c r="AZ49" s="31">
        <v>3</v>
      </c>
      <c r="BA49" s="31">
        <v>1</v>
      </c>
      <c r="BB49" s="31" t="s">
        <v>339</v>
      </c>
      <c r="BC49" s="31" t="s">
        <v>315</v>
      </c>
      <c r="BD49" s="31" t="s">
        <v>340</v>
      </c>
      <c r="BE49" s="33" t="s">
        <v>317</v>
      </c>
      <c r="BF49" s="31" t="s">
        <v>94</v>
      </c>
      <c r="BG49" s="31" t="s">
        <v>94</v>
      </c>
      <c r="BH49" s="31" t="s">
        <v>94</v>
      </c>
      <c r="BI49" s="31" t="s">
        <v>94</v>
      </c>
      <c r="BK49" s="31">
        <v>0</v>
      </c>
      <c r="BL49" s="31">
        <v>0</v>
      </c>
      <c r="BM49" s="31">
        <v>1</v>
      </c>
      <c r="BN49" s="31">
        <v>1</v>
      </c>
      <c r="BO49" s="31">
        <v>11</v>
      </c>
      <c r="BQ49" s="31">
        <v>1</v>
      </c>
      <c r="BR49" s="31">
        <v>0</v>
      </c>
      <c r="BS49" s="31">
        <v>95</v>
      </c>
    </row>
    <row r="50" spans="1:71" ht="18.75" hidden="1" customHeight="1">
      <c r="A50" s="25">
        <v>9896</v>
      </c>
      <c r="B50" s="25" t="s">
        <v>341</v>
      </c>
      <c r="C50" s="25" t="s">
        <v>342</v>
      </c>
      <c r="D50" s="25" t="s">
        <v>343</v>
      </c>
      <c r="E50" s="26" t="s">
        <v>246</v>
      </c>
      <c r="F50" s="26" t="s">
        <v>72</v>
      </c>
      <c r="G50" s="26" t="s">
        <v>247</v>
      </c>
      <c r="H50" s="26" t="s">
        <v>74</v>
      </c>
      <c r="I50" s="26" t="s">
        <v>75</v>
      </c>
      <c r="J50" s="26" t="s">
        <v>76</v>
      </c>
      <c r="K50" s="26" t="s">
        <v>77</v>
      </c>
      <c r="L50" s="26" t="s">
        <v>78</v>
      </c>
      <c r="M50" s="26" t="s">
        <v>79</v>
      </c>
      <c r="N50" s="26" t="s">
        <v>101</v>
      </c>
      <c r="O50" s="26" t="s">
        <v>80</v>
      </c>
      <c r="P50" s="26" t="s">
        <v>240</v>
      </c>
      <c r="Q50" s="26" t="s">
        <v>82</v>
      </c>
      <c r="R50" s="26" t="s">
        <v>280</v>
      </c>
      <c r="S50" s="26" t="s">
        <v>104</v>
      </c>
      <c r="T50" s="26" t="s">
        <v>82</v>
      </c>
      <c r="U50" s="26" t="s">
        <v>101</v>
      </c>
      <c r="V50" s="26" t="s">
        <v>86</v>
      </c>
      <c r="W50" s="26" t="s">
        <v>86</v>
      </c>
      <c r="X50" s="26" t="s">
        <v>86</v>
      </c>
      <c r="Y50" s="26" t="s">
        <v>78</v>
      </c>
      <c r="Z50" s="26" t="s">
        <v>78</v>
      </c>
      <c r="AA50" s="27">
        <v>1.091375</v>
      </c>
      <c r="AB50" s="27">
        <v>0</v>
      </c>
      <c r="AC50" s="27">
        <v>0</v>
      </c>
      <c r="AD50" s="27">
        <v>1.091375</v>
      </c>
      <c r="AE50" s="27">
        <v>0</v>
      </c>
      <c r="AF50" s="27">
        <v>0</v>
      </c>
      <c r="AG50" s="27">
        <v>1.091375</v>
      </c>
      <c r="AH50" s="27">
        <v>0</v>
      </c>
      <c r="AI50" s="27">
        <v>0</v>
      </c>
      <c r="AJ50" s="27">
        <v>0</v>
      </c>
      <c r="AK50" s="27">
        <v>0</v>
      </c>
      <c r="AL50" s="27">
        <v>0.105</v>
      </c>
      <c r="AM50" s="27">
        <v>0</v>
      </c>
      <c r="AN50" s="27">
        <v>1.196375</v>
      </c>
      <c r="AO50" s="28">
        <v>0.98955177097481983</v>
      </c>
      <c r="AP50" s="29">
        <v>0.59818749999999998</v>
      </c>
      <c r="AQ50" s="29">
        <v>0.59818749999999998</v>
      </c>
      <c r="AR50" s="30"/>
      <c r="AT50" s="31" t="s">
        <v>344</v>
      </c>
      <c r="AU50" s="31">
        <v>34</v>
      </c>
      <c r="AV50" s="31">
        <v>11</v>
      </c>
      <c r="AW50" s="31" t="s">
        <v>197</v>
      </c>
      <c r="AX50" s="31">
        <v>14</v>
      </c>
      <c r="AY50" s="32"/>
      <c r="AZ50" s="31">
        <v>3</v>
      </c>
      <c r="BA50" s="31">
        <v>1</v>
      </c>
      <c r="BB50" s="31" t="s">
        <v>345</v>
      </c>
      <c r="BC50" s="31" t="s">
        <v>250</v>
      </c>
      <c r="BD50" s="31" t="s">
        <v>332</v>
      </c>
      <c r="BE50" s="33" t="s">
        <v>333</v>
      </c>
      <c r="BF50" s="31" t="s">
        <v>148</v>
      </c>
      <c r="BG50" s="31" t="s">
        <v>334</v>
      </c>
      <c r="BH50" s="31" t="s">
        <v>334</v>
      </c>
      <c r="BI50" s="31" t="s">
        <v>334</v>
      </c>
      <c r="BK50" s="31">
        <v>0</v>
      </c>
      <c r="BL50" s="31">
        <v>0</v>
      </c>
      <c r="BM50" s="31">
        <v>1</v>
      </c>
      <c r="BN50" s="31">
        <v>1</v>
      </c>
      <c r="BO50" s="31">
        <v>4</v>
      </c>
      <c r="BQ50" s="31">
        <v>1</v>
      </c>
      <c r="BR50" s="31">
        <v>0</v>
      </c>
      <c r="BS50" s="31">
        <v>25</v>
      </c>
    </row>
    <row r="51" spans="1:71" ht="18.75" hidden="1" customHeight="1">
      <c r="A51" s="25">
        <v>9899</v>
      </c>
      <c r="B51" s="25" t="s">
        <v>346</v>
      </c>
      <c r="C51" s="25" t="s">
        <v>347</v>
      </c>
      <c r="D51" s="44" t="s">
        <v>348</v>
      </c>
      <c r="E51" s="26" t="s">
        <v>246</v>
      </c>
      <c r="F51" s="26" t="s">
        <v>72</v>
      </c>
      <c r="G51" s="26" t="s">
        <v>247</v>
      </c>
      <c r="H51" s="26" t="s">
        <v>74</v>
      </c>
      <c r="I51" s="26" t="s">
        <v>75</v>
      </c>
      <c r="J51" s="26" t="s">
        <v>76</v>
      </c>
      <c r="K51" s="26" t="s">
        <v>77</v>
      </c>
      <c r="L51" s="26" t="s">
        <v>78</v>
      </c>
      <c r="M51" s="26" t="s">
        <v>79</v>
      </c>
      <c r="N51" s="26" t="s">
        <v>101</v>
      </c>
      <c r="O51" s="26" t="s">
        <v>80</v>
      </c>
      <c r="P51" s="26" t="s">
        <v>279</v>
      </c>
      <c r="Q51" s="26" t="s">
        <v>82</v>
      </c>
      <c r="R51" s="26" t="s">
        <v>280</v>
      </c>
      <c r="S51" s="26" t="s">
        <v>104</v>
      </c>
      <c r="T51" s="26" t="s">
        <v>82</v>
      </c>
      <c r="U51" s="26" t="s">
        <v>101</v>
      </c>
      <c r="V51" s="26" t="s">
        <v>86</v>
      </c>
      <c r="W51" s="26" t="s">
        <v>86</v>
      </c>
      <c r="X51" s="26" t="s">
        <v>86</v>
      </c>
      <c r="Y51" s="26" t="s">
        <v>78</v>
      </c>
      <c r="Z51" s="26" t="s">
        <v>78</v>
      </c>
      <c r="AA51" s="27">
        <v>1.2041249999999999</v>
      </c>
      <c r="AB51" s="27">
        <v>0</v>
      </c>
      <c r="AC51" s="27">
        <v>0</v>
      </c>
      <c r="AD51" s="27">
        <v>1.2041249999999999</v>
      </c>
      <c r="AE51" s="27">
        <v>0</v>
      </c>
      <c r="AF51" s="27">
        <v>0</v>
      </c>
      <c r="AG51" s="27">
        <v>1.2041249999999999</v>
      </c>
      <c r="AH51" s="27">
        <v>0</v>
      </c>
      <c r="AI51" s="27">
        <v>0</v>
      </c>
      <c r="AJ51" s="27">
        <v>0</v>
      </c>
      <c r="AK51" s="27">
        <v>0</v>
      </c>
      <c r="AL51" s="27">
        <v>0.52916666666666679</v>
      </c>
      <c r="AM51" s="27">
        <v>0</v>
      </c>
      <c r="AN51" s="27">
        <v>1.7332916666666667</v>
      </c>
      <c r="AO51" s="28">
        <v>0.82691891632010373</v>
      </c>
      <c r="AP51" s="29">
        <v>0.86664583333333334</v>
      </c>
      <c r="AQ51" s="29">
        <v>0.86664583333333334</v>
      </c>
      <c r="AR51" s="30"/>
      <c r="AT51" s="31" t="s">
        <v>349</v>
      </c>
      <c r="AU51" s="31">
        <v>74</v>
      </c>
      <c r="AV51" s="31">
        <v>23</v>
      </c>
      <c r="AW51" s="31" t="s">
        <v>197</v>
      </c>
      <c r="AX51" s="31">
        <v>15</v>
      </c>
      <c r="AY51" s="32"/>
      <c r="AZ51" s="31">
        <v>3</v>
      </c>
      <c r="BA51" s="31">
        <v>1</v>
      </c>
      <c r="BB51" s="31" t="s">
        <v>350</v>
      </c>
      <c r="BC51" s="31" t="s">
        <v>250</v>
      </c>
      <c r="BD51" s="31" t="s">
        <v>332</v>
      </c>
      <c r="BE51" s="33" t="s">
        <v>333</v>
      </c>
      <c r="BF51" s="31" t="s">
        <v>94</v>
      </c>
      <c r="BG51" s="31" t="s">
        <v>334</v>
      </c>
      <c r="BH51" s="31" t="s">
        <v>334</v>
      </c>
      <c r="BI51" s="31" t="s">
        <v>334</v>
      </c>
      <c r="BK51" s="31">
        <v>0</v>
      </c>
      <c r="BL51" s="31">
        <v>0</v>
      </c>
      <c r="BM51" s="31">
        <v>0</v>
      </c>
      <c r="BN51" s="31">
        <v>3</v>
      </c>
      <c r="BO51" s="31">
        <v>33</v>
      </c>
      <c r="BQ51" s="31">
        <v>0</v>
      </c>
      <c r="BR51" s="31">
        <v>4</v>
      </c>
      <c r="BS51" s="31">
        <v>95</v>
      </c>
    </row>
    <row r="52" spans="1:71" ht="18.75" hidden="1" customHeight="1">
      <c r="A52" s="25">
        <v>9906</v>
      </c>
      <c r="B52" s="25" t="s">
        <v>351</v>
      </c>
      <c r="C52" s="25" t="s">
        <v>352</v>
      </c>
      <c r="D52" s="25" t="s">
        <v>353</v>
      </c>
      <c r="E52" s="26" t="s">
        <v>246</v>
      </c>
      <c r="F52" s="26" t="s">
        <v>72</v>
      </c>
      <c r="G52" s="26" t="s">
        <v>247</v>
      </c>
      <c r="H52" s="26" t="s">
        <v>74</v>
      </c>
      <c r="I52" s="26" t="s">
        <v>75</v>
      </c>
      <c r="J52" s="26" t="s">
        <v>76</v>
      </c>
      <c r="K52" s="26" t="s">
        <v>77</v>
      </c>
      <c r="L52" s="26" t="s">
        <v>78</v>
      </c>
      <c r="M52" s="26" t="s">
        <v>79</v>
      </c>
      <c r="N52" s="26" t="s">
        <v>101</v>
      </c>
      <c r="O52" s="26" t="s">
        <v>80</v>
      </c>
      <c r="P52" s="26" t="s">
        <v>240</v>
      </c>
      <c r="Q52" s="26" t="s">
        <v>82</v>
      </c>
      <c r="R52" s="26" t="s">
        <v>280</v>
      </c>
      <c r="S52" s="26" t="s">
        <v>104</v>
      </c>
      <c r="T52" s="26" t="s">
        <v>82</v>
      </c>
      <c r="U52" s="26" t="s">
        <v>101</v>
      </c>
      <c r="V52" s="26" t="s">
        <v>86</v>
      </c>
      <c r="W52" s="26" t="s">
        <v>86</v>
      </c>
      <c r="X52" s="26" t="s">
        <v>86</v>
      </c>
      <c r="Y52" s="26" t="s">
        <v>78</v>
      </c>
      <c r="Z52" s="26" t="s">
        <v>78</v>
      </c>
      <c r="AA52" s="27">
        <v>1.2860416666666665</v>
      </c>
      <c r="AB52" s="27">
        <v>0</v>
      </c>
      <c r="AC52" s="27">
        <v>0</v>
      </c>
      <c r="AD52" s="27">
        <v>1.2860416666666665</v>
      </c>
      <c r="AE52" s="27">
        <v>0</v>
      </c>
      <c r="AF52" s="27">
        <v>0.43333333333333335</v>
      </c>
      <c r="AG52" s="27">
        <v>0.85270833333333318</v>
      </c>
      <c r="AH52" s="27">
        <v>0</v>
      </c>
      <c r="AI52" s="27">
        <v>0</v>
      </c>
      <c r="AJ52" s="27">
        <v>0</v>
      </c>
      <c r="AK52" s="27">
        <v>0</v>
      </c>
      <c r="AL52" s="27">
        <v>0.14541666666666664</v>
      </c>
      <c r="AM52" s="27">
        <v>0</v>
      </c>
      <c r="AN52" s="27">
        <v>1.4314583333333331</v>
      </c>
      <c r="AO52" s="28">
        <v>0.950516664241013</v>
      </c>
      <c r="AP52" s="29">
        <v>0.71572916666666653</v>
      </c>
      <c r="AQ52" s="29">
        <v>0.71572916666666653</v>
      </c>
      <c r="AR52" s="30"/>
      <c r="AT52" s="31" t="s">
        <v>354</v>
      </c>
      <c r="AU52" s="31">
        <v>286</v>
      </c>
      <c r="AV52" s="31">
        <v>58</v>
      </c>
      <c r="AW52" s="31" t="s">
        <v>197</v>
      </c>
      <c r="AX52" s="31">
        <v>124</v>
      </c>
      <c r="AY52" s="32"/>
      <c r="AZ52" s="31">
        <v>3</v>
      </c>
      <c r="BA52" s="31">
        <v>1</v>
      </c>
      <c r="BB52" s="31" t="s">
        <v>355</v>
      </c>
      <c r="BC52" s="31" t="s">
        <v>250</v>
      </c>
      <c r="BD52" s="31" t="s">
        <v>332</v>
      </c>
      <c r="BE52" s="33" t="s">
        <v>333</v>
      </c>
      <c r="BF52" s="31" t="s">
        <v>334</v>
      </c>
      <c r="BG52" s="31" t="s">
        <v>334</v>
      </c>
      <c r="BH52" s="31" t="s">
        <v>334</v>
      </c>
      <c r="BI52" s="31" t="s">
        <v>156</v>
      </c>
      <c r="BK52" s="31">
        <v>0</v>
      </c>
      <c r="BL52" s="31">
        <v>0</v>
      </c>
      <c r="BM52" s="31">
        <v>2</v>
      </c>
      <c r="BN52" s="31">
        <v>4</v>
      </c>
      <c r="BO52" s="31">
        <v>17</v>
      </c>
      <c r="BQ52" s="31">
        <v>3</v>
      </c>
      <c r="BR52" s="31">
        <v>34</v>
      </c>
      <c r="BS52" s="31">
        <v>147</v>
      </c>
    </row>
    <row r="53" spans="1:71" ht="18.75" hidden="1" customHeight="1">
      <c r="A53" s="25">
        <v>9907</v>
      </c>
      <c r="B53" s="25" t="s">
        <v>356</v>
      </c>
      <c r="C53" s="25" t="s">
        <v>357</v>
      </c>
      <c r="D53" s="25" t="s">
        <v>358</v>
      </c>
      <c r="E53" s="26" t="s">
        <v>246</v>
      </c>
      <c r="F53" s="26" t="s">
        <v>72</v>
      </c>
      <c r="G53" s="26" t="s">
        <v>247</v>
      </c>
      <c r="H53" s="26" t="s">
        <v>74</v>
      </c>
      <c r="I53" s="26" t="s">
        <v>75</v>
      </c>
      <c r="J53" s="26" t="s">
        <v>76</v>
      </c>
      <c r="K53" s="26" t="s">
        <v>77</v>
      </c>
      <c r="L53" s="26" t="s">
        <v>78</v>
      </c>
      <c r="M53" s="26" t="s">
        <v>100</v>
      </c>
      <c r="N53" s="26" t="s">
        <v>101</v>
      </c>
      <c r="O53" s="26" t="s">
        <v>80</v>
      </c>
      <c r="P53" s="26" t="s">
        <v>279</v>
      </c>
      <c r="Q53" s="26" t="s">
        <v>82</v>
      </c>
      <c r="R53" s="26" t="s">
        <v>280</v>
      </c>
      <c r="S53" s="26" t="s">
        <v>104</v>
      </c>
      <c r="T53" s="26" t="s">
        <v>82</v>
      </c>
      <c r="U53" s="26" t="s">
        <v>101</v>
      </c>
      <c r="V53" s="26" t="s">
        <v>86</v>
      </c>
      <c r="W53" s="26" t="s">
        <v>86</v>
      </c>
      <c r="X53" s="26" t="s">
        <v>86</v>
      </c>
      <c r="Y53" s="26" t="s">
        <v>78</v>
      </c>
      <c r="Z53" s="26" t="s">
        <v>78</v>
      </c>
      <c r="AA53" s="27">
        <v>0.38583333333333336</v>
      </c>
      <c r="AB53" s="27">
        <v>0</v>
      </c>
      <c r="AC53" s="27">
        <v>0</v>
      </c>
      <c r="AD53" s="27">
        <v>0.38583333333333336</v>
      </c>
      <c r="AE53" s="27">
        <v>0</v>
      </c>
      <c r="AF53" s="27">
        <v>0</v>
      </c>
      <c r="AG53" s="27">
        <v>0.13583333333333333</v>
      </c>
      <c r="AH53" s="27">
        <v>0</v>
      </c>
      <c r="AI53" s="27">
        <v>0.25</v>
      </c>
      <c r="AJ53" s="27">
        <v>0</v>
      </c>
      <c r="AK53" s="27">
        <v>0</v>
      </c>
      <c r="AL53" s="27">
        <v>0</v>
      </c>
      <c r="AM53" s="27">
        <v>0</v>
      </c>
      <c r="AN53" s="27">
        <v>0.38583333333333336</v>
      </c>
      <c r="AO53" s="28">
        <v>0.35205183585313171</v>
      </c>
      <c r="AP53" s="29">
        <v>0.19291666666666668</v>
      </c>
      <c r="AQ53" s="29">
        <v>0.19291666666666668</v>
      </c>
      <c r="AR53" s="30"/>
      <c r="AT53" s="51" t="s">
        <v>359</v>
      </c>
      <c r="AU53" s="38">
        <v>33</v>
      </c>
      <c r="AV53" s="38">
        <v>6</v>
      </c>
      <c r="AW53" s="38">
        <v>0</v>
      </c>
      <c r="AX53" s="38">
        <v>2</v>
      </c>
      <c r="AY53" s="45"/>
      <c r="AZ53" s="38">
        <v>3</v>
      </c>
      <c r="BA53" s="38">
        <v>3</v>
      </c>
      <c r="BB53" s="38" t="s">
        <v>350</v>
      </c>
      <c r="BC53" s="38" t="s">
        <v>198</v>
      </c>
      <c r="BD53" s="38" t="s">
        <v>360</v>
      </c>
      <c r="BE53" s="46" t="s">
        <v>361</v>
      </c>
      <c r="BF53" s="31" t="s">
        <v>148</v>
      </c>
      <c r="BG53" s="31" t="s">
        <v>334</v>
      </c>
      <c r="BH53" s="31" t="s">
        <v>156</v>
      </c>
      <c r="BI53" s="31" t="s">
        <v>156</v>
      </c>
      <c r="BK53" s="31">
        <v>0</v>
      </c>
      <c r="BL53" s="31">
        <v>0</v>
      </c>
      <c r="BM53" s="31">
        <v>1</v>
      </c>
      <c r="BN53" s="31">
        <v>0</v>
      </c>
      <c r="BO53" s="31">
        <v>30</v>
      </c>
      <c r="BQ53" s="31">
        <v>1</v>
      </c>
      <c r="BR53" s="31">
        <v>14</v>
      </c>
      <c r="BS53" s="31">
        <v>37</v>
      </c>
    </row>
    <row r="54" spans="1:71" ht="18.75" hidden="1" customHeight="1">
      <c r="A54" s="25">
        <v>9910</v>
      </c>
      <c r="B54" s="25" t="s">
        <v>362</v>
      </c>
      <c r="C54" s="25" t="s">
        <v>363</v>
      </c>
      <c r="D54" s="35" t="s">
        <v>364</v>
      </c>
      <c r="E54" s="26" t="s">
        <v>192</v>
      </c>
      <c r="F54" s="26" t="s">
        <v>193</v>
      </c>
      <c r="G54" s="26" t="s">
        <v>194</v>
      </c>
      <c r="H54" s="26" t="s">
        <v>74</v>
      </c>
      <c r="I54" s="26" t="s">
        <v>75</v>
      </c>
      <c r="J54" s="26" t="s">
        <v>76</v>
      </c>
      <c r="K54" s="26" t="s">
        <v>77</v>
      </c>
      <c r="L54" s="26" t="s">
        <v>78</v>
      </c>
      <c r="M54" s="26" t="s">
        <v>100</v>
      </c>
      <c r="N54" s="26" t="s">
        <v>101</v>
      </c>
      <c r="O54" s="26" t="s">
        <v>80</v>
      </c>
      <c r="P54" s="26" t="s">
        <v>206</v>
      </c>
      <c r="Q54" s="26" t="s">
        <v>82</v>
      </c>
      <c r="R54" s="26" t="s">
        <v>207</v>
      </c>
      <c r="S54" s="26" t="s">
        <v>104</v>
      </c>
      <c r="T54" s="26" t="s">
        <v>82</v>
      </c>
      <c r="U54" s="26" t="s">
        <v>101</v>
      </c>
      <c r="V54" s="26" t="s">
        <v>86</v>
      </c>
      <c r="W54" s="26" t="s">
        <v>86</v>
      </c>
      <c r="X54" s="26" t="s">
        <v>86</v>
      </c>
      <c r="Y54" s="26" t="s">
        <v>78</v>
      </c>
      <c r="Z54" s="26" t="s">
        <v>78</v>
      </c>
      <c r="AA54" s="27">
        <v>6.25E-2</v>
      </c>
      <c r="AB54" s="27">
        <v>0</v>
      </c>
      <c r="AC54" s="27">
        <v>0</v>
      </c>
      <c r="AD54" s="27">
        <v>6.25E-2</v>
      </c>
      <c r="AE54" s="27">
        <v>0</v>
      </c>
      <c r="AF54" s="27">
        <v>0</v>
      </c>
      <c r="AG54" s="27">
        <v>6.25E-2</v>
      </c>
      <c r="AH54" s="27">
        <v>0</v>
      </c>
      <c r="AI54" s="27">
        <v>0</v>
      </c>
      <c r="AJ54" s="27">
        <v>0</v>
      </c>
      <c r="AK54" s="27">
        <v>0</v>
      </c>
      <c r="AL54" s="27">
        <v>0</v>
      </c>
      <c r="AM54" s="27">
        <v>0</v>
      </c>
      <c r="AN54" s="27">
        <v>6.25E-2</v>
      </c>
      <c r="AO54" s="28">
        <v>1</v>
      </c>
      <c r="AP54" s="29">
        <v>3.125E-2</v>
      </c>
      <c r="AQ54" s="29">
        <v>3.125E-2</v>
      </c>
      <c r="AR54" s="30"/>
      <c r="AT54" s="31"/>
      <c r="AU54" s="31"/>
      <c r="AV54" s="31"/>
      <c r="AW54" s="31"/>
      <c r="AX54" s="31"/>
      <c r="AY54" s="32"/>
      <c r="AZ54" s="31">
        <v>3</v>
      </c>
      <c r="BA54" s="31">
        <v>1</v>
      </c>
      <c r="BB54" s="31" t="s">
        <v>197</v>
      </c>
      <c r="BC54" s="31" t="s">
        <v>198</v>
      </c>
      <c r="BD54" s="31" t="s">
        <v>365</v>
      </c>
      <c r="BE54" s="33"/>
      <c r="BF54" s="31" t="s">
        <v>148</v>
      </c>
      <c r="BG54" s="31" t="s">
        <v>156</v>
      </c>
      <c r="BH54" s="31" t="s">
        <v>156</v>
      </c>
      <c r="BI54" s="31" t="s">
        <v>156</v>
      </c>
      <c r="BK54" s="31">
        <v>0</v>
      </c>
      <c r="BL54" s="31">
        <v>0</v>
      </c>
      <c r="BM54" s="31">
        <v>0</v>
      </c>
      <c r="BN54" s="31">
        <v>0</v>
      </c>
      <c r="BO54" s="31">
        <v>4</v>
      </c>
      <c r="BQ54" s="31">
        <v>0</v>
      </c>
      <c r="BR54" s="31">
        <v>0</v>
      </c>
      <c r="BS54" s="31">
        <v>3</v>
      </c>
    </row>
    <row r="55" spans="1:71" ht="18.75" hidden="1" customHeight="1">
      <c r="A55" s="25">
        <v>9920</v>
      </c>
      <c r="B55" s="25" t="s">
        <v>366</v>
      </c>
      <c r="C55" s="25" t="s">
        <v>367</v>
      </c>
      <c r="D55" s="25" t="s">
        <v>368</v>
      </c>
      <c r="E55" s="26" t="s">
        <v>311</v>
      </c>
      <c r="F55" s="26" t="s">
        <v>312</v>
      </c>
      <c r="G55" s="26" t="s">
        <v>369</v>
      </c>
      <c r="H55" s="26" t="s">
        <v>74</v>
      </c>
      <c r="I55" s="26" t="s">
        <v>75</v>
      </c>
      <c r="J55" s="26" t="s">
        <v>76</v>
      </c>
      <c r="K55" s="26" t="s">
        <v>77</v>
      </c>
      <c r="L55" s="26" t="s">
        <v>78</v>
      </c>
      <c r="M55" s="26" t="s">
        <v>370</v>
      </c>
      <c r="N55" s="26" t="s">
        <v>80</v>
      </c>
      <c r="O55" s="26" t="s">
        <v>80</v>
      </c>
      <c r="P55" s="26" t="s">
        <v>279</v>
      </c>
      <c r="Q55" s="26" t="s">
        <v>82</v>
      </c>
      <c r="R55" s="26" t="s">
        <v>280</v>
      </c>
      <c r="S55" s="26" t="s">
        <v>104</v>
      </c>
      <c r="T55" s="26" t="s">
        <v>82</v>
      </c>
      <c r="U55" s="26" t="s">
        <v>101</v>
      </c>
      <c r="V55" s="26" t="s">
        <v>86</v>
      </c>
      <c r="W55" s="26" t="s">
        <v>86</v>
      </c>
      <c r="X55" s="26" t="s">
        <v>86</v>
      </c>
      <c r="Y55" s="26" t="s">
        <v>78</v>
      </c>
      <c r="Z55" s="26" t="s">
        <v>78</v>
      </c>
      <c r="AA55" s="27">
        <v>10.337500000000002</v>
      </c>
      <c r="AB55" s="27">
        <v>0</v>
      </c>
      <c r="AC55" s="27">
        <v>0.44166666666666665</v>
      </c>
      <c r="AD55" s="27">
        <v>9.8958333333333339</v>
      </c>
      <c r="AE55" s="27">
        <v>0</v>
      </c>
      <c r="AF55" s="27">
        <v>1.7874999999999999</v>
      </c>
      <c r="AG55" s="27">
        <v>5.1333333333333329</v>
      </c>
      <c r="AH55" s="27">
        <v>3.333333333333333</v>
      </c>
      <c r="AI55" s="27">
        <v>0</v>
      </c>
      <c r="AJ55" s="27">
        <v>8.3333333333333329E-2</v>
      </c>
      <c r="AK55" s="27">
        <v>0</v>
      </c>
      <c r="AL55" s="27">
        <v>3.5583333333333336</v>
      </c>
      <c r="AM55" s="27">
        <v>5.1816666666666675</v>
      </c>
      <c r="AN55" s="27">
        <v>19.077500000000004</v>
      </c>
      <c r="AO55" s="28">
        <v>0.93360415847639022</v>
      </c>
      <c r="AP55" s="29">
        <v>9.5387500000000021</v>
      </c>
      <c r="AQ55" s="29">
        <v>9.5387500000000021</v>
      </c>
      <c r="AR55" s="30"/>
      <c r="AT55" s="52">
        <v>250000</v>
      </c>
      <c r="AU55" s="31">
        <v>150</v>
      </c>
      <c r="AV55" s="31">
        <v>20</v>
      </c>
      <c r="AW55" s="31">
        <v>30</v>
      </c>
      <c r="AX55" s="31">
        <v>15</v>
      </c>
      <c r="AY55" s="32"/>
      <c r="AZ55" s="31">
        <v>1</v>
      </c>
      <c r="BA55" s="31">
        <v>3</v>
      </c>
      <c r="BB55" s="31" t="s">
        <v>371</v>
      </c>
      <c r="BC55" s="31" t="s">
        <v>315</v>
      </c>
      <c r="BD55" s="31" t="s">
        <v>297</v>
      </c>
      <c r="BE55" s="33" t="s">
        <v>372</v>
      </c>
      <c r="BF55" s="31" t="s">
        <v>94</v>
      </c>
      <c r="BG55" s="31" t="s">
        <v>94</v>
      </c>
      <c r="BH55" s="31" t="s">
        <v>94</v>
      </c>
      <c r="BI55" s="31" t="s">
        <v>94</v>
      </c>
      <c r="BK55" s="31">
        <v>0</v>
      </c>
      <c r="BL55" s="31">
        <v>0</v>
      </c>
      <c r="BM55" s="31">
        <v>11</v>
      </c>
      <c r="BN55" s="31">
        <v>3</v>
      </c>
      <c r="BO55" s="31">
        <v>23</v>
      </c>
      <c r="BQ55" s="31">
        <v>8</v>
      </c>
      <c r="BR55" s="31">
        <v>27</v>
      </c>
      <c r="BS55" s="31">
        <v>224</v>
      </c>
    </row>
    <row r="56" spans="1:71" ht="18.75" hidden="1" customHeight="1">
      <c r="A56" s="25">
        <v>9921</v>
      </c>
      <c r="B56" s="25" t="s">
        <v>373</v>
      </c>
      <c r="C56" s="25" t="s">
        <v>374</v>
      </c>
      <c r="D56" s="25" t="s">
        <v>374</v>
      </c>
      <c r="E56" s="26" t="s">
        <v>311</v>
      </c>
      <c r="F56" s="26" t="s">
        <v>312</v>
      </c>
      <c r="G56" s="26" t="s">
        <v>369</v>
      </c>
      <c r="H56" s="26" t="s">
        <v>74</v>
      </c>
      <c r="I56" s="26" t="s">
        <v>75</v>
      </c>
      <c r="J56" s="26" t="s">
        <v>76</v>
      </c>
      <c r="K56" s="26" t="s">
        <v>77</v>
      </c>
      <c r="L56" s="26" t="s">
        <v>78</v>
      </c>
      <c r="M56" s="26" t="s">
        <v>79</v>
      </c>
      <c r="N56" s="26" t="s">
        <v>101</v>
      </c>
      <c r="O56" s="26" t="s">
        <v>80</v>
      </c>
      <c r="P56" s="26" t="s">
        <v>279</v>
      </c>
      <c r="Q56" s="26" t="s">
        <v>82</v>
      </c>
      <c r="R56" s="26" t="s">
        <v>280</v>
      </c>
      <c r="S56" s="26" t="s">
        <v>104</v>
      </c>
      <c r="T56" s="26" t="s">
        <v>281</v>
      </c>
      <c r="U56" s="26" t="s">
        <v>80</v>
      </c>
      <c r="V56" s="26" t="s">
        <v>86</v>
      </c>
      <c r="W56" s="26" t="s">
        <v>86</v>
      </c>
      <c r="X56" s="26" t="s">
        <v>86</v>
      </c>
      <c r="Y56" s="26" t="s">
        <v>78</v>
      </c>
      <c r="Z56" s="26" t="s">
        <v>78</v>
      </c>
      <c r="AA56" s="27">
        <v>0.3041666666666667</v>
      </c>
      <c r="AB56" s="27">
        <v>0</v>
      </c>
      <c r="AC56" s="27">
        <v>0</v>
      </c>
      <c r="AD56" s="27">
        <v>0.3041666666666667</v>
      </c>
      <c r="AE56" s="27">
        <v>0</v>
      </c>
      <c r="AF56" s="27">
        <v>0</v>
      </c>
      <c r="AG56" s="27">
        <v>0</v>
      </c>
      <c r="AH56" s="27">
        <v>0.3041666666666667</v>
      </c>
      <c r="AI56" s="27">
        <v>0</v>
      </c>
      <c r="AJ56" s="27">
        <v>0</v>
      </c>
      <c r="AK56" s="27">
        <v>0</v>
      </c>
      <c r="AL56" s="27">
        <v>4.1666666666666664E-2</v>
      </c>
      <c r="AM56" s="27">
        <v>0</v>
      </c>
      <c r="AN56" s="27">
        <v>0.34583333333333338</v>
      </c>
      <c r="AO56" s="28">
        <v>1</v>
      </c>
      <c r="AP56" s="29">
        <v>0.17291666666666669</v>
      </c>
      <c r="AQ56" s="29">
        <v>0.17291666666666669</v>
      </c>
      <c r="AR56" s="30"/>
      <c r="AT56" s="52">
        <v>15000</v>
      </c>
      <c r="AU56" s="31">
        <v>10</v>
      </c>
      <c r="AV56" s="31">
        <v>5</v>
      </c>
      <c r="AW56" s="31">
        <v>5</v>
      </c>
      <c r="AX56" s="31">
        <v>3</v>
      </c>
      <c r="AY56" s="32"/>
      <c r="AZ56" s="31">
        <v>1</v>
      </c>
      <c r="BA56" s="31">
        <v>3</v>
      </c>
      <c r="BB56" s="31" t="s">
        <v>375</v>
      </c>
      <c r="BC56" s="31" t="s">
        <v>315</v>
      </c>
      <c r="BD56" s="31" t="s">
        <v>297</v>
      </c>
      <c r="BE56" s="33" t="s">
        <v>372</v>
      </c>
      <c r="BF56" s="31" t="s">
        <v>94</v>
      </c>
      <c r="BG56" s="31" t="s">
        <v>94</v>
      </c>
      <c r="BH56" s="31" t="s">
        <v>94</v>
      </c>
      <c r="BI56" s="31" t="s">
        <v>94</v>
      </c>
      <c r="BK56" s="31">
        <v>0</v>
      </c>
      <c r="BL56" s="31">
        <v>0</v>
      </c>
      <c r="BM56" s="31">
        <v>3</v>
      </c>
      <c r="BN56" s="31">
        <v>1</v>
      </c>
      <c r="BO56" s="31">
        <v>2</v>
      </c>
      <c r="BQ56" s="31">
        <v>2</v>
      </c>
      <c r="BR56" s="31">
        <v>0</v>
      </c>
      <c r="BS56" s="31">
        <v>19</v>
      </c>
    </row>
    <row r="57" spans="1:71" ht="18.75" hidden="1" customHeight="1">
      <c r="A57" s="25">
        <v>9926</v>
      </c>
      <c r="B57" s="25" t="s">
        <v>376</v>
      </c>
      <c r="C57" s="25" t="s">
        <v>377</v>
      </c>
      <c r="D57" s="25" t="s">
        <v>378</v>
      </c>
      <c r="E57" s="26" t="s">
        <v>379</v>
      </c>
      <c r="F57" s="26" t="s">
        <v>380</v>
      </c>
      <c r="G57" s="26" t="s">
        <v>380</v>
      </c>
      <c r="H57" s="26" t="s">
        <v>74</v>
      </c>
      <c r="I57" s="26" t="s">
        <v>185</v>
      </c>
      <c r="J57" s="26" t="s">
        <v>76</v>
      </c>
      <c r="K57" s="26" t="s">
        <v>77</v>
      </c>
      <c r="L57" s="26" t="s">
        <v>78</v>
      </c>
      <c r="M57" s="26" t="s">
        <v>100</v>
      </c>
      <c r="N57" s="26" t="s">
        <v>101</v>
      </c>
      <c r="O57" s="26" t="s">
        <v>80</v>
      </c>
      <c r="P57" s="26" t="s">
        <v>240</v>
      </c>
      <c r="Q57" s="26" t="s">
        <v>82</v>
      </c>
      <c r="R57" s="26" t="s">
        <v>280</v>
      </c>
      <c r="S57" s="26" t="s">
        <v>104</v>
      </c>
      <c r="T57" s="26" t="s">
        <v>82</v>
      </c>
      <c r="U57" s="26" t="s">
        <v>101</v>
      </c>
      <c r="V57" s="26" t="s">
        <v>86</v>
      </c>
      <c r="W57" s="26" t="s">
        <v>86</v>
      </c>
      <c r="X57" s="26" t="s">
        <v>86</v>
      </c>
      <c r="Y57" s="26" t="s">
        <v>78</v>
      </c>
      <c r="Z57" s="26" t="s">
        <v>78</v>
      </c>
      <c r="AA57" s="27">
        <v>7.4999999999999997E-2</v>
      </c>
      <c r="AB57" s="27">
        <v>0</v>
      </c>
      <c r="AC57" s="27">
        <v>0</v>
      </c>
      <c r="AD57" s="27">
        <v>7.4999999999999997E-2</v>
      </c>
      <c r="AE57" s="27">
        <v>0</v>
      </c>
      <c r="AF57" s="27">
        <v>0</v>
      </c>
      <c r="AG57" s="27">
        <v>7.4999999999999997E-2</v>
      </c>
      <c r="AH57" s="27">
        <v>0</v>
      </c>
      <c r="AI57" s="27">
        <v>0</v>
      </c>
      <c r="AJ57" s="27">
        <v>0</v>
      </c>
      <c r="AK57" s="27">
        <v>0</v>
      </c>
      <c r="AL57" s="27">
        <v>0</v>
      </c>
      <c r="AM57" s="27">
        <v>0</v>
      </c>
      <c r="AN57" s="27">
        <v>7.4999999999999997E-2</v>
      </c>
      <c r="AO57" s="28">
        <v>0</v>
      </c>
      <c r="AP57" s="29">
        <v>3.7499999999999999E-2</v>
      </c>
      <c r="AQ57" s="29">
        <v>3.7499999999999999E-2</v>
      </c>
      <c r="AR57" s="53" t="s">
        <v>381</v>
      </c>
      <c r="AT57" s="31" t="s">
        <v>382</v>
      </c>
      <c r="AU57" s="31">
        <v>50</v>
      </c>
      <c r="AV57" s="31">
        <v>0</v>
      </c>
      <c r="AW57" s="31">
        <v>0</v>
      </c>
      <c r="AX57" s="31">
        <v>0</v>
      </c>
      <c r="AY57" s="32"/>
      <c r="AZ57" s="31">
        <v>2</v>
      </c>
      <c r="BA57" s="31">
        <v>1</v>
      </c>
      <c r="BB57" s="31" t="s">
        <v>383</v>
      </c>
      <c r="BC57" s="31" t="s">
        <v>250</v>
      </c>
      <c r="BD57" s="31" t="s">
        <v>384</v>
      </c>
      <c r="BE57" s="33" t="s">
        <v>251</v>
      </c>
      <c r="BF57" s="31" t="s">
        <v>156</v>
      </c>
      <c r="BG57" s="31" t="s">
        <v>156</v>
      </c>
      <c r="BH57" s="31" t="s">
        <v>156</v>
      </c>
      <c r="BI57" s="31" t="s">
        <v>156</v>
      </c>
      <c r="BK57" s="31">
        <v>0</v>
      </c>
      <c r="BL57" s="31">
        <v>0</v>
      </c>
      <c r="BM57" s="31">
        <v>2</v>
      </c>
      <c r="BN57" s="31">
        <v>7</v>
      </c>
      <c r="BO57" s="31">
        <v>36</v>
      </c>
      <c r="BQ57" s="31">
        <v>2</v>
      </c>
      <c r="BR57" s="31">
        <v>1</v>
      </c>
      <c r="BS57" s="31">
        <v>34</v>
      </c>
    </row>
    <row r="58" spans="1:71" ht="18.75" hidden="1" customHeight="1">
      <c r="A58" s="25">
        <v>9928</v>
      </c>
      <c r="B58" s="25" t="s">
        <v>385</v>
      </c>
      <c r="C58" s="25" t="s">
        <v>386</v>
      </c>
      <c r="D58" s="25" t="s">
        <v>386</v>
      </c>
      <c r="E58" s="26" t="s">
        <v>379</v>
      </c>
      <c r="F58" s="26" t="s">
        <v>380</v>
      </c>
      <c r="G58" s="26" t="s">
        <v>380</v>
      </c>
      <c r="H58" s="26" t="s">
        <v>74</v>
      </c>
      <c r="I58" s="26" t="s">
        <v>185</v>
      </c>
      <c r="J58" s="26" t="s">
        <v>76</v>
      </c>
      <c r="K58" s="26" t="s">
        <v>77</v>
      </c>
      <c r="L58" s="26" t="s">
        <v>78</v>
      </c>
      <c r="M58" s="26" t="s">
        <v>100</v>
      </c>
      <c r="N58" s="26" t="s">
        <v>101</v>
      </c>
      <c r="O58" s="26" t="s">
        <v>80</v>
      </c>
      <c r="P58" s="26" t="s">
        <v>240</v>
      </c>
      <c r="Q58" s="26" t="s">
        <v>82</v>
      </c>
      <c r="R58" s="26" t="s">
        <v>280</v>
      </c>
      <c r="S58" s="26" t="s">
        <v>104</v>
      </c>
      <c r="T58" s="26" t="s">
        <v>281</v>
      </c>
      <c r="U58" s="26" t="s">
        <v>80</v>
      </c>
      <c r="V58" s="26" t="s">
        <v>86</v>
      </c>
      <c r="W58" s="26" t="s">
        <v>86</v>
      </c>
      <c r="X58" s="26" t="s">
        <v>86</v>
      </c>
      <c r="Y58" s="26" t="s">
        <v>78</v>
      </c>
      <c r="Z58" s="26" t="s">
        <v>78</v>
      </c>
      <c r="AA58" s="27">
        <v>1.3970833333333335</v>
      </c>
      <c r="AB58" s="27">
        <v>0</v>
      </c>
      <c r="AC58" s="27">
        <v>0</v>
      </c>
      <c r="AD58" s="27">
        <v>1.3970833333333335</v>
      </c>
      <c r="AE58" s="27">
        <v>0</v>
      </c>
      <c r="AF58" s="27">
        <v>0</v>
      </c>
      <c r="AG58" s="27">
        <v>1.3970833333333335</v>
      </c>
      <c r="AH58" s="27">
        <v>0</v>
      </c>
      <c r="AI58" s="27">
        <v>0</v>
      </c>
      <c r="AJ58" s="27">
        <v>0</v>
      </c>
      <c r="AK58" s="27">
        <v>0</v>
      </c>
      <c r="AL58" s="27">
        <v>1</v>
      </c>
      <c r="AM58" s="27">
        <v>0</v>
      </c>
      <c r="AN58" s="27">
        <v>2.3970833333333337</v>
      </c>
      <c r="AO58" s="28">
        <v>0.86441856422735963</v>
      </c>
      <c r="AP58" s="29">
        <v>1.1985416666666668</v>
      </c>
      <c r="AQ58" s="29">
        <v>1.1985416666666668</v>
      </c>
      <c r="AR58" s="53" t="s">
        <v>381</v>
      </c>
      <c r="AT58" s="31" t="s">
        <v>387</v>
      </c>
      <c r="AU58" s="31">
        <v>600</v>
      </c>
      <c r="AV58" s="31">
        <v>400</v>
      </c>
      <c r="AW58" s="31">
        <v>0</v>
      </c>
      <c r="AX58" s="31">
        <v>10</v>
      </c>
      <c r="AY58" s="32"/>
      <c r="AZ58" s="31">
        <v>2</v>
      </c>
      <c r="BA58" s="31">
        <v>1</v>
      </c>
      <c r="BB58" s="31" t="s">
        <v>388</v>
      </c>
      <c r="BC58" s="31" t="s">
        <v>250</v>
      </c>
      <c r="BD58" s="31" t="s">
        <v>389</v>
      </c>
      <c r="BE58" s="33" t="s">
        <v>390</v>
      </c>
      <c r="BF58" s="31" t="s">
        <v>156</v>
      </c>
      <c r="BG58" s="31" t="s">
        <v>156</v>
      </c>
      <c r="BH58" s="31" t="s">
        <v>156</v>
      </c>
      <c r="BI58" s="31" t="s">
        <v>156</v>
      </c>
      <c r="BK58" s="31">
        <v>0</v>
      </c>
      <c r="BL58" s="31">
        <v>0</v>
      </c>
      <c r="BM58" s="31">
        <v>11</v>
      </c>
      <c r="BN58" s="31">
        <v>10</v>
      </c>
      <c r="BO58" s="31">
        <v>40</v>
      </c>
      <c r="BQ58" s="31">
        <v>15</v>
      </c>
      <c r="BR58" s="31">
        <v>13</v>
      </c>
      <c r="BS58" s="31">
        <v>171</v>
      </c>
    </row>
    <row r="59" spans="1:71" ht="18.75" hidden="1" customHeight="1">
      <c r="A59" s="25">
        <v>9930</v>
      </c>
      <c r="B59" s="25" t="s">
        <v>391</v>
      </c>
      <c r="C59" s="25" t="s">
        <v>392</v>
      </c>
      <c r="D59" s="25" t="s">
        <v>393</v>
      </c>
      <c r="E59" s="26" t="s">
        <v>246</v>
      </c>
      <c r="F59" s="26" t="s">
        <v>72</v>
      </c>
      <c r="G59" s="26" t="s">
        <v>247</v>
      </c>
      <c r="H59" s="26" t="s">
        <v>74</v>
      </c>
      <c r="I59" s="26" t="s">
        <v>75</v>
      </c>
      <c r="J59" s="26" t="s">
        <v>76</v>
      </c>
      <c r="K59" s="26" t="s">
        <v>77</v>
      </c>
      <c r="L59" s="26" t="s">
        <v>86</v>
      </c>
      <c r="M59" s="26" t="s">
        <v>100</v>
      </c>
      <c r="N59" s="26" t="s">
        <v>101</v>
      </c>
      <c r="O59" s="26" t="s">
        <v>80</v>
      </c>
      <c r="P59" s="26" t="s">
        <v>394</v>
      </c>
      <c r="Q59" s="26" t="s">
        <v>82</v>
      </c>
      <c r="R59" s="26" t="s">
        <v>395</v>
      </c>
      <c r="S59" s="26" t="s">
        <v>104</v>
      </c>
      <c r="T59" s="26" t="s">
        <v>82</v>
      </c>
      <c r="U59" s="26" t="s">
        <v>101</v>
      </c>
      <c r="V59" s="26" t="s">
        <v>86</v>
      </c>
      <c r="W59" s="26" t="s">
        <v>86</v>
      </c>
      <c r="X59" s="26" t="s">
        <v>86</v>
      </c>
      <c r="Y59" s="26" t="s">
        <v>78</v>
      </c>
      <c r="Z59" s="26" t="s">
        <v>78</v>
      </c>
      <c r="AA59" s="27">
        <v>2.4083333333333332</v>
      </c>
      <c r="AB59" s="27">
        <v>0</v>
      </c>
      <c r="AC59" s="27">
        <v>0</v>
      </c>
      <c r="AD59" s="27">
        <v>2.4083333333333332</v>
      </c>
      <c r="AE59" s="27">
        <v>0</v>
      </c>
      <c r="AF59" s="27">
        <v>0</v>
      </c>
      <c r="AG59" s="27">
        <v>2.4083333333333332</v>
      </c>
      <c r="AH59" s="27">
        <v>0</v>
      </c>
      <c r="AI59" s="27">
        <v>0</v>
      </c>
      <c r="AJ59" s="27">
        <v>0</v>
      </c>
      <c r="AK59" s="27">
        <v>0</v>
      </c>
      <c r="AL59" s="27">
        <v>7.4999999999999997E-2</v>
      </c>
      <c r="AM59" s="27">
        <v>0</v>
      </c>
      <c r="AN59" s="27">
        <v>2.4833333333333334</v>
      </c>
      <c r="AO59" s="28">
        <v>0.89932885906040272</v>
      </c>
      <c r="AP59" s="29">
        <v>1.2416666666666667</v>
      </c>
      <c r="AQ59" s="29">
        <v>1.2416666666666667</v>
      </c>
      <c r="AR59" s="30"/>
      <c r="AT59" s="31" t="s">
        <v>396</v>
      </c>
      <c r="AU59" s="31">
        <v>335</v>
      </c>
      <c r="AV59" s="31">
        <v>378</v>
      </c>
      <c r="AW59" s="31" t="s">
        <v>197</v>
      </c>
      <c r="AX59" s="31">
        <v>1275</v>
      </c>
      <c r="AY59" s="32"/>
      <c r="AZ59" s="31">
        <v>3</v>
      </c>
      <c r="BA59" s="31">
        <v>1</v>
      </c>
      <c r="BB59" s="31" t="s">
        <v>197</v>
      </c>
      <c r="BC59" s="31" t="s">
        <v>250</v>
      </c>
      <c r="BD59" s="31" t="s">
        <v>397</v>
      </c>
      <c r="BE59" s="33" t="s">
        <v>398</v>
      </c>
      <c r="BF59" s="31" t="s">
        <v>156</v>
      </c>
      <c r="BG59" s="31" t="s">
        <v>156</v>
      </c>
      <c r="BH59" s="31" t="s">
        <v>156</v>
      </c>
      <c r="BI59" s="31" t="s">
        <v>156</v>
      </c>
      <c r="BK59" s="31">
        <v>0</v>
      </c>
      <c r="BL59" s="31">
        <v>0</v>
      </c>
      <c r="BM59" s="31">
        <v>8</v>
      </c>
      <c r="BN59" s="31">
        <v>24</v>
      </c>
      <c r="BO59" s="31">
        <v>207</v>
      </c>
      <c r="BQ59" s="31">
        <v>3</v>
      </c>
      <c r="BR59" s="31">
        <v>10</v>
      </c>
      <c r="BS59" s="31">
        <v>62</v>
      </c>
    </row>
    <row r="60" spans="1:71" ht="18.75" hidden="1" customHeight="1">
      <c r="A60" s="25">
        <v>9931</v>
      </c>
      <c r="B60" s="25" t="s">
        <v>399</v>
      </c>
      <c r="C60" s="25" t="s">
        <v>400</v>
      </c>
      <c r="D60" s="25" t="s">
        <v>401</v>
      </c>
      <c r="E60" s="26" t="s">
        <v>337</v>
      </c>
      <c r="F60" s="26" t="s">
        <v>312</v>
      </c>
      <c r="G60" s="26" t="s">
        <v>402</v>
      </c>
      <c r="H60" s="26" t="s">
        <v>74</v>
      </c>
      <c r="I60" s="26" t="s">
        <v>75</v>
      </c>
      <c r="J60" s="26" t="s">
        <v>76</v>
      </c>
      <c r="K60" s="26" t="s">
        <v>77</v>
      </c>
      <c r="L60" s="26" t="s">
        <v>78</v>
      </c>
      <c r="M60" s="26" t="s">
        <v>79</v>
      </c>
      <c r="N60" s="26" t="s">
        <v>101</v>
      </c>
      <c r="O60" s="26" t="s">
        <v>80</v>
      </c>
      <c r="P60" s="26" t="s">
        <v>206</v>
      </c>
      <c r="Q60" s="26" t="s">
        <v>82</v>
      </c>
      <c r="R60" s="26" t="s">
        <v>403</v>
      </c>
      <c r="S60" s="26" t="s">
        <v>104</v>
      </c>
      <c r="T60" s="26" t="s">
        <v>82</v>
      </c>
      <c r="U60" s="26" t="s">
        <v>101</v>
      </c>
      <c r="V60" s="26" t="s">
        <v>86</v>
      </c>
      <c r="W60" s="26" t="s">
        <v>86</v>
      </c>
      <c r="X60" s="26" t="s">
        <v>86</v>
      </c>
      <c r="Y60" s="26" t="s">
        <v>78</v>
      </c>
      <c r="Z60" s="26" t="s">
        <v>78</v>
      </c>
      <c r="AA60" s="27">
        <v>13.583333333333337</v>
      </c>
      <c r="AB60" s="27">
        <v>0</v>
      </c>
      <c r="AC60" s="27">
        <v>0</v>
      </c>
      <c r="AD60" s="27">
        <v>13.583333333333325</v>
      </c>
      <c r="AE60" s="27">
        <v>0</v>
      </c>
      <c r="AF60" s="27">
        <v>0</v>
      </c>
      <c r="AG60" s="27">
        <v>13.583333333333325</v>
      </c>
      <c r="AH60" s="27">
        <v>0</v>
      </c>
      <c r="AI60" s="27">
        <v>0</v>
      </c>
      <c r="AJ60" s="27">
        <v>0</v>
      </c>
      <c r="AK60" s="27">
        <v>0</v>
      </c>
      <c r="AL60" s="27">
        <v>2.2749999999999999</v>
      </c>
      <c r="AM60" s="27">
        <v>0</v>
      </c>
      <c r="AN60" s="27">
        <f>AA60+AL60+AM60</f>
        <v>15.858333333333338</v>
      </c>
      <c r="AO60" s="28">
        <v>0.91728849185496575</v>
      </c>
      <c r="AP60" s="29">
        <v>7.6375000000000002</v>
      </c>
      <c r="AQ60" s="29">
        <v>7.6375000000000002</v>
      </c>
      <c r="AR60" s="30"/>
      <c r="AT60" s="54" t="s">
        <v>404</v>
      </c>
      <c r="AU60" s="31">
        <v>10</v>
      </c>
      <c r="AV60" s="31">
        <v>0</v>
      </c>
      <c r="AW60" s="31">
        <v>0</v>
      </c>
      <c r="AX60" s="31">
        <v>0</v>
      </c>
      <c r="AY60" s="32"/>
      <c r="AZ60" s="31">
        <v>3</v>
      </c>
      <c r="BA60" s="31">
        <v>1</v>
      </c>
      <c r="BB60" s="31" t="s">
        <v>405</v>
      </c>
      <c r="BC60" s="31"/>
      <c r="BD60" s="31" t="s">
        <v>406</v>
      </c>
      <c r="BE60" s="33"/>
      <c r="BF60" s="31" t="s">
        <v>94</v>
      </c>
      <c r="BG60" s="31" t="s">
        <v>94</v>
      </c>
      <c r="BH60" s="31" t="s">
        <v>94</v>
      </c>
      <c r="BI60" s="31" t="s">
        <v>94</v>
      </c>
      <c r="BK60" s="31">
        <v>0</v>
      </c>
      <c r="BL60" s="31">
        <v>0</v>
      </c>
      <c r="BM60" s="31">
        <v>1</v>
      </c>
      <c r="BN60" s="31">
        <v>0</v>
      </c>
      <c r="BO60" s="31">
        <v>1</v>
      </c>
      <c r="BQ60" s="31">
        <v>1</v>
      </c>
      <c r="BR60" s="31">
        <v>0</v>
      </c>
      <c r="BS60" s="31">
        <v>48</v>
      </c>
    </row>
    <row r="61" spans="1:71" ht="18.75" hidden="1" customHeight="1">
      <c r="A61" s="25">
        <v>9940</v>
      </c>
      <c r="B61" s="25" t="s">
        <v>407</v>
      </c>
      <c r="C61" s="25" t="s">
        <v>408</v>
      </c>
      <c r="D61" s="44" t="s">
        <v>409</v>
      </c>
      <c r="E61" s="26" t="s">
        <v>246</v>
      </c>
      <c r="F61" s="26" t="s">
        <v>72</v>
      </c>
      <c r="G61" s="26" t="s">
        <v>247</v>
      </c>
      <c r="H61" s="26" t="s">
        <v>74</v>
      </c>
      <c r="I61" s="26" t="s">
        <v>75</v>
      </c>
      <c r="J61" s="26" t="s">
        <v>76</v>
      </c>
      <c r="K61" s="26" t="s">
        <v>77</v>
      </c>
      <c r="L61" s="26" t="s">
        <v>78</v>
      </c>
      <c r="M61" s="26" t="s">
        <v>79</v>
      </c>
      <c r="N61" s="26" t="s">
        <v>101</v>
      </c>
      <c r="O61" s="26" t="s">
        <v>80</v>
      </c>
      <c r="P61" s="26" t="s">
        <v>279</v>
      </c>
      <c r="Q61" s="26" t="s">
        <v>82</v>
      </c>
      <c r="R61" s="26" t="s">
        <v>280</v>
      </c>
      <c r="S61" s="26" t="s">
        <v>104</v>
      </c>
      <c r="T61" s="26" t="s">
        <v>82</v>
      </c>
      <c r="U61" s="26" t="s">
        <v>101</v>
      </c>
      <c r="V61" s="26" t="s">
        <v>86</v>
      </c>
      <c r="W61" s="26" t="s">
        <v>86</v>
      </c>
      <c r="X61" s="26" t="s">
        <v>86</v>
      </c>
      <c r="Y61" s="26" t="s">
        <v>78</v>
      </c>
      <c r="Z61" s="26" t="s">
        <v>78</v>
      </c>
      <c r="AA61" s="27">
        <v>0.38750000000000007</v>
      </c>
      <c r="AB61" s="27">
        <v>0</v>
      </c>
      <c r="AC61" s="27">
        <v>0</v>
      </c>
      <c r="AD61" s="27">
        <v>0.38750000000000007</v>
      </c>
      <c r="AE61" s="27">
        <v>0</v>
      </c>
      <c r="AF61" s="27">
        <v>0</v>
      </c>
      <c r="AG61" s="27">
        <v>0.38750000000000007</v>
      </c>
      <c r="AH61" s="27">
        <v>0</v>
      </c>
      <c r="AI61" s="27">
        <v>0</v>
      </c>
      <c r="AJ61" s="27">
        <v>0</v>
      </c>
      <c r="AK61" s="27">
        <v>0</v>
      </c>
      <c r="AL61" s="27">
        <v>2.4999999999999998E-2</v>
      </c>
      <c r="AM61" s="27">
        <v>0</v>
      </c>
      <c r="AN61" s="27">
        <v>0.41250000000000009</v>
      </c>
      <c r="AO61" s="28">
        <v>0.81818181818181812</v>
      </c>
      <c r="AP61" s="29">
        <v>0.20625000000000004</v>
      </c>
      <c r="AQ61" s="29">
        <v>0.20625000000000004</v>
      </c>
      <c r="AR61" s="30"/>
      <c r="AT61" s="38">
        <v>15634</v>
      </c>
      <c r="AU61" s="38">
        <v>25</v>
      </c>
      <c r="AV61" s="38">
        <v>30</v>
      </c>
      <c r="AW61" s="38">
        <v>0</v>
      </c>
      <c r="AX61" s="38">
        <v>30</v>
      </c>
      <c r="AY61" s="45"/>
      <c r="AZ61" s="38">
        <v>3</v>
      </c>
      <c r="BA61" s="38">
        <v>3</v>
      </c>
      <c r="BB61" s="38" t="s">
        <v>350</v>
      </c>
      <c r="BC61" s="38" t="s">
        <v>410</v>
      </c>
      <c r="BD61" s="38" t="s">
        <v>360</v>
      </c>
      <c r="BE61" s="46" t="s">
        <v>361</v>
      </c>
      <c r="BF61" s="31" t="s">
        <v>334</v>
      </c>
      <c r="BG61" s="31" t="s">
        <v>334</v>
      </c>
      <c r="BH61" s="31" t="s">
        <v>156</v>
      </c>
      <c r="BI61" s="31" t="s">
        <v>156</v>
      </c>
      <c r="BK61" s="31">
        <v>0</v>
      </c>
      <c r="BL61" s="31">
        <v>0</v>
      </c>
      <c r="BM61" s="31">
        <v>0</v>
      </c>
      <c r="BN61" s="31">
        <v>4</v>
      </c>
      <c r="BO61" s="31">
        <v>8</v>
      </c>
      <c r="BQ61" s="31">
        <v>0</v>
      </c>
      <c r="BR61" s="31">
        <v>0</v>
      </c>
      <c r="BS61" s="31">
        <v>9</v>
      </c>
    </row>
    <row r="62" spans="1:71" ht="18.75" hidden="1" customHeight="1">
      <c r="A62" s="25">
        <v>9941</v>
      </c>
      <c r="B62" s="25" t="s">
        <v>411</v>
      </c>
      <c r="C62" s="25" t="s">
        <v>412</v>
      </c>
      <c r="D62" s="25" t="s">
        <v>413</v>
      </c>
      <c r="E62" s="26" t="s">
        <v>246</v>
      </c>
      <c r="F62" s="26" t="s">
        <v>72</v>
      </c>
      <c r="G62" s="26" t="s">
        <v>247</v>
      </c>
      <c r="H62" s="26" t="s">
        <v>414</v>
      </c>
      <c r="I62" s="26" t="s">
        <v>75</v>
      </c>
      <c r="J62" s="26" t="s">
        <v>76</v>
      </c>
      <c r="K62" s="26" t="s">
        <v>77</v>
      </c>
      <c r="L62" s="26" t="s">
        <v>78</v>
      </c>
      <c r="M62" s="26" t="s">
        <v>79</v>
      </c>
      <c r="N62" s="26" t="s">
        <v>101</v>
      </c>
      <c r="O62" s="26" t="s">
        <v>80</v>
      </c>
      <c r="P62" s="26" t="s">
        <v>279</v>
      </c>
      <c r="Q62" s="26" t="s">
        <v>82</v>
      </c>
      <c r="R62" s="26" t="s">
        <v>280</v>
      </c>
      <c r="S62" s="26" t="s">
        <v>104</v>
      </c>
      <c r="T62" s="26" t="s">
        <v>85</v>
      </c>
      <c r="U62" s="26" t="s">
        <v>80</v>
      </c>
      <c r="V62" s="26" t="s">
        <v>86</v>
      </c>
      <c r="W62" s="26" t="s">
        <v>86</v>
      </c>
      <c r="X62" s="26" t="s">
        <v>86</v>
      </c>
      <c r="Y62" s="26" t="s">
        <v>78</v>
      </c>
      <c r="Z62" s="26" t="s">
        <v>78</v>
      </c>
      <c r="AA62" s="27">
        <v>0.92916458333333329</v>
      </c>
      <c r="AB62" s="27">
        <v>0</v>
      </c>
      <c r="AC62" s="27">
        <v>0</v>
      </c>
      <c r="AD62" s="27">
        <v>0.92916458333333329</v>
      </c>
      <c r="AE62" s="27">
        <v>0</v>
      </c>
      <c r="AF62" s="27">
        <v>0</v>
      </c>
      <c r="AG62" s="27">
        <v>0.92916458333333329</v>
      </c>
      <c r="AH62" s="27">
        <v>0</v>
      </c>
      <c r="AI62" s="27">
        <v>0</v>
      </c>
      <c r="AJ62" s="27">
        <v>0</v>
      </c>
      <c r="AK62" s="27">
        <v>0</v>
      </c>
      <c r="AL62" s="27">
        <v>8.7499999999999994E-2</v>
      </c>
      <c r="AM62" s="27">
        <v>0</v>
      </c>
      <c r="AN62" s="27">
        <v>1.0166645833333332</v>
      </c>
      <c r="AO62" s="28">
        <v>0.41311355146219564</v>
      </c>
      <c r="AP62" s="29">
        <v>0.5083322916666666</v>
      </c>
      <c r="AQ62" s="29">
        <v>0.5083322916666666</v>
      </c>
      <c r="AR62" s="30"/>
      <c r="AT62" s="55">
        <v>325915</v>
      </c>
      <c r="AU62" s="31">
        <v>0</v>
      </c>
      <c r="AV62" s="31">
        <v>6</v>
      </c>
      <c r="AW62" s="31">
        <v>0</v>
      </c>
      <c r="AX62" s="31">
        <v>129</v>
      </c>
      <c r="AY62" s="32"/>
      <c r="AZ62" s="31">
        <v>3</v>
      </c>
      <c r="BA62" s="31">
        <v>1</v>
      </c>
      <c r="BB62" s="31" t="s">
        <v>415</v>
      </c>
      <c r="BC62" s="31" t="s">
        <v>416</v>
      </c>
      <c r="BD62" s="31" t="s">
        <v>417</v>
      </c>
      <c r="BE62" s="33" t="s">
        <v>418</v>
      </c>
      <c r="BF62" s="31" t="s">
        <v>156</v>
      </c>
      <c r="BG62" s="31" t="s">
        <v>156</v>
      </c>
      <c r="BH62" s="31" t="s">
        <v>156</v>
      </c>
      <c r="BI62" s="31" t="s">
        <v>156</v>
      </c>
      <c r="BK62" s="31">
        <v>0</v>
      </c>
      <c r="BL62" s="31">
        <v>0</v>
      </c>
      <c r="BM62" s="31">
        <v>5</v>
      </c>
      <c r="BN62" s="31">
        <v>2</v>
      </c>
      <c r="BO62" s="31">
        <v>10</v>
      </c>
      <c r="BQ62" s="31">
        <v>4</v>
      </c>
      <c r="BR62" s="31">
        <v>0</v>
      </c>
      <c r="BS62" s="31">
        <v>24</v>
      </c>
    </row>
    <row r="63" spans="1:71" ht="18.75" customHeight="1">
      <c r="A63" s="25">
        <v>9947</v>
      </c>
      <c r="B63" s="25" t="s">
        <v>419</v>
      </c>
      <c r="C63" s="25" t="s">
        <v>420</v>
      </c>
      <c r="D63" s="25" t="s">
        <v>420</v>
      </c>
      <c r="E63" s="26" t="s">
        <v>204</v>
      </c>
      <c r="F63" s="26" t="s">
        <v>193</v>
      </c>
      <c r="G63" s="26" t="s">
        <v>205</v>
      </c>
      <c r="H63" s="26" t="s">
        <v>74</v>
      </c>
      <c r="I63" s="26" t="s">
        <v>75</v>
      </c>
      <c r="J63" s="26" t="s">
        <v>76</v>
      </c>
      <c r="K63" s="26" t="s">
        <v>77</v>
      </c>
      <c r="L63" s="26" t="s">
        <v>86</v>
      </c>
      <c r="M63" s="26" t="s">
        <v>100</v>
      </c>
      <c r="N63" s="26" t="s">
        <v>101</v>
      </c>
      <c r="O63" s="26" t="s">
        <v>80</v>
      </c>
      <c r="P63" s="26" t="s">
        <v>279</v>
      </c>
      <c r="Q63" s="26" t="s">
        <v>82</v>
      </c>
      <c r="R63" s="26" t="s">
        <v>280</v>
      </c>
      <c r="S63" s="26" t="s">
        <v>104</v>
      </c>
      <c r="T63" s="26" t="s">
        <v>82</v>
      </c>
      <c r="U63" s="26" t="s">
        <v>101</v>
      </c>
      <c r="V63" s="26" t="s">
        <v>86</v>
      </c>
      <c r="W63" s="26" t="s">
        <v>86</v>
      </c>
      <c r="X63" s="26" t="s">
        <v>86</v>
      </c>
      <c r="Y63" s="26" t="s">
        <v>78</v>
      </c>
      <c r="Z63" s="26" t="s">
        <v>78</v>
      </c>
      <c r="AA63" s="40">
        <v>6.030825000000001</v>
      </c>
      <c r="AB63" s="40">
        <v>0</v>
      </c>
      <c r="AC63" s="40">
        <v>0</v>
      </c>
      <c r="AD63" s="40">
        <v>6.0308250000000019</v>
      </c>
      <c r="AE63" s="40">
        <v>0</v>
      </c>
      <c r="AF63" s="40">
        <v>0</v>
      </c>
      <c r="AG63" s="40">
        <v>6.0308250000000019</v>
      </c>
      <c r="AH63" s="40">
        <v>0</v>
      </c>
      <c r="AI63" s="40">
        <v>0</v>
      </c>
      <c r="AJ63" s="40">
        <v>0</v>
      </c>
      <c r="AK63" s="40">
        <v>0</v>
      </c>
      <c r="AL63" s="27">
        <v>1.1541666666666668</v>
      </c>
      <c r="AM63" s="27">
        <v>0</v>
      </c>
      <c r="AN63" s="27">
        <f>AA63+AL63+AM63</f>
        <v>7.1849916666666678</v>
      </c>
      <c r="AO63" s="28">
        <v>0.75904634544925254</v>
      </c>
      <c r="AP63" s="29">
        <f>AN63/2</f>
        <v>3.5924958333333339</v>
      </c>
      <c r="AQ63" s="29">
        <f>AN63/2</f>
        <v>3.5924958333333339</v>
      </c>
      <c r="AR63" s="30"/>
      <c r="AT63" s="31">
        <v>585527</v>
      </c>
      <c r="AU63" s="31">
        <v>261</v>
      </c>
      <c r="AV63" s="31">
        <v>57</v>
      </c>
      <c r="AW63" s="31">
        <v>99</v>
      </c>
      <c r="AX63" s="31">
        <v>15</v>
      </c>
      <c r="AY63" s="32"/>
      <c r="AZ63" s="31">
        <v>3</v>
      </c>
      <c r="BA63" s="31">
        <v>1</v>
      </c>
      <c r="BB63" s="31" t="s">
        <v>421</v>
      </c>
      <c r="BC63" s="31" t="s">
        <v>422</v>
      </c>
      <c r="BD63" s="31" t="s">
        <v>423</v>
      </c>
      <c r="BE63" s="56" t="s">
        <v>424</v>
      </c>
      <c r="BF63" s="31" t="s">
        <v>156</v>
      </c>
      <c r="BG63" s="31" t="s">
        <v>156</v>
      </c>
      <c r="BH63" s="31" t="s">
        <v>156</v>
      </c>
      <c r="BI63" s="31" t="s">
        <v>156</v>
      </c>
      <c r="BK63" s="31">
        <v>0</v>
      </c>
      <c r="BL63" s="31">
        <v>0</v>
      </c>
      <c r="BM63" s="31">
        <v>50</v>
      </c>
      <c r="BN63" s="31">
        <v>34</v>
      </c>
      <c r="BO63" s="31">
        <v>132</v>
      </c>
      <c r="BQ63" s="31">
        <v>29</v>
      </c>
      <c r="BR63" s="31">
        <v>26</v>
      </c>
      <c r="BS63" s="31">
        <v>334</v>
      </c>
    </row>
    <row r="64" spans="1:71" ht="18.75" hidden="1" customHeight="1">
      <c r="A64" s="25">
        <v>9948</v>
      </c>
      <c r="B64" s="25" t="s">
        <v>425</v>
      </c>
      <c r="C64" s="25" t="s">
        <v>426</v>
      </c>
      <c r="D64" s="25" t="s">
        <v>427</v>
      </c>
      <c r="E64" s="26" t="s">
        <v>98</v>
      </c>
      <c r="F64" s="26" t="s">
        <v>72</v>
      </c>
      <c r="G64" s="26" t="s">
        <v>99</v>
      </c>
      <c r="H64" s="26" t="s">
        <v>74</v>
      </c>
      <c r="I64" s="26" t="s">
        <v>75</v>
      </c>
      <c r="J64" s="26" t="s">
        <v>76</v>
      </c>
      <c r="K64" s="26" t="s">
        <v>77</v>
      </c>
      <c r="L64" s="26" t="s">
        <v>86</v>
      </c>
      <c r="M64" s="26" t="s">
        <v>79</v>
      </c>
      <c r="N64" s="26" t="s">
        <v>101</v>
      </c>
      <c r="O64" s="26" t="s">
        <v>80</v>
      </c>
      <c r="P64" s="26" t="s">
        <v>428</v>
      </c>
      <c r="Q64" s="26" t="s">
        <v>82</v>
      </c>
      <c r="R64" s="26" t="s">
        <v>144</v>
      </c>
      <c r="S64" s="26" t="s">
        <v>104</v>
      </c>
      <c r="T64" s="26" t="s">
        <v>82</v>
      </c>
      <c r="U64" s="26" t="s">
        <v>101</v>
      </c>
      <c r="V64" s="26" t="s">
        <v>86</v>
      </c>
      <c r="W64" s="26" t="s">
        <v>86</v>
      </c>
      <c r="X64" s="26" t="s">
        <v>86</v>
      </c>
      <c r="Y64" s="26" t="s">
        <v>78</v>
      </c>
      <c r="Z64" s="26" t="s">
        <v>78</v>
      </c>
      <c r="AA64" s="27">
        <v>9.2697083333333321</v>
      </c>
      <c r="AB64" s="27">
        <v>0</v>
      </c>
      <c r="AC64" s="27">
        <v>0</v>
      </c>
      <c r="AD64" s="27">
        <v>9.2697083333333321</v>
      </c>
      <c r="AE64" s="27">
        <v>0</v>
      </c>
      <c r="AF64" s="27">
        <v>1</v>
      </c>
      <c r="AG64" s="27">
        <v>8.2697083333333286</v>
      </c>
      <c r="AH64" s="27">
        <v>0</v>
      </c>
      <c r="AI64" s="27">
        <v>0</v>
      </c>
      <c r="AJ64" s="27">
        <v>0</v>
      </c>
      <c r="AK64" s="27">
        <v>0</v>
      </c>
      <c r="AL64" s="27">
        <v>2.8458333333333332</v>
      </c>
      <c r="AM64" s="27">
        <v>0</v>
      </c>
      <c r="AN64" s="27">
        <v>12.115541666666665</v>
      </c>
      <c r="AO64" s="28">
        <v>0.77129926093550627</v>
      </c>
      <c r="AP64" s="29">
        <v>6.0577708333333327</v>
      </c>
      <c r="AQ64" s="29">
        <v>6.0577708333333327</v>
      </c>
      <c r="AR64" s="30"/>
      <c r="AT64" s="31">
        <v>244574</v>
      </c>
      <c r="AU64" s="31">
        <v>0</v>
      </c>
      <c r="AV64" s="31">
        <v>257</v>
      </c>
      <c r="AW64" s="31">
        <v>0</v>
      </c>
      <c r="AX64" s="31">
        <v>153</v>
      </c>
      <c r="AY64" s="32" t="s">
        <v>105</v>
      </c>
      <c r="AZ64" s="31">
        <v>3</v>
      </c>
      <c r="BA64" s="31">
        <v>1</v>
      </c>
      <c r="BB64" s="31"/>
      <c r="BC64" s="31" t="s">
        <v>114</v>
      </c>
      <c r="BD64" s="31"/>
      <c r="BE64" s="33" t="s">
        <v>109</v>
      </c>
      <c r="BF64" s="31" t="s">
        <v>94</v>
      </c>
      <c r="BG64" s="31" t="s">
        <v>94</v>
      </c>
      <c r="BH64" s="31" t="s">
        <v>94</v>
      </c>
      <c r="BI64" s="31" t="s">
        <v>94</v>
      </c>
      <c r="BK64" s="31">
        <v>0</v>
      </c>
      <c r="BL64" s="31">
        <v>0</v>
      </c>
      <c r="BM64" s="31">
        <v>112</v>
      </c>
      <c r="BN64" s="31">
        <v>10</v>
      </c>
      <c r="BO64" s="31">
        <v>27</v>
      </c>
      <c r="BQ64" s="31">
        <v>78</v>
      </c>
      <c r="BR64" s="31">
        <v>10</v>
      </c>
      <c r="BS64" s="31">
        <v>327</v>
      </c>
    </row>
    <row r="65" spans="1:71" ht="18.75" hidden="1" customHeight="1">
      <c r="A65" s="25">
        <v>9949</v>
      </c>
      <c r="B65" s="25" t="s">
        <v>429</v>
      </c>
      <c r="C65" s="25" t="s">
        <v>430</v>
      </c>
      <c r="D65" s="44" t="s">
        <v>431</v>
      </c>
      <c r="E65" s="26" t="s">
        <v>246</v>
      </c>
      <c r="F65" s="26" t="s">
        <v>72</v>
      </c>
      <c r="G65" s="26" t="s">
        <v>247</v>
      </c>
      <c r="H65" s="26" t="s">
        <v>74</v>
      </c>
      <c r="I65" s="26" t="s">
        <v>185</v>
      </c>
      <c r="J65" s="26" t="s">
        <v>76</v>
      </c>
      <c r="K65" s="26" t="s">
        <v>77</v>
      </c>
      <c r="L65" s="26" t="s">
        <v>78</v>
      </c>
      <c r="M65" s="26" t="s">
        <v>100</v>
      </c>
      <c r="N65" s="26" t="s">
        <v>101</v>
      </c>
      <c r="O65" s="26" t="s">
        <v>80</v>
      </c>
      <c r="P65" s="26" t="s">
        <v>279</v>
      </c>
      <c r="Q65" s="26" t="s">
        <v>82</v>
      </c>
      <c r="R65" s="26" t="s">
        <v>432</v>
      </c>
      <c r="S65" s="26" t="s">
        <v>104</v>
      </c>
      <c r="T65" s="26" t="s">
        <v>82</v>
      </c>
      <c r="U65" s="26" t="s">
        <v>101</v>
      </c>
      <c r="V65" s="26" t="s">
        <v>86</v>
      </c>
      <c r="W65" s="26" t="s">
        <v>86</v>
      </c>
      <c r="X65" s="26" t="s">
        <v>86</v>
      </c>
      <c r="Y65" s="26" t="s">
        <v>78</v>
      </c>
      <c r="Z65" s="26" t="s">
        <v>78</v>
      </c>
      <c r="AA65" s="27">
        <v>6.6666666666666666E-2</v>
      </c>
      <c r="AB65" s="27">
        <v>0</v>
      </c>
      <c r="AC65" s="27">
        <v>0</v>
      </c>
      <c r="AD65" s="27">
        <v>6.6666666666666666E-2</v>
      </c>
      <c r="AE65" s="27">
        <v>0</v>
      </c>
      <c r="AF65" s="27">
        <v>0</v>
      </c>
      <c r="AG65" s="27">
        <v>6.6666666666666666E-2</v>
      </c>
      <c r="AH65" s="27">
        <v>0</v>
      </c>
      <c r="AI65" s="27">
        <v>0</v>
      </c>
      <c r="AJ65" s="27">
        <v>0</v>
      </c>
      <c r="AK65" s="27">
        <v>0</v>
      </c>
      <c r="AL65" s="27">
        <v>0</v>
      </c>
      <c r="AM65" s="27">
        <v>0</v>
      </c>
      <c r="AN65" s="27">
        <v>6.6666666666666666E-2</v>
      </c>
      <c r="AO65" s="28">
        <v>0</v>
      </c>
      <c r="AP65" s="29">
        <v>3.3333333333333333E-2</v>
      </c>
      <c r="AQ65" s="29">
        <v>3.3333333333333333E-2</v>
      </c>
      <c r="AR65" s="30"/>
      <c r="AT65" s="38">
        <v>140000</v>
      </c>
      <c r="AU65" s="38">
        <v>29</v>
      </c>
      <c r="AV65" s="38">
        <v>0</v>
      </c>
      <c r="AW65" s="38">
        <v>0</v>
      </c>
      <c r="AX65" s="38">
        <v>0</v>
      </c>
      <c r="AY65" s="45"/>
      <c r="AZ65" s="38">
        <v>3</v>
      </c>
      <c r="BA65" s="38">
        <v>1</v>
      </c>
      <c r="BB65" s="38" t="s">
        <v>433</v>
      </c>
      <c r="BC65" s="38" t="s">
        <v>198</v>
      </c>
      <c r="BD65" s="38" t="s">
        <v>389</v>
      </c>
      <c r="BE65" s="46" t="s">
        <v>361</v>
      </c>
      <c r="BF65" s="31" t="s">
        <v>156</v>
      </c>
      <c r="BG65" s="31" t="s">
        <v>156</v>
      </c>
      <c r="BH65" s="31" t="s">
        <v>156</v>
      </c>
      <c r="BI65" s="31" t="s">
        <v>156</v>
      </c>
      <c r="BK65" s="31">
        <v>0</v>
      </c>
      <c r="BL65" s="31">
        <v>0</v>
      </c>
      <c r="BM65" s="31">
        <v>0</v>
      </c>
      <c r="BN65" s="31">
        <v>1</v>
      </c>
      <c r="BO65" s="31">
        <v>1</v>
      </c>
      <c r="BQ65" s="31">
        <v>0</v>
      </c>
      <c r="BR65" s="31">
        <v>0</v>
      </c>
      <c r="BS65" s="31">
        <v>16</v>
      </c>
    </row>
    <row r="66" spans="1:71" ht="18.75" hidden="1" customHeight="1">
      <c r="A66" s="25">
        <v>9951</v>
      </c>
      <c r="B66" s="25" t="s">
        <v>434</v>
      </c>
      <c r="C66" s="25" t="s">
        <v>435</v>
      </c>
      <c r="D66" s="25" t="s">
        <v>436</v>
      </c>
      <c r="E66" s="26" t="s">
        <v>437</v>
      </c>
      <c r="F66" s="26" t="s">
        <v>438</v>
      </c>
      <c r="G66" s="26" t="s">
        <v>438</v>
      </c>
      <c r="H66" s="26" t="s">
        <v>74</v>
      </c>
      <c r="I66" s="26" t="s">
        <v>185</v>
      </c>
      <c r="J66" s="26" t="s">
        <v>76</v>
      </c>
      <c r="K66" s="26" t="s">
        <v>77</v>
      </c>
      <c r="L66" s="26" t="s">
        <v>78</v>
      </c>
      <c r="M66" s="26" t="s">
        <v>100</v>
      </c>
      <c r="N66" s="26" t="s">
        <v>101</v>
      </c>
      <c r="O66" s="26" t="s">
        <v>80</v>
      </c>
      <c r="P66" s="26" t="s">
        <v>439</v>
      </c>
      <c r="Q66" s="26" t="s">
        <v>82</v>
      </c>
      <c r="R66" s="26" t="s">
        <v>440</v>
      </c>
      <c r="S66" s="26" t="s">
        <v>104</v>
      </c>
      <c r="T66" s="26" t="s">
        <v>441</v>
      </c>
      <c r="U66" s="26" t="s">
        <v>442</v>
      </c>
      <c r="V66" s="26" t="s">
        <v>86</v>
      </c>
      <c r="W66" s="26" t="s">
        <v>86</v>
      </c>
      <c r="X66" s="26" t="s">
        <v>86</v>
      </c>
      <c r="Y66" s="26" t="s">
        <v>78</v>
      </c>
      <c r="Z66" s="26" t="s">
        <v>86</v>
      </c>
      <c r="AA66" s="27">
        <v>7.6770416666666659</v>
      </c>
      <c r="AB66" s="27">
        <v>0</v>
      </c>
      <c r="AC66" s="27">
        <v>0</v>
      </c>
      <c r="AD66" s="27">
        <v>7.6770416666666641</v>
      </c>
      <c r="AE66" s="27">
        <v>0</v>
      </c>
      <c r="AF66" s="27">
        <v>1.875</v>
      </c>
      <c r="AG66" s="27">
        <v>5.8020416666666659</v>
      </c>
      <c r="AH66" s="27">
        <v>0</v>
      </c>
      <c r="AI66" s="27">
        <v>0</v>
      </c>
      <c r="AJ66" s="27">
        <v>0</v>
      </c>
      <c r="AK66" s="27">
        <v>0</v>
      </c>
      <c r="AL66" s="27">
        <v>0.25</v>
      </c>
      <c r="AM66" s="27">
        <v>0</v>
      </c>
      <c r="AN66" s="27">
        <f>AA66+AL66+AM66</f>
        <v>7.9270416666666659</v>
      </c>
      <c r="AO66" s="28">
        <v>0.77923668455550354</v>
      </c>
      <c r="AP66" s="29">
        <v>3.963520833333332</v>
      </c>
      <c r="AQ66" s="29">
        <v>3.963520833333332</v>
      </c>
      <c r="AR66" s="30"/>
      <c r="AT66" s="57">
        <v>155486</v>
      </c>
      <c r="AU66" s="58" t="s">
        <v>197</v>
      </c>
      <c r="AV66" s="57">
        <v>1013</v>
      </c>
      <c r="AW66" s="58" t="s">
        <v>197</v>
      </c>
      <c r="AX66" s="57">
        <v>263</v>
      </c>
      <c r="AY66" s="32"/>
      <c r="AZ66" s="31">
        <v>3</v>
      </c>
      <c r="BA66" s="31">
        <v>1</v>
      </c>
      <c r="BB66" s="31" t="s">
        <v>415</v>
      </c>
      <c r="BC66" s="31" t="s">
        <v>443</v>
      </c>
      <c r="BD66" s="31" t="s">
        <v>444</v>
      </c>
      <c r="BE66" s="33" t="s">
        <v>445</v>
      </c>
      <c r="BF66" s="31" t="s">
        <v>94</v>
      </c>
      <c r="BG66" s="31" t="s">
        <v>94</v>
      </c>
      <c r="BH66" s="31" t="s">
        <v>94</v>
      </c>
      <c r="BI66" s="31" t="s">
        <v>94</v>
      </c>
      <c r="BK66" s="31">
        <v>0</v>
      </c>
      <c r="BL66" s="31">
        <v>0</v>
      </c>
      <c r="BM66" s="31">
        <v>24</v>
      </c>
      <c r="BN66" s="31">
        <v>9</v>
      </c>
      <c r="BO66" s="31">
        <v>86</v>
      </c>
      <c r="BQ66" s="31">
        <v>19</v>
      </c>
      <c r="BR66" s="31">
        <v>21</v>
      </c>
      <c r="BS66" s="31">
        <v>134</v>
      </c>
    </row>
    <row r="67" spans="1:71" ht="18.75" hidden="1" customHeight="1">
      <c r="A67" s="25">
        <v>9962</v>
      </c>
      <c r="B67" s="25" t="s">
        <v>446</v>
      </c>
      <c r="C67" s="25" t="s">
        <v>447</v>
      </c>
      <c r="D67" s="25" t="s">
        <v>447</v>
      </c>
      <c r="E67" s="26" t="s">
        <v>311</v>
      </c>
      <c r="F67" s="26" t="s">
        <v>312</v>
      </c>
      <c r="G67" s="26" t="s">
        <v>448</v>
      </c>
      <c r="H67" s="26" t="s">
        <v>74</v>
      </c>
      <c r="I67" s="26" t="s">
        <v>75</v>
      </c>
      <c r="J67" s="26" t="s">
        <v>76</v>
      </c>
      <c r="K67" s="26" t="s">
        <v>77</v>
      </c>
      <c r="L67" s="26" t="s">
        <v>78</v>
      </c>
      <c r="M67" s="26" t="s">
        <v>79</v>
      </c>
      <c r="N67" s="26" t="s">
        <v>101</v>
      </c>
      <c r="O67" s="26" t="s">
        <v>80</v>
      </c>
      <c r="P67" s="26" t="s">
        <v>279</v>
      </c>
      <c r="Q67" s="26" t="s">
        <v>82</v>
      </c>
      <c r="R67" s="26" t="s">
        <v>449</v>
      </c>
      <c r="S67" s="26" t="s">
        <v>104</v>
      </c>
      <c r="T67" s="26" t="s">
        <v>281</v>
      </c>
      <c r="U67" s="26" t="s">
        <v>80</v>
      </c>
      <c r="V67" s="26" t="s">
        <v>86</v>
      </c>
      <c r="W67" s="26" t="s">
        <v>86</v>
      </c>
      <c r="X67" s="26" t="s">
        <v>86</v>
      </c>
      <c r="Y67" s="26" t="s">
        <v>78</v>
      </c>
      <c r="Z67" s="26" t="s">
        <v>78</v>
      </c>
      <c r="AA67" s="27">
        <v>8.9216666666666686</v>
      </c>
      <c r="AB67" s="27">
        <v>0</v>
      </c>
      <c r="AC67" s="27">
        <v>0</v>
      </c>
      <c r="AD67" s="27">
        <v>8.9216666666666686</v>
      </c>
      <c r="AE67" s="27">
        <v>0</v>
      </c>
      <c r="AF67" s="27">
        <v>1.9708333333333332</v>
      </c>
      <c r="AG67" s="27">
        <v>2.8675000000000006</v>
      </c>
      <c r="AH67" s="27">
        <v>3</v>
      </c>
      <c r="AI67" s="27">
        <v>0</v>
      </c>
      <c r="AJ67" s="27">
        <v>1.0833333333333333</v>
      </c>
      <c r="AK67" s="27">
        <v>0</v>
      </c>
      <c r="AL67" s="27">
        <v>2.4104166666666669</v>
      </c>
      <c r="AM67" s="27">
        <v>1.5199999999999998</v>
      </c>
      <c r="AN67" s="27">
        <v>12.852083333333335</v>
      </c>
      <c r="AO67" s="28">
        <v>0.82739503971470241</v>
      </c>
      <c r="AP67" s="29">
        <v>6.4260416666666673</v>
      </c>
      <c r="AQ67" s="29">
        <v>6.4260416666666673</v>
      </c>
      <c r="AR67" s="30"/>
      <c r="AT67" s="52">
        <v>120000</v>
      </c>
      <c r="AU67" s="31">
        <v>80</v>
      </c>
      <c r="AV67" s="31">
        <v>40</v>
      </c>
      <c r="AW67" s="31">
        <v>15</v>
      </c>
      <c r="AX67" s="31">
        <v>20</v>
      </c>
      <c r="AY67" s="32"/>
      <c r="AZ67" s="31">
        <v>2</v>
      </c>
      <c r="BA67" s="31">
        <v>3</v>
      </c>
      <c r="BB67" s="31" t="s">
        <v>450</v>
      </c>
      <c r="BC67" s="31" t="s">
        <v>451</v>
      </c>
      <c r="BD67" s="31" t="s">
        <v>452</v>
      </c>
      <c r="BE67" s="33" t="s">
        <v>372</v>
      </c>
      <c r="BF67" s="31" t="s">
        <v>94</v>
      </c>
      <c r="BG67" s="31" t="s">
        <v>94</v>
      </c>
      <c r="BH67" s="31" t="s">
        <v>94</v>
      </c>
      <c r="BI67" s="31" t="s">
        <v>94</v>
      </c>
      <c r="BK67" s="31">
        <v>0</v>
      </c>
      <c r="BL67" s="31">
        <v>0</v>
      </c>
      <c r="BM67" s="31">
        <v>4</v>
      </c>
      <c r="BN67" s="31">
        <v>14</v>
      </c>
      <c r="BO67" s="31">
        <v>48</v>
      </c>
      <c r="BQ67" s="31">
        <v>4</v>
      </c>
      <c r="BR67" s="31">
        <v>53</v>
      </c>
      <c r="BS67" s="31">
        <v>185</v>
      </c>
    </row>
    <row r="68" spans="1:71" ht="18.75" hidden="1" customHeight="1">
      <c r="A68" s="25">
        <v>9964</v>
      </c>
      <c r="B68" s="25" t="s">
        <v>453</v>
      </c>
      <c r="C68" s="25" t="s">
        <v>454</v>
      </c>
      <c r="D68" s="25" t="s">
        <v>455</v>
      </c>
      <c r="E68" s="26" t="s">
        <v>246</v>
      </c>
      <c r="F68" s="26" t="s">
        <v>72</v>
      </c>
      <c r="G68" s="26" t="s">
        <v>247</v>
      </c>
      <c r="H68" s="26" t="s">
        <v>74</v>
      </c>
      <c r="I68" s="26" t="s">
        <v>75</v>
      </c>
      <c r="J68" s="26" t="s">
        <v>76</v>
      </c>
      <c r="K68" s="26" t="s">
        <v>77</v>
      </c>
      <c r="L68" s="26" t="s">
        <v>78</v>
      </c>
      <c r="M68" s="26" t="s">
        <v>79</v>
      </c>
      <c r="N68" s="26" t="s">
        <v>101</v>
      </c>
      <c r="O68" s="26" t="s">
        <v>80</v>
      </c>
      <c r="P68" s="26" t="s">
        <v>279</v>
      </c>
      <c r="Q68" s="26" t="s">
        <v>82</v>
      </c>
      <c r="R68" s="26" t="s">
        <v>280</v>
      </c>
      <c r="S68" s="26" t="s">
        <v>104</v>
      </c>
      <c r="T68" s="26" t="s">
        <v>82</v>
      </c>
      <c r="U68" s="26" t="s">
        <v>101</v>
      </c>
      <c r="V68" s="26" t="s">
        <v>86</v>
      </c>
      <c r="W68" s="26" t="s">
        <v>86</v>
      </c>
      <c r="X68" s="26" t="s">
        <v>86</v>
      </c>
      <c r="Y68" s="26" t="s">
        <v>78</v>
      </c>
      <c r="Z68" s="26" t="s">
        <v>78</v>
      </c>
      <c r="AA68" s="27">
        <v>1.9533333333333334</v>
      </c>
      <c r="AB68" s="27">
        <v>0</v>
      </c>
      <c r="AC68" s="27">
        <v>0</v>
      </c>
      <c r="AD68" s="27">
        <v>1.7450000000000001</v>
      </c>
      <c r="AE68" s="27">
        <v>0.20833333333333334</v>
      </c>
      <c r="AF68" s="27">
        <v>0</v>
      </c>
      <c r="AG68" s="27">
        <v>1.9533333333333334</v>
      </c>
      <c r="AH68" s="27">
        <v>0</v>
      </c>
      <c r="AI68" s="27">
        <v>0</v>
      </c>
      <c r="AJ68" s="27">
        <v>0</v>
      </c>
      <c r="AK68" s="27">
        <v>0</v>
      </c>
      <c r="AL68" s="27">
        <v>0.36249999999999993</v>
      </c>
      <c r="AM68" s="27">
        <v>0</v>
      </c>
      <c r="AN68" s="27">
        <v>2.3158333333333334</v>
      </c>
      <c r="AO68" s="28">
        <v>0.90824037423533643</v>
      </c>
      <c r="AP68" s="29">
        <v>1.1579166666666667</v>
      </c>
      <c r="AQ68" s="29">
        <v>1.1579166666666667</v>
      </c>
      <c r="AR68" s="30"/>
      <c r="AT68" s="31" t="s">
        <v>456</v>
      </c>
      <c r="AU68" s="31">
        <v>67</v>
      </c>
      <c r="AV68" s="31">
        <v>3</v>
      </c>
      <c r="AW68" s="31" t="s">
        <v>197</v>
      </c>
      <c r="AX68" s="31">
        <v>11</v>
      </c>
      <c r="AY68" s="32"/>
      <c r="AZ68" s="31">
        <v>3</v>
      </c>
      <c r="BA68" s="31">
        <v>1</v>
      </c>
      <c r="BB68" s="31" t="s">
        <v>457</v>
      </c>
      <c r="BC68" s="31" t="s">
        <v>250</v>
      </c>
      <c r="BD68" s="31" t="s">
        <v>332</v>
      </c>
      <c r="BE68" s="33" t="s">
        <v>333</v>
      </c>
      <c r="BF68" s="31" t="s">
        <v>94</v>
      </c>
      <c r="BG68" s="31" t="s">
        <v>94</v>
      </c>
      <c r="BH68" s="31" t="s">
        <v>94</v>
      </c>
      <c r="BI68" s="31" t="s">
        <v>94</v>
      </c>
      <c r="BK68" s="31">
        <v>0</v>
      </c>
      <c r="BL68" s="31">
        <v>0</v>
      </c>
      <c r="BM68" s="31">
        <v>1</v>
      </c>
      <c r="BN68" s="31">
        <v>1</v>
      </c>
      <c r="BO68" s="31">
        <v>18</v>
      </c>
      <c r="BQ68" s="31">
        <v>1</v>
      </c>
      <c r="BR68" s="31">
        <v>0</v>
      </c>
      <c r="BS68" s="31">
        <v>39</v>
      </c>
    </row>
    <row r="69" spans="1:71" ht="18.75" hidden="1" customHeight="1">
      <c r="A69" s="25">
        <v>9965</v>
      </c>
      <c r="B69" s="25" t="s">
        <v>458</v>
      </c>
      <c r="C69" s="25" t="s">
        <v>459</v>
      </c>
      <c r="D69" s="25" t="s">
        <v>460</v>
      </c>
      <c r="E69" s="26" t="s">
        <v>246</v>
      </c>
      <c r="F69" s="26" t="s">
        <v>72</v>
      </c>
      <c r="G69" s="26" t="s">
        <v>247</v>
      </c>
      <c r="H69" s="26" t="s">
        <v>74</v>
      </c>
      <c r="I69" s="26" t="s">
        <v>75</v>
      </c>
      <c r="J69" s="26" t="s">
        <v>76</v>
      </c>
      <c r="K69" s="26" t="s">
        <v>77</v>
      </c>
      <c r="L69" s="26" t="s">
        <v>78</v>
      </c>
      <c r="M69" s="26" t="s">
        <v>100</v>
      </c>
      <c r="N69" s="26" t="s">
        <v>101</v>
      </c>
      <c r="O69" s="26" t="s">
        <v>80</v>
      </c>
      <c r="P69" s="26" t="s">
        <v>240</v>
      </c>
      <c r="Q69" s="26" t="s">
        <v>82</v>
      </c>
      <c r="R69" s="26" t="s">
        <v>280</v>
      </c>
      <c r="S69" s="26" t="s">
        <v>104</v>
      </c>
      <c r="T69" s="26" t="s">
        <v>82</v>
      </c>
      <c r="U69" s="26" t="s">
        <v>101</v>
      </c>
      <c r="V69" s="26" t="s">
        <v>86</v>
      </c>
      <c r="W69" s="26" t="s">
        <v>86</v>
      </c>
      <c r="X69" s="26" t="s">
        <v>86</v>
      </c>
      <c r="Y69" s="26" t="s">
        <v>78</v>
      </c>
      <c r="Z69" s="26" t="s">
        <v>78</v>
      </c>
      <c r="AA69" s="27">
        <v>2.4999999999999998E-2</v>
      </c>
      <c r="AB69" s="27">
        <v>0</v>
      </c>
      <c r="AC69" s="27">
        <v>0</v>
      </c>
      <c r="AD69" s="27">
        <v>2.4999999999999998E-2</v>
      </c>
      <c r="AE69" s="27">
        <v>0</v>
      </c>
      <c r="AF69" s="27">
        <v>0</v>
      </c>
      <c r="AG69" s="27">
        <v>2.4999999999999998E-2</v>
      </c>
      <c r="AH69" s="27">
        <v>0</v>
      </c>
      <c r="AI69" s="27">
        <v>0</v>
      </c>
      <c r="AJ69" s="27">
        <v>0</v>
      </c>
      <c r="AK69" s="27">
        <v>0</v>
      </c>
      <c r="AL69" s="27">
        <v>3.7499999999999999E-2</v>
      </c>
      <c r="AM69" s="27">
        <v>0</v>
      </c>
      <c r="AN69" s="27">
        <v>6.25E-2</v>
      </c>
      <c r="AO69" s="28">
        <v>0.2</v>
      </c>
      <c r="AP69" s="29">
        <v>3.125E-2</v>
      </c>
      <c r="AQ69" s="29">
        <v>3.125E-2</v>
      </c>
      <c r="AR69" s="30"/>
      <c r="AT69" s="55">
        <v>65861</v>
      </c>
      <c r="AU69" s="31">
        <v>24</v>
      </c>
      <c r="AV69" s="31">
        <v>0</v>
      </c>
      <c r="AW69" s="31">
        <v>0</v>
      </c>
      <c r="AX69" s="31">
        <v>0</v>
      </c>
      <c r="AY69" s="32"/>
      <c r="AZ69" s="31">
        <v>3</v>
      </c>
      <c r="BA69" s="31">
        <v>1</v>
      </c>
      <c r="BB69" s="31" t="s">
        <v>461</v>
      </c>
      <c r="BC69" s="31" t="s">
        <v>462</v>
      </c>
      <c r="BD69" s="31" t="s">
        <v>463</v>
      </c>
      <c r="BE69" s="33" t="s">
        <v>464</v>
      </c>
      <c r="BF69" s="31" t="s">
        <v>156</v>
      </c>
      <c r="BG69" s="31" t="s">
        <v>156</v>
      </c>
      <c r="BH69" s="31" t="s">
        <v>156</v>
      </c>
      <c r="BI69" s="31" t="s">
        <v>156</v>
      </c>
      <c r="BK69" s="31">
        <v>0</v>
      </c>
      <c r="BL69" s="31">
        <v>0</v>
      </c>
      <c r="BM69" s="31">
        <v>0</v>
      </c>
      <c r="BN69" s="31">
        <v>1</v>
      </c>
      <c r="BO69" s="31">
        <v>11</v>
      </c>
      <c r="BQ69" s="31">
        <v>0</v>
      </c>
      <c r="BR69" s="31">
        <v>0</v>
      </c>
      <c r="BS69" s="31">
        <v>5</v>
      </c>
    </row>
    <row r="70" spans="1:71" ht="18.75" hidden="1" customHeight="1">
      <c r="A70" s="25">
        <v>9969</v>
      </c>
      <c r="B70" s="25" t="s">
        <v>465</v>
      </c>
      <c r="C70" s="25" t="s">
        <v>466</v>
      </c>
      <c r="D70" s="25" t="s">
        <v>467</v>
      </c>
      <c r="E70" s="26" t="s">
        <v>246</v>
      </c>
      <c r="F70" s="26" t="s">
        <v>72</v>
      </c>
      <c r="G70" s="26" t="s">
        <v>247</v>
      </c>
      <c r="H70" s="26" t="s">
        <v>74</v>
      </c>
      <c r="I70" s="26" t="s">
        <v>75</v>
      </c>
      <c r="J70" s="26" t="s">
        <v>76</v>
      </c>
      <c r="K70" s="26" t="s">
        <v>77</v>
      </c>
      <c r="L70" s="26" t="s">
        <v>78</v>
      </c>
      <c r="M70" s="26" t="s">
        <v>79</v>
      </c>
      <c r="N70" s="26" t="s">
        <v>101</v>
      </c>
      <c r="O70" s="26" t="s">
        <v>80</v>
      </c>
      <c r="P70" s="26" t="s">
        <v>279</v>
      </c>
      <c r="Q70" s="26" t="s">
        <v>82</v>
      </c>
      <c r="R70" s="26" t="s">
        <v>280</v>
      </c>
      <c r="S70" s="26" t="s">
        <v>84</v>
      </c>
      <c r="T70" s="26" t="s">
        <v>82</v>
      </c>
      <c r="U70" s="26" t="s">
        <v>101</v>
      </c>
      <c r="V70" s="26" t="s">
        <v>86</v>
      </c>
      <c r="W70" s="26" t="s">
        <v>86</v>
      </c>
      <c r="X70" s="26" t="s">
        <v>86</v>
      </c>
      <c r="Y70" s="26" t="s">
        <v>78</v>
      </c>
      <c r="Z70" s="26" t="s">
        <v>78</v>
      </c>
      <c r="AA70" s="27">
        <v>0.31237500000000001</v>
      </c>
      <c r="AB70" s="27">
        <v>0</v>
      </c>
      <c r="AC70" s="27">
        <v>0</v>
      </c>
      <c r="AD70" s="27">
        <v>0.31237500000000001</v>
      </c>
      <c r="AE70" s="27">
        <v>0</v>
      </c>
      <c r="AF70" s="27">
        <v>0</v>
      </c>
      <c r="AG70" s="27">
        <v>0.31237500000000001</v>
      </c>
      <c r="AH70" s="27">
        <v>0</v>
      </c>
      <c r="AI70" s="27">
        <v>0</v>
      </c>
      <c r="AJ70" s="27">
        <v>0</v>
      </c>
      <c r="AK70" s="27">
        <v>0</v>
      </c>
      <c r="AL70" s="27">
        <v>2.4999999999999998E-2</v>
      </c>
      <c r="AM70" s="27">
        <v>0</v>
      </c>
      <c r="AN70" s="27">
        <v>0.33737500000000004</v>
      </c>
      <c r="AO70" s="28">
        <v>0.67580585402000737</v>
      </c>
      <c r="AP70" s="29">
        <v>0.16868750000000002</v>
      </c>
      <c r="AQ70" s="29">
        <v>0.16868750000000002</v>
      </c>
      <c r="AR70" s="30"/>
      <c r="AT70" s="31" t="s">
        <v>197</v>
      </c>
      <c r="AU70" s="31" t="s">
        <v>197</v>
      </c>
      <c r="AV70" s="31">
        <v>111</v>
      </c>
      <c r="AW70" s="31" t="s">
        <v>197</v>
      </c>
      <c r="AX70" s="31" t="s">
        <v>197</v>
      </c>
      <c r="AY70" s="32"/>
      <c r="AZ70" s="31">
        <v>3</v>
      </c>
      <c r="BA70" s="31">
        <v>1</v>
      </c>
      <c r="BB70" s="31" t="s">
        <v>197</v>
      </c>
      <c r="BC70" s="31" t="s">
        <v>468</v>
      </c>
      <c r="BD70" s="31" t="s">
        <v>469</v>
      </c>
      <c r="BE70" s="33" t="s">
        <v>333</v>
      </c>
      <c r="BF70" s="31" t="s">
        <v>94</v>
      </c>
      <c r="BG70" s="31" t="s">
        <v>94</v>
      </c>
      <c r="BH70" s="31" t="s">
        <v>94</v>
      </c>
      <c r="BI70" s="31" t="s">
        <v>94</v>
      </c>
      <c r="BK70" s="31">
        <v>0</v>
      </c>
      <c r="BL70" s="31">
        <v>0</v>
      </c>
      <c r="BM70" s="31">
        <v>5</v>
      </c>
      <c r="BN70" s="31">
        <v>0</v>
      </c>
      <c r="BO70" s="31">
        <v>10</v>
      </c>
      <c r="BQ70" s="31">
        <v>3</v>
      </c>
      <c r="BR70" s="31">
        <v>0</v>
      </c>
      <c r="BS70" s="31">
        <v>14</v>
      </c>
    </row>
    <row r="71" spans="1:71" ht="18.75" hidden="1" customHeight="1">
      <c r="A71" s="25">
        <v>9975</v>
      </c>
      <c r="B71" s="25" t="s">
        <v>470</v>
      </c>
      <c r="C71" s="25" t="s">
        <v>471</v>
      </c>
      <c r="D71" s="39" t="s">
        <v>472</v>
      </c>
      <c r="E71" s="26" t="s">
        <v>238</v>
      </c>
      <c r="F71" s="26" t="s">
        <v>193</v>
      </c>
      <c r="G71" s="26" t="s">
        <v>239</v>
      </c>
      <c r="H71" s="26" t="s">
        <v>74</v>
      </c>
      <c r="I71" s="26" t="s">
        <v>75</v>
      </c>
      <c r="J71" s="26" t="s">
        <v>76</v>
      </c>
      <c r="K71" s="26" t="s">
        <v>77</v>
      </c>
      <c r="L71" s="26" t="s">
        <v>78</v>
      </c>
      <c r="M71" s="26" t="s">
        <v>100</v>
      </c>
      <c r="N71" s="26" t="s">
        <v>101</v>
      </c>
      <c r="O71" s="26" t="s">
        <v>80</v>
      </c>
      <c r="P71" s="26" t="s">
        <v>240</v>
      </c>
      <c r="Q71" s="26" t="s">
        <v>82</v>
      </c>
      <c r="R71" s="26" t="s">
        <v>280</v>
      </c>
      <c r="S71" s="26" t="s">
        <v>104</v>
      </c>
      <c r="T71" s="26" t="s">
        <v>82</v>
      </c>
      <c r="U71" s="26" t="s">
        <v>101</v>
      </c>
      <c r="V71" s="26" t="s">
        <v>86</v>
      </c>
      <c r="W71" s="26" t="s">
        <v>86</v>
      </c>
      <c r="X71" s="26" t="s">
        <v>86</v>
      </c>
      <c r="Y71" s="26" t="s">
        <v>78</v>
      </c>
      <c r="Z71" s="26" t="s">
        <v>78</v>
      </c>
      <c r="AA71" s="27">
        <v>1.1116666666666668</v>
      </c>
      <c r="AB71" s="27">
        <v>0</v>
      </c>
      <c r="AC71" s="27">
        <v>0</v>
      </c>
      <c r="AD71" s="27">
        <v>1.1116666666666668</v>
      </c>
      <c r="AE71" s="27">
        <v>0</v>
      </c>
      <c r="AF71" s="27">
        <v>0</v>
      </c>
      <c r="AG71" s="27">
        <v>0.86166666666666658</v>
      </c>
      <c r="AH71" s="27">
        <v>0</v>
      </c>
      <c r="AI71" s="27">
        <v>0.25</v>
      </c>
      <c r="AJ71" s="27">
        <v>0</v>
      </c>
      <c r="AK71" s="27">
        <v>0</v>
      </c>
      <c r="AL71" s="27">
        <v>0</v>
      </c>
      <c r="AM71" s="27">
        <v>0</v>
      </c>
      <c r="AN71" s="27">
        <v>1.1116666666666668</v>
      </c>
      <c r="AO71" s="28">
        <v>0.5850824587706146</v>
      </c>
      <c r="AP71" s="29">
        <v>0.5558333333333334</v>
      </c>
      <c r="AQ71" s="29">
        <v>0.5558333333333334</v>
      </c>
      <c r="AR71" s="30"/>
      <c r="AT71" s="31" t="s">
        <v>473</v>
      </c>
      <c r="AU71" s="31">
        <v>26</v>
      </c>
      <c r="AV71" s="31">
        <v>10</v>
      </c>
      <c r="AW71" s="31">
        <v>1</v>
      </c>
      <c r="AX71" s="31">
        <v>3</v>
      </c>
      <c r="AY71" s="32"/>
      <c r="AZ71" s="31">
        <v>3</v>
      </c>
      <c r="BA71" s="31">
        <v>1</v>
      </c>
      <c r="BB71" s="31" t="s">
        <v>474</v>
      </c>
      <c r="BC71" s="31" t="s">
        <v>198</v>
      </c>
      <c r="BD71" s="31" t="s">
        <v>475</v>
      </c>
      <c r="BE71" s="33" t="s">
        <v>212</v>
      </c>
      <c r="BF71" s="31" t="s">
        <v>94</v>
      </c>
      <c r="BG71" s="31" t="s">
        <v>94</v>
      </c>
      <c r="BH71" s="31" t="s">
        <v>94</v>
      </c>
      <c r="BI71" s="31" t="s">
        <v>94</v>
      </c>
      <c r="BK71" s="31">
        <v>0</v>
      </c>
      <c r="BL71" s="31">
        <v>0</v>
      </c>
      <c r="BM71" s="31">
        <v>0</v>
      </c>
      <c r="BN71" s="31">
        <v>0</v>
      </c>
      <c r="BO71" s="31">
        <v>21</v>
      </c>
      <c r="BQ71" s="31">
        <v>0</v>
      </c>
      <c r="BR71" s="31">
        <v>125</v>
      </c>
      <c r="BS71" s="31">
        <v>182</v>
      </c>
    </row>
    <row r="72" spans="1:71" ht="18.649999999999999" hidden="1" customHeight="1">
      <c r="A72" s="25">
        <v>9977</v>
      </c>
      <c r="B72" s="25" t="s">
        <v>476</v>
      </c>
      <c r="C72" s="25" t="s">
        <v>477</v>
      </c>
      <c r="D72" s="25" t="s">
        <v>477</v>
      </c>
      <c r="E72" s="26" t="s">
        <v>337</v>
      </c>
      <c r="F72" s="26" t="s">
        <v>312</v>
      </c>
      <c r="G72" s="26" t="s">
        <v>338</v>
      </c>
      <c r="H72" s="26" t="s">
        <v>74</v>
      </c>
      <c r="I72" s="26" t="s">
        <v>75</v>
      </c>
      <c r="J72" s="26" t="s">
        <v>76</v>
      </c>
      <c r="K72" s="26" t="s">
        <v>77</v>
      </c>
      <c r="L72" s="26" t="s">
        <v>78</v>
      </c>
      <c r="M72" s="26" t="s">
        <v>79</v>
      </c>
      <c r="N72" s="26" t="s">
        <v>101</v>
      </c>
      <c r="O72" s="26" t="s">
        <v>80</v>
      </c>
      <c r="P72" s="26" t="s">
        <v>279</v>
      </c>
      <c r="Q72" s="26" t="s">
        <v>82</v>
      </c>
      <c r="R72" s="26" t="s">
        <v>280</v>
      </c>
      <c r="S72" s="26" t="s">
        <v>104</v>
      </c>
      <c r="T72" s="26" t="s">
        <v>82</v>
      </c>
      <c r="U72" s="26" t="s">
        <v>101</v>
      </c>
      <c r="V72" s="26" t="s">
        <v>86</v>
      </c>
      <c r="W72" s="26" t="s">
        <v>86</v>
      </c>
      <c r="X72" s="26" t="s">
        <v>86</v>
      </c>
      <c r="Y72" s="26" t="s">
        <v>78</v>
      </c>
      <c r="Z72" s="26" t="s">
        <v>78</v>
      </c>
      <c r="AA72" s="27">
        <v>4.1250000000000002E-2</v>
      </c>
      <c r="AB72" s="27">
        <v>0</v>
      </c>
      <c r="AC72" s="27">
        <v>0</v>
      </c>
      <c r="AD72" s="27">
        <v>4.1250000000000002E-2</v>
      </c>
      <c r="AE72" s="27">
        <v>0</v>
      </c>
      <c r="AF72" s="27">
        <v>0</v>
      </c>
      <c r="AG72" s="27">
        <v>4.1250000000000002E-2</v>
      </c>
      <c r="AH72" s="27">
        <v>0</v>
      </c>
      <c r="AI72" s="27">
        <v>0</v>
      </c>
      <c r="AJ72" s="27">
        <v>0</v>
      </c>
      <c r="AK72" s="27">
        <v>0</v>
      </c>
      <c r="AL72" s="27">
        <v>0.41666666666666669</v>
      </c>
      <c r="AM72" s="27">
        <v>0</v>
      </c>
      <c r="AN72" s="27">
        <f>AA72+AL72+AM72</f>
        <v>0.45791666666666669</v>
      </c>
      <c r="AO72" s="28">
        <v>0</v>
      </c>
      <c r="AP72" s="29">
        <v>0.22895833333333335</v>
      </c>
      <c r="AQ72" s="29">
        <v>0.22895833333333335</v>
      </c>
      <c r="AR72" s="30"/>
      <c r="AT72" s="59" t="s">
        <v>478</v>
      </c>
      <c r="AU72" s="31">
        <v>21</v>
      </c>
      <c r="AV72" s="31">
        <v>1</v>
      </c>
      <c r="AW72" s="31">
        <v>0</v>
      </c>
      <c r="AX72" s="31">
        <v>8</v>
      </c>
      <c r="AY72" s="32"/>
      <c r="AZ72" s="31">
        <v>3</v>
      </c>
      <c r="BA72" s="31">
        <v>1</v>
      </c>
      <c r="BB72" s="31" t="s">
        <v>339</v>
      </c>
      <c r="BC72" s="31" t="s">
        <v>479</v>
      </c>
      <c r="BD72" s="31" t="s">
        <v>340</v>
      </c>
      <c r="BE72" s="33" t="s">
        <v>317</v>
      </c>
      <c r="BF72" s="31" t="s">
        <v>156</v>
      </c>
      <c r="BG72" s="31" t="s">
        <v>156</v>
      </c>
      <c r="BH72" s="31" t="s">
        <v>156</v>
      </c>
      <c r="BI72" s="31" t="s">
        <v>156</v>
      </c>
      <c r="BK72" s="31">
        <v>0</v>
      </c>
      <c r="BL72" s="31">
        <v>0</v>
      </c>
      <c r="BM72" s="31">
        <v>2</v>
      </c>
      <c r="BN72" s="31">
        <v>1</v>
      </c>
      <c r="BO72" s="31">
        <v>15</v>
      </c>
      <c r="BQ72" s="31">
        <v>2</v>
      </c>
      <c r="BR72" s="31">
        <v>0</v>
      </c>
      <c r="BS72" s="31">
        <v>3</v>
      </c>
    </row>
    <row r="73" spans="1:71" ht="18.75" hidden="1" customHeight="1">
      <c r="A73" s="25">
        <v>9980</v>
      </c>
      <c r="B73" s="25" t="s">
        <v>480</v>
      </c>
      <c r="C73" s="25" t="s">
        <v>481</v>
      </c>
      <c r="D73" s="25" t="s">
        <v>482</v>
      </c>
      <c r="E73" s="26" t="s">
        <v>98</v>
      </c>
      <c r="F73" s="26" t="s">
        <v>163</v>
      </c>
      <c r="G73" s="26" t="s">
        <v>99</v>
      </c>
      <c r="H73" s="26" t="s">
        <v>74</v>
      </c>
      <c r="I73" s="26" t="s">
        <v>75</v>
      </c>
      <c r="J73" s="26" t="s">
        <v>76</v>
      </c>
      <c r="K73" s="26" t="s">
        <v>77</v>
      </c>
      <c r="L73" s="26" t="s">
        <v>86</v>
      </c>
      <c r="M73" s="26" t="s">
        <v>100</v>
      </c>
      <c r="N73" s="26" t="s">
        <v>101</v>
      </c>
      <c r="O73" s="26" t="s">
        <v>80</v>
      </c>
      <c r="P73" s="26" t="s">
        <v>102</v>
      </c>
      <c r="Q73" s="26" t="s">
        <v>82</v>
      </c>
      <c r="R73" s="26" t="s">
        <v>483</v>
      </c>
      <c r="S73" s="26" t="s">
        <v>104</v>
      </c>
      <c r="T73" s="26" t="s">
        <v>82</v>
      </c>
      <c r="U73" s="26" t="s">
        <v>101</v>
      </c>
      <c r="V73" s="26" t="s">
        <v>86</v>
      </c>
      <c r="W73" s="26" t="s">
        <v>86</v>
      </c>
      <c r="X73" s="26" t="s">
        <v>86</v>
      </c>
      <c r="Y73" s="26" t="s">
        <v>78</v>
      </c>
      <c r="Z73" s="26" t="s">
        <v>78</v>
      </c>
      <c r="AA73" s="27">
        <v>12.606875000000006</v>
      </c>
      <c r="AB73" s="27">
        <v>0</v>
      </c>
      <c r="AC73" s="27">
        <v>0</v>
      </c>
      <c r="AD73" s="27">
        <v>12.606875000000006</v>
      </c>
      <c r="AE73" s="27">
        <v>0</v>
      </c>
      <c r="AF73" s="27">
        <v>0</v>
      </c>
      <c r="AG73" s="27">
        <v>12.606875000000006</v>
      </c>
      <c r="AH73" s="27">
        <v>0</v>
      </c>
      <c r="AI73" s="27">
        <v>0</v>
      </c>
      <c r="AJ73" s="27">
        <v>0</v>
      </c>
      <c r="AK73" s="27">
        <v>0</v>
      </c>
      <c r="AL73" s="27">
        <v>1.1416666666666668</v>
      </c>
      <c r="AM73" s="27">
        <v>0</v>
      </c>
      <c r="AN73" s="27">
        <v>13.748541666666673</v>
      </c>
      <c r="AO73" s="28">
        <v>0.81496522358431966</v>
      </c>
      <c r="AP73" s="29">
        <v>6.8742708333333367</v>
      </c>
      <c r="AQ73" s="29">
        <v>6.8742708333333367</v>
      </c>
      <c r="AR73" s="30"/>
      <c r="AT73" s="31">
        <v>608760</v>
      </c>
      <c r="AU73" s="31">
        <v>0</v>
      </c>
      <c r="AV73" s="31">
        <v>296</v>
      </c>
      <c r="AW73" s="31">
        <v>0</v>
      </c>
      <c r="AX73" s="31">
        <v>102</v>
      </c>
      <c r="AY73" s="32" t="s">
        <v>105</v>
      </c>
      <c r="AZ73" s="31">
        <v>3</v>
      </c>
      <c r="BA73" s="31">
        <v>1</v>
      </c>
      <c r="BB73" s="31"/>
      <c r="BC73" s="31" t="s">
        <v>114</v>
      </c>
      <c r="BD73" s="31"/>
      <c r="BE73" s="33" t="s">
        <v>109</v>
      </c>
      <c r="BF73" s="31" t="s">
        <v>94</v>
      </c>
      <c r="BG73" s="31" t="s">
        <v>94</v>
      </c>
      <c r="BH73" s="31" t="s">
        <v>94</v>
      </c>
      <c r="BI73" s="31" t="s">
        <v>94</v>
      </c>
      <c r="BK73" s="31">
        <v>0</v>
      </c>
      <c r="BL73" s="31">
        <v>0</v>
      </c>
      <c r="BM73" s="31">
        <v>28</v>
      </c>
      <c r="BN73" s="31">
        <v>9</v>
      </c>
      <c r="BO73" s="31">
        <v>16</v>
      </c>
      <c r="BQ73" s="31">
        <v>19</v>
      </c>
      <c r="BR73" s="31">
        <v>121</v>
      </c>
      <c r="BS73" s="31">
        <v>459</v>
      </c>
    </row>
    <row r="74" spans="1:71" ht="18.75" hidden="1" customHeight="1">
      <c r="A74" s="25">
        <v>9983</v>
      </c>
      <c r="B74" s="25" t="s">
        <v>484</v>
      </c>
      <c r="C74" s="25" t="s">
        <v>485</v>
      </c>
      <c r="D74" s="25" t="s">
        <v>485</v>
      </c>
      <c r="E74" s="26" t="s">
        <v>337</v>
      </c>
      <c r="F74" s="26" t="s">
        <v>312</v>
      </c>
      <c r="G74" s="26" t="s">
        <v>338</v>
      </c>
      <c r="H74" s="26" t="s">
        <v>74</v>
      </c>
      <c r="I74" s="26" t="s">
        <v>75</v>
      </c>
      <c r="J74" s="26" t="s">
        <v>76</v>
      </c>
      <c r="K74" s="26" t="s">
        <v>77</v>
      </c>
      <c r="L74" s="26" t="s">
        <v>78</v>
      </c>
      <c r="M74" s="26" t="s">
        <v>79</v>
      </c>
      <c r="N74" s="26" t="s">
        <v>101</v>
      </c>
      <c r="O74" s="26" t="s">
        <v>80</v>
      </c>
      <c r="P74" s="26" t="s">
        <v>486</v>
      </c>
      <c r="Q74" s="26" t="s">
        <v>82</v>
      </c>
      <c r="R74" s="26" t="s">
        <v>280</v>
      </c>
      <c r="S74" s="26" t="s">
        <v>104</v>
      </c>
      <c r="T74" s="26" t="s">
        <v>281</v>
      </c>
      <c r="U74" s="26" t="s">
        <v>80</v>
      </c>
      <c r="V74" s="26" t="s">
        <v>86</v>
      </c>
      <c r="W74" s="26" t="s">
        <v>86</v>
      </c>
      <c r="X74" s="26" t="s">
        <v>86</v>
      </c>
      <c r="Y74" s="26" t="s">
        <v>78</v>
      </c>
      <c r="Z74" s="26" t="s">
        <v>78</v>
      </c>
      <c r="AA74" s="27">
        <v>6.6141666666666667</v>
      </c>
      <c r="AB74" s="27">
        <v>0</v>
      </c>
      <c r="AC74" s="27">
        <v>0</v>
      </c>
      <c r="AD74" s="27">
        <v>6.6141666666666667</v>
      </c>
      <c r="AE74" s="27">
        <v>0</v>
      </c>
      <c r="AF74" s="27">
        <v>0</v>
      </c>
      <c r="AG74" s="27">
        <v>6.6141666666666667</v>
      </c>
      <c r="AH74" s="27">
        <v>0</v>
      </c>
      <c r="AI74" s="27">
        <v>0</v>
      </c>
      <c r="AJ74" s="27">
        <v>0</v>
      </c>
      <c r="AK74" s="27">
        <v>0</v>
      </c>
      <c r="AL74" s="27">
        <v>0.6479166666666667</v>
      </c>
      <c r="AM74" s="27">
        <v>0</v>
      </c>
      <c r="AN74" s="27">
        <v>7.262083333333333</v>
      </c>
      <c r="AO74" s="28">
        <v>0.93912444775948134</v>
      </c>
      <c r="AP74" s="29">
        <v>3.6310416666666665</v>
      </c>
      <c r="AQ74" s="29">
        <v>3.6310416666666665</v>
      </c>
      <c r="AR74" s="30"/>
      <c r="AT74" s="49">
        <v>260000</v>
      </c>
      <c r="AU74" s="31">
        <v>42</v>
      </c>
      <c r="AV74" s="31">
        <v>14</v>
      </c>
      <c r="AW74" s="31">
        <v>0</v>
      </c>
      <c r="AX74" s="31">
        <v>2</v>
      </c>
      <c r="AY74" s="32"/>
      <c r="AZ74" s="31">
        <v>3</v>
      </c>
      <c r="BA74" s="31">
        <v>1</v>
      </c>
      <c r="BB74" s="31" t="s">
        <v>339</v>
      </c>
      <c r="BC74" s="31" t="s">
        <v>315</v>
      </c>
      <c r="BD74" s="31" t="s">
        <v>487</v>
      </c>
      <c r="BE74" s="33" t="s">
        <v>372</v>
      </c>
      <c r="BF74" s="31" t="s">
        <v>94</v>
      </c>
      <c r="BG74" s="31" t="s">
        <v>94</v>
      </c>
      <c r="BH74" s="31" t="s">
        <v>94</v>
      </c>
      <c r="BI74" s="31" t="s">
        <v>94</v>
      </c>
      <c r="BK74" s="31">
        <v>0</v>
      </c>
      <c r="BL74" s="31">
        <v>0</v>
      </c>
      <c r="BM74" s="31">
        <v>0</v>
      </c>
      <c r="BN74" s="31">
        <v>19</v>
      </c>
      <c r="BO74" s="31">
        <v>25</v>
      </c>
      <c r="BQ74" s="31">
        <v>0</v>
      </c>
      <c r="BR74" s="31">
        <v>0</v>
      </c>
      <c r="BS74" s="31">
        <v>52</v>
      </c>
    </row>
    <row r="75" spans="1:71" ht="18.75" hidden="1" customHeight="1">
      <c r="A75" s="25">
        <v>9986</v>
      </c>
      <c r="B75" s="25" t="s">
        <v>488</v>
      </c>
      <c r="C75" s="25" t="s">
        <v>489</v>
      </c>
      <c r="D75" s="44" t="s">
        <v>490</v>
      </c>
      <c r="E75" s="26" t="s">
        <v>246</v>
      </c>
      <c r="F75" s="26" t="s">
        <v>72</v>
      </c>
      <c r="G75" s="26" t="s">
        <v>247</v>
      </c>
      <c r="H75" s="26" t="s">
        <v>74</v>
      </c>
      <c r="I75" s="26" t="s">
        <v>75</v>
      </c>
      <c r="J75" s="26" t="s">
        <v>76</v>
      </c>
      <c r="K75" s="26" t="s">
        <v>77</v>
      </c>
      <c r="L75" s="26" t="s">
        <v>78</v>
      </c>
      <c r="M75" s="26" t="s">
        <v>134</v>
      </c>
      <c r="N75" s="26" t="s">
        <v>101</v>
      </c>
      <c r="O75" s="26" t="s">
        <v>80</v>
      </c>
      <c r="P75" s="26" t="s">
        <v>240</v>
      </c>
      <c r="Q75" s="26" t="s">
        <v>82</v>
      </c>
      <c r="R75" s="26" t="s">
        <v>491</v>
      </c>
      <c r="S75" s="26" t="s">
        <v>104</v>
      </c>
      <c r="T75" s="26" t="s">
        <v>82</v>
      </c>
      <c r="U75" s="26" t="s">
        <v>101</v>
      </c>
      <c r="V75" s="26" t="s">
        <v>86</v>
      </c>
      <c r="W75" s="26" t="s">
        <v>86</v>
      </c>
      <c r="X75" s="26" t="s">
        <v>86</v>
      </c>
      <c r="Y75" s="26" t="s">
        <v>78</v>
      </c>
      <c r="Z75" s="26" t="s">
        <v>78</v>
      </c>
      <c r="AA75" s="27">
        <v>2.4426666666666668</v>
      </c>
      <c r="AB75" s="27">
        <v>0</v>
      </c>
      <c r="AC75" s="27">
        <v>0</v>
      </c>
      <c r="AD75" s="27">
        <v>2.4426666666666668</v>
      </c>
      <c r="AE75" s="27">
        <v>0</v>
      </c>
      <c r="AF75" s="27">
        <v>0</v>
      </c>
      <c r="AG75" s="27">
        <v>2.4426666666666668</v>
      </c>
      <c r="AH75" s="27">
        <v>0</v>
      </c>
      <c r="AI75" s="27">
        <v>0</v>
      </c>
      <c r="AJ75" s="27">
        <v>0</v>
      </c>
      <c r="AK75" s="27">
        <v>0</v>
      </c>
      <c r="AL75" s="27">
        <v>0.5708333333333333</v>
      </c>
      <c r="AM75" s="27">
        <v>0</v>
      </c>
      <c r="AN75" s="27">
        <v>3.0135000000000001</v>
      </c>
      <c r="AO75" s="28">
        <v>0.2751507106907804</v>
      </c>
      <c r="AP75" s="29">
        <v>1.50675</v>
      </c>
      <c r="AQ75" s="29">
        <v>1.50675</v>
      </c>
      <c r="AR75" s="30"/>
      <c r="AT75" s="31">
        <v>274025</v>
      </c>
      <c r="AU75" s="31">
        <v>252</v>
      </c>
      <c r="AV75" s="31">
        <v>16</v>
      </c>
      <c r="AW75" s="31">
        <v>0</v>
      </c>
      <c r="AX75" s="31">
        <v>155</v>
      </c>
      <c r="AY75" s="32"/>
      <c r="AZ75" s="31">
        <v>3</v>
      </c>
      <c r="BA75" s="31">
        <v>1</v>
      </c>
      <c r="BB75" s="31" t="s">
        <v>492</v>
      </c>
      <c r="BC75" s="31" t="s">
        <v>493</v>
      </c>
      <c r="BD75" s="31" t="s">
        <v>494</v>
      </c>
      <c r="BE75" s="33" t="s">
        <v>464</v>
      </c>
      <c r="BF75" s="31" t="s">
        <v>156</v>
      </c>
      <c r="BG75" s="31" t="s">
        <v>156</v>
      </c>
      <c r="BH75" s="31" t="s">
        <v>156</v>
      </c>
      <c r="BI75" s="31" t="s">
        <v>156</v>
      </c>
      <c r="BK75" s="31">
        <v>0</v>
      </c>
      <c r="BL75" s="31">
        <v>0</v>
      </c>
      <c r="BM75" s="31">
        <v>1</v>
      </c>
      <c r="BN75" s="31">
        <v>18</v>
      </c>
      <c r="BO75" s="31">
        <v>567</v>
      </c>
      <c r="BQ75" s="31">
        <v>1</v>
      </c>
      <c r="BR75" s="31">
        <v>25</v>
      </c>
      <c r="BS75" s="31">
        <v>94</v>
      </c>
    </row>
    <row r="76" spans="1:71" ht="18.75" hidden="1" customHeight="1">
      <c r="A76" s="25">
        <v>9992</v>
      </c>
      <c r="B76" s="25" t="s">
        <v>495</v>
      </c>
      <c r="C76" s="25" t="s">
        <v>496</v>
      </c>
      <c r="D76" s="25" t="s">
        <v>496</v>
      </c>
      <c r="E76" s="26" t="s">
        <v>379</v>
      </c>
      <c r="F76" s="26" t="s">
        <v>380</v>
      </c>
      <c r="G76" s="26" t="s">
        <v>380</v>
      </c>
      <c r="H76" s="26" t="s">
        <v>74</v>
      </c>
      <c r="I76" s="26" t="s">
        <v>185</v>
      </c>
      <c r="J76" s="26" t="s">
        <v>76</v>
      </c>
      <c r="K76" s="26" t="s">
        <v>77</v>
      </c>
      <c r="L76" s="26" t="s">
        <v>78</v>
      </c>
      <c r="M76" s="26" t="s">
        <v>100</v>
      </c>
      <c r="N76" s="26" t="s">
        <v>101</v>
      </c>
      <c r="O76" s="26" t="s">
        <v>80</v>
      </c>
      <c r="P76" s="26" t="s">
        <v>279</v>
      </c>
      <c r="Q76" s="26" t="s">
        <v>82</v>
      </c>
      <c r="R76" s="26" t="s">
        <v>497</v>
      </c>
      <c r="S76" s="26" t="s">
        <v>104</v>
      </c>
      <c r="T76" s="26" t="s">
        <v>82</v>
      </c>
      <c r="U76" s="26" t="s">
        <v>101</v>
      </c>
      <c r="V76" s="26" t="s">
        <v>86</v>
      </c>
      <c r="W76" s="26" t="s">
        <v>86</v>
      </c>
      <c r="X76" s="26" t="s">
        <v>86</v>
      </c>
      <c r="Y76" s="26" t="s">
        <v>78</v>
      </c>
      <c r="Z76" s="26" t="s">
        <v>78</v>
      </c>
      <c r="AA76" s="27">
        <v>7.2083333333333339</v>
      </c>
      <c r="AB76" s="27">
        <v>0</v>
      </c>
      <c r="AC76" s="27">
        <v>6.916666666666667</v>
      </c>
      <c r="AD76" s="27">
        <v>0.29166666666666669</v>
      </c>
      <c r="AE76" s="27">
        <v>0</v>
      </c>
      <c r="AF76" s="27">
        <v>0</v>
      </c>
      <c r="AG76" s="27">
        <v>7.1250000000000009</v>
      </c>
      <c r="AH76" s="27">
        <v>8.3333333333333329E-2</v>
      </c>
      <c r="AI76" s="27">
        <v>0</v>
      </c>
      <c r="AJ76" s="27">
        <v>0</v>
      </c>
      <c r="AK76" s="27">
        <v>0</v>
      </c>
      <c r="AL76" s="27">
        <v>2.9958333333333336</v>
      </c>
      <c r="AM76" s="27">
        <v>2.5208333333333335</v>
      </c>
      <c r="AN76" s="27">
        <v>12.725000000000001</v>
      </c>
      <c r="AO76" s="28">
        <v>0.93778650949574338</v>
      </c>
      <c r="AP76" s="29">
        <v>6.3625000000000007</v>
      </c>
      <c r="AQ76" s="29">
        <v>6.3625000000000007</v>
      </c>
      <c r="AR76" s="30"/>
      <c r="AT76" s="31" t="s">
        <v>498</v>
      </c>
      <c r="AU76" s="31">
        <v>0</v>
      </c>
      <c r="AV76" s="31">
        <v>0</v>
      </c>
      <c r="AW76" s="31">
        <v>70</v>
      </c>
      <c r="AX76" s="31">
        <v>0</v>
      </c>
      <c r="AY76" s="32"/>
      <c r="AZ76" s="31">
        <v>1</v>
      </c>
      <c r="BA76" s="31">
        <v>3</v>
      </c>
      <c r="BB76" s="31" t="s">
        <v>499</v>
      </c>
      <c r="BC76" s="31" t="s">
        <v>451</v>
      </c>
      <c r="BD76" s="31" t="s">
        <v>499</v>
      </c>
      <c r="BE76" s="33" t="s">
        <v>500</v>
      </c>
      <c r="BF76" s="31" t="s">
        <v>156</v>
      </c>
      <c r="BG76" s="31" t="s">
        <v>156</v>
      </c>
      <c r="BH76" s="31" t="s">
        <v>156</v>
      </c>
      <c r="BI76" s="31" t="s">
        <v>156</v>
      </c>
      <c r="BK76" s="31">
        <v>0</v>
      </c>
      <c r="BL76" s="31">
        <v>1</v>
      </c>
      <c r="BM76" s="31">
        <v>13</v>
      </c>
      <c r="BN76" s="31">
        <v>16</v>
      </c>
      <c r="BO76" s="31">
        <v>30</v>
      </c>
      <c r="BQ76" s="31">
        <v>18</v>
      </c>
      <c r="BR76" s="31">
        <v>62</v>
      </c>
      <c r="BS76" s="31">
        <v>316</v>
      </c>
    </row>
    <row r="77" spans="1:71" ht="18.75" customHeight="1">
      <c r="A77" s="25">
        <v>9994</v>
      </c>
      <c r="B77" s="25" t="s">
        <v>501</v>
      </c>
      <c r="C77" s="25" t="s">
        <v>502</v>
      </c>
      <c r="D77" s="35" t="s">
        <v>503</v>
      </c>
      <c r="E77" s="26" t="s">
        <v>204</v>
      </c>
      <c r="F77" s="26" t="s">
        <v>193</v>
      </c>
      <c r="G77" s="26" t="s">
        <v>205</v>
      </c>
      <c r="H77" s="26" t="s">
        <v>504</v>
      </c>
      <c r="I77" s="26" t="s">
        <v>75</v>
      </c>
      <c r="J77" s="26" t="s">
        <v>76</v>
      </c>
      <c r="K77" s="26" t="s">
        <v>77</v>
      </c>
      <c r="L77" s="26" t="s">
        <v>78</v>
      </c>
      <c r="M77" s="26" t="s">
        <v>100</v>
      </c>
      <c r="N77" s="26" t="s">
        <v>101</v>
      </c>
      <c r="O77" s="26" t="s">
        <v>101</v>
      </c>
      <c r="P77" s="26" t="s">
        <v>240</v>
      </c>
      <c r="Q77" s="26" t="s">
        <v>82</v>
      </c>
      <c r="R77" s="26" t="s">
        <v>280</v>
      </c>
      <c r="S77" s="26" t="s">
        <v>84</v>
      </c>
      <c r="T77" s="26" t="s">
        <v>281</v>
      </c>
      <c r="U77" s="26" t="s">
        <v>80</v>
      </c>
      <c r="V77" s="26" t="s">
        <v>86</v>
      </c>
      <c r="W77" s="26" t="s">
        <v>86</v>
      </c>
      <c r="X77" s="26" t="s">
        <v>86</v>
      </c>
      <c r="Y77" s="26" t="s">
        <v>78</v>
      </c>
      <c r="Z77" s="26" t="s">
        <v>78</v>
      </c>
      <c r="AA77" s="40">
        <v>1.0229166666666667</v>
      </c>
      <c r="AB77" s="40">
        <v>0</v>
      </c>
      <c r="AC77" s="40">
        <v>0</v>
      </c>
      <c r="AD77" s="40">
        <v>1.0229166666666665</v>
      </c>
      <c r="AE77" s="40">
        <v>0</v>
      </c>
      <c r="AF77" s="40">
        <v>0</v>
      </c>
      <c r="AG77" s="40">
        <v>1.0229166666666665</v>
      </c>
      <c r="AH77" s="40">
        <v>0</v>
      </c>
      <c r="AI77" s="40">
        <v>0</v>
      </c>
      <c r="AJ77" s="40">
        <v>0</v>
      </c>
      <c r="AK77" s="40">
        <v>0</v>
      </c>
      <c r="AL77" s="40">
        <v>0.15</v>
      </c>
      <c r="AM77" s="40">
        <v>0</v>
      </c>
      <c r="AN77" s="27">
        <f>AA77+AL77+AM77</f>
        <v>1.1729166666666666</v>
      </c>
      <c r="AO77" s="28">
        <v>0.42806394316163421</v>
      </c>
      <c r="AP77" s="29">
        <v>0.58645833333333319</v>
      </c>
      <c r="AQ77" s="29">
        <v>0.58645833333333319</v>
      </c>
      <c r="AR77" s="30"/>
      <c r="AT77" s="36">
        <v>649133</v>
      </c>
      <c r="AU77" s="37">
        <v>42</v>
      </c>
      <c r="AV77" s="37">
        <v>32</v>
      </c>
      <c r="AW77" s="37">
        <v>10</v>
      </c>
      <c r="AX77" s="37">
        <v>18</v>
      </c>
      <c r="AY77" s="50" t="s">
        <v>82</v>
      </c>
      <c r="AZ77" s="37">
        <v>3</v>
      </c>
      <c r="BA77" s="37">
        <v>1</v>
      </c>
      <c r="BB77" s="60" t="s">
        <v>505</v>
      </c>
      <c r="BC77" s="37" t="s">
        <v>506</v>
      </c>
      <c r="BD77" s="37" t="s">
        <v>507</v>
      </c>
      <c r="BE77" s="37" t="s">
        <v>508</v>
      </c>
      <c r="BF77" s="31" t="s">
        <v>156</v>
      </c>
      <c r="BG77" s="31" t="s">
        <v>156</v>
      </c>
      <c r="BH77" s="31" t="s">
        <v>156</v>
      </c>
      <c r="BI77" s="31" t="s">
        <v>156</v>
      </c>
      <c r="BK77" s="31">
        <v>0</v>
      </c>
      <c r="BL77" s="31">
        <v>0</v>
      </c>
      <c r="BM77" s="31">
        <v>8</v>
      </c>
      <c r="BN77" s="31">
        <v>29</v>
      </c>
      <c r="BO77" s="31">
        <v>71</v>
      </c>
      <c r="BQ77" s="31">
        <v>6</v>
      </c>
      <c r="BR77" s="31">
        <v>0</v>
      </c>
      <c r="BS77" s="31">
        <v>190</v>
      </c>
    </row>
    <row r="78" spans="1:71" ht="18.75" hidden="1" customHeight="1">
      <c r="A78" s="25">
        <v>9995</v>
      </c>
      <c r="B78" s="25" t="s">
        <v>509</v>
      </c>
      <c r="C78" s="25" t="s">
        <v>510</v>
      </c>
      <c r="D78" s="44" t="s">
        <v>511</v>
      </c>
      <c r="E78" s="26" t="s">
        <v>246</v>
      </c>
      <c r="F78" s="26" t="s">
        <v>72</v>
      </c>
      <c r="G78" s="26" t="s">
        <v>247</v>
      </c>
      <c r="H78" s="26" t="s">
        <v>74</v>
      </c>
      <c r="I78" s="26" t="s">
        <v>512</v>
      </c>
      <c r="J78" s="26" t="s">
        <v>76</v>
      </c>
      <c r="K78" s="26" t="s">
        <v>77</v>
      </c>
      <c r="L78" s="26" t="s">
        <v>78</v>
      </c>
      <c r="M78" s="26" t="s">
        <v>79</v>
      </c>
      <c r="N78" s="26" t="s">
        <v>101</v>
      </c>
      <c r="O78" s="26" t="s">
        <v>80</v>
      </c>
      <c r="P78" s="26" t="s">
        <v>279</v>
      </c>
      <c r="Q78" s="26" t="s">
        <v>82</v>
      </c>
      <c r="R78" s="26" t="s">
        <v>513</v>
      </c>
      <c r="S78" s="26" t="s">
        <v>104</v>
      </c>
      <c r="T78" s="26" t="s">
        <v>82</v>
      </c>
      <c r="U78" s="26" t="s">
        <v>101</v>
      </c>
      <c r="V78" s="26" t="s">
        <v>86</v>
      </c>
      <c r="W78" s="26" t="s">
        <v>86</v>
      </c>
      <c r="X78" s="26" t="s">
        <v>86</v>
      </c>
      <c r="Y78" s="26" t="s">
        <v>78</v>
      </c>
      <c r="Z78" s="26" t="s">
        <v>78</v>
      </c>
      <c r="AA78" s="27">
        <v>0.77916666666666667</v>
      </c>
      <c r="AB78" s="27">
        <v>0</v>
      </c>
      <c r="AC78" s="27">
        <v>0</v>
      </c>
      <c r="AD78" s="27">
        <v>0.77916666666666667</v>
      </c>
      <c r="AE78" s="27">
        <v>0</v>
      </c>
      <c r="AF78" s="27">
        <v>0</v>
      </c>
      <c r="AG78" s="27">
        <v>0.77916666666666667</v>
      </c>
      <c r="AH78" s="27">
        <v>0</v>
      </c>
      <c r="AI78" s="27">
        <v>0</v>
      </c>
      <c r="AJ78" s="27">
        <v>0</v>
      </c>
      <c r="AK78" s="27">
        <v>0</v>
      </c>
      <c r="AL78" s="27">
        <v>0</v>
      </c>
      <c r="AM78" s="27">
        <v>0</v>
      </c>
      <c r="AN78" s="27">
        <v>0.77916666666666667</v>
      </c>
      <c r="AO78" s="28">
        <v>0.67914438502673802</v>
      </c>
      <c r="AP78" s="29">
        <v>0.38958333333333334</v>
      </c>
      <c r="AQ78" s="29">
        <v>0.38958333333333334</v>
      </c>
      <c r="AR78" s="30"/>
      <c r="AT78" s="47" t="s">
        <v>289</v>
      </c>
      <c r="AU78" s="38">
        <v>0</v>
      </c>
      <c r="AV78" s="38">
        <v>0</v>
      </c>
      <c r="AW78" s="38">
        <v>0</v>
      </c>
      <c r="AX78" s="38">
        <v>0</v>
      </c>
      <c r="AY78" s="45"/>
      <c r="AZ78" s="38">
        <v>3</v>
      </c>
      <c r="BA78" s="38">
        <v>1</v>
      </c>
      <c r="BB78" s="38" t="s">
        <v>415</v>
      </c>
      <c r="BC78" s="38" t="s">
        <v>415</v>
      </c>
      <c r="BD78" s="38" t="s">
        <v>514</v>
      </c>
      <c r="BE78" s="46" t="s">
        <v>515</v>
      </c>
      <c r="BF78" s="31" t="s">
        <v>94</v>
      </c>
      <c r="BG78" s="31" t="s">
        <v>94</v>
      </c>
      <c r="BH78" s="31" t="s">
        <v>94</v>
      </c>
      <c r="BI78" s="31" t="s">
        <v>94</v>
      </c>
      <c r="BK78" s="31">
        <v>0</v>
      </c>
      <c r="BL78" s="31">
        <v>0</v>
      </c>
      <c r="BM78" s="31">
        <v>1</v>
      </c>
      <c r="BN78" s="31">
        <v>0</v>
      </c>
      <c r="BO78" s="31">
        <v>3</v>
      </c>
      <c r="BQ78" s="31">
        <v>1</v>
      </c>
      <c r="BR78" s="31">
        <v>3</v>
      </c>
      <c r="BS78" s="31">
        <v>49</v>
      </c>
    </row>
    <row r="79" spans="1:71" ht="18.75" hidden="1" customHeight="1">
      <c r="A79" s="25">
        <v>9996</v>
      </c>
      <c r="B79" s="25" t="s">
        <v>516</v>
      </c>
      <c r="C79" s="25" t="s">
        <v>517</v>
      </c>
      <c r="D79" s="25" t="s">
        <v>518</v>
      </c>
      <c r="E79" s="26" t="s">
        <v>192</v>
      </c>
      <c r="F79" s="26" t="s">
        <v>193</v>
      </c>
      <c r="G79" s="26" t="s">
        <v>194</v>
      </c>
      <c r="H79" s="26" t="s">
        <v>74</v>
      </c>
      <c r="I79" s="26" t="s">
        <v>75</v>
      </c>
      <c r="J79" s="26" t="s">
        <v>76</v>
      </c>
      <c r="K79" s="26" t="s">
        <v>77</v>
      </c>
      <c r="L79" s="26" t="s">
        <v>78</v>
      </c>
      <c r="M79" s="26" t="s">
        <v>100</v>
      </c>
      <c r="N79" s="26" t="s">
        <v>101</v>
      </c>
      <c r="O79" s="26" t="s">
        <v>80</v>
      </c>
      <c r="P79" s="26" t="s">
        <v>240</v>
      </c>
      <c r="Q79" s="26" t="s">
        <v>82</v>
      </c>
      <c r="R79" s="26" t="s">
        <v>280</v>
      </c>
      <c r="S79" s="26" t="s">
        <v>104</v>
      </c>
      <c r="T79" s="26" t="s">
        <v>82</v>
      </c>
      <c r="U79" s="26" t="s">
        <v>101</v>
      </c>
      <c r="V79" s="26" t="s">
        <v>86</v>
      </c>
      <c r="W79" s="26" t="s">
        <v>86</v>
      </c>
      <c r="X79" s="26" t="s">
        <v>86</v>
      </c>
      <c r="Y79" s="26" t="s">
        <v>78</v>
      </c>
      <c r="Z79" s="26" t="s">
        <v>78</v>
      </c>
      <c r="AA79" s="27">
        <v>0.22625000000000001</v>
      </c>
      <c r="AB79" s="27">
        <v>0</v>
      </c>
      <c r="AC79" s="27">
        <v>0</v>
      </c>
      <c r="AD79" s="27">
        <v>0.22625000000000001</v>
      </c>
      <c r="AE79" s="27">
        <v>0</v>
      </c>
      <c r="AF79" s="27">
        <v>0</v>
      </c>
      <c r="AG79" s="27">
        <v>7.6249999999999998E-2</v>
      </c>
      <c r="AH79" s="27">
        <v>0</v>
      </c>
      <c r="AI79" s="27">
        <v>0.15</v>
      </c>
      <c r="AJ79" s="27">
        <v>0</v>
      </c>
      <c r="AK79" s="27">
        <v>0</v>
      </c>
      <c r="AL79" s="27">
        <v>0</v>
      </c>
      <c r="AM79" s="27">
        <v>0</v>
      </c>
      <c r="AN79" s="27">
        <v>0.22625000000000001</v>
      </c>
      <c r="AO79" s="28">
        <v>0.33701657458563533</v>
      </c>
      <c r="AP79" s="29">
        <v>0.113125</v>
      </c>
      <c r="AQ79" s="29">
        <v>0.113125</v>
      </c>
      <c r="AR79" s="30"/>
      <c r="AT79" s="38" t="s">
        <v>197</v>
      </c>
      <c r="AU79" s="37" t="s">
        <v>197</v>
      </c>
      <c r="AV79" s="37" t="s">
        <v>197</v>
      </c>
      <c r="AW79" s="37" t="s">
        <v>197</v>
      </c>
      <c r="AX79" s="37" t="s">
        <v>197</v>
      </c>
      <c r="AY79" s="32"/>
      <c r="AZ79" s="31">
        <v>3</v>
      </c>
      <c r="BA79" s="31">
        <v>1</v>
      </c>
      <c r="BB79" s="31" t="s">
        <v>197</v>
      </c>
      <c r="BC79" s="31" t="s">
        <v>197</v>
      </c>
      <c r="BD79" s="31" t="s">
        <v>197</v>
      </c>
      <c r="BE79" s="33"/>
      <c r="BF79" s="31" t="s">
        <v>334</v>
      </c>
      <c r="BG79" s="31" t="s">
        <v>334</v>
      </c>
      <c r="BH79" s="31" t="s">
        <v>156</v>
      </c>
      <c r="BI79" s="31" t="s">
        <v>156</v>
      </c>
      <c r="BK79" s="31">
        <v>0</v>
      </c>
      <c r="BL79" s="31">
        <v>0</v>
      </c>
      <c r="BM79" s="31">
        <v>0</v>
      </c>
      <c r="BN79" s="31">
        <v>1</v>
      </c>
      <c r="BO79" s="31">
        <v>2</v>
      </c>
      <c r="BQ79" s="31">
        <v>0</v>
      </c>
      <c r="BR79" s="31">
        <v>1</v>
      </c>
      <c r="BS79" s="31">
        <v>9</v>
      </c>
    </row>
    <row r="80" spans="1:71" ht="18.75" hidden="1" customHeight="1">
      <c r="A80" s="25">
        <v>9999</v>
      </c>
      <c r="B80" s="25" t="s">
        <v>519</v>
      </c>
      <c r="C80" s="25" t="s">
        <v>520</v>
      </c>
      <c r="D80" s="25" t="s">
        <v>521</v>
      </c>
      <c r="E80" s="26" t="s">
        <v>98</v>
      </c>
      <c r="F80" s="26" t="s">
        <v>163</v>
      </c>
      <c r="G80" s="26" t="s">
        <v>99</v>
      </c>
      <c r="H80" s="26" t="s">
        <v>74</v>
      </c>
      <c r="I80" s="26" t="s">
        <v>75</v>
      </c>
      <c r="J80" s="26" t="s">
        <v>76</v>
      </c>
      <c r="K80" s="26" t="s">
        <v>77</v>
      </c>
      <c r="L80" s="26" t="s">
        <v>86</v>
      </c>
      <c r="M80" s="26" t="s">
        <v>100</v>
      </c>
      <c r="N80" s="26" t="s">
        <v>101</v>
      </c>
      <c r="O80" s="26" t="s">
        <v>80</v>
      </c>
      <c r="P80" s="26" t="s">
        <v>102</v>
      </c>
      <c r="Q80" s="26" t="s">
        <v>82</v>
      </c>
      <c r="R80" s="26" t="s">
        <v>144</v>
      </c>
      <c r="S80" s="26" t="s">
        <v>104</v>
      </c>
      <c r="T80" s="26" t="s">
        <v>82</v>
      </c>
      <c r="U80" s="26" t="s">
        <v>101</v>
      </c>
      <c r="V80" s="26" t="s">
        <v>86</v>
      </c>
      <c r="W80" s="26" t="s">
        <v>86</v>
      </c>
      <c r="X80" s="26" t="s">
        <v>86</v>
      </c>
      <c r="Y80" s="26" t="s">
        <v>78</v>
      </c>
      <c r="Z80" s="26" t="s">
        <v>78</v>
      </c>
      <c r="AA80" s="27">
        <v>1.0287500000000001</v>
      </c>
      <c r="AB80" s="27">
        <v>0</v>
      </c>
      <c r="AC80" s="27">
        <v>0</v>
      </c>
      <c r="AD80" s="27">
        <v>1.0287500000000001</v>
      </c>
      <c r="AE80" s="27">
        <v>0</v>
      </c>
      <c r="AF80" s="27">
        <v>0</v>
      </c>
      <c r="AG80" s="27">
        <v>1.0287500000000001</v>
      </c>
      <c r="AH80" s="27">
        <v>0</v>
      </c>
      <c r="AI80" s="27">
        <v>0</v>
      </c>
      <c r="AJ80" s="27">
        <v>0</v>
      </c>
      <c r="AK80" s="27">
        <v>0</v>
      </c>
      <c r="AL80" s="27">
        <v>0</v>
      </c>
      <c r="AM80" s="27">
        <v>0</v>
      </c>
      <c r="AN80" s="27">
        <v>1.0287500000000001</v>
      </c>
      <c r="AO80" s="28">
        <v>0.12920210611583638</v>
      </c>
      <c r="AP80" s="29">
        <v>0.51437500000000003</v>
      </c>
      <c r="AQ80" s="29">
        <v>0.51437500000000003</v>
      </c>
      <c r="AR80" s="30"/>
      <c r="AT80" s="31">
        <v>44024</v>
      </c>
      <c r="AU80" s="31">
        <v>3</v>
      </c>
      <c r="AV80" s="31">
        <v>54</v>
      </c>
      <c r="AW80" s="31">
        <v>0</v>
      </c>
      <c r="AX80" s="31">
        <v>22</v>
      </c>
      <c r="AY80" s="32" t="s">
        <v>105</v>
      </c>
      <c r="AZ80" s="31">
        <v>3</v>
      </c>
      <c r="BA80" s="31">
        <v>1</v>
      </c>
      <c r="BB80" s="31"/>
      <c r="BC80" s="31" t="s">
        <v>114</v>
      </c>
      <c r="BD80" s="31"/>
      <c r="BE80" s="33" t="s">
        <v>109</v>
      </c>
      <c r="BF80" s="31" t="s">
        <v>148</v>
      </c>
      <c r="BG80" s="31" t="s">
        <v>148</v>
      </c>
      <c r="BH80" s="31" t="s">
        <v>94</v>
      </c>
      <c r="BI80" s="31" t="s">
        <v>94</v>
      </c>
      <c r="BK80" s="31">
        <v>0</v>
      </c>
      <c r="BL80" s="31">
        <v>0</v>
      </c>
      <c r="BM80" s="31">
        <v>17</v>
      </c>
      <c r="BN80" s="31">
        <v>6</v>
      </c>
      <c r="BO80" s="31">
        <v>76</v>
      </c>
      <c r="BQ80" s="31">
        <v>9</v>
      </c>
      <c r="BR80" s="31">
        <v>0</v>
      </c>
      <c r="BS80" s="31">
        <v>54</v>
      </c>
    </row>
    <row r="81" spans="1:71" ht="18.75" hidden="1" customHeight="1">
      <c r="A81" s="25">
        <v>10001</v>
      </c>
      <c r="B81" s="25" t="s">
        <v>522</v>
      </c>
      <c r="C81" s="25" t="s">
        <v>523</v>
      </c>
      <c r="D81" s="25" t="s">
        <v>524</v>
      </c>
      <c r="E81" s="26" t="s">
        <v>246</v>
      </c>
      <c r="F81" s="26" t="s">
        <v>72</v>
      </c>
      <c r="G81" s="26" t="s">
        <v>247</v>
      </c>
      <c r="H81" s="26" t="s">
        <v>74</v>
      </c>
      <c r="I81" s="26" t="s">
        <v>75</v>
      </c>
      <c r="J81" s="26" t="s">
        <v>76</v>
      </c>
      <c r="K81" s="26" t="s">
        <v>77</v>
      </c>
      <c r="L81" s="26" t="s">
        <v>86</v>
      </c>
      <c r="M81" s="26" t="s">
        <v>100</v>
      </c>
      <c r="N81" s="26" t="s">
        <v>101</v>
      </c>
      <c r="O81" s="26" t="s">
        <v>80</v>
      </c>
      <c r="P81" s="26" t="s">
        <v>206</v>
      </c>
      <c r="Q81" s="26" t="s">
        <v>82</v>
      </c>
      <c r="R81" s="26" t="s">
        <v>525</v>
      </c>
      <c r="S81" s="26" t="s">
        <v>104</v>
      </c>
      <c r="T81" s="26" t="s">
        <v>82</v>
      </c>
      <c r="U81" s="26" t="s">
        <v>101</v>
      </c>
      <c r="V81" s="26" t="s">
        <v>86</v>
      </c>
      <c r="W81" s="26" t="s">
        <v>86</v>
      </c>
      <c r="X81" s="26" t="s">
        <v>86</v>
      </c>
      <c r="Y81" s="26" t="s">
        <v>78</v>
      </c>
      <c r="Z81" s="26" t="s">
        <v>78</v>
      </c>
      <c r="AA81" s="27">
        <v>2.7291666666666665</v>
      </c>
      <c r="AB81" s="27">
        <v>0</v>
      </c>
      <c r="AC81" s="27">
        <v>0</v>
      </c>
      <c r="AD81" s="27">
        <v>2.7291666666666665</v>
      </c>
      <c r="AE81" s="27">
        <v>0</v>
      </c>
      <c r="AF81" s="27">
        <v>0</v>
      </c>
      <c r="AG81" s="27">
        <v>2.7291666666666665</v>
      </c>
      <c r="AH81" s="27">
        <v>0</v>
      </c>
      <c r="AI81" s="27">
        <v>0</v>
      </c>
      <c r="AJ81" s="27">
        <v>0</v>
      </c>
      <c r="AK81" s="27">
        <v>0</v>
      </c>
      <c r="AL81" s="27">
        <v>3.0249999999999999</v>
      </c>
      <c r="AM81" s="27">
        <v>0</v>
      </c>
      <c r="AN81" s="27">
        <v>5.7541666666666664</v>
      </c>
      <c r="AO81" s="28">
        <v>0.34540188269370026</v>
      </c>
      <c r="AP81" s="29">
        <v>2.8770833333333332</v>
      </c>
      <c r="AQ81" s="29">
        <v>2.8770833333333332</v>
      </c>
      <c r="AR81" s="30"/>
      <c r="AT81" s="31" t="s">
        <v>526</v>
      </c>
      <c r="AU81" s="31">
        <v>42</v>
      </c>
      <c r="AV81" s="31">
        <v>489</v>
      </c>
      <c r="AW81" s="31" t="s">
        <v>197</v>
      </c>
      <c r="AX81" s="31">
        <v>2035</v>
      </c>
      <c r="AY81" s="32"/>
      <c r="AZ81" s="31">
        <v>3</v>
      </c>
      <c r="BA81" s="31">
        <v>1</v>
      </c>
      <c r="BB81" s="31" t="s">
        <v>197</v>
      </c>
      <c r="BC81" s="31" t="s">
        <v>527</v>
      </c>
      <c r="BD81" s="31" t="s">
        <v>528</v>
      </c>
      <c r="BE81" s="33" t="s">
        <v>529</v>
      </c>
      <c r="BF81" s="31" t="s">
        <v>156</v>
      </c>
      <c r="BG81" s="31" t="s">
        <v>156</v>
      </c>
      <c r="BH81" s="31" t="s">
        <v>156</v>
      </c>
      <c r="BI81" s="31" t="s">
        <v>156</v>
      </c>
      <c r="BK81" s="31">
        <v>0</v>
      </c>
      <c r="BL81" s="31">
        <v>0</v>
      </c>
      <c r="BM81" s="31">
        <v>11</v>
      </c>
      <c r="BN81" s="31">
        <v>8</v>
      </c>
      <c r="BO81" s="31">
        <v>74</v>
      </c>
      <c r="BQ81" s="31">
        <v>8</v>
      </c>
      <c r="BR81" s="31">
        <v>37</v>
      </c>
      <c r="BS81" s="31">
        <v>206</v>
      </c>
    </row>
    <row r="82" spans="1:71" ht="18.75" hidden="1" customHeight="1">
      <c r="A82" s="25">
        <v>10032</v>
      </c>
      <c r="B82" s="25" t="s">
        <v>530</v>
      </c>
      <c r="C82" s="25" t="s">
        <v>531</v>
      </c>
      <c r="D82" s="25" t="s">
        <v>532</v>
      </c>
      <c r="E82" s="26" t="s">
        <v>246</v>
      </c>
      <c r="F82" s="26" t="s">
        <v>72</v>
      </c>
      <c r="G82" s="26" t="s">
        <v>247</v>
      </c>
      <c r="H82" s="26" t="s">
        <v>74</v>
      </c>
      <c r="I82" s="26" t="s">
        <v>75</v>
      </c>
      <c r="J82" s="26" t="s">
        <v>76</v>
      </c>
      <c r="K82" s="26" t="s">
        <v>77</v>
      </c>
      <c r="L82" s="26" t="s">
        <v>86</v>
      </c>
      <c r="M82" s="26" t="s">
        <v>100</v>
      </c>
      <c r="N82" s="26" t="s">
        <v>101</v>
      </c>
      <c r="O82" s="26" t="s">
        <v>80</v>
      </c>
      <c r="P82" s="26" t="s">
        <v>279</v>
      </c>
      <c r="Q82" s="26" t="s">
        <v>82</v>
      </c>
      <c r="R82" s="26" t="s">
        <v>533</v>
      </c>
      <c r="S82" s="26" t="s">
        <v>104</v>
      </c>
      <c r="T82" s="26" t="s">
        <v>82</v>
      </c>
      <c r="U82" s="26" t="s">
        <v>101</v>
      </c>
      <c r="V82" s="26" t="s">
        <v>86</v>
      </c>
      <c r="W82" s="26" t="s">
        <v>86</v>
      </c>
      <c r="X82" s="26" t="s">
        <v>86</v>
      </c>
      <c r="Y82" s="26" t="s">
        <v>78</v>
      </c>
      <c r="Z82" s="26" t="s">
        <v>78</v>
      </c>
      <c r="AA82" s="27">
        <v>1.8583333333333334</v>
      </c>
      <c r="AB82" s="27">
        <v>0</v>
      </c>
      <c r="AC82" s="27">
        <v>0</v>
      </c>
      <c r="AD82" s="27">
        <v>1.8583333333333334</v>
      </c>
      <c r="AE82" s="27">
        <v>0</v>
      </c>
      <c r="AF82" s="27">
        <v>0</v>
      </c>
      <c r="AG82" s="27">
        <v>1.8583333333333334</v>
      </c>
      <c r="AH82" s="27">
        <v>0</v>
      </c>
      <c r="AI82" s="27">
        <v>0</v>
      </c>
      <c r="AJ82" s="27">
        <v>0</v>
      </c>
      <c r="AK82" s="27">
        <v>0</v>
      </c>
      <c r="AL82" s="27">
        <v>0.94166666666666676</v>
      </c>
      <c r="AM82" s="27">
        <v>0</v>
      </c>
      <c r="AN82" s="27">
        <v>2.8000000000000003</v>
      </c>
      <c r="AO82" s="28">
        <v>0.26934523809523808</v>
      </c>
      <c r="AP82" s="29">
        <v>1.4000000000000001</v>
      </c>
      <c r="AQ82" s="29">
        <v>1.4000000000000001</v>
      </c>
      <c r="AR82" s="30"/>
      <c r="AT82" s="31" t="s">
        <v>534</v>
      </c>
      <c r="AU82" s="31">
        <v>233</v>
      </c>
      <c r="AV82" s="31">
        <v>15</v>
      </c>
      <c r="AW82" s="31" t="s">
        <v>197</v>
      </c>
      <c r="AX82" s="31">
        <v>17</v>
      </c>
      <c r="AY82" s="32"/>
      <c r="AZ82" s="31">
        <v>3</v>
      </c>
      <c r="BA82" s="31">
        <v>1</v>
      </c>
      <c r="BB82" s="31" t="s">
        <v>535</v>
      </c>
      <c r="BC82" s="31" t="s">
        <v>250</v>
      </c>
      <c r="BD82" s="31" t="s">
        <v>536</v>
      </c>
      <c r="BE82" s="33" t="s">
        <v>537</v>
      </c>
      <c r="BF82" s="31" t="s">
        <v>156</v>
      </c>
      <c r="BG82" s="31" t="s">
        <v>156</v>
      </c>
      <c r="BH82" s="31" t="s">
        <v>156</v>
      </c>
      <c r="BI82" s="31" t="s">
        <v>156</v>
      </c>
      <c r="BK82" s="31">
        <v>0</v>
      </c>
      <c r="BL82" s="31">
        <v>0</v>
      </c>
      <c r="BM82" s="31">
        <v>17</v>
      </c>
      <c r="BN82" s="31">
        <v>5</v>
      </c>
      <c r="BO82" s="31">
        <v>16</v>
      </c>
      <c r="BQ82" s="31">
        <v>9</v>
      </c>
      <c r="BR82" s="31">
        <v>4</v>
      </c>
      <c r="BS82" s="31">
        <v>96</v>
      </c>
    </row>
    <row r="83" spans="1:71" ht="95.15" hidden="1" customHeight="1">
      <c r="A83" s="25">
        <v>11004</v>
      </c>
      <c r="B83" s="25" t="s">
        <v>538</v>
      </c>
      <c r="C83" s="25" t="s">
        <v>539</v>
      </c>
      <c r="D83" s="25" t="s">
        <v>540</v>
      </c>
      <c r="E83" s="26" t="s">
        <v>71</v>
      </c>
      <c r="F83" s="26" t="s">
        <v>163</v>
      </c>
      <c r="G83" s="26" t="s">
        <v>73</v>
      </c>
      <c r="H83" s="26" t="s">
        <v>74</v>
      </c>
      <c r="I83" s="26" t="s">
        <v>75</v>
      </c>
      <c r="J83" s="26" t="s">
        <v>76</v>
      </c>
      <c r="K83" s="26" t="s">
        <v>77</v>
      </c>
      <c r="L83" s="26" t="s">
        <v>78</v>
      </c>
      <c r="M83" s="26" t="s">
        <v>79</v>
      </c>
      <c r="N83" s="26" t="s">
        <v>101</v>
      </c>
      <c r="O83" s="26" t="s">
        <v>80</v>
      </c>
      <c r="P83" s="26" t="s">
        <v>279</v>
      </c>
      <c r="Q83" s="26" t="s">
        <v>82</v>
      </c>
      <c r="R83" s="26" t="s">
        <v>541</v>
      </c>
      <c r="S83" s="26" t="s">
        <v>104</v>
      </c>
      <c r="T83" s="26" t="s">
        <v>85</v>
      </c>
      <c r="U83" s="26" t="s">
        <v>80</v>
      </c>
      <c r="V83" s="26" t="s">
        <v>86</v>
      </c>
      <c r="W83" s="26" t="s">
        <v>86</v>
      </c>
      <c r="X83" s="26" t="s">
        <v>86</v>
      </c>
      <c r="Y83" s="26" t="s">
        <v>78</v>
      </c>
      <c r="Z83" s="26" t="s">
        <v>78</v>
      </c>
      <c r="AA83" s="27">
        <v>21.50612499999999</v>
      </c>
      <c r="AB83" s="27">
        <v>0</v>
      </c>
      <c r="AC83" s="27">
        <v>0.25</v>
      </c>
      <c r="AD83" s="27">
        <v>21.256124999999994</v>
      </c>
      <c r="AE83" s="27">
        <v>0</v>
      </c>
      <c r="AF83" s="27">
        <v>0</v>
      </c>
      <c r="AG83" s="27">
        <v>21.051958333333328</v>
      </c>
      <c r="AH83" s="27">
        <v>0.25</v>
      </c>
      <c r="AI83" s="27">
        <v>0</v>
      </c>
      <c r="AJ83" s="27">
        <v>0</v>
      </c>
      <c r="AK83" s="27">
        <v>0</v>
      </c>
      <c r="AL83" s="27">
        <v>7.7291666666666643</v>
      </c>
      <c r="AM83" s="27">
        <v>0</v>
      </c>
      <c r="AN83" s="27">
        <v>29.235291666666654</v>
      </c>
      <c r="AO83" s="28">
        <v>0.83096913405173833</v>
      </c>
      <c r="AP83" s="29">
        <v>14.617645833333327</v>
      </c>
      <c r="AQ83" s="29">
        <v>14.617645833333327</v>
      </c>
      <c r="AR83" s="30"/>
      <c r="AT83" s="61" t="s">
        <v>542</v>
      </c>
      <c r="AU83" s="62" t="s">
        <v>543</v>
      </c>
      <c r="AV83" s="61" t="s">
        <v>544</v>
      </c>
      <c r="AW83" s="62" t="s">
        <v>545</v>
      </c>
      <c r="AX83" s="31" t="s">
        <v>546</v>
      </c>
      <c r="AY83" s="32"/>
      <c r="AZ83" s="31">
        <v>3</v>
      </c>
      <c r="BA83" s="31">
        <v>1</v>
      </c>
      <c r="BB83" s="41" t="s">
        <v>547</v>
      </c>
      <c r="BC83" s="41" t="s">
        <v>548</v>
      </c>
      <c r="BD83" s="41" t="s">
        <v>547</v>
      </c>
      <c r="BE83" s="56" t="s">
        <v>549</v>
      </c>
      <c r="BF83" s="31" t="s">
        <v>94</v>
      </c>
      <c r="BG83" s="31" t="s">
        <v>94</v>
      </c>
      <c r="BH83" s="31" t="s">
        <v>94</v>
      </c>
      <c r="BI83" s="31" t="s">
        <v>94</v>
      </c>
      <c r="BK83" s="31">
        <v>0</v>
      </c>
      <c r="BL83" s="31">
        <v>0</v>
      </c>
      <c r="BM83" s="31">
        <v>43</v>
      </c>
      <c r="BN83" s="31">
        <v>133</v>
      </c>
      <c r="BO83" s="31">
        <v>111</v>
      </c>
      <c r="BQ83" s="31">
        <v>36</v>
      </c>
      <c r="BR83" s="31">
        <v>43</v>
      </c>
      <c r="BS83" s="31">
        <v>1046</v>
      </c>
    </row>
    <row r="84" spans="1:71" ht="18.75" hidden="1" customHeight="1">
      <c r="A84" s="25">
        <v>11005</v>
      </c>
      <c r="B84" s="25" t="s">
        <v>550</v>
      </c>
      <c r="C84" s="25" t="s">
        <v>551</v>
      </c>
      <c r="D84" s="25" t="s">
        <v>552</v>
      </c>
      <c r="E84" s="26" t="s">
        <v>246</v>
      </c>
      <c r="F84" s="26" t="s">
        <v>72</v>
      </c>
      <c r="G84" s="26" t="s">
        <v>247</v>
      </c>
      <c r="H84" s="26" t="s">
        <v>74</v>
      </c>
      <c r="I84" s="26" t="s">
        <v>75</v>
      </c>
      <c r="J84" s="26" t="s">
        <v>76</v>
      </c>
      <c r="K84" s="26" t="s">
        <v>77</v>
      </c>
      <c r="L84" s="26" t="s">
        <v>78</v>
      </c>
      <c r="M84" s="26" t="s">
        <v>79</v>
      </c>
      <c r="N84" s="26" t="s">
        <v>101</v>
      </c>
      <c r="O84" s="26" t="s">
        <v>80</v>
      </c>
      <c r="P84" s="26" t="s">
        <v>279</v>
      </c>
      <c r="Q84" s="26" t="s">
        <v>82</v>
      </c>
      <c r="R84" s="26" t="s">
        <v>280</v>
      </c>
      <c r="S84" s="26" t="s">
        <v>104</v>
      </c>
      <c r="T84" s="26" t="s">
        <v>281</v>
      </c>
      <c r="U84" s="26" t="s">
        <v>80</v>
      </c>
      <c r="V84" s="26" t="s">
        <v>86</v>
      </c>
      <c r="W84" s="26" t="s">
        <v>86</v>
      </c>
      <c r="X84" s="26" t="s">
        <v>86</v>
      </c>
      <c r="Y84" s="26" t="s">
        <v>78</v>
      </c>
      <c r="Z84" s="26" t="s">
        <v>78</v>
      </c>
      <c r="AA84" s="27">
        <v>0.36249999999999999</v>
      </c>
      <c r="AB84" s="27">
        <v>0</v>
      </c>
      <c r="AC84" s="27">
        <v>0</v>
      </c>
      <c r="AD84" s="27">
        <v>0.36249999999999999</v>
      </c>
      <c r="AE84" s="27">
        <v>0</v>
      </c>
      <c r="AF84" s="27">
        <v>0</v>
      </c>
      <c r="AG84" s="27">
        <v>0.36249999999999999</v>
      </c>
      <c r="AH84" s="27">
        <v>0</v>
      </c>
      <c r="AI84" s="27">
        <v>0</v>
      </c>
      <c r="AJ84" s="27">
        <v>0</v>
      </c>
      <c r="AK84" s="27">
        <v>0</v>
      </c>
      <c r="AL84" s="27">
        <v>4.1666666666666664E-2</v>
      </c>
      <c r="AM84" s="27">
        <v>0.5</v>
      </c>
      <c r="AN84" s="27">
        <v>0.90416666666666667</v>
      </c>
      <c r="AO84" s="28">
        <v>0.44700460829493088</v>
      </c>
      <c r="AP84" s="29">
        <v>0.45208333333333334</v>
      </c>
      <c r="AQ84" s="29">
        <v>0.45208333333333334</v>
      </c>
      <c r="AR84" s="30"/>
      <c r="AT84" s="31" t="s">
        <v>553</v>
      </c>
      <c r="AU84" s="31">
        <v>29</v>
      </c>
      <c r="AV84" s="31">
        <v>1</v>
      </c>
      <c r="AW84" s="31" t="s">
        <v>197</v>
      </c>
      <c r="AX84" s="31">
        <v>0</v>
      </c>
      <c r="AY84" s="32"/>
      <c r="AZ84" s="31">
        <v>3</v>
      </c>
      <c r="BA84" s="31">
        <v>1</v>
      </c>
      <c r="BB84" s="31" t="s">
        <v>331</v>
      </c>
      <c r="BC84" s="31" t="s">
        <v>554</v>
      </c>
      <c r="BD84" s="31" t="s">
        <v>555</v>
      </c>
      <c r="BE84" s="33" t="s">
        <v>333</v>
      </c>
      <c r="BF84" s="31" t="s">
        <v>148</v>
      </c>
      <c r="BG84" s="31" t="s">
        <v>156</v>
      </c>
      <c r="BH84" s="31" t="s">
        <v>156</v>
      </c>
      <c r="BI84" s="31" t="s">
        <v>156</v>
      </c>
      <c r="BK84" s="31">
        <v>0</v>
      </c>
      <c r="BL84" s="31">
        <v>0</v>
      </c>
      <c r="BM84" s="31">
        <v>0</v>
      </c>
      <c r="BN84" s="31">
        <v>0</v>
      </c>
      <c r="BO84" s="31">
        <v>0</v>
      </c>
      <c r="BQ84" s="31">
        <v>0</v>
      </c>
      <c r="BR84" s="31">
        <v>0</v>
      </c>
      <c r="BS84" s="31">
        <v>10</v>
      </c>
    </row>
    <row r="85" spans="1:71" ht="18.75" hidden="1" customHeight="1">
      <c r="A85" s="25">
        <v>11007</v>
      </c>
      <c r="B85" s="25" t="s">
        <v>556</v>
      </c>
      <c r="C85" s="25" t="s">
        <v>557</v>
      </c>
      <c r="D85" s="25" t="s">
        <v>558</v>
      </c>
      <c r="E85" s="26" t="s">
        <v>246</v>
      </c>
      <c r="F85" s="26" t="s">
        <v>72</v>
      </c>
      <c r="G85" s="26" t="s">
        <v>247</v>
      </c>
      <c r="H85" s="26" t="s">
        <v>74</v>
      </c>
      <c r="I85" s="26" t="s">
        <v>75</v>
      </c>
      <c r="J85" s="26" t="s">
        <v>76</v>
      </c>
      <c r="K85" s="26" t="s">
        <v>77</v>
      </c>
      <c r="L85" s="26" t="s">
        <v>78</v>
      </c>
      <c r="M85" s="26" t="s">
        <v>79</v>
      </c>
      <c r="N85" s="26" t="s">
        <v>101</v>
      </c>
      <c r="O85" s="26" t="s">
        <v>80</v>
      </c>
      <c r="P85" s="26" t="s">
        <v>279</v>
      </c>
      <c r="Q85" s="26" t="s">
        <v>82</v>
      </c>
      <c r="R85" s="26" t="s">
        <v>280</v>
      </c>
      <c r="S85" s="26" t="s">
        <v>104</v>
      </c>
      <c r="T85" s="26" t="s">
        <v>82</v>
      </c>
      <c r="U85" s="26" t="s">
        <v>101</v>
      </c>
      <c r="V85" s="26" t="s">
        <v>86</v>
      </c>
      <c r="W85" s="26" t="s">
        <v>86</v>
      </c>
      <c r="X85" s="26" t="s">
        <v>86</v>
      </c>
      <c r="Y85" s="26" t="s">
        <v>78</v>
      </c>
      <c r="Z85" s="26" t="s">
        <v>78</v>
      </c>
      <c r="AA85" s="27">
        <v>0.23491666666666666</v>
      </c>
      <c r="AB85" s="27">
        <v>0</v>
      </c>
      <c r="AC85" s="27">
        <v>0</v>
      </c>
      <c r="AD85" s="27">
        <v>0.23491666666666666</v>
      </c>
      <c r="AE85" s="27">
        <v>0</v>
      </c>
      <c r="AF85" s="27">
        <v>0</v>
      </c>
      <c r="AG85" s="27">
        <v>0.23491666666666666</v>
      </c>
      <c r="AH85" s="27">
        <v>0</v>
      </c>
      <c r="AI85" s="27">
        <v>0</v>
      </c>
      <c r="AJ85" s="27">
        <v>0</v>
      </c>
      <c r="AK85" s="27">
        <v>0</v>
      </c>
      <c r="AL85" s="27">
        <v>7.2916666666666657E-2</v>
      </c>
      <c r="AM85" s="27">
        <v>0</v>
      </c>
      <c r="AN85" s="27">
        <v>0.30783333333333329</v>
      </c>
      <c r="AO85" s="28">
        <v>0.95939361126150513</v>
      </c>
      <c r="AP85" s="29">
        <v>0.15391666666666665</v>
      </c>
      <c r="AQ85" s="29">
        <v>0.15391666666666665</v>
      </c>
      <c r="AR85" s="30"/>
      <c r="AT85" s="31" t="s">
        <v>559</v>
      </c>
      <c r="AU85" s="31">
        <v>18</v>
      </c>
      <c r="AV85" s="31">
        <v>2</v>
      </c>
      <c r="AW85" s="31" t="s">
        <v>197</v>
      </c>
      <c r="AX85" s="31">
        <v>1</v>
      </c>
      <c r="AY85" s="32"/>
      <c r="AZ85" s="31">
        <v>3</v>
      </c>
      <c r="BA85" s="31">
        <v>1</v>
      </c>
      <c r="BB85" s="31" t="s">
        <v>331</v>
      </c>
      <c r="BC85" s="31" t="s">
        <v>250</v>
      </c>
      <c r="BD85" s="31" t="s">
        <v>560</v>
      </c>
      <c r="BE85" s="33" t="s">
        <v>333</v>
      </c>
      <c r="BF85" s="31" t="s">
        <v>213</v>
      </c>
      <c r="BG85" s="31" t="s">
        <v>156</v>
      </c>
      <c r="BH85" s="31" t="s">
        <v>213</v>
      </c>
      <c r="BI85" s="31"/>
      <c r="BK85" s="31">
        <v>0</v>
      </c>
      <c r="BL85" s="31">
        <v>0</v>
      </c>
      <c r="BM85" s="31">
        <v>0</v>
      </c>
      <c r="BN85" s="31">
        <v>2</v>
      </c>
      <c r="BO85" s="31">
        <v>12</v>
      </c>
      <c r="BQ85" s="31">
        <v>0</v>
      </c>
      <c r="BR85" s="31">
        <v>0</v>
      </c>
      <c r="BS85" s="31">
        <v>3</v>
      </c>
    </row>
    <row r="86" spans="1:71" ht="18.75" hidden="1" customHeight="1">
      <c r="A86" s="25">
        <v>11008</v>
      </c>
      <c r="B86" s="25" t="s">
        <v>561</v>
      </c>
      <c r="C86" s="25" t="s">
        <v>562</v>
      </c>
      <c r="D86" s="25" t="s">
        <v>562</v>
      </c>
      <c r="E86" s="26" t="s">
        <v>311</v>
      </c>
      <c r="F86" s="26" t="s">
        <v>312</v>
      </c>
      <c r="G86" s="26" t="s">
        <v>369</v>
      </c>
      <c r="H86" s="26" t="s">
        <v>74</v>
      </c>
      <c r="I86" s="26" t="s">
        <v>75</v>
      </c>
      <c r="J86" s="26" t="s">
        <v>76</v>
      </c>
      <c r="K86" s="26" t="s">
        <v>77</v>
      </c>
      <c r="L86" s="26" t="s">
        <v>78</v>
      </c>
      <c r="M86" s="26" t="s">
        <v>79</v>
      </c>
      <c r="N86" s="26" t="s">
        <v>101</v>
      </c>
      <c r="O86" s="26" t="s">
        <v>80</v>
      </c>
      <c r="P86" s="26" t="s">
        <v>279</v>
      </c>
      <c r="Q86" s="26" t="s">
        <v>82</v>
      </c>
      <c r="R86" s="26" t="s">
        <v>280</v>
      </c>
      <c r="S86" s="26" t="s">
        <v>104</v>
      </c>
      <c r="T86" s="26" t="s">
        <v>82</v>
      </c>
      <c r="U86" s="26" t="s">
        <v>101</v>
      </c>
      <c r="V86" s="26" t="s">
        <v>86</v>
      </c>
      <c r="W86" s="26" t="s">
        <v>86</v>
      </c>
      <c r="X86" s="26" t="s">
        <v>86</v>
      </c>
      <c r="Y86" s="26" t="s">
        <v>78</v>
      </c>
      <c r="Z86" s="26" t="s">
        <v>78</v>
      </c>
      <c r="AA86" s="27">
        <v>0.13541666666666669</v>
      </c>
      <c r="AB86" s="27">
        <v>0</v>
      </c>
      <c r="AC86" s="27">
        <v>0</v>
      </c>
      <c r="AD86" s="27">
        <v>0.13541666666666669</v>
      </c>
      <c r="AE86" s="27">
        <v>0</v>
      </c>
      <c r="AF86" s="27">
        <v>0</v>
      </c>
      <c r="AG86" s="27">
        <v>0.13541666666666669</v>
      </c>
      <c r="AH86" s="27">
        <v>0</v>
      </c>
      <c r="AI86" s="27">
        <v>0</v>
      </c>
      <c r="AJ86" s="27">
        <v>0</v>
      </c>
      <c r="AK86" s="27">
        <v>0</v>
      </c>
      <c r="AL86" s="27">
        <v>1.6666666666666666E-2</v>
      </c>
      <c r="AM86" s="27">
        <v>0</v>
      </c>
      <c r="AN86" s="27">
        <v>0.15208333333333335</v>
      </c>
      <c r="AO86" s="28">
        <v>0.52054794520547942</v>
      </c>
      <c r="AP86" s="29">
        <v>7.6041666666666674E-2</v>
      </c>
      <c r="AQ86" s="29">
        <v>7.6041666666666674E-2</v>
      </c>
      <c r="AR86" s="30"/>
      <c r="AT86" s="52">
        <v>20000</v>
      </c>
      <c r="AU86" s="31">
        <v>15</v>
      </c>
      <c r="AV86" s="31">
        <v>8</v>
      </c>
      <c r="AW86" s="31">
        <v>2</v>
      </c>
      <c r="AX86" s="31">
        <v>5</v>
      </c>
      <c r="AY86" s="32"/>
      <c r="AZ86" s="31">
        <v>3</v>
      </c>
      <c r="BA86" s="31">
        <v>1</v>
      </c>
      <c r="BB86" s="31" t="s">
        <v>563</v>
      </c>
      <c r="BC86" s="31" t="s">
        <v>315</v>
      </c>
      <c r="BD86" s="31" t="s">
        <v>564</v>
      </c>
      <c r="BE86" s="33" t="s">
        <v>317</v>
      </c>
      <c r="BF86" s="31" t="s">
        <v>334</v>
      </c>
      <c r="BG86" s="31" t="s">
        <v>334</v>
      </c>
      <c r="BH86" s="31" t="s">
        <v>156</v>
      </c>
      <c r="BI86" s="31" t="s">
        <v>156</v>
      </c>
      <c r="BK86" s="31">
        <v>0</v>
      </c>
      <c r="BL86" s="31">
        <v>0</v>
      </c>
      <c r="BM86" s="31">
        <v>0</v>
      </c>
      <c r="BN86" s="31">
        <v>1</v>
      </c>
      <c r="BO86" s="31">
        <v>9</v>
      </c>
      <c r="BQ86" s="31">
        <v>0</v>
      </c>
      <c r="BR86" s="31">
        <v>0</v>
      </c>
      <c r="BS86" s="31">
        <v>7</v>
      </c>
    </row>
    <row r="87" spans="1:71" ht="18.75" hidden="1" customHeight="1">
      <c r="A87" s="25">
        <v>11010</v>
      </c>
      <c r="B87" s="25" t="s">
        <v>565</v>
      </c>
      <c r="C87" s="25" t="s">
        <v>566</v>
      </c>
      <c r="D87" s="25" t="s">
        <v>567</v>
      </c>
      <c r="E87" s="26" t="s">
        <v>246</v>
      </c>
      <c r="F87" s="26" t="s">
        <v>72</v>
      </c>
      <c r="G87" s="26" t="s">
        <v>247</v>
      </c>
      <c r="H87" s="26" t="s">
        <v>74</v>
      </c>
      <c r="I87" s="26" t="s">
        <v>75</v>
      </c>
      <c r="J87" s="26" t="s">
        <v>76</v>
      </c>
      <c r="K87" s="26" t="s">
        <v>77</v>
      </c>
      <c r="L87" s="26" t="s">
        <v>78</v>
      </c>
      <c r="M87" s="26" t="s">
        <v>134</v>
      </c>
      <c r="N87" s="26" t="s">
        <v>101</v>
      </c>
      <c r="O87" s="26" t="s">
        <v>80</v>
      </c>
      <c r="P87" s="26" t="s">
        <v>240</v>
      </c>
      <c r="Q87" s="26" t="s">
        <v>82</v>
      </c>
      <c r="R87" s="26" t="s">
        <v>568</v>
      </c>
      <c r="S87" s="26" t="s">
        <v>104</v>
      </c>
      <c r="T87" s="26" t="s">
        <v>281</v>
      </c>
      <c r="U87" s="26" t="s">
        <v>80</v>
      </c>
      <c r="V87" s="26" t="s">
        <v>86</v>
      </c>
      <c r="W87" s="26" t="s">
        <v>86</v>
      </c>
      <c r="X87" s="26" t="s">
        <v>86</v>
      </c>
      <c r="Y87" s="63" t="s">
        <v>86</v>
      </c>
      <c r="Z87" s="26" t="s">
        <v>78</v>
      </c>
      <c r="AA87" s="27">
        <v>1.2583333333333331</v>
      </c>
      <c r="AB87" s="27">
        <v>0</v>
      </c>
      <c r="AC87" s="27">
        <v>0</v>
      </c>
      <c r="AD87" s="27">
        <v>1.2583333333333331</v>
      </c>
      <c r="AE87" s="27">
        <v>0</v>
      </c>
      <c r="AF87" s="27">
        <v>0</v>
      </c>
      <c r="AG87" s="27">
        <v>1.2583333333333331</v>
      </c>
      <c r="AH87" s="27">
        <v>0</v>
      </c>
      <c r="AI87" s="27">
        <v>0</v>
      </c>
      <c r="AJ87" s="27">
        <v>0</v>
      </c>
      <c r="AK87" s="27">
        <v>0</v>
      </c>
      <c r="AL87" s="27">
        <v>2.9166666666666667E-2</v>
      </c>
      <c r="AM87" s="27">
        <v>0.5</v>
      </c>
      <c r="AN87" s="27">
        <v>1.7874999999999996</v>
      </c>
      <c r="AO87" s="28">
        <v>0.55710955710955723</v>
      </c>
      <c r="AP87" s="29">
        <v>0.89374999999999982</v>
      </c>
      <c r="AQ87" s="29">
        <v>0.89374999999999982</v>
      </c>
      <c r="AR87" s="30"/>
      <c r="AT87" s="38">
        <v>34000</v>
      </c>
      <c r="AU87" s="38">
        <v>14</v>
      </c>
      <c r="AV87" s="38">
        <v>102</v>
      </c>
      <c r="AW87" s="38">
        <v>0</v>
      </c>
      <c r="AX87" s="38">
        <v>4</v>
      </c>
      <c r="AY87" s="45"/>
      <c r="AZ87" s="38">
        <v>3</v>
      </c>
      <c r="BA87" s="38">
        <v>3</v>
      </c>
      <c r="BB87" s="38" t="s">
        <v>569</v>
      </c>
      <c r="BC87" s="38" t="s">
        <v>570</v>
      </c>
      <c r="BD87" s="38" t="s">
        <v>571</v>
      </c>
      <c r="BE87" s="46" t="s">
        <v>572</v>
      </c>
      <c r="BF87" s="31" t="s">
        <v>148</v>
      </c>
      <c r="BG87" s="31" t="s">
        <v>156</v>
      </c>
      <c r="BH87" s="31" t="s">
        <v>156</v>
      </c>
      <c r="BI87" s="31" t="s">
        <v>156</v>
      </c>
      <c r="BK87" s="31">
        <v>0</v>
      </c>
      <c r="BL87" s="31">
        <v>0</v>
      </c>
      <c r="BM87" s="31">
        <v>3</v>
      </c>
      <c r="BN87" s="31">
        <v>3</v>
      </c>
      <c r="BO87" s="31">
        <v>73</v>
      </c>
      <c r="BQ87" s="31">
        <v>4</v>
      </c>
      <c r="BR87" s="31">
        <v>2</v>
      </c>
      <c r="BS87" s="31">
        <v>61</v>
      </c>
    </row>
    <row r="88" spans="1:71" ht="18.75" hidden="1" customHeight="1">
      <c r="A88" s="25">
        <v>11011</v>
      </c>
      <c r="B88" s="25" t="s">
        <v>573</v>
      </c>
      <c r="C88" s="25" t="s">
        <v>574</v>
      </c>
      <c r="D88" s="25" t="s">
        <v>575</v>
      </c>
      <c r="E88" s="26" t="s">
        <v>246</v>
      </c>
      <c r="F88" s="26" t="s">
        <v>72</v>
      </c>
      <c r="G88" s="26" t="s">
        <v>247</v>
      </c>
      <c r="H88" s="26" t="s">
        <v>74</v>
      </c>
      <c r="I88" s="26" t="s">
        <v>75</v>
      </c>
      <c r="J88" s="26" t="s">
        <v>76</v>
      </c>
      <c r="K88" s="26" t="s">
        <v>77</v>
      </c>
      <c r="L88" s="26" t="s">
        <v>78</v>
      </c>
      <c r="M88" s="26" t="s">
        <v>576</v>
      </c>
      <c r="N88" s="26" t="s">
        <v>101</v>
      </c>
      <c r="O88" s="26" t="s">
        <v>80</v>
      </c>
      <c r="P88" s="26" t="s">
        <v>240</v>
      </c>
      <c r="Q88" s="26" t="s">
        <v>82</v>
      </c>
      <c r="R88" s="26" t="s">
        <v>280</v>
      </c>
      <c r="S88" s="26" t="s">
        <v>104</v>
      </c>
      <c r="T88" s="26" t="s">
        <v>82</v>
      </c>
      <c r="U88" s="26" t="s">
        <v>101</v>
      </c>
      <c r="V88" s="26" t="s">
        <v>86</v>
      </c>
      <c r="W88" s="26" t="s">
        <v>86</v>
      </c>
      <c r="X88" s="26" t="s">
        <v>86</v>
      </c>
      <c r="Y88" s="26" t="s">
        <v>78</v>
      </c>
      <c r="Z88" s="26" t="s">
        <v>78</v>
      </c>
      <c r="AA88" s="27">
        <v>6.0791666666666666</v>
      </c>
      <c r="AB88" s="27">
        <v>0</v>
      </c>
      <c r="AC88" s="27">
        <v>0</v>
      </c>
      <c r="AD88" s="27">
        <v>6.0791666666666666</v>
      </c>
      <c r="AE88" s="27">
        <v>0</v>
      </c>
      <c r="AF88" s="27">
        <v>0</v>
      </c>
      <c r="AG88" s="27">
        <v>6.0791666666666666</v>
      </c>
      <c r="AH88" s="27">
        <v>0</v>
      </c>
      <c r="AI88" s="27">
        <v>0</v>
      </c>
      <c r="AJ88" s="27">
        <v>0</v>
      </c>
      <c r="AK88" s="27">
        <v>0</v>
      </c>
      <c r="AL88" s="27">
        <v>1.0708333333333333</v>
      </c>
      <c r="AM88" s="27">
        <v>0</v>
      </c>
      <c r="AN88" s="27">
        <v>7.15</v>
      </c>
      <c r="AO88" s="28">
        <v>0.90384615384615385</v>
      </c>
      <c r="AP88" s="29">
        <v>3.5750000000000002</v>
      </c>
      <c r="AQ88" s="29">
        <v>3.5750000000000002</v>
      </c>
      <c r="AR88" s="30"/>
      <c r="AT88" s="38">
        <v>100000</v>
      </c>
      <c r="AU88" s="38">
        <v>0</v>
      </c>
      <c r="AV88" s="38">
        <v>458</v>
      </c>
      <c r="AW88" s="38">
        <v>0</v>
      </c>
      <c r="AX88" s="38">
        <v>11</v>
      </c>
      <c r="AY88" s="64" t="s">
        <v>577</v>
      </c>
      <c r="AZ88" s="38">
        <v>3</v>
      </c>
      <c r="BA88" s="38">
        <v>1</v>
      </c>
      <c r="BB88" s="38" t="s">
        <v>388</v>
      </c>
      <c r="BC88" s="38" t="s">
        <v>198</v>
      </c>
      <c r="BD88" s="38" t="s">
        <v>360</v>
      </c>
      <c r="BE88" s="46" t="s">
        <v>361</v>
      </c>
      <c r="BF88" s="31" t="s">
        <v>94</v>
      </c>
      <c r="BG88" s="31" t="s">
        <v>94</v>
      </c>
      <c r="BH88" s="31" t="s">
        <v>94</v>
      </c>
      <c r="BI88" s="31" t="s">
        <v>94</v>
      </c>
      <c r="BK88" s="31">
        <v>0</v>
      </c>
      <c r="BL88" s="31">
        <v>0</v>
      </c>
      <c r="BM88" s="31">
        <v>40</v>
      </c>
      <c r="BN88" s="31">
        <v>13</v>
      </c>
      <c r="BO88" s="31">
        <v>72</v>
      </c>
      <c r="BQ88" s="31">
        <v>31</v>
      </c>
      <c r="BR88" s="31">
        <v>18</v>
      </c>
      <c r="BS88" s="31">
        <v>166</v>
      </c>
    </row>
    <row r="89" spans="1:71" ht="18.75" hidden="1" customHeight="1">
      <c r="A89" s="25">
        <v>11012</v>
      </c>
      <c r="B89" s="25" t="s">
        <v>578</v>
      </c>
      <c r="C89" s="25" t="s">
        <v>579</v>
      </c>
      <c r="D89" s="35" t="s">
        <v>580</v>
      </c>
      <c r="E89" s="26" t="s">
        <v>217</v>
      </c>
      <c r="F89" s="26" t="s">
        <v>193</v>
      </c>
      <c r="G89" s="26" t="s">
        <v>301</v>
      </c>
      <c r="H89" s="26" t="s">
        <v>74</v>
      </c>
      <c r="I89" s="26" t="s">
        <v>75</v>
      </c>
      <c r="J89" s="26" t="s">
        <v>76</v>
      </c>
      <c r="K89" s="26" t="s">
        <v>77</v>
      </c>
      <c r="L89" s="26" t="s">
        <v>78</v>
      </c>
      <c r="M89" s="26" t="s">
        <v>100</v>
      </c>
      <c r="N89" s="26" t="s">
        <v>101</v>
      </c>
      <c r="O89" s="26" t="s">
        <v>80</v>
      </c>
      <c r="P89" s="26" t="s">
        <v>240</v>
      </c>
      <c r="Q89" s="26" t="s">
        <v>82</v>
      </c>
      <c r="R89" s="26" t="s">
        <v>280</v>
      </c>
      <c r="S89" s="26" t="s">
        <v>104</v>
      </c>
      <c r="T89" s="26" t="s">
        <v>82</v>
      </c>
      <c r="U89" s="26" t="s">
        <v>101</v>
      </c>
      <c r="V89" s="26" t="s">
        <v>86</v>
      </c>
      <c r="W89" s="26" t="s">
        <v>86</v>
      </c>
      <c r="X89" s="26" t="s">
        <v>86</v>
      </c>
      <c r="Y89" s="26" t="s">
        <v>78</v>
      </c>
      <c r="Z89" s="26" t="s">
        <v>78</v>
      </c>
      <c r="AA89" s="27">
        <v>1.6523333333333334</v>
      </c>
      <c r="AB89" s="27">
        <v>0</v>
      </c>
      <c r="AC89" s="27">
        <v>0</v>
      </c>
      <c r="AD89" s="27">
        <v>1.6523333333333334</v>
      </c>
      <c r="AE89" s="27">
        <v>0</v>
      </c>
      <c r="AF89" s="27">
        <v>0</v>
      </c>
      <c r="AG89" s="27">
        <v>1.6523333333333334</v>
      </c>
      <c r="AH89" s="27">
        <v>0</v>
      </c>
      <c r="AI89" s="27">
        <v>0</v>
      </c>
      <c r="AJ89" s="27">
        <v>0</v>
      </c>
      <c r="AK89" s="27">
        <v>0</v>
      </c>
      <c r="AL89" s="27">
        <v>0.29166666666666669</v>
      </c>
      <c r="AM89" s="27">
        <v>0</v>
      </c>
      <c r="AN89" s="27">
        <v>1.9440000000000002</v>
      </c>
      <c r="AO89" s="28">
        <v>0.83217592592592593</v>
      </c>
      <c r="AP89" s="29">
        <v>0.97200000000000009</v>
      </c>
      <c r="AQ89" s="29">
        <v>0.97200000000000009</v>
      </c>
      <c r="AR89" s="30"/>
      <c r="AT89" s="41" t="s">
        <v>581</v>
      </c>
      <c r="AU89" s="31">
        <v>19</v>
      </c>
      <c r="AV89" s="31">
        <v>17</v>
      </c>
      <c r="AW89" s="31">
        <v>0</v>
      </c>
      <c r="AX89" s="31">
        <v>37</v>
      </c>
      <c r="AY89" s="32"/>
      <c r="AZ89" s="31">
        <v>3</v>
      </c>
      <c r="BA89" s="31">
        <v>1</v>
      </c>
      <c r="BB89" s="31" t="s">
        <v>582</v>
      </c>
      <c r="BC89" s="31" t="s">
        <v>250</v>
      </c>
      <c r="BD89" s="31" t="s">
        <v>583</v>
      </c>
      <c r="BE89" s="51" t="s">
        <v>584</v>
      </c>
      <c r="BF89" s="31" t="s">
        <v>94</v>
      </c>
      <c r="BG89" s="31" t="s">
        <v>334</v>
      </c>
      <c r="BH89" s="31" t="s">
        <v>94</v>
      </c>
      <c r="BI89" s="31" t="s">
        <v>94</v>
      </c>
      <c r="BK89" s="31">
        <v>0</v>
      </c>
      <c r="BL89" s="31">
        <v>0</v>
      </c>
      <c r="BM89" s="31">
        <v>0</v>
      </c>
      <c r="BN89" s="31">
        <v>1</v>
      </c>
      <c r="BO89" s="31">
        <v>9</v>
      </c>
      <c r="BQ89" s="31">
        <v>0</v>
      </c>
      <c r="BR89" s="31">
        <v>0</v>
      </c>
      <c r="BS89" s="31">
        <v>19</v>
      </c>
    </row>
    <row r="90" spans="1:71" ht="18.75" hidden="1" customHeight="1">
      <c r="A90" s="25">
        <v>11014</v>
      </c>
      <c r="B90" s="25" t="s">
        <v>585</v>
      </c>
      <c r="C90" s="25" t="s">
        <v>586</v>
      </c>
      <c r="D90" s="25" t="s">
        <v>587</v>
      </c>
      <c r="E90" s="26" t="s">
        <v>437</v>
      </c>
      <c r="F90" s="26" t="s">
        <v>438</v>
      </c>
      <c r="G90" s="26" t="s">
        <v>438</v>
      </c>
      <c r="H90" s="26" t="s">
        <v>74</v>
      </c>
      <c r="I90" s="26" t="s">
        <v>185</v>
      </c>
      <c r="J90" s="26" t="s">
        <v>76</v>
      </c>
      <c r="K90" s="26" t="s">
        <v>77</v>
      </c>
      <c r="L90" s="26" t="s">
        <v>78</v>
      </c>
      <c r="M90" s="26" t="s">
        <v>100</v>
      </c>
      <c r="N90" s="26" t="s">
        <v>101</v>
      </c>
      <c r="O90" s="26" t="s">
        <v>80</v>
      </c>
      <c r="P90" s="26" t="s">
        <v>588</v>
      </c>
      <c r="Q90" s="26" t="s">
        <v>82</v>
      </c>
      <c r="R90" s="26" t="s">
        <v>589</v>
      </c>
      <c r="S90" s="26" t="s">
        <v>104</v>
      </c>
      <c r="T90" s="26" t="s">
        <v>82</v>
      </c>
      <c r="U90" s="26" t="s">
        <v>590</v>
      </c>
      <c r="V90" s="26" t="s">
        <v>86</v>
      </c>
      <c r="W90" s="26" t="s">
        <v>86</v>
      </c>
      <c r="X90" s="26" t="s">
        <v>86</v>
      </c>
      <c r="Y90" s="63" t="s">
        <v>86</v>
      </c>
      <c r="Z90" s="26" t="s">
        <v>86</v>
      </c>
      <c r="AA90" s="27">
        <v>29.097916666666663</v>
      </c>
      <c r="AB90" s="27">
        <v>0</v>
      </c>
      <c r="AC90" s="27">
        <v>16.369958333333333</v>
      </c>
      <c r="AD90" s="27">
        <v>12.727958333333337</v>
      </c>
      <c r="AE90" s="27">
        <v>0</v>
      </c>
      <c r="AF90" s="27">
        <v>4.0250000000000004</v>
      </c>
      <c r="AG90" s="27">
        <v>17.569999999999993</v>
      </c>
      <c r="AH90" s="27">
        <v>4.5750000000000002</v>
      </c>
      <c r="AI90" s="27">
        <v>2.9279166666666669</v>
      </c>
      <c r="AJ90" s="27">
        <v>0</v>
      </c>
      <c r="AK90" s="27">
        <v>0</v>
      </c>
      <c r="AL90" s="27">
        <v>6.8250000000000011</v>
      </c>
      <c r="AM90" s="27">
        <v>6.8500000000000005</v>
      </c>
      <c r="AN90" s="27">
        <v>42.772916666666667</v>
      </c>
      <c r="AO90" s="28">
        <v>0.88284058253372955</v>
      </c>
      <c r="AP90" s="29">
        <v>21.386458333333334</v>
      </c>
      <c r="AQ90" s="29">
        <v>21.386458333333334</v>
      </c>
      <c r="AR90" s="30"/>
      <c r="AT90" s="49">
        <f>4862177 + 90060</f>
        <v>4952237</v>
      </c>
      <c r="AU90" s="58" t="s">
        <v>197</v>
      </c>
      <c r="AV90" s="55">
        <v>26742</v>
      </c>
      <c r="AW90" s="65" t="s">
        <v>591</v>
      </c>
      <c r="AX90" s="49">
        <v>1302</v>
      </c>
      <c r="AY90" s="32"/>
      <c r="AZ90" s="31">
        <v>2</v>
      </c>
      <c r="BA90" s="31">
        <v>2</v>
      </c>
      <c r="BB90" s="31" t="s">
        <v>415</v>
      </c>
      <c r="BC90" s="31" t="s">
        <v>592</v>
      </c>
      <c r="BD90" s="31" t="s">
        <v>593</v>
      </c>
      <c r="BE90" s="33" t="s">
        <v>445</v>
      </c>
      <c r="BF90" s="31" t="s">
        <v>213</v>
      </c>
      <c r="BG90" s="31" t="s">
        <v>94</v>
      </c>
      <c r="BH90" s="31" t="s">
        <v>94</v>
      </c>
      <c r="BI90" s="31" t="s">
        <v>213</v>
      </c>
      <c r="BK90" s="31">
        <v>0</v>
      </c>
      <c r="BL90" s="31">
        <v>0</v>
      </c>
      <c r="BM90" s="31">
        <v>31</v>
      </c>
      <c r="BN90" s="31">
        <v>77</v>
      </c>
      <c r="BO90" s="31">
        <v>98</v>
      </c>
      <c r="BQ90" s="31">
        <v>36</v>
      </c>
      <c r="BR90" s="31">
        <v>82</v>
      </c>
      <c r="BS90" s="31">
        <v>644</v>
      </c>
    </row>
    <row r="91" spans="1:71" ht="18.75" hidden="1" customHeight="1">
      <c r="A91" s="25">
        <v>11203</v>
      </c>
      <c r="B91" s="25" t="s">
        <v>594</v>
      </c>
      <c r="C91" s="25" t="s">
        <v>595</v>
      </c>
      <c r="D91" s="25" t="s">
        <v>596</v>
      </c>
      <c r="E91" s="26" t="s">
        <v>337</v>
      </c>
      <c r="F91" s="26" t="s">
        <v>312</v>
      </c>
      <c r="G91" s="26" t="s">
        <v>338</v>
      </c>
      <c r="H91" s="26" t="s">
        <v>74</v>
      </c>
      <c r="I91" s="26" t="s">
        <v>75</v>
      </c>
      <c r="J91" s="26" t="s">
        <v>76</v>
      </c>
      <c r="K91" s="26" t="s">
        <v>77</v>
      </c>
      <c r="L91" s="26" t="s">
        <v>78</v>
      </c>
      <c r="M91" s="26" t="s">
        <v>79</v>
      </c>
      <c r="N91" s="26" t="s">
        <v>101</v>
      </c>
      <c r="O91" s="26" t="s">
        <v>101</v>
      </c>
      <c r="P91" s="26" t="s">
        <v>279</v>
      </c>
      <c r="Q91" s="26" t="s">
        <v>82</v>
      </c>
      <c r="R91" s="26" t="s">
        <v>597</v>
      </c>
      <c r="S91" s="26" t="s">
        <v>84</v>
      </c>
      <c r="T91" s="26" t="s">
        <v>85</v>
      </c>
      <c r="U91" s="26" t="s">
        <v>80</v>
      </c>
      <c r="V91" s="26" t="s">
        <v>86</v>
      </c>
      <c r="W91" s="26" t="s">
        <v>86</v>
      </c>
      <c r="X91" s="26" t="s">
        <v>86</v>
      </c>
      <c r="Y91" s="26" t="s">
        <v>78</v>
      </c>
      <c r="Z91" s="26" t="s">
        <v>86</v>
      </c>
      <c r="AA91" s="27">
        <v>20.833333333333332</v>
      </c>
      <c r="AB91" s="27">
        <v>0</v>
      </c>
      <c r="AC91" s="27">
        <v>13.250000000000002</v>
      </c>
      <c r="AD91" s="27">
        <v>7.583333333333333</v>
      </c>
      <c r="AE91" s="27">
        <v>0</v>
      </c>
      <c r="AF91" s="27">
        <v>4.25</v>
      </c>
      <c r="AG91" s="27">
        <v>9.5833333333333357</v>
      </c>
      <c r="AH91" s="27">
        <v>5.9999999999999991</v>
      </c>
      <c r="AI91" s="27">
        <v>1</v>
      </c>
      <c r="AJ91" s="27">
        <v>0</v>
      </c>
      <c r="AK91" s="27">
        <v>0</v>
      </c>
      <c r="AL91" s="27">
        <v>10.004166666666666</v>
      </c>
      <c r="AM91" s="27">
        <v>12.724999999999998</v>
      </c>
      <c r="AN91" s="27">
        <v>43.5625</v>
      </c>
      <c r="AO91" s="28">
        <v>0.86915351506456251</v>
      </c>
      <c r="AP91" s="29">
        <v>21.78125</v>
      </c>
      <c r="AQ91" s="29">
        <v>21.78125</v>
      </c>
      <c r="AR91" s="30" t="s">
        <v>598</v>
      </c>
      <c r="AT91" s="49" t="s">
        <v>599</v>
      </c>
      <c r="AU91" s="31">
        <v>50</v>
      </c>
      <c r="AV91" s="31">
        <v>20</v>
      </c>
      <c r="AW91" s="31">
        <v>10</v>
      </c>
      <c r="AX91" s="31">
        <v>10</v>
      </c>
      <c r="AY91" s="32"/>
      <c r="AZ91" s="31">
        <v>2</v>
      </c>
      <c r="BA91" s="31">
        <v>3</v>
      </c>
      <c r="BB91" s="41" t="s">
        <v>505</v>
      </c>
      <c r="BC91" s="37" t="s">
        <v>315</v>
      </c>
      <c r="BD91" s="37" t="s">
        <v>507</v>
      </c>
      <c r="BE91" s="37" t="s">
        <v>508</v>
      </c>
      <c r="BF91" s="31" t="s">
        <v>156</v>
      </c>
      <c r="BG91" s="31" t="s">
        <v>156</v>
      </c>
      <c r="BH91" s="31" t="s">
        <v>156</v>
      </c>
      <c r="BI91" s="31" t="s">
        <v>156</v>
      </c>
      <c r="BK91" s="31">
        <v>0</v>
      </c>
      <c r="BL91" s="31">
        <v>2</v>
      </c>
      <c r="BM91" s="31">
        <v>2</v>
      </c>
      <c r="BN91" s="31">
        <v>53</v>
      </c>
      <c r="BO91" s="31">
        <v>1368</v>
      </c>
      <c r="BQ91" s="31">
        <v>5</v>
      </c>
      <c r="BR91" s="31">
        <v>149</v>
      </c>
      <c r="BS91" s="31">
        <v>376</v>
      </c>
    </row>
    <row r="92" spans="1:71" ht="18.75" hidden="1" customHeight="1">
      <c r="A92" s="25">
        <v>11288</v>
      </c>
      <c r="B92" s="25" t="s">
        <v>600</v>
      </c>
      <c r="C92" s="25" t="s">
        <v>601</v>
      </c>
      <c r="D92" s="25" t="s">
        <v>602</v>
      </c>
      <c r="E92" s="26" t="s">
        <v>246</v>
      </c>
      <c r="F92" s="26" t="s">
        <v>72</v>
      </c>
      <c r="G92" s="26" t="s">
        <v>247</v>
      </c>
      <c r="H92" s="26" t="s">
        <v>74</v>
      </c>
      <c r="I92" s="26" t="s">
        <v>75</v>
      </c>
      <c r="J92" s="26" t="s">
        <v>76</v>
      </c>
      <c r="K92" s="26" t="s">
        <v>77</v>
      </c>
      <c r="L92" s="26" t="s">
        <v>78</v>
      </c>
      <c r="M92" s="26" t="s">
        <v>576</v>
      </c>
      <c r="N92" s="26" t="s">
        <v>101</v>
      </c>
      <c r="O92" s="26" t="s">
        <v>80</v>
      </c>
      <c r="P92" s="26" t="s">
        <v>206</v>
      </c>
      <c r="Q92" s="26" t="s">
        <v>82</v>
      </c>
      <c r="R92" s="26" t="s">
        <v>232</v>
      </c>
      <c r="S92" s="26" t="s">
        <v>104</v>
      </c>
      <c r="T92" s="26" t="s">
        <v>82</v>
      </c>
      <c r="U92" s="26" t="s">
        <v>101</v>
      </c>
      <c r="V92" s="26" t="s">
        <v>86</v>
      </c>
      <c r="W92" s="26" t="s">
        <v>86</v>
      </c>
      <c r="X92" s="26" t="s">
        <v>86</v>
      </c>
      <c r="Y92" s="26" t="s">
        <v>78</v>
      </c>
      <c r="Z92" s="26" t="s">
        <v>78</v>
      </c>
      <c r="AA92" s="27">
        <v>9.166666666666666E-2</v>
      </c>
      <c r="AB92" s="27">
        <v>0</v>
      </c>
      <c r="AC92" s="27">
        <v>0</v>
      </c>
      <c r="AD92" s="27">
        <v>9.166666666666666E-2</v>
      </c>
      <c r="AE92" s="27">
        <v>0</v>
      </c>
      <c r="AF92" s="27">
        <v>0</v>
      </c>
      <c r="AG92" s="27">
        <v>9.166666666666666E-2</v>
      </c>
      <c r="AH92" s="27">
        <v>0</v>
      </c>
      <c r="AI92" s="27">
        <v>0</v>
      </c>
      <c r="AJ92" s="27">
        <v>0</v>
      </c>
      <c r="AK92" s="27">
        <v>0</v>
      </c>
      <c r="AL92" s="27">
        <v>0</v>
      </c>
      <c r="AM92" s="27">
        <v>0</v>
      </c>
      <c r="AN92" s="27">
        <v>9.166666666666666E-2</v>
      </c>
      <c r="AO92" s="28">
        <v>0.27272727272727271</v>
      </c>
      <c r="AP92" s="29">
        <v>4.583333333333333E-2</v>
      </c>
      <c r="AQ92" s="29">
        <v>4.583333333333333E-2</v>
      </c>
      <c r="AR92" s="30"/>
      <c r="AT92" s="38">
        <v>130000</v>
      </c>
      <c r="AU92" s="38">
        <v>131</v>
      </c>
      <c r="AV92" s="38">
        <v>7</v>
      </c>
      <c r="AW92" s="38">
        <v>0</v>
      </c>
      <c r="AX92" s="38">
        <v>0</v>
      </c>
      <c r="AY92" s="45"/>
      <c r="AZ92" s="38">
        <v>3</v>
      </c>
      <c r="BA92" s="38">
        <v>1</v>
      </c>
      <c r="BB92" s="38" t="s">
        <v>603</v>
      </c>
      <c r="BC92" s="38" t="s">
        <v>290</v>
      </c>
      <c r="BD92" s="38" t="s">
        <v>389</v>
      </c>
      <c r="BE92" s="46" t="s">
        <v>604</v>
      </c>
      <c r="BF92" s="31" t="s">
        <v>156</v>
      </c>
      <c r="BG92" s="31" t="s">
        <v>156</v>
      </c>
      <c r="BH92" s="31" t="s">
        <v>156</v>
      </c>
      <c r="BI92" s="31" t="s">
        <v>156</v>
      </c>
      <c r="BK92" s="31">
        <v>0</v>
      </c>
      <c r="BL92" s="31">
        <v>0</v>
      </c>
      <c r="BM92" s="31">
        <v>0</v>
      </c>
      <c r="BN92" s="31">
        <v>0</v>
      </c>
      <c r="BO92" s="31">
        <v>0</v>
      </c>
      <c r="BQ92" s="31">
        <v>0</v>
      </c>
      <c r="BR92" s="31">
        <v>0</v>
      </c>
      <c r="BS92" s="31">
        <v>12</v>
      </c>
    </row>
    <row r="93" spans="1:71" ht="18.75" hidden="1" customHeight="1">
      <c r="A93" s="25">
        <v>11308</v>
      </c>
      <c r="B93" s="25" t="s">
        <v>605</v>
      </c>
      <c r="C93" s="25" t="s">
        <v>606</v>
      </c>
      <c r="D93" s="25" t="s">
        <v>607</v>
      </c>
      <c r="E93" s="26" t="s">
        <v>246</v>
      </c>
      <c r="F93" s="26" t="s">
        <v>72</v>
      </c>
      <c r="G93" s="26" t="s">
        <v>247</v>
      </c>
      <c r="H93" s="26" t="s">
        <v>74</v>
      </c>
      <c r="I93" s="26" t="s">
        <v>75</v>
      </c>
      <c r="J93" s="26" t="s">
        <v>76</v>
      </c>
      <c r="K93" s="26" t="s">
        <v>77</v>
      </c>
      <c r="L93" s="26" t="s">
        <v>78</v>
      </c>
      <c r="M93" s="26" t="s">
        <v>134</v>
      </c>
      <c r="N93" s="26" t="s">
        <v>101</v>
      </c>
      <c r="O93" s="26" t="s">
        <v>80</v>
      </c>
      <c r="P93" s="26" t="s">
        <v>240</v>
      </c>
      <c r="Q93" s="26" t="s">
        <v>82</v>
      </c>
      <c r="R93" s="26" t="s">
        <v>280</v>
      </c>
      <c r="S93" s="26" t="s">
        <v>104</v>
      </c>
      <c r="T93" s="26" t="s">
        <v>82</v>
      </c>
      <c r="U93" s="26" t="s">
        <v>101</v>
      </c>
      <c r="V93" s="26" t="s">
        <v>86</v>
      </c>
      <c r="W93" s="26" t="s">
        <v>86</v>
      </c>
      <c r="X93" s="26" t="s">
        <v>86</v>
      </c>
      <c r="Y93" s="26" t="s">
        <v>78</v>
      </c>
      <c r="Z93" s="26" t="s">
        <v>78</v>
      </c>
      <c r="AA93" s="27">
        <v>0.48124999999999996</v>
      </c>
      <c r="AB93" s="27">
        <v>0</v>
      </c>
      <c r="AC93" s="27">
        <v>0</v>
      </c>
      <c r="AD93" s="27">
        <v>0.48124999999999996</v>
      </c>
      <c r="AE93" s="27">
        <v>0</v>
      </c>
      <c r="AF93" s="27">
        <v>0</v>
      </c>
      <c r="AG93" s="27">
        <v>0.48124999999999996</v>
      </c>
      <c r="AH93" s="27">
        <v>0</v>
      </c>
      <c r="AI93" s="27">
        <v>0</v>
      </c>
      <c r="AJ93" s="27">
        <v>0</v>
      </c>
      <c r="AK93" s="27">
        <v>0</v>
      </c>
      <c r="AL93" s="27">
        <v>6.25E-2</v>
      </c>
      <c r="AM93" s="27">
        <v>0</v>
      </c>
      <c r="AN93" s="27">
        <v>0.54374999999999996</v>
      </c>
      <c r="AO93" s="28">
        <v>0.37931034482758624</v>
      </c>
      <c r="AP93" s="29">
        <v>0.27187499999999998</v>
      </c>
      <c r="AQ93" s="29">
        <v>0.27187499999999998</v>
      </c>
      <c r="AR93" s="30"/>
      <c r="AT93" s="55">
        <v>219357</v>
      </c>
      <c r="AU93" s="31">
        <v>16</v>
      </c>
      <c r="AV93" s="31">
        <v>0</v>
      </c>
      <c r="AW93" s="31">
        <v>0</v>
      </c>
      <c r="AX93" s="31">
        <v>0</v>
      </c>
      <c r="AY93" s="32"/>
      <c r="AZ93" s="31">
        <v>3</v>
      </c>
      <c r="BA93" s="31">
        <v>1</v>
      </c>
      <c r="BB93" s="31" t="s">
        <v>492</v>
      </c>
      <c r="BC93" s="31" t="s">
        <v>493</v>
      </c>
      <c r="BD93" s="31" t="s">
        <v>608</v>
      </c>
      <c r="BE93" s="33" t="s">
        <v>464</v>
      </c>
      <c r="BF93" s="31" t="s">
        <v>156</v>
      </c>
      <c r="BG93" s="31" t="s">
        <v>156</v>
      </c>
      <c r="BH93" s="31" t="s">
        <v>156</v>
      </c>
      <c r="BI93" s="31" t="s">
        <v>156</v>
      </c>
      <c r="BK93" s="31">
        <v>0</v>
      </c>
      <c r="BL93" s="31">
        <v>0</v>
      </c>
      <c r="BM93" s="31">
        <v>0</v>
      </c>
      <c r="BN93" s="31">
        <v>0</v>
      </c>
      <c r="BO93" s="31">
        <v>0</v>
      </c>
      <c r="BQ93" s="31">
        <v>0</v>
      </c>
      <c r="BR93" s="31">
        <v>6</v>
      </c>
      <c r="BS93" s="31">
        <v>15</v>
      </c>
    </row>
    <row r="94" spans="1:71" ht="25.5">
      <c r="A94" s="25">
        <v>11604</v>
      </c>
      <c r="B94" s="25" t="s">
        <v>609</v>
      </c>
      <c r="C94" s="25" t="s">
        <v>610</v>
      </c>
      <c r="D94" s="25" t="s">
        <v>611</v>
      </c>
      <c r="E94" s="26" t="s">
        <v>204</v>
      </c>
      <c r="F94" s="26" t="s">
        <v>193</v>
      </c>
      <c r="G94" s="26" t="s">
        <v>205</v>
      </c>
      <c r="H94" s="26" t="s">
        <v>74</v>
      </c>
      <c r="I94" s="26" t="s">
        <v>185</v>
      </c>
      <c r="J94" s="26" t="s">
        <v>76</v>
      </c>
      <c r="K94" s="26" t="s">
        <v>77</v>
      </c>
      <c r="L94" s="26" t="s">
        <v>78</v>
      </c>
      <c r="M94" s="26" t="s">
        <v>100</v>
      </c>
      <c r="N94" s="26" t="s">
        <v>101</v>
      </c>
      <c r="O94" s="26" t="s">
        <v>80</v>
      </c>
      <c r="P94" s="26" t="s">
        <v>206</v>
      </c>
      <c r="Q94" s="26" t="s">
        <v>82</v>
      </c>
      <c r="R94" s="26" t="s">
        <v>612</v>
      </c>
      <c r="S94" s="26" t="s">
        <v>84</v>
      </c>
      <c r="T94" s="26" t="s">
        <v>82</v>
      </c>
      <c r="U94" s="26" t="s">
        <v>101</v>
      </c>
      <c r="V94" s="26" t="s">
        <v>86</v>
      </c>
      <c r="W94" s="26" t="s">
        <v>86</v>
      </c>
      <c r="X94" s="26" t="s">
        <v>86</v>
      </c>
      <c r="Y94" s="26" t="s">
        <v>78</v>
      </c>
      <c r="Z94" s="26" t="s">
        <v>78</v>
      </c>
      <c r="AA94" s="27">
        <v>5.6624583333333343</v>
      </c>
      <c r="AB94" s="27">
        <v>0</v>
      </c>
      <c r="AC94" s="27">
        <v>0</v>
      </c>
      <c r="AD94" s="27">
        <v>5.6624583333333343</v>
      </c>
      <c r="AE94" s="27">
        <v>0</v>
      </c>
      <c r="AF94" s="27">
        <v>0</v>
      </c>
      <c r="AG94" s="27">
        <v>5.6624583333333343</v>
      </c>
      <c r="AH94" s="27">
        <v>0</v>
      </c>
      <c r="AI94" s="27">
        <v>0</v>
      </c>
      <c r="AJ94" s="27">
        <v>0</v>
      </c>
      <c r="AK94" s="27">
        <v>0</v>
      </c>
      <c r="AL94" s="27">
        <v>4.0750000000000002</v>
      </c>
      <c r="AM94" s="27">
        <v>0</v>
      </c>
      <c r="AN94" s="27">
        <v>9.7374583333333344</v>
      </c>
      <c r="AO94" s="28">
        <v>0.89730379676421379</v>
      </c>
      <c r="AP94" s="29">
        <v>4.8687291666666672</v>
      </c>
      <c r="AQ94" s="29">
        <v>4.8687291666666672</v>
      </c>
      <c r="AR94" s="30" t="s">
        <v>613</v>
      </c>
      <c r="AT94" s="31" t="s">
        <v>614</v>
      </c>
      <c r="AU94" s="31" t="s">
        <v>614</v>
      </c>
      <c r="AV94" s="31">
        <v>44</v>
      </c>
      <c r="AW94" s="31" t="s">
        <v>614</v>
      </c>
      <c r="AX94" s="31">
        <v>350</v>
      </c>
      <c r="AY94" s="32"/>
      <c r="AZ94" s="31">
        <v>3</v>
      </c>
      <c r="BA94" s="31">
        <v>1</v>
      </c>
      <c r="BB94" s="31" t="s">
        <v>197</v>
      </c>
      <c r="BC94" s="31" t="s">
        <v>322</v>
      </c>
      <c r="BD94" s="31" t="s">
        <v>615</v>
      </c>
      <c r="BE94" s="33" t="s">
        <v>616</v>
      </c>
      <c r="BF94" s="31" t="s">
        <v>156</v>
      </c>
      <c r="BG94" s="31" t="s">
        <v>156</v>
      </c>
      <c r="BH94" s="31" t="s">
        <v>156</v>
      </c>
      <c r="BI94" s="31" t="s">
        <v>156</v>
      </c>
      <c r="BK94" s="31">
        <v>0</v>
      </c>
      <c r="BL94" s="31">
        <v>0</v>
      </c>
      <c r="BM94" s="31">
        <v>6</v>
      </c>
      <c r="BN94" s="31">
        <v>10</v>
      </c>
      <c r="BO94" s="31">
        <v>131</v>
      </c>
      <c r="BQ94" s="31">
        <v>3</v>
      </c>
      <c r="BR94" s="31">
        <v>107</v>
      </c>
      <c r="BS94" s="31">
        <v>144</v>
      </c>
    </row>
    <row r="95" spans="1:71" ht="18.649999999999999" customHeight="1">
      <c r="A95" s="25">
        <v>11893</v>
      </c>
      <c r="B95" s="25" t="s">
        <v>617</v>
      </c>
      <c r="C95" s="25" t="s">
        <v>618</v>
      </c>
      <c r="D95" s="25" t="s">
        <v>619</v>
      </c>
      <c r="E95" s="26" t="s">
        <v>204</v>
      </c>
      <c r="F95" s="26" t="s">
        <v>193</v>
      </c>
      <c r="G95" s="26" t="s">
        <v>205</v>
      </c>
      <c r="H95" s="26" t="s">
        <v>74</v>
      </c>
      <c r="I95" s="26" t="s">
        <v>75</v>
      </c>
      <c r="J95" s="26" t="s">
        <v>76</v>
      </c>
      <c r="K95" s="26" t="s">
        <v>77</v>
      </c>
      <c r="L95" s="26" t="s">
        <v>78</v>
      </c>
      <c r="M95" s="26" t="s">
        <v>100</v>
      </c>
      <c r="N95" s="26" t="s">
        <v>101</v>
      </c>
      <c r="O95" s="26" t="s">
        <v>80</v>
      </c>
      <c r="P95" s="26" t="s">
        <v>240</v>
      </c>
      <c r="Q95" s="26" t="s">
        <v>82</v>
      </c>
      <c r="R95" s="26" t="s">
        <v>280</v>
      </c>
      <c r="S95" s="26" t="s">
        <v>104</v>
      </c>
      <c r="T95" s="26" t="s">
        <v>281</v>
      </c>
      <c r="U95" s="26" t="s">
        <v>80</v>
      </c>
      <c r="V95" s="26" t="s">
        <v>86</v>
      </c>
      <c r="W95" s="26" t="s">
        <v>86</v>
      </c>
      <c r="X95" s="26" t="s">
        <v>86</v>
      </c>
      <c r="Y95" s="26" t="s">
        <v>78</v>
      </c>
      <c r="Z95" s="26" t="s">
        <v>78</v>
      </c>
      <c r="AA95" s="40">
        <v>0.25416666666666671</v>
      </c>
      <c r="AB95" s="40">
        <v>0</v>
      </c>
      <c r="AC95" s="40">
        <v>0</v>
      </c>
      <c r="AD95" s="40">
        <v>0.25416666666666671</v>
      </c>
      <c r="AE95" s="40">
        <v>0</v>
      </c>
      <c r="AF95" s="40">
        <v>0</v>
      </c>
      <c r="AG95" s="40">
        <v>0.25416666666666671</v>
      </c>
      <c r="AH95" s="40">
        <v>0</v>
      </c>
      <c r="AI95" s="40">
        <v>0</v>
      </c>
      <c r="AJ95" s="40">
        <v>0</v>
      </c>
      <c r="AK95" s="40">
        <v>0</v>
      </c>
      <c r="AL95" s="40">
        <v>9.9999999999999992E-2</v>
      </c>
      <c r="AM95" s="40">
        <v>0</v>
      </c>
      <c r="AN95" s="27">
        <f>AA95+AL95+AM95</f>
        <v>0.35416666666666669</v>
      </c>
      <c r="AO95" s="28">
        <v>0.56470588235294117</v>
      </c>
      <c r="AP95" s="29">
        <v>0.17708333333333334</v>
      </c>
      <c r="AQ95" s="29">
        <v>0.17708333333333334</v>
      </c>
      <c r="AR95" s="30"/>
      <c r="AT95" s="38">
        <v>22000</v>
      </c>
      <c r="AU95" s="37">
        <v>2</v>
      </c>
      <c r="AV95" s="37">
        <v>7</v>
      </c>
      <c r="AW95" s="37">
        <v>7</v>
      </c>
      <c r="AX95" s="37">
        <v>11</v>
      </c>
      <c r="AY95" s="50" t="s">
        <v>82</v>
      </c>
      <c r="AZ95" s="37">
        <v>3</v>
      </c>
      <c r="BA95" s="37">
        <v>1</v>
      </c>
      <c r="BB95" s="37" t="s">
        <v>582</v>
      </c>
      <c r="BC95" s="37" t="s">
        <v>620</v>
      </c>
      <c r="BD95" s="37" t="s">
        <v>621</v>
      </c>
      <c r="BE95" s="37" t="s">
        <v>622</v>
      </c>
      <c r="BF95" s="31" t="s">
        <v>156</v>
      </c>
      <c r="BG95" s="31" t="s">
        <v>156</v>
      </c>
      <c r="BH95" s="31" t="s">
        <v>156</v>
      </c>
      <c r="BI95" s="31" t="s">
        <v>156</v>
      </c>
      <c r="BK95" s="31">
        <v>0</v>
      </c>
      <c r="BL95" s="31">
        <v>0</v>
      </c>
      <c r="BM95" s="31">
        <v>1</v>
      </c>
      <c r="BN95" s="31">
        <v>2</v>
      </c>
      <c r="BO95" s="31">
        <v>1</v>
      </c>
      <c r="BQ95" s="31">
        <v>1</v>
      </c>
      <c r="BR95" s="31">
        <v>0</v>
      </c>
      <c r="BS95" s="31">
        <v>50</v>
      </c>
    </row>
    <row r="96" spans="1:71" ht="18.75" hidden="1" customHeight="1">
      <c r="A96" s="25">
        <v>11986</v>
      </c>
      <c r="B96" s="25" t="s">
        <v>623</v>
      </c>
      <c r="C96" s="66" t="s">
        <v>624</v>
      </c>
      <c r="D96" s="25" t="s">
        <v>625</v>
      </c>
      <c r="E96" s="26" t="s">
        <v>337</v>
      </c>
      <c r="F96" s="26" t="s">
        <v>312</v>
      </c>
      <c r="G96" s="26" t="s">
        <v>402</v>
      </c>
      <c r="H96" s="26" t="s">
        <v>74</v>
      </c>
      <c r="I96" s="26" t="s">
        <v>185</v>
      </c>
      <c r="J96" s="26" t="s">
        <v>76</v>
      </c>
      <c r="K96" s="26" t="s">
        <v>77</v>
      </c>
      <c r="L96" s="26" t="s">
        <v>78</v>
      </c>
      <c r="M96" s="26" t="s">
        <v>79</v>
      </c>
      <c r="N96" s="26" t="s">
        <v>101</v>
      </c>
      <c r="O96" s="26" t="s">
        <v>80</v>
      </c>
      <c r="P96" s="26" t="s">
        <v>279</v>
      </c>
      <c r="Q96" s="26" t="s">
        <v>82</v>
      </c>
      <c r="R96" s="26" t="s">
        <v>280</v>
      </c>
      <c r="S96" s="26" t="s">
        <v>104</v>
      </c>
      <c r="T96" s="26" t="s">
        <v>626</v>
      </c>
      <c r="U96" s="26" t="s">
        <v>80</v>
      </c>
      <c r="V96" s="26" t="s">
        <v>86</v>
      </c>
      <c r="W96" s="26" t="s">
        <v>86</v>
      </c>
      <c r="X96" s="26" t="s">
        <v>86</v>
      </c>
      <c r="Y96" s="26" t="s">
        <v>78</v>
      </c>
      <c r="Z96" s="26" t="s">
        <v>78</v>
      </c>
      <c r="AA96" s="27">
        <v>31.687499999999982</v>
      </c>
      <c r="AB96" s="27">
        <v>0</v>
      </c>
      <c r="AC96" s="27">
        <v>12.687500000000002</v>
      </c>
      <c r="AD96" s="27">
        <v>19</v>
      </c>
      <c r="AE96" s="27">
        <v>0</v>
      </c>
      <c r="AF96" s="27">
        <v>7.0833333333333321</v>
      </c>
      <c r="AG96" s="27">
        <v>18.604166666666664</v>
      </c>
      <c r="AH96" s="27">
        <v>5.9999999999999991</v>
      </c>
      <c r="AI96" s="27">
        <v>0</v>
      </c>
      <c r="AJ96" s="27">
        <v>0</v>
      </c>
      <c r="AK96" s="27">
        <v>0</v>
      </c>
      <c r="AL96" s="27">
        <v>11.4</v>
      </c>
      <c r="AM96" s="27">
        <v>5.5791666666666657</v>
      </c>
      <c r="AN96" s="27">
        <f>AA96+AL96+AM96</f>
        <v>48.66666666666665</v>
      </c>
      <c r="AO96" s="28">
        <v>1</v>
      </c>
      <c r="AP96" s="29">
        <f>AN96/2</f>
        <v>24.333333333333325</v>
      </c>
      <c r="AQ96" s="29">
        <f>AN96/2</f>
        <v>24.333333333333325</v>
      </c>
      <c r="AR96" s="30"/>
      <c r="AT96" s="49">
        <v>12193535</v>
      </c>
      <c r="AU96" s="31">
        <v>0</v>
      </c>
      <c r="AV96" s="31">
        <v>0</v>
      </c>
      <c r="AW96" s="31">
        <v>4</v>
      </c>
      <c r="AX96" s="31">
        <v>4</v>
      </c>
      <c r="AY96" s="32"/>
      <c r="AZ96" s="31">
        <v>2</v>
      </c>
      <c r="BA96" s="31">
        <v>1</v>
      </c>
      <c r="BB96" s="31" t="s">
        <v>339</v>
      </c>
      <c r="BC96" s="31"/>
      <c r="BD96" s="31" t="s">
        <v>627</v>
      </c>
      <c r="BE96" s="33" t="s">
        <v>628</v>
      </c>
      <c r="BF96" s="31" t="s">
        <v>148</v>
      </c>
      <c r="BG96" s="31" t="s">
        <v>94</v>
      </c>
      <c r="BH96" s="31" t="s">
        <v>94</v>
      </c>
      <c r="BI96" s="31" t="s">
        <v>94</v>
      </c>
      <c r="BK96" s="31">
        <v>0</v>
      </c>
      <c r="BL96" s="31">
        <v>0</v>
      </c>
      <c r="BM96" s="31">
        <v>4</v>
      </c>
      <c r="BN96" s="31">
        <v>5</v>
      </c>
      <c r="BO96" s="31">
        <v>20</v>
      </c>
      <c r="BQ96" s="31">
        <v>2</v>
      </c>
      <c r="BR96" s="31">
        <v>4</v>
      </c>
      <c r="BS96" s="31">
        <v>96</v>
      </c>
    </row>
    <row r="97" spans="1:71" ht="18.75" hidden="1" customHeight="1">
      <c r="A97" s="25">
        <v>12021</v>
      </c>
      <c r="B97" s="25" t="s">
        <v>629</v>
      </c>
      <c r="C97" s="25" t="s">
        <v>630</v>
      </c>
      <c r="D97" s="25" t="s">
        <v>631</v>
      </c>
      <c r="E97" s="26" t="s">
        <v>311</v>
      </c>
      <c r="F97" s="26" t="s">
        <v>312</v>
      </c>
      <c r="G97" s="26" t="s">
        <v>369</v>
      </c>
      <c r="H97" s="26" t="s">
        <v>632</v>
      </c>
      <c r="I97" s="26" t="s">
        <v>75</v>
      </c>
      <c r="J97" s="26" t="s">
        <v>76</v>
      </c>
      <c r="K97" s="26" t="s">
        <v>633</v>
      </c>
      <c r="L97" s="26" t="s">
        <v>78</v>
      </c>
      <c r="M97" s="26" t="s">
        <v>79</v>
      </c>
      <c r="N97" s="26" t="s">
        <v>101</v>
      </c>
      <c r="O97" s="26" t="s">
        <v>80</v>
      </c>
      <c r="P97" s="26" t="s">
        <v>279</v>
      </c>
      <c r="Q97" s="26" t="s">
        <v>82</v>
      </c>
      <c r="R97" s="26" t="s">
        <v>634</v>
      </c>
      <c r="S97" s="26" t="s">
        <v>84</v>
      </c>
      <c r="T97" s="26" t="s">
        <v>82</v>
      </c>
      <c r="U97" s="26" t="s">
        <v>101</v>
      </c>
      <c r="V97" s="26" t="s">
        <v>86</v>
      </c>
      <c r="W97" s="26" t="s">
        <v>86</v>
      </c>
      <c r="X97" s="26" t="s">
        <v>86</v>
      </c>
      <c r="Y97" s="26" t="s">
        <v>78</v>
      </c>
      <c r="Z97" s="26" t="s">
        <v>78</v>
      </c>
      <c r="AA97" s="27"/>
      <c r="AB97" s="27"/>
      <c r="AC97" s="27"/>
      <c r="AD97" s="27"/>
      <c r="AE97" s="27"/>
      <c r="AF97" s="27"/>
      <c r="AG97" s="27"/>
      <c r="AH97" s="27"/>
      <c r="AI97" s="27"/>
      <c r="AJ97" s="27"/>
      <c r="AK97" s="27"/>
      <c r="AL97" s="27"/>
      <c r="AM97" s="27"/>
      <c r="AN97" s="27"/>
      <c r="AO97" s="28"/>
      <c r="AP97" s="29" t="s">
        <v>82</v>
      </c>
      <c r="AQ97" s="29" t="s">
        <v>82</v>
      </c>
      <c r="AR97" s="30" t="s">
        <v>635</v>
      </c>
      <c r="AT97" s="31" t="s">
        <v>636</v>
      </c>
      <c r="AU97" s="31">
        <v>25</v>
      </c>
      <c r="AV97" s="31">
        <v>3</v>
      </c>
      <c r="AW97" s="31">
        <v>2</v>
      </c>
      <c r="AX97" s="31">
        <v>3</v>
      </c>
      <c r="AY97" s="32"/>
      <c r="AZ97" s="31">
        <v>3</v>
      </c>
      <c r="BA97" s="31">
        <v>1</v>
      </c>
      <c r="BB97" s="31" t="s">
        <v>637</v>
      </c>
      <c r="BC97" s="31" t="s">
        <v>315</v>
      </c>
      <c r="BD97" s="31" t="s">
        <v>638</v>
      </c>
      <c r="BE97" s="33" t="s">
        <v>317</v>
      </c>
      <c r="BF97" s="31" t="s">
        <v>156</v>
      </c>
      <c r="BG97" s="31" t="s">
        <v>156</v>
      </c>
      <c r="BH97" s="31" t="s">
        <v>156</v>
      </c>
      <c r="BI97" s="31" t="s">
        <v>156</v>
      </c>
      <c r="BK97" s="31">
        <v>0</v>
      </c>
      <c r="BL97" s="31">
        <v>0</v>
      </c>
      <c r="BM97" s="31">
        <v>0</v>
      </c>
      <c r="BN97" s="31">
        <v>0</v>
      </c>
      <c r="BO97" s="31">
        <v>1</v>
      </c>
      <c r="BQ97" s="31">
        <v>0</v>
      </c>
      <c r="BR97" s="31">
        <v>1</v>
      </c>
      <c r="BS97" s="31">
        <v>10</v>
      </c>
    </row>
    <row r="98" spans="1:71" ht="18.75" hidden="1" customHeight="1">
      <c r="A98" s="25">
        <v>12030</v>
      </c>
      <c r="B98" s="25" t="s">
        <v>639</v>
      </c>
      <c r="C98" s="25" t="s">
        <v>640</v>
      </c>
      <c r="D98" s="25" t="s">
        <v>641</v>
      </c>
      <c r="E98" s="26" t="s">
        <v>311</v>
      </c>
      <c r="F98" s="26" t="s">
        <v>312</v>
      </c>
      <c r="G98" s="26" t="s">
        <v>369</v>
      </c>
      <c r="H98" s="26" t="s">
        <v>632</v>
      </c>
      <c r="I98" s="26" t="s">
        <v>75</v>
      </c>
      <c r="J98" s="26" t="s">
        <v>76</v>
      </c>
      <c r="K98" s="26" t="s">
        <v>633</v>
      </c>
      <c r="L98" s="26" t="s">
        <v>78</v>
      </c>
      <c r="M98" s="26" t="s">
        <v>79</v>
      </c>
      <c r="N98" s="26" t="s">
        <v>101</v>
      </c>
      <c r="O98" s="26" t="s">
        <v>80</v>
      </c>
      <c r="P98" s="26" t="s">
        <v>279</v>
      </c>
      <c r="Q98" s="26" t="s">
        <v>82</v>
      </c>
      <c r="R98" s="26" t="s">
        <v>280</v>
      </c>
      <c r="S98" s="26" t="s">
        <v>84</v>
      </c>
      <c r="T98" s="26" t="s">
        <v>82</v>
      </c>
      <c r="U98" s="26" t="s">
        <v>101</v>
      </c>
      <c r="V98" s="26" t="s">
        <v>86</v>
      </c>
      <c r="W98" s="26" t="s">
        <v>86</v>
      </c>
      <c r="X98" s="26" t="s">
        <v>86</v>
      </c>
      <c r="Y98" s="26" t="s">
        <v>78</v>
      </c>
      <c r="Z98" s="26" t="s">
        <v>78</v>
      </c>
      <c r="AA98" s="27"/>
      <c r="AB98" s="27"/>
      <c r="AC98" s="27"/>
      <c r="AD98" s="27"/>
      <c r="AE98" s="27"/>
      <c r="AF98" s="27"/>
      <c r="AG98" s="27"/>
      <c r="AH98" s="27"/>
      <c r="AI98" s="27"/>
      <c r="AJ98" s="27"/>
      <c r="AK98" s="27"/>
      <c r="AL98" s="27"/>
      <c r="AM98" s="27"/>
      <c r="AN98" s="27"/>
      <c r="AO98" s="28"/>
      <c r="AP98" s="29" t="s">
        <v>82</v>
      </c>
      <c r="AQ98" s="29" t="s">
        <v>82</v>
      </c>
      <c r="AR98" s="30" t="s">
        <v>635</v>
      </c>
      <c r="AT98" s="31" t="s">
        <v>636</v>
      </c>
      <c r="AU98" s="31">
        <v>20</v>
      </c>
      <c r="AV98" s="31">
        <v>2</v>
      </c>
      <c r="AW98" s="31">
        <v>2</v>
      </c>
      <c r="AX98" s="31">
        <v>3</v>
      </c>
      <c r="AY98" s="32"/>
      <c r="AZ98" s="31">
        <v>3</v>
      </c>
      <c r="BA98" s="31">
        <v>1</v>
      </c>
      <c r="BB98" s="31" t="s">
        <v>642</v>
      </c>
      <c r="BC98" s="31" t="s">
        <v>315</v>
      </c>
      <c r="BD98" s="31" t="s">
        <v>316</v>
      </c>
      <c r="BE98" s="33" t="s">
        <v>317</v>
      </c>
      <c r="BF98" s="31" t="s">
        <v>156</v>
      </c>
      <c r="BG98" s="31" t="s">
        <v>156</v>
      </c>
      <c r="BH98" s="31" t="s">
        <v>156</v>
      </c>
      <c r="BI98" s="31" t="s">
        <v>156</v>
      </c>
      <c r="BK98" s="31">
        <v>0</v>
      </c>
      <c r="BL98" s="31">
        <v>0</v>
      </c>
      <c r="BM98" s="31">
        <v>0</v>
      </c>
      <c r="BN98" s="31">
        <v>0</v>
      </c>
      <c r="BO98" s="31">
        <v>0</v>
      </c>
      <c r="BQ98" s="31">
        <v>0</v>
      </c>
      <c r="BR98" s="31">
        <v>0</v>
      </c>
      <c r="BS98" s="31">
        <v>5</v>
      </c>
    </row>
    <row r="99" spans="1:71" ht="18.75" hidden="1" customHeight="1">
      <c r="A99" s="25">
        <v>12038</v>
      </c>
      <c r="B99" s="25" t="s">
        <v>643</v>
      </c>
      <c r="C99" s="25" t="s">
        <v>644</v>
      </c>
      <c r="D99" s="25" t="s">
        <v>645</v>
      </c>
      <c r="E99" s="26" t="s">
        <v>379</v>
      </c>
      <c r="F99" s="26" t="s">
        <v>380</v>
      </c>
      <c r="G99" s="26" t="s">
        <v>380</v>
      </c>
      <c r="H99" s="26" t="s">
        <v>74</v>
      </c>
      <c r="I99" s="26" t="s">
        <v>185</v>
      </c>
      <c r="J99" s="26" t="s">
        <v>76</v>
      </c>
      <c r="K99" s="26" t="s">
        <v>77</v>
      </c>
      <c r="L99" s="26" t="s">
        <v>78</v>
      </c>
      <c r="M99" s="26" t="s">
        <v>100</v>
      </c>
      <c r="N99" s="26" t="s">
        <v>101</v>
      </c>
      <c r="O99" s="26" t="s">
        <v>80</v>
      </c>
      <c r="P99" s="26" t="s">
        <v>646</v>
      </c>
      <c r="Q99" s="26" t="s">
        <v>82</v>
      </c>
      <c r="R99" s="26" t="s">
        <v>280</v>
      </c>
      <c r="S99" s="26" t="s">
        <v>104</v>
      </c>
      <c r="T99" s="26" t="s">
        <v>281</v>
      </c>
      <c r="U99" s="26" t="s">
        <v>80</v>
      </c>
      <c r="V99" s="26" t="s">
        <v>86</v>
      </c>
      <c r="W99" s="26" t="s">
        <v>86</v>
      </c>
      <c r="X99" s="26" t="s">
        <v>86</v>
      </c>
      <c r="Y99" s="26" t="s">
        <v>78</v>
      </c>
      <c r="Z99" s="26" t="s">
        <v>78</v>
      </c>
      <c r="AA99" s="27">
        <v>19.246666666666666</v>
      </c>
      <c r="AB99" s="27">
        <v>0</v>
      </c>
      <c r="AC99" s="27">
        <v>16.7</v>
      </c>
      <c r="AD99" s="27">
        <v>2.5466666666666664</v>
      </c>
      <c r="AE99" s="27">
        <v>0</v>
      </c>
      <c r="AF99" s="27">
        <v>0</v>
      </c>
      <c r="AG99" s="27">
        <v>13.392499999999997</v>
      </c>
      <c r="AH99" s="27">
        <v>5.8541666666666661</v>
      </c>
      <c r="AI99" s="27">
        <v>0</v>
      </c>
      <c r="AJ99" s="27">
        <v>0</v>
      </c>
      <c r="AK99" s="27">
        <v>0</v>
      </c>
      <c r="AL99" s="27">
        <v>4.1333333333333329</v>
      </c>
      <c r="AM99" s="27">
        <v>16.910416666666666</v>
      </c>
      <c r="AN99" s="27">
        <v>40.290416666666665</v>
      </c>
      <c r="AO99" s="28">
        <v>0.94847823613969406</v>
      </c>
      <c r="AP99" s="29">
        <v>20.145208333333333</v>
      </c>
      <c r="AQ99" s="29">
        <v>20.145208333333333</v>
      </c>
      <c r="AR99" s="30"/>
      <c r="AT99" s="31" t="s">
        <v>647</v>
      </c>
      <c r="AU99" s="31">
        <v>0</v>
      </c>
      <c r="AV99" s="31">
        <v>10</v>
      </c>
      <c r="AW99" s="31">
        <v>120</v>
      </c>
      <c r="AX99" s="31">
        <v>0</v>
      </c>
      <c r="AY99" s="32"/>
      <c r="AZ99" s="31">
        <v>1</v>
      </c>
      <c r="BA99" s="31">
        <v>3</v>
      </c>
      <c r="BB99" s="31" t="s">
        <v>648</v>
      </c>
      <c r="BC99" s="31" t="s">
        <v>649</v>
      </c>
      <c r="BD99" s="31"/>
      <c r="BE99" s="33" t="s">
        <v>372</v>
      </c>
      <c r="BF99" s="31" t="s">
        <v>94</v>
      </c>
      <c r="BG99" s="31" t="s">
        <v>94</v>
      </c>
      <c r="BH99" s="31" t="s">
        <v>94</v>
      </c>
      <c r="BI99" s="31" t="s">
        <v>94</v>
      </c>
      <c r="BK99" s="31">
        <v>2</v>
      </c>
      <c r="BL99" s="31">
        <v>0</v>
      </c>
      <c r="BM99" s="31">
        <v>28</v>
      </c>
      <c r="BN99" s="31">
        <v>18</v>
      </c>
      <c r="BO99" s="31">
        <v>122</v>
      </c>
      <c r="BQ99" s="31">
        <v>28</v>
      </c>
      <c r="BR99" s="31">
        <v>98</v>
      </c>
      <c r="BS99" s="31">
        <v>540</v>
      </c>
    </row>
    <row r="100" spans="1:71" ht="18.75" customHeight="1">
      <c r="A100" s="25">
        <v>12117</v>
      </c>
      <c r="B100" s="25" t="s">
        <v>650</v>
      </c>
      <c r="C100" s="25" t="s">
        <v>651</v>
      </c>
      <c r="D100" s="25" t="s">
        <v>652</v>
      </c>
      <c r="E100" s="26" t="s">
        <v>204</v>
      </c>
      <c r="F100" s="26" t="s">
        <v>193</v>
      </c>
      <c r="G100" s="26" t="s">
        <v>205</v>
      </c>
      <c r="H100" s="26" t="s">
        <v>74</v>
      </c>
      <c r="I100" s="26" t="s">
        <v>75</v>
      </c>
      <c r="J100" s="26" t="s">
        <v>76</v>
      </c>
      <c r="K100" s="26" t="s">
        <v>77</v>
      </c>
      <c r="L100" s="26" t="s">
        <v>86</v>
      </c>
      <c r="M100" s="26" t="s">
        <v>100</v>
      </c>
      <c r="N100" s="26" t="s">
        <v>101</v>
      </c>
      <c r="O100" s="26" t="s">
        <v>80</v>
      </c>
      <c r="P100" s="26" t="s">
        <v>279</v>
      </c>
      <c r="Q100" s="30" t="s">
        <v>653</v>
      </c>
      <c r="R100" s="26" t="s">
        <v>207</v>
      </c>
      <c r="S100" s="26" t="s">
        <v>84</v>
      </c>
      <c r="T100" s="26" t="s">
        <v>654</v>
      </c>
      <c r="U100" s="26" t="s">
        <v>101</v>
      </c>
      <c r="V100" s="26" t="s">
        <v>86</v>
      </c>
      <c r="W100" s="26" t="s">
        <v>86</v>
      </c>
      <c r="X100" s="26" t="s">
        <v>86</v>
      </c>
      <c r="Y100" s="26" t="s">
        <v>78</v>
      </c>
      <c r="Z100" s="26" t="s">
        <v>78</v>
      </c>
      <c r="AA100" s="40">
        <v>36.104875</v>
      </c>
      <c r="AB100" s="40">
        <v>0</v>
      </c>
      <c r="AC100" s="40">
        <v>6.145833333333333</v>
      </c>
      <c r="AD100" s="40">
        <v>29.959041666666661</v>
      </c>
      <c r="AE100" s="40">
        <v>0</v>
      </c>
      <c r="AF100" s="40">
        <v>8.6415416666666651</v>
      </c>
      <c r="AG100" s="40">
        <v>13.109166666666663</v>
      </c>
      <c r="AH100" s="40">
        <v>11.73333333333334</v>
      </c>
      <c r="AI100" s="40">
        <v>2.4833333333333334</v>
      </c>
      <c r="AJ100" s="40">
        <v>0.13749999999999998</v>
      </c>
      <c r="AK100" s="40">
        <v>0</v>
      </c>
      <c r="AL100" s="40">
        <v>15.537499999999998</v>
      </c>
      <c r="AM100" s="27">
        <v>11</v>
      </c>
      <c r="AN100" s="27">
        <f>AA100+AL100+AM100</f>
        <v>62.642375000000001</v>
      </c>
      <c r="AO100" s="28">
        <v>0.8631983009371319</v>
      </c>
      <c r="AP100" s="29">
        <v>31.321187500000015</v>
      </c>
      <c r="AQ100" s="29">
        <v>31.321187500000015</v>
      </c>
      <c r="AR100" s="30"/>
      <c r="AT100" s="31" t="s">
        <v>655</v>
      </c>
      <c r="AU100" s="31">
        <v>198</v>
      </c>
      <c r="AV100" s="31">
        <v>37</v>
      </c>
      <c r="AW100" s="31" t="s">
        <v>656</v>
      </c>
      <c r="AX100" s="31" t="s">
        <v>654</v>
      </c>
      <c r="AY100" s="32"/>
      <c r="AZ100" s="31">
        <v>1</v>
      </c>
      <c r="BA100" s="31">
        <v>3</v>
      </c>
      <c r="BB100" s="31" t="s">
        <v>657</v>
      </c>
      <c r="BC100" s="31" t="s">
        <v>658</v>
      </c>
      <c r="BD100" s="31" t="s">
        <v>654</v>
      </c>
      <c r="BE100" s="33" t="s">
        <v>659</v>
      </c>
      <c r="BF100" s="31" t="s">
        <v>94</v>
      </c>
      <c r="BG100" s="31" t="s">
        <v>94</v>
      </c>
      <c r="BH100" s="31" t="s">
        <v>94</v>
      </c>
      <c r="BI100" s="31" t="s">
        <v>94</v>
      </c>
      <c r="BK100" s="31">
        <v>0</v>
      </c>
      <c r="BL100" s="31">
        <v>0</v>
      </c>
      <c r="BM100" s="31">
        <v>76</v>
      </c>
      <c r="BN100" s="31">
        <v>62</v>
      </c>
      <c r="BO100" s="31">
        <v>212</v>
      </c>
      <c r="BQ100" s="31">
        <v>56</v>
      </c>
      <c r="BR100" s="31">
        <v>95</v>
      </c>
      <c r="BS100" s="31">
        <v>643</v>
      </c>
    </row>
    <row r="101" spans="1:71" ht="18.75" customHeight="1">
      <c r="A101" s="25">
        <v>12117</v>
      </c>
      <c r="B101" s="25" t="s">
        <v>650</v>
      </c>
      <c r="C101" s="25" t="s">
        <v>660</v>
      </c>
      <c r="D101" s="25" t="s">
        <v>652</v>
      </c>
      <c r="E101" s="26" t="s">
        <v>204</v>
      </c>
      <c r="F101" s="26" t="s">
        <v>193</v>
      </c>
      <c r="G101" s="26" t="s">
        <v>205</v>
      </c>
      <c r="H101" s="26" t="s">
        <v>74</v>
      </c>
      <c r="I101" s="26" t="s">
        <v>75</v>
      </c>
      <c r="J101" s="26" t="s">
        <v>76</v>
      </c>
      <c r="K101" s="26" t="s">
        <v>77</v>
      </c>
      <c r="L101" s="26" t="s">
        <v>86</v>
      </c>
      <c r="M101" s="26" t="s">
        <v>100</v>
      </c>
      <c r="N101" s="26" t="s">
        <v>101</v>
      </c>
      <c r="O101" s="26" t="s">
        <v>80</v>
      </c>
      <c r="P101" s="26" t="s">
        <v>279</v>
      </c>
      <c r="Q101" s="26" t="s">
        <v>82</v>
      </c>
      <c r="R101" s="26" t="s">
        <v>661</v>
      </c>
      <c r="S101" s="26" t="s">
        <v>84</v>
      </c>
      <c r="T101" s="26" t="s">
        <v>82</v>
      </c>
      <c r="U101" s="26" t="s">
        <v>101</v>
      </c>
      <c r="V101" s="26" t="s">
        <v>86</v>
      </c>
      <c r="W101" s="26" t="s">
        <v>86</v>
      </c>
      <c r="X101" s="26" t="s">
        <v>86</v>
      </c>
      <c r="Y101" s="26" t="s">
        <v>78</v>
      </c>
      <c r="Z101" s="26" t="s">
        <v>78</v>
      </c>
      <c r="AA101" s="40">
        <v>36.104875</v>
      </c>
      <c r="AB101" s="40">
        <v>0</v>
      </c>
      <c r="AC101" s="40">
        <v>6.145833333333333</v>
      </c>
      <c r="AD101" s="40">
        <v>29.959041666666661</v>
      </c>
      <c r="AE101" s="40">
        <v>0</v>
      </c>
      <c r="AF101" s="40">
        <v>8.6415416666666651</v>
      </c>
      <c r="AG101" s="40">
        <v>13.109166666666663</v>
      </c>
      <c r="AH101" s="40">
        <v>11.73333333333334</v>
      </c>
      <c r="AI101" s="40">
        <v>2.4833333333333334</v>
      </c>
      <c r="AJ101" s="40">
        <v>0.13749999999999998</v>
      </c>
      <c r="AK101" s="40">
        <v>0</v>
      </c>
      <c r="AL101" s="40">
        <v>15.537499999999998</v>
      </c>
      <c r="AM101" s="27">
        <v>11</v>
      </c>
      <c r="AN101" s="27">
        <f>AA101+AL101+AM101</f>
        <v>62.642375000000001</v>
      </c>
      <c r="AO101" s="28">
        <v>0.8631983009371319</v>
      </c>
      <c r="AP101" s="29">
        <v>31.321187500000015</v>
      </c>
      <c r="AQ101" s="29">
        <v>31.321187500000015</v>
      </c>
      <c r="AR101" s="30"/>
      <c r="AT101" s="55">
        <v>47977</v>
      </c>
      <c r="AU101" s="67" t="s">
        <v>415</v>
      </c>
      <c r="AV101" s="31">
        <v>8</v>
      </c>
      <c r="AW101" s="31">
        <v>10</v>
      </c>
      <c r="AX101" s="31">
        <v>726</v>
      </c>
      <c r="AY101" s="32"/>
      <c r="AZ101" s="31">
        <v>2</v>
      </c>
      <c r="BA101" s="31">
        <v>3</v>
      </c>
      <c r="BB101" s="31" t="s">
        <v>662</v>
      </c>
      <c r="BC101" s="31" t="s">
        <v>663</v>
      </c>
      <c r="BD101" s="31" t="s">
        <v>415</v>
      </c>
      <c r="BE101" s="33" t="s">
        <v>664</v>
      </c>
      <c r="BF101" s="31" t="s">
        <v>94</v>
      </c>
      <c r="BG101" s="31" t="s">
        <v>94</v>
      </c>
      <c r="BH101" s="31" t="s">
        <v>94</v>
      </c>
      <c r="BI101" s="31" t="s">
        <v>94</v>
      </c>
      <c r="BK101" s="31">
        <v>0</v>
      </c>
      <c r="BL101" s="31">
        <v>0</v>
      </c>
      <c r="BM101" s="31">
        <v>76</v>
      </c>
      <c r="BN101" s="31">
        <v>62</v>
      </c>
      <c r="BO101" s="31">
        <v>212</v>
      </c>
      <c r="BQ101" s="31">
        <v>56</v>
      </c>
      <c r="BR101" s="31">
        <v>95</v>
      </c>
      <c r="BS101" s="31">
        <v>643</v>
      </c>
    </row>
    <row r="102" spans="1:71" ht="38">
      <c r="A102" s="25">
        <v>12198</v>
      </c>
      <c r="B102" s="25" t="s">
        <v>665</v>
      </c>
      <c r="C102" s="66" t="s">
        <v>666</v>
      </c>
      <c r="D102" s="25" t="s">
        <v>667</v>
      </c>
      <c r="E102" s="26" t="s">
        <v>204</v>
      </c>
      <c r="F102" s="26" t="s">
        <v>193</v>
      </c>
      <c r="G102" s="26" t="s">
        <v>205</v>
      </c>
      <c r="H102" s="26" t="s">
        <v>74</v>
      </c>
      <c r="I102" s="26" t="s">
        <v>185</v>
      </c>
      <c r="J102" s="26" t="s">
        <v>76</v>
      </c>
      <c r="K102" s="26" t="s">
        <v>77</v>
      </c>
      <c r="L102" s="26" t="s">
        <v>78</v>
      </c>
      <c r="M102" s="26" t="s">
        <v>100</v>
      </c>
      <c r="N102" s="26" t="s">
        <v>101</v>
      </c>
      <c r="O102" s="26" t="s">
        <v>80</v>
      </c>
      <c r="P102" s="26" t="s">
        <v>668</v>
      </c>
      <c r="Q102" s="26" t="s">
        <v>82</v>
      </c>
      <c r="R102" s="26" t="s">
        <v>669</v>
      </c>
      <c r="S102" s="26" t="s">
        <v>84</v>
      </c>
      <c r="T102" s="26" t="s">
        <v>82</v>
      </c>
      <c r="U102" s="26" t="s">
        <v>101</v>
      </c>
      <c r="V102" s="26" t="s">
        <v>86</v>
      </c>
      <c r="W102" s="26" t="s">
        <v>86</v>
      </c>
      <c r="X102" s="26" t="s">
        <v>86</v>
      </c>
      <c r="Y102" s="63" t="s">
        <v>86</v>
      </c>
      <c r="Z102" s="26" t="s">
        <v>78</v>
      </c>
      <c r="AA102" s="27">
        <v>1</v>
      </c>
      <c r="AB102" s="27"/>
      <c r="AC102" s="27"/>
      <c r="AD102" s="27">
        <v>1</v>
      </c>
      <c r="AE102" s="27"/>
      <c r="AF102" s="27"/>
      <c r="AG102" s="27">
        <v>1</v>
      </c>
      <c r="AH102" s="27"/>
      <c r="AI102" s="27"/>
      <c r="AJ102" s="27"/>
      <c r="AK102" s="27"/>
      <c r="AL102" s="27">
        <v>2</v>
      </c>
      <c r="AM102" s="27">
        <v>0</v>
      </c>
      <c r="AN102" s="27">
        <f>AA102+AL102+AM102</f>
        <v>3</v>
      </c>
      <c r="AO102" s="28"/>
      <c r="AP102" s="29">
        <v>1.5</v>
      </c>
      <c r="AQ102" s="29">
        <v>1.5</v>
      </c>
      <c r="AR102" s="30" t="s">
        <v>670</v>
      </c>
      <c r="AT102" s="31" t="s">
        <v>614</v>
      </c>
      <c r="AU102" s="31" t="s">
        <v>614</v>
      </c>
      <c r="AV102" s="31" t="s">
        <v>614</v>
      </c>
      <c r="AW102" s="31" t="s">
        <v>614</v>
      </c>
      <c r="AX102" s="31" t="s">
        <v>614</v>
      </c>
      <c r="AY102" s="32"/>
      <c r="AZ102" s="31">
        <v>3</v>
      </c>
      <c r="BA102" s="31">
        <v>1</v>
      </c>
      <c r="BB102" s="31" t="s">
        <v>197</v>
      </c>
      <c r="BC102" s="31" t="s">
        <v>322</v>
      </c>
      <c r="BD102" s="31" t="s">
        <v>615</v>
      </c>
      <c r="BE102" s="33" t="s">
        <v>616</v>
      </c>
      <c r="BF102" s="31" t="s">
        <v>213</v>
      </c>
      <c r="BG102" s="31" t="s">
        <v>156</v>
      </c>
      <c r="BH102" s="31" t="s">
        <v>156</v>
      </c>
      <c r="BI102" s="31" t="s">
        <v>156</v>
      </c>
      <c r="BK102" s="31">
        <v>0</v>
      </c>
      <c r="BL102" s="31">
        <v>0</v>
      </c>
      <c r="BM102" s="31">
        <v>0</v>
      </c>
      <c r="BN102" s="31">
        <v>0</v>
      </c>
      <c r="BO102" s="31">
        <v>0</v>
      </c>
      <c r="BQ102" s="31">
        <v>0</v>
      </c>
      <c r="BR102" s="31">
        <v>0</v>
      </c>
      <c r="BS102" s="31">
        <v>3</v>
      </c>
    </row>
    <row r="103" spans="1:71" ht="18.75" hidden="1" customHeight="1">
      <c r="A103" s="25">
        <v>12520</v>
      </c>
      <c r="B103" s="25" t="s">
        <v>671</v>
      </c>
      <c r="C103" s="25" t="s">
        <v>672</v>
      </c>
      <c r="D103" s="35" t="s">
        <v>673</v>
      </c>
      <c r="E103" s="26" t="s">
        <v>192</v>
      </c>
      <c r="F103" s="26" t="s">
        <v>193</v>
      </c>
      <c r="G103" s="26" t="s">
        <v>194</v>
      </c>
      <c r="H103" s="26" t="s">
        <v>504</v>
      </c>
      <c r="I103" s="26" t="s">
        <v>75</v>
      </c>
      <c r="J103" s="26" t="s">
        <v>76</v>
      </c>
      <c r="K103" s="26" t="s">
        <v>633</v>
      </c>
      <c r="L103" s="26" t="s">
        <v>78</v>
      </c>
      <c r="M103" s="26" t="s">
        <v>100</v>
      </c>
      <c r="N103" s="26" t="s">
        <v>101</v>
      </c>
      <c r="O103" s="26" t="s">
        <v>80</v>
      </c>
      <c r="P103" s="26" t="s">
        <v>279</v>
      </c>
      <c r="Q103" s="26" t="s">
        <v>82</v>
      </c>
      <c r="R103" s="26" t="s">
        <v>280</v>
      </c>
      <c r="S103" s="26" t="s">
        <v>104</v>
      </c>
      <c r="T103" s="26" t="s">
        <v>82</v>
      </c>
      <c r="U103" s="26" t="s">
        <v>80</v>
      </c>
      <c r="V103" s="68" t="s">
        <v>86</v>
      </c>
      <c r="W103" s="26" t="s">
        <v>86</v>
      </c>
      <c r="X103" s="26" t="s">
        <v>86</v>
      </c>
      <c r="Y103" s="26" t="s">
        <v>78</v>
      </c>
      <c r="Z103" s="26" t="s">
        <v>78</v>
      </c>
      <c r="AA103" s="27">
        <v>0.125</v>
      </c>
      <c r="AB103" s="27">
        <v>0</v>
      </c>
      <c r="AC103" s="27">
        <v>0</v>
      </c>
      <c r="AD103" s="27">
        <v>0.125</v>
      </c>
      <c r="AE103" s="27">
        <v>0</v>
      </c>
      <c r="AF103" s="27">
        <v>0</v>
      </c>
      <c r="AG103" s="27">
        <v>0.125</v>
      </c>
      <c r="AH103" s="27">
        <v>0</v>
      </c>
      <c r="AI103" s="27">
        <v>0</v>
      </c>
      <c r="AJ103" s="27">
        <v>0</v>
      </c>
      <c r="AK103" s="27">
        <v>0</v>
      </c>
      <c r="AL103" s="27">
        <v>0</v>
      </c>
      <c r="AM103" s="27">
        <v>0</v>
      </c>
      <c r="AN103" s="27">
        <v>0.125</v>
      </c>
      <c r="AO103" s="28">
        <v>1</v>
      </c>
      <c r="AP103" s="29">
        <v>6.25E-2</v>
      </c>
      <c r="AQ103" s="29">
        <v>6.25E-2</v>
      </c>
      <c r="AR103" s="30"/>
      <c r="AT103" s="31"/>
      <c r="AU103" s="31"/>
      <c r="AV103" s="31"/>
      <c r="AW103" s="31"/>
      <c r="AX103" s="31"/>
      <c r="AY103" s="32"/>
      <c r="AZ103" s="31">
        <v>3</v>
      </c>
      <c r="BA103" s="31">
        <v>1</v>
      </c>
      <c r="BB103" s="31" t="s">
        <v>197</v>
      </c>
      <c r="BC103" s="31" t="s">
        <v>674</v>
      </c>
      <c r="BD103" s="31" t="s">
        <v>675</v>
      </c>
      <c r="BE103" s="33"/>
      <c r="BF103" s="31" t="s">
        <v>156</v>
      </c>
      <c r="BG103" s="31" t="s">
        <v>156</v>
      </c>
      <c r="BH103" s="31" t="s">
        <v>156</v>
      </c>
      <c r="BI103" s="31" t="s">
        <v>156</v>
      </c>
      <c r="BK103" s="31">
        <v>0</v>
      </c>
      <c r="BL103" s="31">
        <v>0</v>
      </c>
      <c r="BM103" s="31">
        <v>0</v>
      </c>
      <c r="BN103" s="31">
        <v>0</v>
      </c>
      <c r="BO103" s="31">
        <v>4</v>
      </c>
      <c r="BQ103" s="31">
        <v>0</v>
      </c>
      <c r="BR103" s="31">
        <v>0</v>
      </c>
      <c r="BS103" s="31">
        <v>14</v>
      </c>
    </row>
    <row r="104" spans="1:71" ht="18.75" hidden="1" customHeight="1">
      <c r="A104" s="25">
        <v>12527</v>
      </c>
      <c r="B104" s="25" t="s">
        <v>676</v>
      </c>
      <c r="C104" s="25" t="s">
        <v>677</v>
      </c>
      <c r="D104" s="25" t="s">
        <v>678</v>
      </c>
      <c r="E104" s="26" t="s">
        <v>379</v>
      </c>
      <c r="F104" s="26" t="s">
        <v>380</v>
      </c>
      <c r="G104" s="26" t="s">
        <v>380</v>
      </c>
      <c r="H104" s="26" t="s">
        <v>74</v>
      </c>
      <c r="I104" s="26" t="s">
        <v>185</v>
      </c>
      <c r="J104" s="26" t="s">
        <v>76</v>
      </c>
      <c r="K104" s="26" t="s">
        <v>77</v>
      </c>
      <c r="L104" s="26" t="s">
        <v>78</v>
      </c>
      <c r="M104" s="26" t="s">
        <v>100</v>
      </c>
      <c r="N104" s="26" t="s">
        <v>101</v>
      </c>
      <c r="O104" s="26" t="s">
        <v>80</v>
      </c>
      <c r="P104" s="26" t="s">
        <v>646</v>
      </c>
      <c r="Q104" s="26" t="s">
        <v>82</v>
      </c>
      <c r="R104" s="26" t="s">
        <v>280</v>
      </c>
      <c r="S104" s="26" t="s">
        <v>104</v>
      </c>
      <c r="T104" s="26" t="s">
        <v>281</v>
      </c>
      <c r="U104" s="26" t="s">
        <v>80</v>
      </c>
      <c r="V104" s="26" t="s">
        <v>86</v>
      </c>
      <c r="W104" s="26" t="s">
        <v>86</v>
      </c>
      <c r="X104" s="26" t="s">
        <v>86</v>
      </c>
      <c r="Y104" s="26" t="s">
        <v>78</v>
      </c>
      <c r="Z104" s="26" t="s">
        <v>78</v>
      </c>
      <c r="AA104" s="27">
        <v>0.10833333333333334</v>
      </c>
      <c r="AB104" s="27">
        <v>0</v>
      </c>
      <c r="AC104" s="27">
        <v>0.10833333333333334</v>
      </c>
      <c r="AD104" s="27">
        <v>0</v>
      </c>
      <c r="AE104" s="27">
        <v>0</v>
      </c>
      <c r="AF104" s="27">
        <v>0</v>
      </c>
      <c r="AG104" s="27">
        <v>0</v>
      </c>
      <c r="AH104" s="27">
        <v>0.10833333333333334</v>
      </c>
      <c r="AI104" s="27">
        <v>0</v>
      </c>
      <c r="AJ104" s="27">
        <v>0</v>
      </c>
      <c r="AK104" s="27">
        <v>0</v>
      </c>
      <c r="AL104" s="27">
        <v>0</v>
      </c>
      <c r="AM104" s="27">
        <v>2.4999999999999998E-2</v>
      </c>
      <c r="AN104" s="27">
        <v>0.13333333333333333</v>
      </c>
      <c r="AO104" s="28">
        <v>1</v>
      </c>
      <c r="AP104" s="29">
        <v>6.6666666666666666E-2</v>
      </c>
      <c r="AQ104" s="29">
        <v>6.6666666666666666E-2</v>
      </c>
      <c r="AR104" s="53" t="s">
        <v>679</v>
      </c>
      <c r="AT104" s="31" t="s">
        <v>534</v>
      </c>
      <c r="AU104" s="31">
        <v>0</v>
      </c>
      <c r="AV104" s="31">
        <v>0</v>
      </c>
      <c r="AW104" s="31">
        <v>20</v>
      </c>
      <c r="AX104" s="31">
        <v>0</v>
      </c>
      <c r="AY104" s="32"/>
      <c r="AZ104" s="31">
        <v>1</v>
      </c>
      <c r="BA104" s="31">
        <v>3</v>
      </c>
      <c r="BB104" s="31" t="s">
        <v>648</v>
      </c>
      <c r="BC104" s="31" t="s">
        <v>649</v>
      </c>
      <c r="BD104" s="31"/>
      <c r="BE104" s="33" t="s">
        <v>372</v>
      </c>
      <c r="BF104" s="31" t="s">
        <v>94</v>
      </c>
      <c r="BG104" s="31" t="s">
        <v>94</v>
      </c>
      <c r="BH104" s="31" t="s">
        <v>94</v>
      </c>
      <c r="BI104" s="31" t="s">
        <v>94</v>
      </c>
      <c r="BK104" s="31">
        <v>0</v>
      </c>
      <c r="BL104" s="31">
        <v>0</v>
      </c>
      <c r="BM104" s="31">
        <v>2</v>
      </c>
      <c r="BN104" s="31">
        <v>0</v>
      </c>
      <c r="BO104" s="31">
        <v>0</v>
      </c>
      <c r="BQ104" s="31">
        <v>1</v>
      </c>
      <c r="BR104" s="31">
        <v>0</v>
      </c>
      <c r="BS104" s="31">
        <v>51</v>
      </c>
    </row>
    <row r="105" spans="1:71" ht="18.75" hidden="1" customHeight="1">
      <c r="A105" s="25">
        <v>12607</v>
      </c>
      <c r="B105" s="25" t="s">
        <v>680</v>
      </c>
      <c r="C105" s="25" t="s">
        <v>681</v>
      </c>
      <c r="D105" s="25" t="s">
        <v>682</v>
      </c>
      <c r="E105" s="26" t="s">
        <v>379</v>
      </c>
      <c r="F105" s="26" t="s">
        <v>380</v>
      </c>
      <c r="G105" s="26" t="s">
        <v>380</v>
      </c>
      <c r="H105" s="26" t="s">
        <v>74</v>
      </c>
      <c r="I105" s="26" t="s">
        <v>185</v>
      </c>
      <c r="J105" s="26" t="s">
        <v>76</v>
      </c>
      <c r="K105" s="26" t="s">
        <v>77</v>
      </c>
      <c r="L105" s="26" t="s">
        <v>78</v>
      </c>
      <c r="M105" s="26" t="s">
        <v>100</v>
      </c>
      <c r="N105" s="26" t="s">
        <v>101</v>
      </c>
      <c r="O105" s="26" t="s">
        <v>80</v>
      </c>
      <c r="P105" s="26" t="s">
        <v>646</v>
      </c>
      <c r="Q105" s="26" t="s">
        <v>82</v>
      </c>
      <c r="R105" s="26" t="s">
        <v>280</v>
      </c>
      <c r="S105" s="26" t="s">
        <v>104</v>
      </c>
      <c r="T105" s="26" t="s">
        <v>281</v>
      </c>
      <c r="U105" s="26" t="s">
        <v>80</v>
      </c>
      <c r="V105" s="26" t="s">
        <v>86</v>
      </c>
      <c r="W105" s="26" t="s">
        <v>86</v>
      </c>
      <c r="X105" s="26" t="s">
        <v>86</v>
      </c>
      <c r="Y105" s="26" t="s">
        <v>78</v>
      </c>
      <c r="Z105" s="26" t="s">
        <v>78</v>
      </c>
      <c r="AA105" s="27">
        <v>1.3374999999999999</v>
      </c>
      <c r="AB105" s="27">
        <v>0</v>
      </c>
      <c r="AC105" s="27">
        <v>0.83750000000000002</v>
      </c>
      <c r="AD105" s="27">
        <v>0.5</v>
      </c>
      <c r="AE105" s="27">
        <v>0</v>
      </c>
      <c r="AF105" s="27">
        <v>0</v>
      </c>
      <c r="AG105" s="27">
        <v>1.3374999999999999</v>
      </c>
      <c r="AH105" s="27">
        <v>0</v>
      </c>
      <c r="AI105" s="27">
        <v>0</v>
      </c>
      <c r="AJ105" s="27">
        <v>0</v>
      </c>
      <c r="AK105" s="27">
        <v>0</v>
      </c>
      <c r="AL105" s="27">
        <v>0</v>
      </c>
      <c r="AM105" s="27">
        <v>1</v>
      </c>
      <c r="AN105" s="27">
        <v>2.3374999999999999</v>
      </c>
      <c r="AO105" s="28">
        <v>1</v>
      </c>
      <c r="AP105" s="29">
        <v>1.16875</v>
      </c>
      <c r="AQ105" s="29">
        <v>1.16875</v>
      </c>
      <c r="AR105" s="30"/>
      <c r="AT105" s="31" t="s">
        <v>683</v>
      </c>
      <c r="AU105" s="31">
        <v>0</v>
      </c>
      <c r="AV105" s="31">
        <v>0</v>
      </c>
      <c r="AW105" s="31">
        <v>10</v>
      </c>
      <c r="AX105" s="31">
        <v>0</v>
      </c>
      <c r="AY105" s="32"/>
      <c r="AZ105" s="31">
        <v>1</v>
      </c>
      <c r="BA105" s="31">
        <v>3</v>
      </c>
      <c r="BB105" s="31" t="s">
        <v>648</v>
      </c>
      <c r="BC105" s="31" t="s">
        <v>649</v>
      </c>
      <c r="BD105" s="31"/>
      <c r="BE105" s="33" t="s">
        <v>372</v>
      </c>
      <c r="BF105" s="31" t="s">
        <v>94</v>
      </c>
      <c r="BG105" s="31" t="s">
        <v>94</v>
      </c>
      <c r="BH105" s="31" t="s">
        <v>94</v>
      </c>
      <c r="BI105" s="31" t="s">
        <v>94</v>
      </c>
      <c r="BK105" s="31">
        <v>0</v>
      </c>
      <c r="BL105" s="31">
        <v>0</v>
      </c>
      <c r="BM105" s="31">
        <v>8</v>
      </c>
      <c r="BN105" s="31">
        <v>2</v>
      </c>
      <c r="BO105" s="31">
        <v>4</v>
      </c>
      <c r="BQ105" s="31">
        <v>6</v>
      </c>
      <c r="BR105" s="31">
        <v>9</v>
      </c>
      <c r="BS105" s="31">
        <v>77</v>
      </c>
    </row>
    <row r="106" spans="1:71" ht="18.75" hidden="1" customHeight="1">
      <c r="A106" s="25">
        <v>12646</v>
      </c>
      <c r="B106" s="25" t="s">
        <v>684</v>
      </c>
      <c r="C106" s="25" t="s">
        <v>685</v>
      </c>
      <c r="D106" s="25" t="s">
        <v>686</v>
      </c>
      <c r="E106" s="26" t="s">
        <v>238</v>
      </c>
      <c r="F106" s="26" t="s">
        <v>193</v>
      </c>
      <c r="G106" s="26" t="s">
        <v>239</v>
      </c>
      <c r="H106" s="26" t="s">
        <v>504</v>
      </c>
      <c r="I106" s="26" t="s">
        <v>75</v>
      </c>
      <c r="J106" s="26" t="s">
        <v>76</v>
      </c>
      <c r="K106" s="26" t="s">
        <v>77</v>
      </c>
      <c r="L106" s="26" t="s">
        <v>86</v>
      </c>
      <c r="M106" s="26" t="s">
        <v>100</v>
      </c>
      <c r="N106" s="26" t="s">
        <v>101</v>
      </c>
      <c r="O106" s="26" t="s">
        <v>101</v>
      </c>
      <c r="P106" s="26" t="s">
        <v>279</v>
      </c>
      <c r="Q106" s="26" t="s">
        <v>82</v>
      </c>
      <c r="R106" s="26" t="s">
        <v>687</v>
      </c>
      <c r="S106" s="26" t="s">
        <v>84</v>
      </c>
      <c r="T106" s="26" t="s">
        <v>85</v>
      </c>
      <c r="U106" s="26" t="s">
        <v>80</v>
      </c>
      <c r="V106" s="26" t="s">
        <v>86</v>
      </c>
      <c r="W106" s="26" t="s">
        <v>86</v>
      </c>
      <c r="X106" s="26" t="s">
        <v>86</v>
      </c>
      <c r="Y106" s="26" t="s">
        <v>78</v>
      </c>
      <c r="Z106" s="26" t="s">
        <v>78</v>
      </c>
      <c r="AA106" s="27">
        <v>9.5833333333333321</v>
      </c>
      <c r="AB106" s="27">
        <v>0</v>
      </c>
      <c r="AC106" s="27">
        <v>4.833333333333333</v>
      </c>
      <c r="AD106" s="27">
        <v>4.75</v>
      </c>
      <c r="AE106" s="27">
        <v>0</v>
      </c>
      <c r="AF106" s="27">
        <v>1</v>
      </c>
      <c r="AG106" s="27">
        <v>2.833333333333333</v>
      </c>
      <c r="AH106" s="27">
        <v>4.125</v>
      </c>
      <c r="AI106" s="27">
        <v>1</v>
      </c>
      <c r="AJ106" s="27">
        <v>0</v>
      </c>
      <c r="AK106" s="27">
        <v>0.625</v>
      </c>
      <c r="AL106" s="27">
        <v>11.337500000000002</v>
      </c>
      <c r="AM106" s="27">
        <v>7.0833333333333357</v>
      </c>
      <c r="AN106" s="27">
        <v>28.00416666666667</v>
      </c>
      <c r="AO106" s="28">
        <v>0.81223032286862074</v>
      </c>
      <c r="AP106" s="29">
        <v>14.002083333333335</v>
      </c>
      <c r="AQ106" s="29">
        <v>14.002083333333335</v>
      </c>
      <c r="AR106" s="30"/>
      <c r="AT106" s="31" t="s">
        <v>688</v>
      </c>
      <c r="AU106" s="31">
        <v>77</v>
      </c>
      <c r="AV106" s="31">
        <v>15</v>
      </c>
      <c r="AW106" s="31">
        <v>18</v>
      </c>
      <c r="AX106" s="31">
        <v>0</v>
      </c>
      <c r="AY106" s="32"/>
      <c r="AZ106" s="31">
        <v>1</v>
      </c>
      <c r="BA106" s="31">
        <v>3</v>
      </c>
      <c r="BB106" s="31" t="s">
        <v>689</v>
      </c>
      <c r="BC106" s="31" t="s">
        <v>690</v>
      </c>
      <c r="BD106" s="31" t="s">
        <v>691</v>
      </c>
      <c r="BE106" s="33" t="s">
        <v>692</v>
      </c>
      <c r="BF106" s="31" t="s">
        <v>94</v>
      </c>
      <c r="BG106" s="31" t="s">
        <v>94</v>
      </c>
      <c r="BH106" s="31" t="s">
        <v>94</v>
      </c>
      <c r="BI106" s="31" t="s">
        <v>94</v>
      </c>
      <c r="BK106" s="31">
        <v>0</v>
      </c>
      <c r="BL106" s="31">
        <v>1</v>
      </c>
      <c r="BM106" s="31">
        <v>14</v>
      </c>
      <c r="BN106" s="31">
        <v>9</v>
      </c>
      <c r="BO106" s="31">
        <v>47</v>
      </c>
      <c r="BQ106" s="31">
        <v>7</v>
      </c>
      <c r="BR106" s="31">
        <v>0</v>
      </c>
      <c r="BS106" s="31">
        <v>80</v>
      </c>
    </row>
    <row r="107" spans="1:71" ht="18.75" hidden="1" customHeight="1">
      <c r="A107" s="25">
        <v>12654</v>
      </c>
      <c r="B107" s="25" t="s">
        <v>693</v>
      </c>
      <c r="C107" s="25" t="s">
        <v>694</v>
      </c>
      <c r="D107" s="25" t="s">
        <v>695</v>
      </c>
      <c r="E107" s="26" t="s">
        <v>379</v>
      </c>
      <c r="F107" s="26" t="s">
        <v>193</v>
      </c>
      <c r="G107" s="26"/>
      <c r="H107" s="26" t="s">
        <v>74</v>
      </c>
      <c r="I107" s="26" t="s">
        <v>696</v>
      </c>
      <c r="J107" s="26" t="s">
        <v>76</v>
      </c>
      <c r="K107" s="26" t="s">
        <v>77</v>
      </c>
      <c r="L107" s="26" t="s">
        <v>78</v>
      </c>
      <c r="M107" s="26" t="s">
        <v>100</v>
      </c>
      <c r="N107" s="26" t="s">
        <v>101</v>
      </c>
      <c r="O107" s="26" t="s">
        <v>80</v>
      </c>
      <c r="P107" s="26" t="s">
        <v>279</v>
      </c>
      <c r="Q107" s="26" t="s">
        <v>82</v>
      </c>
      <c r="R107" s="26" t="s">
        <v>697</v>
      </c>
      <c r="S107" s="26" t="s">
        <v>104</v>
      </c>
      <c r="T107" s="26" t="s">
        <v>82</v>
      </c>
      <c r="U107" s="26" t="s">
        <v>101</v>
      </c>
      <c r="V107" s="26" t="s">
        <v>86</v>
      </c>
      <c r="W107" s="26" t="s">
        <v>86</v>
      </c>
      <c r="X107" s="26" t="s">
        <v>86</v>
      </c>
      <c r="Y107" s="26" t="s">
        <v>78</v>
      </c>
      <c r="Z107" s="26" t="s">
        <v>78</v>
      </c>
      <c r="AA107" s="27">
        <v>0</v>
      </c>
      <c r="AB107" s="27">
        <v>0</v>
      </c>
      <c r="AC107" s="27">
        <v>0</v>
      </c>
      <c r="AD107" s="27">
        <v>0</v>
      </c>
      <c r="AE107" s="27">
        <v>0</v>
      </c>
      <c r="AF107" s="27">
        <v>0</v>
      </c>
      <c r="AG107" s="27">
        <v>0</v>
      </c>
      <c r="AH107" s="27">
        <v>0</v>
      </c>
      <c r="AI107" s="27">
        <v>0</v>
      </c>
      <c r="AJ107" s="27">
        <v>0</v>
      </c>
      <c r="AK107" s="27">
        <v>0</v>
      </c>
      <c r="AL107" s="27">
        <v>0.25</v>
      </c>
      <c r="AM107" s="27">
        <v>0</v>
      </c>
      <c r="AN107" s="27">
        <v>0.25</v>
      </c>
      <c r="AO107" s="28">
        <v>1</v>
      </c>
      <c r="AP107" s="29">
        <v>0.125</v>
      </c>
      <c r="AQ107" s="29">
        <v>0.125</v>
      </c>
      <c r="AR107" s="30"/>
      <c r="AT107" s="31" t="s">
        <v>478</v>
      </c>
      <c r="AU107" s="31" t="s">
        <v>478</v>
      </c>
      <c r="AV107" s="31" t="s">
        <v>478</v>
      </c>
      <c r="AW107" s="31" t="s">
        <v>478</v>
      </c>
      <c r="AX107" s="31" t="s">
        <v>478</v>
      </c>
      <c r="AY107" s="32"/>
      <c r="AZ107" s="31" t="s">
        <v>197</v>
      </c>
      <c r="BA107" s="31" t="s">
        <v>197</v>
      </c>
      <c r="BB107" s="31" t="s">
        <v>197</v>
      </c>
      <c r="BC107" s="31" t="s">
        <v>197</v>
      </c>
      <c r="BD107" s="31" t="s">
        <v>197</v>
      </c>
      <c r="BE107" s="31" t="s">
        <v>197</v>
      </c>
      <c r="BF107" s="31" t="s">
        <v>156</v>
      </c>
      <c r="BG107" s="31" t="s">
        <v>156</v>
      </c>
      <c r="BH107" s="31" t="s">
        <v>156</v>
      </c>
      <c r="BI107" s="31" t="s">
        <v>156</v>
      </c>
      <c r="BK107" s="31">
        <v>0</v>
      </c>
      <c r="BL107" s="31">
        <v>0</v>
      </c>
      <c r="BM107" s="31">
        <v>0</v>
      </c>
      <c r="BN107" s="31">
        <v>0</v>
      </c>
      <c r="BO107" s="31">
        <v>0</v>
      </c>
      <c r="BQ107" s="31">
        <v>0</v>
      </c>
      <c r="BR107" s="31">
        <v>1</v>
      </c>
      <c r="BS107" s="31">
        <v>2</v>
      </c>
    </row>
    <row r="108" spans="1:71" ht="18.75" customHeight="1">
      <c r="A108" s="25">
        <v>12675</v>
      </c>
      <c r="B108" s="25" t="s">
        <v>698</v>
      </c>
      <c r="C108" s="25" t="s">
        <v>699</v>
      </c>
      <c r="D108" s="25" t="s">
        <v>700</v>
      </c>
      <c r="E108" s="26" t="s">
        <v>204</v>
      </c>
      <c r="F108" s="26" t="s">
        <v>193</v>
      </c>
      <c r="G108" s="26" t="s">
        <v>205</v>
      </c>
      <c r="H108" s="26" t="s">
        <v>74</v>
      </c>
      <c r="I108" s="26" t="s">
        <v>696</v>
      </c>
      <c r="J108" s="26" t="s">
        <v>76</v>
      </c>
      <c r="K108" s="26" t="s">
        <v>701</v>
      </c>
      <c r="L108" s="26" t="s">
        <v>78</v>
      </c>
      <c r="M108" s="26" t="s">
        <v>100</v>
      </c>
      <c r="N108" s="26" t="s">
        <v>101</v>
      </c>
      <c r="O108" s="26" t="s">
        <v>80</v>
      </c>
      <c r="P108" s="26" t="s">
        <v>702</v>
      </c>
      <c r="Q108" s="26" t="s">
        <v>82</v>
      </c>
      <c r="R108" s="26" t="s">
        <v>703</v>
      </c>
      <c r="S108" s="26" t="s">
        <v>84</v>
      </c>
      <c r="T108" s="26" t="s">
        <v>82</v>
      </c>
      <c r="U108" s="26" t="s">
        <v>101</v>
      </c>
      <c r="V108" s="26" t="s">
        <v>86</v>
      </c>
      <c r="W108" s="26" t="s">
        <v>86</v>
      </c>
      <c r="X108" s="26" t="s">
        <v>86</v>
      </c>
      <c r="Y108" s="26" t="s">
        <v>78</v>
      </c>
      <c r="Z108" s="26" t="s">
        <v>78</v>
      </c>
      <c r="AA108" s="40">
        <v>0</v>
      </c>
      <c r="AB108" s="40"/>
      <c r="AC108" s="40"/>
      <c r="AD108" s="40"/>
      <c r="AE108" s="40"/>
      <c r="AF108" s="40"/>
      <c r="AG108" s="40"/>
      <c r="AH108" s="40"/>
      <c r="AI108" s="40"/>
      <c r="AJ108" s="40"/>
      <c r="AK108" s="40"/>
      <c r="AL108" s="40">
        <v>0.1</v>
      </c>
      <c r="AM108" s="40">
        <v>0</v>
      </c>
      <c r="AN108" s="27">
        <v>0.1</v>
      </c>
      <c r="AO108" s="28"/>
      <c r="AP108" s="29">
        <v>0.05</v>
      </c>
      <c r="AQ108" s="29">
        <v>0.05</v>
      </c>
      <c r="AR108" s="30"/>
      <c r="AT108" s="31" t="s">
        <v>478</v>
      </c>
      <c r="AU108" s="31" t="s">
        <v>478</v>
      </c>
      <c r="AV108" s="31" t="s">
        <v>478</v>
      </c>
      <c r="AW108" s="31" t="s">
        <v>478</v>
      </c>
      <c r="AX108" s="31" t="s">
        <v>478</v>
      </c>
      <c r="AY108" s="32"/>
      <c r="AZ108" s="31" t="s">
        <v>197</v>
      </c>
      <c r="BA108" s="31" t="s">
        <v>197</v>
      </c>
      <c r="BB108" s="31" t="s">
        <v>478</v>
      </c>
      <c r="BC108" s="31" t="s">
        <v>704</v>
      </c>
      <c r="BD108" s="31" t="s">
        <v>705</v>
      </c>
      <c r="BE108" s="33" t="s">
        <v>212</v>
      </c>
      <c r="BF108" s="31" t="s">
        <v>156</v>
      </c>
      <c r="BG108" s="31" t="s">
        <v>156</v>
      </c>
      <c r="BH108" s="31" t="s">
        <v>156</v>
      </c>
      <c r="BI108" s="31" t="s">
        <v>156</v>
      </c>
      <c r="BK108" s="31">
        <v>0</v>
      </c>
      <c r="BL108" s="31">
        <v>0</v>
      </c>
      <c r="BM108" s="31">
        <v>0</v>
      </c>
      <c r="BN108" s="31">
        <v>0</v>
      </c>
      <c r="BO108" s="31">
        <v>0</v>
      </c>
      <c r="BQ108" s="31">
        <v>0</v>
      </c>
      <c r="BR108" s="31">
        <v>0</v>
      </c>
      <c r="BS108" s="31">
        <v>0</v>
      </c>
    </row>
    <row r="109" spans="1:71" ht="18.75" hidden="1" customHeight="1">
      <c r="A109" s="25">
        <v>12721</v>
      </c>
      <c r="B109" s="25" t="s">
        <v>706</v>
      </c>
      <c r="C109" s="25" t="s">
        <v>707</v>
      </c>
      <c r="D109" s="25" t="s">
        <v>708</v>
      </c>
      <c r="E109" s="26" t="s">
        <v>246</v>
      </c>
      <c r="F109" s="26" t="s">
        <v>72</v>
      </c>
      <c r="G109" s="26" t="s">
        <v>247</v>
      </c>
      <c r="H109" s="26" t="s">
        <v>504</v>
      </c>
      <c r="I109" s="26" t="s">
        <v>75</v>
      </c>
      <c r="J109" s="26" t="s">
        <v>76</v>
      </c>
      <c r="K109" s="26" t="s">
        <v>77</v>
      </c>
      <c r="L109" s="26" t="s">
        <v>78</v>
      </c>
      <c r="M109" s="26" t="s">
        <v>709</v>
      </c>
      <c r="N109" s="26" t="s">
        <v>80</v>
      </c>
      <c r="O109" s="26" t="s">
        <v>101</v>
      </c>
      <c r="P109" s="26" t="s">
        <v>710</v>
      </c>
      <c r="Q109" s="26" t="s">
        <v>82</v>
      </c>
      <c r="R109" s="26" t="s">
        <v>711</v>
      </c>
      <c r="S109" s="26" t="s">
        <v>84</v>
      </c>
      <c r="T109" s="26" t="s">
        <v>85</v>
      </c>
      <c r="U109" s="26" t="s">
        <v>80</v>
      </c>
      <c r="V109" s="26" t="s">
        <v>86</v>
      </c>
      <c r="W109" s="26" t="s">
        <v>86</v>
      </c>
      <c r="X109" s="26" t="s">
        <v>86</v>
      </c>
      <c r="Y109" s="26" t="s">
        <v>78</v>
      </c>
      <c r="Z109" s="26" t="s">
        <v>78</v>
      </c>
      <c r="AA109" s="27">
        <v>0.24166666666666664</v>
      </c>
      <c r="AB109" s="27">
        <v>0</v>
      </c>
      <c r="AC109" s="27">
        <v>0</v>
      </c>
      <c r="AD109" s="27">
        <v>0.24166666666666664</v>
      </c>
      <c r="AE109" s="27">
        <v>0</v>
      </c>
      <c r="AF109" s="27">
        <v>0</v>
      </c>
      <c r="AG109" s="27">
        <v>0.24166666666666664</v>
      </c>
      <c r="AH109" s="27">
        <v>0</v>
      </c>
      <c r="AI109" s="27">
        <v>0</v>
      </c>
      <c r="AJ109" s="27">
        <v>0</v>
      </c>
      <c r="AK109" s="27">
        <v>0</v>
      </c>
      <c r="AL109" s="27">
        <v>0</v>
      </c>
      <c r="AM109" s="27">
        <v>0</v>
      </c>
      <c r="AN109" s="27">
        <v>0.24166666666666664</v>
      </c>
      <c r="AO109" s="28">
        <v>0.93103448275862066</v>
      </c>
      <c r="AP109" s="29">
        <v>0.12083333333333332</v>
      </c>
      <c r="AQ109" s="29">
        <v>0.12083333333333332</v>
      </c>
      <c r="AR109" s="30"/>
      <c r="AT109" s="38">
        <v>2000</v>
      </c>
      <c r="AU109" s="38">
        <v>0</v>
      </c>
      <c r="AV109" s="38">
        <v>4</v>
      </c>
      <c r="AW109" s="38">
        <v>1</v>
      </c>
      <c r="AX109" s="38">
        <v>3</v>
      </c>
      <c r="AY109" s="45"/>
      <c r="AZ109" s="38">
        <v>3</v>
      </c>
      <c r="BA109" s="38">
        <v>1</v>
      </c>
      <c r="BB109" s="38" t="s">
        <v>388</v>
      </c>
      <c r="BC109" s="38" t="s">
        <v>197</v>
      </c>
      <c r="BD109" s="38" t="s">
        <v>389</v>
      </c>
      <c r="BE109" s="46" t="s">
        <v>361</v>
      </c>
      <c r="BF109" s="31" t="s">
        <v>156</v>
      </c>
      <c r="BG109" s="31" t="s">
        <v>156</v>
      </c>
      <c r="BH109" s="31" t="s">
        <v>156</v>
      </c>
      <c r="BI109" s="31" t="s">
        <v>156</v>
      </c>
      <c r="BK109" s="31">
        <v>0</v>
      </c>
      <c r="BL109" s="31">
        <v>0</v>
      </c>
      <c r="BM109" s="31">
        <v>0</v>
      </c>
      <c r="BN109" s="31">
        <v>1</v>
      </c>
      <c r="BO109" s="31">
        <v>14</v>
      </c>
      <c r="BQ109" s="31">
        <v>0</v>
      </c>
      <c r="BR109" s="31">
        <v>0</v>
      </c>
      <c r="BS109" s="31">
        <v>7</v>
      </c>
    </row>
    <row r="110" spans="1:71" ht="18.75" hidden="1" customHeight="1">
      <c r="A110" s="25">
        <v>12820</v>
      </c>
      <c r="B110" s="25" t="s">
        <v>712</v>
      </c>
      <c r="C110" s="25" t="s">
        <v>713</v>
      </c>
      <c r="D110" s="25" t="s">
        <v>714</v>
      </c>
      <c r="E110" s="26" t="s">
        <v>311</v>
      </c>
      <c r="F110" s="26" t="s">
        <v>312</v>
      </c>
      <c r="G110" s="26" t="s">
        <v>369</v>
      </c>
      <c r="H110" s="26" t="s">
        <v>74</v>
      </c>
      <c r="I110" s="26" t="s">
        <v>75</v>
      </c>
      <c r="J110" s="26" t="s">
        <v>76</v>
      </c>
      <c r="K110" s="26" t="s">
        <v>77</v>
      </c>
      <c r="L110" s="26" t="s">
        <v>78</v>
      </c>
      <c r="M110" s="26" t="s">
        <v>370</v>
      </c>
      <c r="N110" s="26" t="s">
        <v>101</v>
      </c>
      <c r="O110" s="26" t="s">
        <v>80</v>
      </c>
      <c r="P110" s="26" t="s">
        <v>715</v>
      </c>
      <c r="Q110" s="26" t="s">
        <v>82</v>
      </c>
      <c r="R110" s="26" t="s">
        <v>280</v>
      </c>
      <c r="S110" s="26" t="s">
        <v>104</v>
      </c>
      <c r="T110" s="26" t="s">
        <v>82</v>
      </c>
      <c r="U110" s="26" t="s">
        <v>101</v>
      </c>
      <c r="V110" s="26" t="s">
        <v>86</v>
      </c>
      <c r="W110" s="26" t="s">
        <v>86</v>
      </c>
      <c r="X110" s="26" t="s">
        <v>86</v>
      </c>
      <c r="Y110" s="26" t="s">
        <v>78</v>
      </c>
      <c r="Z110" s="26" t="s">
        <v>78</v>
      </c>
      <c r="AA110" s="27">
        <v>0.36249999999999999</v>
      </c>
      <c r="AB110" s="27">
        <v>0</v>
      </c>
      <c r="AC110" s="27">
        <v>0</v>
      </c>
      <c r="AD110" s="27">
        <v>0.36249999999999999</v>
      </c>
      <c r="AE110" s="27">
        <v>0</v>
      </c>
      <c r="AF110" s="27">
        <v>0.11249999999999999</v>
      </c>
      <c r="AG110" s="27">
        <v>0.24999999999999997</v>
      </c>
      <c r="AH110" s="27">
        <v>0</v>
      </c>
      <c r="AI110" s="27">
        <v>0</v>
      </c>
      <c r="AJ110" s="27">
        <v>0</v>
      </c>
      <c r="AK110" s="27">
        <v>0</v>
      </c>
      <c r="AL110" s="27">
        <v>0</v>
      </c>
      <c r="AM110" s="27">
        <v>0</v>
      </c>
      <c r="AN110" s="27">
        <v>0.36249999999999999</v>
      </c>
      <c r="AO110" s="28">
        <v>1</v>
      </c>
      <c r="AP110" s="29">
        <v>0.18124999999999999</v>
      </c>
      <c r="AQ110" s="29">
        <v>0.18124999999999999</v>
      </c>
      <c r="AR110" s="30"/>
      <c r="AT110" s="52">
        <v>15000</v>
      </c>
      <c r="AU110" s="31">
        <v>0</v>
      </c>
      <c r="AV110" s="31">
        <v>20</v>
      </c>
      <c r="AW110" s="31">
        <v>0</v>
      </c>
      <c r="AX110" s="31">
        <v>10</v>
      </c>
      <c r="AY110" s="32"/>
      <c r="AZ110" s="31">
        <v>1</v>
      </c>
      <c r="BA110" s="31">
        <v>3</v>
      </c>
      <c r="BB110" s="31" t="s">
        <v>388</v>
      </c>
      <c r="BC110" s="31" t="s">
        <v>315</v>
      </c>
      <c r="BD110" s="31" t="s">
        <v>389</v>
      </c>
      <c r="BE110" s="33" t="s">
        <v>317</v>
      </c>
      <c r="BF110" s="31" t="s">
        <v>94</v>
      </c>
      <c r="BG110" s="31" t="s">
        <v>94</v>
      </c>
      <c r="BH110" s="31" t="s">
        <v>334</v>
      </c>
      <c r="BI110" s="31" t="s">
        <v>334</v>
      </c>
      <c r="BK110" s="31">
        <v>0</v>
      </c>
      <c r="BL110" s="31">
        <v>0</v>
      </c>
      <c r="BM110" s="31">
        <v>2</v>
      </c>
      <c r="BN110" s="31">
        <v>2</v>
      </c>
      <c r="BO110" s="31">
        <v>5</v>
      </c>
      <c r="BQ110" s="31">
        <v>2</v>
      </c>
      <c r="BR110" s="31">
        <v>1</v>
      </c>
      <c r="BS110" s="31">
        <v>28</v>
      </c>
    </row>
    <row r="111" spans="1:71" ht="18.75" hidden="1" customHeight="1">
      <c r="A111" s="25">
        <v>12890</v>
      </c>
      <c r="B111" s="25" t="s">
        <v>716</v>
      </c>
      <c r="C111" s="25" t="s">
        <v>717</v>
      </c>
      <c r="D111" s="25" t="s">
        <v>718</v>
      </c>
      <c r="E111" s="26" t="s">
        <v>246</v>
      </c>
      <c r="F111" s="26" t="s">
        <v>72</v>
      </c>
      <c r="G111" s="26" t="s">
        <v>247</v>
      </c>
      <c r="H111" s="26" t="s">
        <v>74</v>
      </c>
      <c r="I111" s="26" t="s">
        <v>185</v>
      </c>
      <c r="J111" s="26" t="s">
        <v>76</v>
      </c>
      <c r="K111" s="26" t="s">
        <v>77</v>
      </c>
      <c r="L111" s="26" t="s">
        <v>86</v>
      </c>
      <c r="M111" s="26" t="s">
        <v>100</v>
      </c>
      <c r="N111" s="26" t="s">
        <v>101</v>
      </c>
      <c r="O111" s="26" t="s">
        <v>80</v>
      </c>
      <c r="P111" s="26" t="s">
        <v>279</v>
      </c>
      <c r="Q111" s="26" t="s">
        <v>82</v>
      </c>
      <c r="R111" s="26" t="s">
        <v>719</v>
      </c>
      <c r="S111" s="26" t="s">
        <v>104</v>
      </c>
      <c r="T111" s="26" t="s">
        <v>82</v>
      </c>
      <c r="U111" s="26" t="s">
        <v>101</v>
      </c>
      <c r="V111" s="26" t="s">
        <v>86</v>
      </c>
      <c r="W111" s="26" t="s">
        <v>86</v>
      </c>
      <c r="X111" s="26" t="s">
        <v>86</v>
      </c>
      <c r="Y111" s="26" t="s">
        <v>78</v>
      </c>
      <c r="Z111" s="26" t="s">
        <v>78</v>
      </c>
      <c r="AA111" s="27">
        <v>1.2346249999999999</v>
      </c>
      <c r="AB111" s="27">
        <v>0</v>
      </c>
      <c r="AC111" s="27">
        <v>0</v>
      </c>
      <c r="AD111" s="27">
        <v>1.2346249999999999</v>
      </c>
      <c r="AE111" s="27">
        <v>0</v>
      </c>
      <c r="AF111" s="27">
        <v>0</v>
      </c>
      <c r="AG111" s="27">
        <v>1.2346249999999999</v>
      </c>
      <c r="AH111" s="27">
        <v>0</v>
      </c>
      <c r="AI111" s="27">
        <v>0</v>
      </c>
      <c r="AJ111" s="27">
        <v>0</v>
      </c>
      <c r="AK111" s="27">
        <v>0</v>
      </c>
      <c r="AL111" s="27">
        <v>6.25E-2</v>
      </c>
      <c r="AM111" s="27">
        <v>0</v>
      </c>
      <c r="AN111" s="27">
        <v>1.2971249999999999</v>
      </c>
      <c r="AO111" s="28">
        <v>0.85063120362339784</v>
      </c>
      <c r="AP111" s="29">
        <v>0.64856249999999993</v>
      </c>
      <c r="AQ111" s="29">
        <v>0.64856249999999993</v>
      </c>
      <c r="AR111" s="30"/>
      <c r="AT111" s="31" t="s">
        <v>720</v>
      </c>
      <c r="AU111" s="31">
        <v>1</v>
      </c>
      <c r="AV111" s="31">
        <v>14</v>
      </c>
      <c r="AW111" s="31" t="s">
        <v>197</v>
      </c>
      <c r="AX111" s="31">
        <v>12</v>
      </c>
      <c r="AY111" s="32"/>
      <c r="AZ111" s="31">
        <v>3</v>
      </c>
      <c r="BA111" s="31">
        <v>1</v>
      </c>
      <c r="BB111" s="31" t="s">
        <v>721</v>
      </c>
      <c r="BC111" s="31" t="s">
        <v>250</v>
      </c>
      <c r="BD111" s="31" t="s">
        <v>722</v>
      </c>
      <c r="BE111" s="33" t="s">
        <v>333</v>
      </c>
      <c r="BF111" s="31" t="s">
        <v>94</v>
      </c>
      <c r="BG111" s="31" t="s">
        <v>334</v>
      </c>
      <c r="BH111" s="31" t="s">
        <v>94</v>
      </c>
      <c r="BI111" s="31" t="s">
        <v>94</v>
      </c>
      <c r="BK111" s="31">
        <v>0</v>
      </c>
      <c r="BL111" s="31">
        <v>0</v>
      </c>
      <c r="BM111" s="31">
        <v>13</v>
      </c>
      <c r="BN111" s="31">
        <v>8</v>
      </c>
      <c r="BO111" s="31">
        <v>11</v>
      </c>
      <c r="BQ111" s="31">
        <v>9</v>
      </c>
      <c r="BR111" s="31">
        <v>0</v>
      </c>
      <c r="BS111" s="31">
        <v>85</v>
      </c>
    </row>
    <row r="112" spans="1:71" ht="18.75" hidden="1" customHeight="1">
      <c r="A112" s="25">
        <v>12894</v>
      </c>
      <c r="B112" s="25" t="s">
        <v>723</v>
      </c>
      <c r="C112" s="25" t="s">
        <v>724</v>
      </c>
      <c r="D112" s="25" t="s">
        <v>725</v>
      </c>
      <c r="E112" s="26" t="s">
        <v>238</v>
      </c>
      <c r="F112" s="26" t="s">
        <v>193</v>
      </c>
      <c r="G112" s="26" t="s">
        <v>726</v>
      </c>
      <c r="H112" s="26" t="s">
        <v>74</v>
      </c>
      <c r="I112" s="26" t="s">
        <v>185</v>
      </c>
      <c r="J112" s="26" t="s">
        <v>76</v>
      </c>
      <c r="K112" s="26" t="s">
        <v>77</v>
      </c>
      <c r="L112" s="26" t="s">
        <v>78</v>
      </c>
      <c r="M112" s="26" t="s">
        <v>100</v>
      </c>
      <c r="N112" s="26" t="s">
        <v>101</v>
      </c>
      <c r="O112" s="26" t="s">
        <v>80</v>
      </c>
      <c r="P112" s="26" t="s">
        <v>279</v>
      </c>
      <c r="Q112" s="26" t="s">
        <v>82</v>
      </c>
      <c r="R112" s="26" t="s">
        <v>727</v>
      </c>
      <c r="S112" s="26" t="s">
        <v>104</v>
      </c>
      <c r="T112" s="26" t="s">
        <v>281</v>
      </c>
      <c r="U112" s="26" t="s">
        <v>80</v>
      </c>
      <c r="V112" s="26" t="s">
        <v>86</v>
      </c>
      <c r="W112" s="26" t="s">
        <v>86</v>
      </c>
      <c r="X112" s="26" t="s">
        <v>86</v>
      </c>
      <c r="Y112" s="26" t="s">
        <v>78</v>
      </c>
      <c r="Z112" s="26" t="s">
        <v>78</v>
      </c>
      <c r="AA112" s="27">
        <v>2.6333333333333337</v>
      </c>
      <c r="AB112" s="27">
        <v>0</v>
      </c>
      <c r="AC112" s="27">
        <v>2</v>
      </c>
      <c r="AD112" s="27">
        <v>0.6333333333333333</v>
      </c>
      <c r="AE112" s="27">
        <v>0</v>
      </c>
      <c r="AF112" s="27">
        <v>0</v>
      </c>
      <c r="AG112" s="27">
        <v>2</v>
      </c>
      <c r="AH112" s="27">
        <v>0.125</v>
      </c>
      <c r="AI112" s="27">
        <v>0.5</v>
      </c>
      <c r="AJ112" s="27">
        <v>0</v>
      </c>
      <c r="AK112" s="27">
        <v>0</v>
      </c>
      <c r="AL112" s="27">
        <v>2.7791666666666672</v>
      </c>
      <c r="AM112" s="27">
        <v>2.9187500000000002</v>
      </c>
      <c r="AN112" s="27">
        <v>8.3312500000000007</v>
      </c>
      <c r="AO112" s="28">
        <v>0.92748187046761688</v>
      </c>
      <c r="AP112" s="29">
        <v>4.1656250000000004</v>
      </c>
      <c r="AQ112" s="29">
        <v>4.1656250000000004</v>
      </c>
      <c r="AR112" s="30"/>
      <c r="AT112" s="31"/>
      <c r="AU112" s="31"/>
      <c r="AV112" s="31"/>
      <c r="AW112" s="31"/>
      <c r="AX112" s="31"/>
      <c r="AY112" s="32"/>
      <c r="AZ112" s="31">
        <v>1</v>
      </c>
      <c r="BA112" s="31">
        <v>3</v>
      </c>
      <c r="BB112" s="31" t="s">
        <v>728</v>
      </c>
      <c r="BC112" s="31" t="s">
        <v>729</v>
      </c>
      <c r="BD112" s="31" t="s">
        <v>654</v>
      </c>
      <c r="BE112" s="33" t="s">
        <v>730</v>
      </c>
      <c r="BF112" s="31" t="s">
        <v>94</v>
      </c>
      <c r="BG112" s="31" t="s">
        <v>94</v>
      </c>
      <c r="BH112" s="31" t="s">
        <v>94</v>
      </c>
      <c r="BI112" s="31" t="s">
        <v>94</v>
      </c>
      <c r="BK112" s="31">
        <v>0</v>
      </c>
      <c r="BL112" s="31">
        <v>0</v>
      </c>
      <c r="BM112" s="31">
        <v>2</v>
      </c>
      <c r="BN112" s="31">
        <v>44</v>
      </c>
      <c r="BO112" s="31">
        <v>15</v>
      </c>
      <c r="BQ112" s="31">
        <v>5</v>
      </c>
      <c r="BR112" s="31">
        <v>3</v>
      </c>
      <c r="BS112" s="31">
        <v>181</v>
      </c>
    </row>
    <row r="113" spans="1:71" ht="18.75" hidden="1" customHeight="1">
      <c r="A113" s="25">
        <v>12932</v>
      </c>
      <c r="B113" s="25" t="s">
        <v>731</v>
      </c>
      <c r="C113" s="25" t="s">
        <v>732</v>
      </c>
      <c r="D113" s="25" t="s">
        <v>733</v>
      </c>
      <c r="E113" s="26" t="s">
        <v>238</v>
      </c>
      <c r="F113" s="26" t="s">
        <v>193</v>
      </c>
      <c r="G113" s="26" t="s">
        <v>239</v>
      </c>
      <c r="H113" s="26" t="s">
        <v>504</v>
      </c>
      <c r="I113" s="26" t="s">
        <v>75</v>
      </c>
      <c r="J113" s="26" t="s">
        <v>76</v>
      </c>
      <c r="K113" s="26" t="s">
        <v>77</v>
      </c>
      <c r="L113" s="26" t="s">
        <v>78</v>
      </c>
      <c r="M113" s="26" t="s">
        <v>100</v>
      </c>
      <c r="N113" s="26" t="s">
        <v>80</v>
      </c>
      <c r="O113" s="26" t="s">
        <v>80</v>
      </c>
      <c r="P113" s="26" t="s">
        <v>734</v>
      </c>
      <c r="Q113" s="26" t="s">
        <v>82</v>
      </c>
      <c r="R113" s="26" t="s">
        <v>735</v>
      </c>
      <c r="S113" s="26" t="s">
        <v>104</v>
      </c>
      <c r="T113" s="26" t="s">
        <v>281</v>
      </c>
      <c r="U113" s="26" t="s">
        <v>80</v>
      </c>
      <c r="V113" s="26" t="s">
        <v>86</v>
      </c>
      <c r="W113" s="26" t="s">
        <v>86</v>
      </c>
      <c r="X113" s="26" t="s">
        <v>86</v>
      </c>
      <c r="Y113" s="26" t="s">
        <v>78</v>
      </c>
      <c r="Z113" s="26" t="s">
        <v>78</v>
      </c>
      <c r="AA113" s="27">
        <v>35.819583333333327</v>
      </c>
      <c r="AB113" s="27">
        <v>0</v>
      </c>
      <c r="AC113" s="27">
        <v>8.65</v>
      </c>
      <c r="AD113" s="27">
        <v>27.169583333333343</v>
      </c>
      <c r="AE113" s="27">
        <v>0</v>
      </c>
      <c r="AF113" s="27">
        <v>4.3583333333333334</v>
      </c>
      <c r="AG113" s="27">
        <v>10.208333333333332</v>
      </c>
      <c r="AH113" s="27">
        <v>15.066666666666665</v>
      </c>
      <c r="AI113" s="27">
        <v>4.875</v>
      </c>
      <c r="AJ113" s="27">
        <v>1</v>
      </c>
      <c r="AK113" s="27">
        <v>0.31125000000000003</v>
      </c>
      <c r="AL113" s="27">
        <v>25.000000000000068</v>
      </c>
      <c r="AM113" s="27">
        <v>12.866666666666667</v>
      </c>
      <c r="AN113" s="27">
        <v>73.686250000000058</v>
      </c>
      <c r="AO113" s="28">
        <v>0.91167506375567586</v>
      </c>
      <c r="AP113" s="29">
        <v>36.843125000000029</v>
      </c>
      <c r="AQ113" s="29">
        <v>36.843125000000029</v>
      </c>
      <c r="AR113" s="30"/>
      <c r="AT113" s="31">
        <v>100000</v>
      </c>
      <c r="AU113" s="31">
        <v>100</v>
      </c>
      <c r="AV113" s="31">
        <v>10</v>
      </c>
      <c r="AW113" s="31">
        <v>30</v>
      </c>
      <c r="AX113" s="31">
        <v>0</v>
      </c>
      <c r="AY113" s="32"/>
      <c r="AZ113" s="31">
        <v>1</v>
      </c>
      <c r="BA113" s="31">
        <v>2</v>
      </c>
      <c r="BB113" s="31"/>
      <c r="BC113" s="31"/>
      <c r="BD113" s="31"/>
      <c r="BE113" s="33"/>
      <c r="BF113" s="31" t="s">
        <v>94</v>
      </c>
      <c r="BG113" s="31" t="s">
        <v>94</v>
      </c>
      <c r="BH113" s="31" t="s">
        <v>94</v>
      </c>
      <c r="BI113" s="31" t="s">
        <v>94</v>
      </c>
      <c r="BK113" s="31">
        <v>1</v>
      </c>
      <c r="BL113" s="31">
        <v>0</v>
      </c>
      <c r="BM113" s="31">
        <v>82</v>
      </c>
      <c r="BN113" s="31">
        <v>242</v>
      </c>
      <c r="BO113" s="31">
        <v>720</v>
      </c>
      <c r="BQ113" s="31">
        <v>18</v>
      </c>
      <c r="BR113" s="31">
        <v>93</v>
      </c>
      <c r="BS113" s="31">
        <v>334</v>
      </c>
    </row>
    <row r="114" spans="1:71" ht="18.75" hidden="1" customHeight="1">
      <c r="A114" s="25">
        <v>12991</v>
      </c>
      <c r="B114" s="25" t="s">
        <v>736</v>
      </c>
      <c r="C114" s="25" t="s">
        <v>737</v>
      </c>
      <c r="D114" s="25" t="s">
        <v>738</v>
      </c>
      <c r="E114" s="26" t="s">
        <v>337</v>
      </c>
      <c r="F114" s="26" t="s">
        <v>312</v>
      </c>
      <c r="G114" s="26" t="s">
        <v>338</v>
      </c>
      <c r="H114" s="26" t="s">
        <v>504</v>
      </c>
      <c r="I114" s="26" t="s">
        <v>185</v>
      </c>
      <c r="J114" s="26" t="s">
        <v>76</v>
      </c>
      <c r="K114" s="26" t="s">
        <v>77</v>
      </c>
      <c r="L114" s="26" t="s">
        <v>78</v>
      </c>
      <c r="M114" s="26" t="s">
        <v>79</v>
      </c>
      <c r="N114" s="26" t="s">
        <v>80</v>
      </c>
      <c r="O114" s="26" t="s">
        <v>80</v>
      </c>
      <c r="P114" s="26" t="s">
        <v>240</v>
      </c>
      <c r="Q114" s="26" t="s">
        <v>82</v>
      </c>
      <c r="R114" s="26" t="s">
        <v>280</v>
      </c>
      <c r="S114" s="26" t="s">
        <v>104</v>
      </c>
      <c r="T114" s="26" t="s">
        <v>281</v>
      </c>
      <c r="U114" s="26" t="s">
        <v>80</v>
      </c>
      <c r="V114" s="26" t="s">
        <v>86</v>
      </c>
      <c r="W114" s="26" t="s">
        <v>86</v>
      </c>
      <c r="X114" s="26" t="s">
        <v>86</v>
      </c>
      <c r="Y114" s="26" t="s">
        <v>78</v>
      </c>
      <c r="Z114" s="26" t="s">
        <v>86</v>
      </c>
      <c r="AA114" s="27">
        <v>4.6458333333333321</v>
      </c>
      <c r="AB114" s="27">
        <v>0</v>
      </c>
      <c r="AC114" s="27">
        <v>2.0208333333333335</v>
      </c>
      <c r="AD114" s="27">
        <v>2.6250000000000009</v>
      </c>
      <c r="AE114" s="27">
        <v>0</v>
      </c>
      <c r="AF114" s="27">
        <v>0</v>
      </c>
      <c r="AG114" s="27">
        <v>3.3125000000000004</v>
      </c>
      <c r="AH114" s="27">
        <v>1.333333333333333</v>
      </c>
      <c r="AI114" s="27">
        <v>0</v>
      </c>
      <c r="AJ114" s="27">
        <v>0</v>
      </c>
      <c r="AK114" s="27">
        <v>0</v>
      </c>
      <c r="AL114" s="27">
        <v>4.5625</v>
      </c>
      <c r="AM114" s="27">
        <v>2.9999999999999996</v>
      </c>
      <c r="AN114" s="27">
        <v>12.208333333333332</v>
      </c>
      <c r="AO114" s="28">
        <v>1</v>
      </c>
      <c r="AP114" s="29">
        <v>6.1041666666666661</v>
      </c>
      <c r="AQ114" s="29">
        <v>6.1041666666666661</v>
      </c>
      <c r="AR114" s="30" t="s">
        <v>739</v>
      </c>
      <c r="AT114" s="49">
        <v>200000</v>
      </c>
      <c r="AU114" s="31">
        <v>30</v>
      </c>
      <c r="AV114" s="31">
        <v>0</v>
      </c>
      <c r="AW114" s="31" t="s">
        <v>740</v>
      </c>
      <c r="AX114" s="31" t="s">
        <v>741</v>
      </c>
      <c r="AY114" s="32"/>
      <c r="AZ114" s="31">
        <v>2</v>
      </c>
      <c r="BA114" s="31">
        <v>2</v>
      </c>
      <c r="BB114" s="31" t="s">
        <v>742</v>
      </c>
      <c r="BC114" s="31" t="s">
        <v>743</v>
      </c>
      <c r="BD114" s="31" t="s">
        <v>744</v>
      </c>
      <c r="BE114" s="33" t="s">
        <v>745</v>
      </c>
      <c r="BF114" s="31" t="s">
        <v>94</v>
      </c>
      <c r="BG114" s="31" t="s">
        <v>94</v>
      </c>
      <c r="BH114" s="31" t="s">
        <v>94</v>
      </c>
      <c r="BI114" s="31" t="s">
        <v>94</v>
      </c>
      <c r="BK114" s="31">
        <v>0</v>
      </c>
      <c r="BL114" s="31">
        <v>1</v>
      </c>
      <c r="BM114" s="31">
        <v>10</v>
      </c>
      <c r="BN114" s="31">
        <v>40</v>
      </c>
      <c r="BO114" s="31">
        <v>120</v>
      </c>
      <c r="BQ114" s="31">
        <v>8</v>
      </c>
      <c r="BR114" s="31">
        <v>11</v>
      </c>
      <c r="BS114" s="31">
        <v>109</v>
      </c>
    </row>
    <row r="115" spans="1:71" ht="18.75" hidden="1" customHeight="1">
      <c r="A115" s="25">
        <v>13139</v>
      </c>
      <c r="B115" s="25" t="s">
        <v>746</v>
      </c>
      <c r="C115" s="25" t="s">
        <v>747</v>
      </c>
      <c r="D115" s="25" t="s">
        <v>747</v>
      </c>
      <c r="E115" s="26" t="s">
        <v>379</v>
      </c>
      <c r="F115" s="26" t="s">
        <v>380</v>
      </c>
      <c r="G115" s="26" t="s">
        <v>380</v>
      </c>
      <c r="H115" s="26" t="s">
        <v>74</v>
      </c>
      <c r="I115" s="26" t="s">
        <v>185</v>
      </c>
      <c r="J115" s="26" t="s">
        <v>76</v>
      </c>
      <c r="K115" s="26" t="s">
        <v>77</v>
      </c>
      <c r="L115" s="26" t="s">
        <v>78</v>
      </c>
      <c r="M115" s="26" t="s">
        <v>100</v>
      </c>
      <c r="N115" s="26" t="s">
        <v>80</v>
      </c>
      <c r="O115" s="26" t="s">
        <v>80</v>
      </c>
      <c r="P115" s="26" t="s">
        <v>279</v>
      </c>
      <c r="Q115" s="26" t="s">
        <v>82</v>
      </c>
      <c r="R115" s="26" t="s">
        <v>280</v>
      </c>
      <c r="S115" s="26" t="s">
        <v>104</v>
      </c>
      <c r="T115" s="26" t="s">
        <v>281</v>
      </c>
      <c r="U115" s="26" t="s">
        <v>80</v>
      </c>
      <c r="V115" s="26" t="s">
        <v>86</v>
      </c>
      <c r="W115" s="26" t="s">
        <v>86</v>
      </c>
      <c r="X115" s="26"/>
      <c r="Y115" s="26" t="s">
        <v>78</v>
      </c>
      <c r="Z115" s="26" t="s">
        <v>78</v>
      </c>
      <c r="AA115" s="27">
        <v>0</v>
      </c>
      <c r="AB115" s="27">
        <v>0</v>
      </c>
      <c r="AC115" s="27">
        <v>0</v>
      </c>
      <c r="AD115" s="27">
        <v>0</v>
      </c>
      <c r="AE115" s="27">
        <v>0</v>
      </c>
      <c r="AF115" s="27">
        <v>0</v>
      </c>
      <c r="AG115" s="27">
        <v>0</v>
      </c>
      <c r="AH115" s="27">
        <v>0</v>
      </c>
      <c r="AI115" s="27">
        <v>0</v>
      </c>
      <c r="AJ115" s="27">
        <v>0</v>
      </c>
      <c r="AK115" s="27">
        <v>0</v>
      </c>
      <c r="AL115" s="27">
        <v>1.3</v>
      </c>
      <c r="AM115" s="27">
        <v>0.69166666666666665</v>
      </c>
      <c r="AN115" s="27">
        <v>1.9916666666666667</v>
      </c>
      <c r="AO115" s="28">
        <v>1</v>
      </c>
      <c r="AP115" s="29">
        <v>0.99583333333333335</v>
      </c>
      <c r="AQ115" s="29">
        <v>0.99583333333333335</v>
      </c>
      <c r="AR115" s="30"/>
      <c r="AT115" s="31" t="s">
        <v>748</v>
      </c>
      <c r="AU115" s="31">
        <v>10</v>
      </c>
      <c r="AV115" s="31">
        <v>0</v>
      </c>
      <c r="AW115" s="31">
        <v>3</v>
      </c>
      <c r="AX115" s="31">
        <v>0</v>
      </c>
      <c r="AY115" s="32"/>
      <c r="AZ115" s="31">
        <v>1</v>
      </c>
      <c r="BA115" s="31">
        <v>1</v>
      </c>
      <c r="BB115" s="31" t="s">
        <v>742</v>
      </c>
      <c r="BC115" s="31" t="s">
        <v>250</v>
      </c>
      <c r="BD115" s="31"/>
      <c r="BE115" s="33" t="s">
        <v>372</v>
      </c>
      <c r="BF115" s="31" t="s">
        <v>94</v>
      </c>
      <c r="BG115" s="31" t="s">
        <v>94</v>
      </c>
      <c r="BH115" s="31" t="s">
        <v>94</v>
      </c>
      <c r="BI115" s="31" t="s">
        <v>94</v>
      </c>
      <c r="BK115" s="31">
        <v>0</v>
      </c>
      <c r="BL115" s="31">
        <v>0</v>
      </c>
      <c r="BM115" s="31">
        <v>4</v>
      </c>
      <c r="BN115" s="31">
        <v>9</v>
      </c>
      <c r="BO115" s="31">
        <v>5</v>
      </c>
      <c r="BQ115" s="31">
        <v>4</v>
      </c>
      <c r="BR115" s="31">
        <v>2</v>
      </c>
      <c r="BS115" s="31">
        <v>63</v>
      </c>
    </row>
    <row r="116" spans="1:71" ht="18.75" hidden="1" customHeight="1">
      <c r="A116" s="25">
        <v>13197</v>
      </c>
      <c r="B116" s="25" t="s">
        <v>749</v>
      </c>
      <c r="C116" s="25" t="s">
        <v>750</v>
      </c>
      <c r="D116" s="25" t="s">
        <v>751</v>
      </c>
      <c r="E116" s="26" t="s">
        <v>337</v>
      </c>
      <c r="F116" s="26" t="s">
        <v>312</v>
      </c>
      <c r="G116" s="26" t="s">
        <v>338</v>
      </c>
      <c r="H116" s="26" t="s">
        <v>504</v>
      </c>
      <c r="I116" s="26" t="s">
        <v>75</v>
      </c>
      <c r="J116" s="26" t="s">
        <v>76</v>
      </c>
      <c r="K116" s="26" t="s">
        <v>77</v>
      </c>
      <c r="L116" s="26" t="s">
        <v>86</v>
      </c>
      <c r="M116" s="26" t="s">
        <v>79</v>
      </c>
      <c r="N116" s="26" t="s">
        <v>101</v>
      </c>
      <c r="O116" s="26" t="s">
        <v>80</v>
      </c>
      <c r="P116" s="26" t="s">
        <v>752</v>
      </c>
      <c r="Q116" s="26" t="s">
        <v>82</v>
      </c>
      <c r="R116" s="26" t="s">
        <v>735</v>
      </c>
      <c r="S116" s="26" t="s">
        <v>104</v>
      </c>
      <c r="T116" s="26" t="s">
        <v>281</v>
      </c>
      <c r="U116" s="26" t="s">
        <v>80</v>
      </c>
      <c r="V116" s="26" t="s">
        <v>86</v>
      </c>
      <c r="W116" s="26" t="s">
        <v>86</v>
      </c>
      <c r="X116" s="26" t="s">
        <v>86</v>
      </c>
      <c r="Y116" s="26" t="s">
        <v>78</v>
      </c>
      <c r="Z116" s="26" t="s">
        <v>86</v>
      </c>
      <c r="AA116" s="27">
        <v>151.77083333333346</v>
      </c>
      <c r="AB116" s="27">
        <v>0</v>
      </c>
      <c r="AC116" s="27">
        <v>48.958333333333364</v>
      </c>
      <c r="AD116" s="27">
        <v>102.81249999999974</v>
      </c>
      <c r="AE116" s="27">
        <v>0</v>
      </c>
      <c r="AF116" s="27">
        <v>23.708333333333346</v>
      </c>
      <c r="AG116" s="27">
        <v>43.833333333333357</v>
      </c>
      <c r="AH116" s="27">
        <v>67.8333333333334</v>
      </c>
      <c r="AI116" s="27">
        <v>12.145833333333334</v>
      </c>
      <c r="AJ116" s="27">
        <v>3.7500000000000004</v>
      </c>
      <c r="AK116" s="27">
        <v>0.5</v>
      </c>
      <c r="AL116" s="27">
        <v>30.937500000000004</v>
      </c>
      <c r="AM116" s="27">
        <v>47.20416666666668</v>
      </c>
      <c r="AN116" s="27">
        <f>AA116+AL116+AM116</f>
        <v>229.91250000000014</v>
      </c>
      <c r="AO116" s="28">
        <v>0.94717193135069511</v>
      </c>
      <c r="AP116" s="29">
        <v>114.95625000000001</v>
      </c>
      <c r="AQ116" s="29">
        <v>114.95625000000001</v>
      </c>
      <c r="AR116" s="30" t="s">
        <v>739</v>
      </c>
      <c r="AT116" s="49">
        <v>3233000</v>
      </c>
      <c r="AU116" s="31">
        <v>80</v>
      </c>
      <c r="AV116" s="31">
        <v>2</v>
      </c>
      <c r="AW116" s="31" t="s">
        <v>753</v>
      </c>
      <c r="AX116" s="31" t="s">
        <v>740</v>
      </c>
      <c r="AY116" s="32"/>
      <c r="AZ116" s="31">
        <v>2</v>
      </c>
      <c r="BA116" s="31">
        <v>3</v>
      </c>
      <c r="BB116" s="31" t="s">
        <v>754</v>
      </c>
      <c r="BC116" s="31" t="s">
        <v>755</v>
      </c>
      <c r="BD116" s="31" t="s">
        <v>756</v>
      </c>
      <c r="BE116" s="33" t="s">
        <v>372</v>
      </c>
      <c r="BF116" s="31" t="s">
        <v>94</v>
      </c>
      <c r="BG116" s="31" t="s">
        <v>94</v>
      </c>
      <c r="BH116" s="31" t="s">
        <v>94</v>
      </c>
      <c r="BI116" s="31" t="s">
        <v>94</v>
      </c>
      <c r="BK116" s="31">
        <v>1</v>
      </c>
      <c r="BL116" s="31">
        <v>1</v>
      </c>
      <c r="BM116" s="31">
        <v>78</v>
      </c>
      <c r="BN116" s="31">
        <v>1780</v>
      </c>
      <c r="BO116" s="31">
        <v>113</v>
      </c>
      <c r="BQ116" s="31">
        <v>21</v>
      </c>
      <c r="BR116" s="31">
        <v>669</v>
      </c>
      <c r="BS116" s="31">
        <v>1004</v>
      </c>
    </row>
    <row r="117" spans="1:71" ht="18.75" hidden="1" customHeight="1">
      <c r="A117" s="25">
        <v>13262</v>
      </c>
      <c r="B117" s="25" t="s">
        <v>757</v>
      </c>
      <c r="C117" s="25" t="s">
        <v>757</v>
      </c>
      <c r="D117" s="25" t="s">
        <v>758</v>
      </c>
      <c r="E117" s="26" t="s">
        <v>246</v>
      </c>
      <c r="F117" s="26" t="s">
        <v>72</v>
      </c>
      <c r="G117" s="26" t="s">
        <v>247</v>
      </c>
      <c r="H117" s="26" t="s">
        <v>504</v>
      </c>
      <c r="I117" s="26" t="s">
        <v>185</v>
      </c>
      <c r="J117" s="26" t="s">
        <v>76</v>
      </c>
      <c r="K117" s="26" t="s">
        <v>77</v>
      </c>
      <c r="L117" s="26" t="s">
        <v>78</v>
      </c>
      <c r="M117" s="26" t="s">
        <v>100</v>
      </c>
      <c r="N117" s="26" t="s">
        <v>101</v>
      </c>
      <c r="O117" s="26" t="s">
        <v>101</v>
      </c>
      <c r="P117" s="26" t="s">
        <v>240</v>
      </c>
      <c r="Q117" s="26" t="s">
        <v>82</v>
      </c>
      <c r="R117" s="26" t="s">
        <v>759</v>
      </c>
      <c r="S117" s="26" t="s">
        <v>84</v>
      </c>
      <c r="T117" s="26" t="s">
        <v>760</v>
      </c>
      <c r="U117" s="26" t="s">
        <v>80</v>
      </c>
      <c r="V117" s="26" t="s">
        <v>86</v>
      </c>
      <c r="W117" s="26" t="s">
        <v>86</v>
      </c>
      <c r="X117" s="26" t="s">
        <v>86</v>
      </c>
      <c r="Y117" s="63" t="s">
        <v>86</v>
      </c>
      <c r="Z117" s="26" t="s">
        <v>78</v>
      </c>
      <c r="AA117" s="27">
        <v>1.5133333333333332</v>
      </c>
      <c r="AB117" s="27">
        <v>0</v>
      </c>
      <c r="AC117" s="27">
        <v>1.5133333333333332</v>
      </c>
      <c r="AD117" s="27">
        <v>0</v>
      </c>
      <c r="AE117" s="27">
        <v>0</v>
      </c>
      <c r="AF117" s="27">
        <v>0</v>
      </c>
      <c r="AG117" s="27">
        <v>1.5133333333333332</v>
      </c>
      <c r="AH117" s="27">
        <v>0</v>
      </c>
      <c r="AI117" s="27">
        <v>0</v>
      </c>
      <c r="AJ117" s="27">
        <v>0</v>
      </c>
      <c r="AK117" s="27">
        <v>0</v>
      </c>
      <c r="AL117" s="27">
        <v>1.75</v>
      </c>
      <c r="AM117" s="27">
        <v>0.5</v>
      </c>
      <c r="AN117" s="27">
        <v>3.7633333333333332</v>
      </c>
      <c r="AO117" s="28">
        <v>0.21147032772364921</v>
      </c>
      <c r="AP117" s="29">
        <v>1.8816666666666666</v>
      </c>
      <c r="AQ117" s="29">
        <v>1.8816666666666666</v>
      </c>
      <c r="AR117" s="30"/>
      <c r="AT117" s="31">
        <f>25296+10513</f>
        <v>35809</v>
      </c>
      <c r="AU117" s="31">
        <f>2+26</f>
        <v>28</v>
      </c>
      <c r="AV117" s="31">
        <v>0</v>
      </c>
      <c r="AW117" s="31">
        <v>0</v>
      </c>
      <c r="AX117" s="31">
        <v>0</v>
      </c>
      <c r="AY117" s="32"/>
      <c r="AZ117" s="31">
        <v>2</v>
      </c>
      <c r="BA117" s="31">
        <v>3</v>
      </c>
      <c r="BB117" s="31" t="s">
        <v>662</v>
      </c>
      <c r="BC117" s="31" t="s">
        <v>761</v>
      </c>
      <c r="BD117" s="31" t="s">
        <v>762</v>
      </c>
      <c r="BE117" s="33" t="s">
        <v>763</v>
      </c>
      <c r="BF117" s="31" t="s">
        <v>94</v>
      </c>
      <c r="BG117" s="31" t="s">
        <v>94</v>
      </c>
      <c r="BH117" s="31" t="s">
        <v>94</v>
      </c>
      <c r="BI117" s="31" t="s">
        <v>94</v>
      </c>
      <c r="BK117" s="31">
        <v>0</v>
      </c>
      <c r="BL117" s="31">
        <v>0</v>
      </c>
      <c r="BM117" s="31">
        <v>9</v>
      </c>
      <c r="BN117" s="31">
        <v>4</v>
      </c>
      <c r="BO117" s="31">
        <v>121</v>
      </c>
      <c r="BQ117" s="31">
        <v>7</v>
      </c>
      <c r="BR117" s="31">
        <v>24</v>
      </c>
      <c r="BS117" s="31">
        <v>124</v>
      </c>
    </row>
    <row r="118" spans="1:71" ht="18.75" customHeight="1">
      <c r="A118" s="25">
        <v>13274</v>
      </c>
      <c r="B118" s="25" t="s">
        <v>764</v>
      </c>
      <c r="C118" s="25" t="s">
        <v>765</v>
      </c>
      <c r="D118" s="25" t="s">
        <v>766</v>
      </c>
      <c r="E118" s="26" t="s">
        <v>204</v>
      </c>
      <c r="F118" s="26" t="s">
        <v>193</v>
      </c>
      <c r="G118" s="26" t="s">
        <v>205</v>
      </c>
      <c r="H118" s="26" t="s">
        <v>74</v>
      </c>
      <c r="I118" s="26" t="s">
        <v>696</v>
      </c>
      <c r="J118" s="26" t="s">
        <v>76</v>
      </c>
      <c r="K118" s="26" t="s">
        <v>77</v>
      </c>
      <c r="L118" s="26" t="s">
        <v>78</v>
      </c>
      <c r="M118" s="26" t="s">
        <v>100</v>
      </c>
      <c r="N118" s="26" t="s">
        <v>101</v>
      </c>
      <c r="O118" s="26" t="s">
        <v>80</v>
      </c>
      <c r="P118" s="26" t="s">
        <v>767</v>
      </c>
      <c r="Q118" s="26" t="s">
        <v>82</v>
      </c>
      <c r="R118" s="26" t="s">
        <v>768</v>
      </c>
      <c r="S118" s="26" t="s">
        <v>104</v>
      </c>
      <c r="T118" s="26" t="s">
        <v>82</v>
      </c>
      <c r="U118" s="26" t="s">
        <v>101</v>
      </c>
      <c r="V118" s="26" t="s">
        <v>86</v>
      </c>
      <c r="W118" s="26" t="s">
        <v>86</v>
      </c>
      <c r="X118" s="26" t="s">
        <v>86</v>
      </c>
      <c r="Y118" s="26" t="s">
        <v>78</v>
      </c>
      <c r="Z118" s="26" t="s">
        <v>78</v>
      </c>
      <c r="AA118" s="27">
        <v>0</v>
      </c>
      <c r="AB118" s="27">
        <v>0</v>
      </c>
      <c r="AC118" s="27">
        <v>0</v>
      </c>
      <c r="AD118" s="27">
        <v>0</v>
      </c>
      <c r="AE118" s="27">
        <v>0</v>
      </c>
      <c r="AF118" s="27">
        <v>0</v>
      </c>
      <c r="AG118" s="27">
        <v>0</v>
      </c>
      <c r="AH118" s="27">
        <v>0</v>
      </c>
      <c r="AI118" s="27">
        <v>0</v>
      </c>
      <c r="AJ118" s="27">
        <v>0</v>
      </c>
      <c r="AK118" s="27">
        <v>0</v>
      </c>
      <c r="AL118" s="27">
        <v>1</v>
      </c>
      <c r="AM118" s="27">
        <v>0</v>
      </c>
      <c r="AN118" s="27">
        <v>1</v>
      </c>
      <c r="AO118" s="28">
        <v>1</v>
      </c>
      <c r="AP118" s="29">
        <v>0.5</v>
      </c>
      <c r="AQ118" s="29">
        <v>0.5</v>
      </c>
      <c r="AR118" s="30" t="s">
        <v>769</v>
      </c>
      <c r="AT118" s="31" t="s">
        <v>770</v>
      </c>
      <c r="AU118" s="31" t="s">
        <v>770</v>
      </c>
      <c r="AV118" s="31" t="s">
        <v>770</v>
      </c>
      <c r="AW118" s="31" t="s">
        <v>770</v>
      </c>
      <c r="AX118" s="31" t="s">
        <v>770</v>
      </c>
      <c r="AY118" s="32"/>
      <c r="AZ118" s="31">
        <v>1</v>
      </c>
      <c r="BA118" s="31">
        <v>3</v>
      </c>
      <c r="BB118" s="31" t="s">
        <v>770</v>
      </c>
      <c r="BC118" s="31" t="s">
        <v>322</v>
      </c>
      <c r="BD118" s="69" t="s">
        <v>322</v>
      </c>
      <c r="BE118" s="33" t="s">
        <v>200</v>
      </c>
      <c r="BF118" s="31" t="s">
        <v>156</v>
      </c>
      <c r="BG118" s="31" t="s">
        <v>156</v>
      </c>
      <c r="BH118" s="31" t="s">
        <v>156</v>
      </c>
      <c r="BI118" s="31" t="s">
        <v>156</v>
      </c>
      <c r="BK118" s="31">
        <v>0</v>
      </c>
      <c r="BL118" s="31">
        <v>0</v>
      </c>
      <c r="BM118" s="31">
        <v>1</v>
      </c>
      <c r="BN118" s="31">
        <v>0</v>
      </c>
      <c r="BO118" s="31">
        <v>0</v>
      </c>
      <c r="BQ118" s="31">
        <v>1</v>
      </c>
      <c r="BR118" s="31">
        <v>0</v>
      </c>
      <c r="BS118" s="31">
        <v>1</v>
      </c>
    </row>
    <row r="119" spans="1:71" ht="18.75" hidden="1" customHeight="1">
      <c r="A119" s="25">
        <v>13314</v>
      </c>
      <c r="B119" s="25" t="s">
        <v>771</v>
      </c>
      <c r="C119" s="25" t="s">
        <v>772</v>
      </c>
      <c r="D119" s="25" t="s">
        <v>773</v>
      </c>
      <c r="E119" s="26" t="s">
        <v>437</v>
      </c>
      <c r="F119" s="26" t="s">
        <v>438</v>
      </c>
      <c r="G119" s="26" t="s">
        <v>438</v>
      </c>
      <c r="H119" s="26" t="s">
        <v>74</v>
      </c>
      <c r="I119" s="26" t="s">
        <v>696</v>
      </c>
      <c r="J119" s="26" t="s">
        <v>76</v>
      </c>
      <c r="K119" s="26" t="s">
        <v>77</v>
      </c>
      <c r="L119" s="26" t="s">
        <v>78</v>
      </c>
      <c r="M119" s="26" t="s">
        <v>100</v>
      </c>
      <c r="N119" s="26" t="s">
        <v>101</v>
      </c>
      <c r="O119" s="26" t="s">
        <v>80</v>
      </c>
      <c r="P119" s="26" t="s">
        <v>279</v>
      </c>
      <c r="Q119" s="26" t="s">
        <v>82</v>
      </c>
      <c r="R119" s="26" t="s">
        <v>774</v>
      </c>
      <c r="S119" s="26" t="s">
        <v>104</v>
      </c>
      <c r="T119" s="26" t="s">
        <v>775</v>
      </c>
      <c r="U119" s="26" t="s">
        <v>80</v>
      </c>
      <c r="V119" s="26" t="s">
        <v>86</v>
      </c>
      <c r="W119" s="26" t="s">
        <v>86</v>
      </c>
      <c r="X119" s="26" t="s">
        <v>86</v>
      </c>
      <c r="Y119" s="63" t="s">
        <v>86</v>
      </c>
      <c r="Z119" s="26" t="s">
        <v>78</v>
      </c>
      <c r="AA119" s="27">
        <v>28.606677083333327</v>
      </c>
      <c r="AB119" s="27">
        <v>0.96359374999999992</v>
      </c>
      <c r="AC119" s="27">
        <v>12.495833333333334</v>
      </c>
      <c r="AD119" s="27">
        <v>15.147250000000001</v>
      </c>
      <c r="AE119" s="27">
        <v>0</v>
      </c>
      <c r="AF119" s="27">
        <v>1.3416666666666666</v>
      </c>
      <c r="AG119" s="27">
        <v>19.604583333333338</v>
      </c>
      <c r="AH119" s="27">
        <v>0.58333333333333337</v>
      </c>
      <c r="AI119" s="27">
        <v>2.7416666666666667</v>
      </c>
      <c r="AJ119" s="27">
        <v>1.4468750000000001</v>
      </c>
      <c r="AK119" s="27">
        <v>2.8885520833333334</v>
      </c>
      <c r="AL119" s="27">
        <v>11</v>
      </c>
      <c r="AM119" s="27">
        <v>9.1416666666666639</v>
      </c>
      <c r="AN119" s="27">
        <v>50.065010416666659</v>
      </c>
      <c r="AO119" s="28">
        <v>0.86264109519268806</v>
      </c>
      <c r="AP119" s="29">
        <v>25.03250520833333</v>
      </c>
      <c r="AQ119" s="29">
        <v>25.03250520833333</v>
      </c>
      <c r="AR119" s="30"/>
      <c r="AT119" s="49">
        <f>82317+92531+49546+2171+83802</f>
        <v>310367</v>
      </c>
      <c r="AU119" s="58" t="s">
        <v>197</v>
      </c>
      <c r="AV119" s="49">
        <f>200+1957+1125+417+30</f>
        <v>3729</v>
      </c>
      <c r="AW119" s="31">
        <v>8</v>
      </c>
      <c r="AX119" s="49">
        <f>4726+238+168+40</f>
        <v>5172</v>
      </c>
      <c r="AY119" s="32"/>
      <c r="AZ119" s="31">
        <v>2</v>
      </c>
      <c r="BA119" s="31">
        <v>3</v>
      </c>
      <c r="BB119" s="31" t="s">
        <v>415</v>
      </c>
      <c r="BC119" s="31" t="s">
        <v>776</v>
      </c>
      <c r="BD119" s="31" t="s">
        <v>415</v>
      </c>
      <c r="BE119" s="33" t="s">
        <v>777</v>
      </c>
      <c r="BF119" s="31" t="s">
        <v>148</v>
      </c>
      <c r="BG119" s="31" t="s">
        <v>94</v>
      </c>
      <c r="BH119" s="31" t="s">
        <v>94</v>
      </c>
      <c r="BI119" s="31" t="s">
        <v>94</v>
      </c>
      <c r="BK119" s="31">
        <v>0</v>
      </c>
      <c r="BL119" s="31">
        <v>0</v>
      </c>
      <c r="BM119" s="31">
        <v>24</v>
      </c>
      <c r="BN119" s="31">
        <v>70</v>
      </c>
      <c r="BO119" s="31">
        <v>387</v>
      </c>
      <c r="BQ119" s="31">
        <v>20</v>
      </c>
      <c r="BR119" s="31">
        <v>91</v>
      </c>
      <c r="BS119" s="31">
        <v>683</v>
      </c>
    </row>
    <row r="120" spans="1:71" ht="18.75" hidden="1" customHeight="1">
      <c r="A120" s="25">
        <v>13405</v>
      </c>
      <c r="B120" s="25" t="s">
        <v>778</v>
      </c>
      <c r="C120" s="25" t="s">
        <v>779</v>
      </c>
      <c r="D120" s="25" t="s">
        <v>780</v>
      </c>
      <c r="E120" s="26" t="s">
        <v>246</v>
      </c>
      <c r="F120" s="26" t="s">
        <v>72</v>
      </c>
      <c r="G120" s="26" t="s">
        <v>247</v>
      </c>
      <c r="H120" s="26" t="s">
        <v>504</v>
      </c>
      <c r="I120" s="26" t="s">
        <v>185</v>
      </c>
      <c r="J120" s="26" t="s">
        <v>76</v>
      </c>
      <c r="K120" s="26" t="s">
        <v>633</v>
      </c>
      <c r="L120" s="26" t="s">
        <v>78</v>
      </c>
      <c r="M120" s="26" t="s">
        <v>100</v>
      </c>
      <c r="N120" s="26" t="s">
        <v>80</v>
      </c>
      <c r="O120" s="26" t="s">
        <v>101</v>
      </c>
      <c r="P120" s="26" t="s">
        <v>279</v>
      </c>
      <c r="Q120" s="26" t="s">
        <v>82</v>
      </c>
      <c r="R120" s="26" t="s">
        <v>781</v>
      </c>
      <c r="S120" s="26" t="s">
        <v>84</v>
      </c>
      <c r="T120" s="26" t="s">
        <v>85</v>
      </c>
      <c r="U120" s="26" t="s">
        <v>80</v>
      </c>
      <c r="V120" s="26" t="s">
        <v>86</v>
      </c>
      <c r="W120" s="26" t="s">
        <v>86</v>
      </c>
      <c r="X120" s="26" t="s">
        <v>86</v>
      </c>
      <c r="Y120" s="26" t="s">
        <v>78</v>
      </c>
      <c r="Z120" s="26" t="s">
        <v>78</v>
      </c>
      <c r="AA120" s="27"/>
      <c r="AB120" s="27"/>
      <c r="AC120" s="27"/>
      <c r="AD120" s="27"/>
      <c r="AE120" s="27"/>
      <c r="AF120" s="27"/>
      <c r="AG120" s="27"/>
      <c r="AH120" s="27"/>
      <c r="AI120" s="27"/>
      <c r="AJ120" s="27"/>
      <c r="AK120" s="27"/>
      <c r="AL120" s="27"/>
      <c r="AM120" s="27"/>
      <c r="AN120" s="27"/>
      <c r="AO120" s="28"/>
      <c r="AP120" s="29" t="s">
        <v>82</v>
      </c>
      <c r="AQ120" s="29" t="s">
        <v>82</v>
      </c>
      <c r="AR120" s="30"/>
      <c r="AT120" s="38" t="s">
        <v>782</v>
      </c>
      <c r="AU120" s="70">
        <v>0</v>
      </c>
      <c r="AV120" s="70">
        <v>0</v>
      </c>
      <c r="AW120" s="70">
        <v>0</v>
      </c>
      <c r="AX120" s="70">
        <v>0</v>
      </c>
      <c r="AY120" s="45"/>
      <c r="AZ120" s="70">
        <v>3</v>
      </c>
      <c r="BA120" s="70">
        <v>1</v>
      </c>
      <c r="BB120" s="70" t="s">
        <v>197</v>
      </c>
      <c r="BC120" s="70" t="s">
        <v>197</v>
      </c>
      <c r="BD120" s="70" t="s">
        <v>197</v>
      </c>
      <c r="BE120" s="71" t="s">
        <v>197</v>
      </c>
      <c r="BF120" s="31" t="s">
        <v>156</v>
      </c>
      <c r="BG120" s="31" t="s">
        <v>156</v>
      </c>
      <c r="BH120" s="31" t="s">
        <v>156</v>
      </c>
      <c r="BI120" s="31" t="s">
        <v>156</v>
      </c>
      <c r="BK120" s="31">
        <v>0</v>
      </c>
      <c r="BL120" s="31">
        <v>0</v>
      </c>
      <c r="BM120" s="31">
        <v>0</v>
      </c>
      <c r="BN120" s="31">
        <v>0</v>
      </c>
      <c r="BO120" s="31">
        <v>2</v>
      </c>
      <c r="BQ120" s="31">
        <v>0</v>
      </c>
      <c r="BR120" s="31">
        <v>0</v>
      </c>
      <c r="BS120" s="31">
        <v>0</v>
      </c>
    </row>
    <row r="121" spans="1:71" ht="18.75" customHeight="1">
      <c r="A121" s="25">
        <v>13453</v>
      </c>
      <c r="B121" s="25" t="s">
        <v>783</v>
      </c>
      <c r="C121" s="25" t="s">
        <v>784</v>
      </c>
      <c r="D121" s="25" t="s">
        <v>785</v>
      </c>
      <c r="E121" s="26" t="s">
        <v>204</v>
      </c>
      <c r="F121" s="26" t="s">
        <v>193</v>
      </c>
      <c r="G121" s="26" t="s">
        <v>205</v>
      </c>
      <c r="H121" s="26" t="s">
        <v>74</v>
      </c>
      <c r="I121" s="26" t="s">
        <v>696</v>
      </c>
      <c r="J121" s="26" t="s">
        <v>76</v>
      </c>
      <c r="K121" s="26" t="s">
        <v>77</v>
      </c>
      <c r="L121" s="26" t="s">
        <v>78</v>
      </c>
      <c r="M121" s="26" t="s">
        <v>100</v>
      </c>
      <c r="N121" s="26" t="s">
        <v>101</v>
      </c>
      <c r="O121" s="26" t="s">
        <v>80</v>
      </c>
      <c r="P121" s="26" t="s">
        <v>786</v>
      </c>
      <c r="Q121" s="26" t="s">
        <v>82</v>
      </c>
      <c r="R121" s="26" t="s">
        <v>533</v>
      </c>
      <c r="S121" s="26" t="s">
        <v>104</v>
      </c>
      <c r="T121" s="26" t="s">
        <v>82</v>
      </c>
      <c r="U121" s="26" t="s">
        <v>101</v>
      </c>
      <c r="V121" s="26" t="s">
        <v>86</v>
      </c>
      <c r="W121" s="26" t="s">
        <v>86</v>
      </c>
      <c r="X121" s="26" t="s">
        <v>86</v>
      </c>
      <c r="Y121" s="26" t="s">
        <v>78</v>
      </c>
      <c r="Z121" s="26" t="s">
        <v>78</v>
      </c>
      <c r="AA121" s="40">
        <v>9.6625000000000032</v>
      </c>
      <c r="AB121" s="40">
        <v>0</v>
      </c>
      <c r="AC121" s="40">
        <v>0</v>
      </c>
      <c r="AD121" s="40">
        <v>9.6624999999999996</v>
      </c>
      <c r="AE121" s="40">
        <v>0</v>
      </c>
      <c r="AF121" s="40">
        <v>0</v>
      </c>
      <c r="AG121" s="40">
        <v>8.8625000000000007</v>
      </c>
      <c r="AH121" s="40">
        <v>0</v>
      </c>
      <c r="AI121" s="40">
        <v>0.79999999999999993</v>
      </c>
      <c r="AJ121" s="40">
        <v>0</v>
      </c>
      <c r="AK121" s="40">
        <v>0</v>
      </c>
      <c r="AL121" s="40">
        <v>0.3</v>
      </c>
      <c r="AM121" s="40">
        <v>0</v>
      </c>
      <c r="AN121" s="27">
        <f>AA121+AL121+AM121</f>
        <v>9.9625000000000039</v>
      </c>
      <c r="AO121" s="28">
        <v>0.90440251572327046</v>
      </c>
      <c r="AP121" s="29">
        <v>4.96875</v>
      </c>
      <c r="AQ121" s="29">
        <v>4.96875</v>
      </c>
      <c r="AR121" s="30" t="s">
        <v>208</v>
      </c>
      <c r="AT121" s="31">
        <v>1972920</v>
      </c>
      <c r="AU121" s="31">
        <v>1000</v>
      </c>
      <c r="AV121" s="31">
        <v>57</v>
      </c>
      <c r="AW121" s="31">
        <v>10</v>
      </c>
      <c r="AX121" s="31">
        <v>1310</v>
      </c>
      <c r="AY121" s="32"/>
      <c r="AZ121" s="31">
        <v>3</v>
      </c>
      <c r="BA121" s="31">
        <v>1</v>
      </c>
      <c r="BB121" s="31" t="s">
        <v>209</v>
      </c>
      <c r="BC121" s="31" t="s">
        <v>210</v>
      </c>
      <c r="BD121" s="31" t="s">
        <v>211</v>
      </c>
      <c r="BE121" s="33" t="s">
        <v>212</v>
      </c>
      <c r="BF121" s="31" t="s">
        <v>156</v>
      </c>
      <c r="BG121" s="31" t="s">
        <v>94</v>
      </c>
      <c r="BH121" s="31" t="s">
        <v>94</v>
      </c>
      <c r="BI121" s="31" t="s">
        <v>94</v>
      </c>
      <c r="BK121" s="31">
        <v>0</v>
      </c>
      <c r="BL121" s="31">
        <v>0</v>
      </c>
      <c r="BM121" s="31">
        <v>8</v>
      </c>
      <c r="BN121" s="31">
        <v>5</v>
      </c>
      <c r="BO121" s="31">
        <v>111</v>
      </c>
      <c r="BQ121" s="31">
        <v>5</v>
      </c>
      <c r="BR121" s="31">
        <v>1</v>
      </c>
      <c r="BS121" s="31">
        <v>193</v>
      </c>
    </row>
    <row r="122" spans="1:71" ht="18.75" hidden="1" customHeight="1">
      <c r="A122" s="25">
        <v>13476</v>
      </c>
      <c r="B122" s="25" t="s">
        <v>787</v>
      </c>
      <c r="C122" s="25" t="s">
        <v>788</v>
      </c>
      <c r="D122" s="25" t="s">
        <v>789</v>
      </c>
      <c r="E122" s="26" t="s">
        <v>379</v>
      </c>
      <c r="F122" s="26" t="s">
        <v>193</v>
      </c>
      <c r="G122" s="26"/>
      <c r="H122" s="26" t="s">
        <v>504</v>
      </c>
      <c r="I122" s="26" t="s">
        <v>75</v>
      </c>
      <c r="J122" s="26" t="s">
        <v>76</v>
      </c>
      <c r="K122" s="26" t="s">
        <v>77</v>
      </c>
      <c r="L122" s="26" t="s">
        <v>78</v>
      </c>
      <c r="M122" s="26" t="s">
        <v>100</v>
      </c>
      <c r="N122" s="26" t="s">
        <v>101</v>
      </c>
      <c r="O122" s="26" t="s">
        <v>80</v>
      </c>
      <c r="P122" s="26" t="s">
        <v>752</v>
      </c>
      <c r="Q122" s="26" t="s">
        <v>82</v>
      </c>
      <c r="R122" s="26" t="s">
        <v>790</v>
      </c>
      <c r="S122" s="26" t="s">
        <v>104</v>
      </c>
      <c r="T122" s="26" t="s">
        <v>281</v>
      </c>
      <c r="U122" s="26" t="s">
        <v>80</v>
      </c>
      <c r="V122" s="26" t="s">
        <v>86</v>
      </c>
      <c r="W122" s="26" t="s">
        <v>86</v>
      </c>
      <c r="X122" s="26" t="s">
        <v>86</v>
      </c>
      <c r="Y122" s="26" t="s">
        <v>78</v>
      </c>
      <c r="Z122" s="26" t="s">
        <v>86</v>
      </c>
      <c r="AA122" s="27">
        <v>57.149875000000016</v>
      </c>
      <c r="AB122" s="27">
        <v>0</v>
      </c>
      <c r="AC122" s="27">
        <v>28.416666666666664</v>
      </c>
      <c r="AD122" s="27">
        <v>28.733208333333319</v>
      </c>
      <c r="AE122" s="27">
        <v>0</v>
      </c>
      <c r="AF122" s="27">
        <v>5.6291666666666673</v>
      </c>
      <c r="AG122" s="27">
        <v>32.895708333333332</v>
      </c>
      <c r="AH122" s="27">
        <v>16.208333333333339</v>
      </c>
      <c r="AI122" s="27">
        <v>1.0333333333333334</v>
      </c>
      <c r="AJ122" s="27">
        <v>1.3</v>
      </c>
      <c r="AK122" s="27">
        <v>8.3333333333333329E-2</v>
      </c>
      <c r="AL122" s="27">
        <v>23.302083333333329</v>
      </c>
      <c r="AM122" s="27">
        <v>42.086666666666666</v>
      </c>
      <c r="AN122" s="27">
        <v>122.53862500000002</v>
      </c>
      <c r="AO122" s="28">
        <v>0.88077908768221724</v>
      </c>
      <c r="AP122" s="29">
        <v>61.269312500000012</v>
      </c>
      <c r="AQ122" s="29">
        <v>61.269312500000012</v>
      </c>
      <c r="AR122" s="30"/>
      <c r="AT122" s="31" t="s">
        <v>791</v>
      </c>
      <c r="AU122" s="31">
        <v>1200</v>
      </c>
      <c r="AV122" s="31">
        <v>50</v>
      </c>
      <c r="AW122" s="31">
        <v>10</v>
      </c>
      <c r="AX122" s="31">
        <v>0</v>
      </c>
      <c r="AY122" s="32"/>
      <c r="AZ122" s="31">
        <v>1</v>
      </c>
      <c r="BA122" s="31">
        <v>3</v>
      </c>
      <c r="BB122" s="31" t="s">
        <v>742</v>
      </c>
      <c r="BC122" s="31" t="s">
        <v>761</v>
      </c>
      <c r="BD122" s="31"/>
      <c r="BE122" s="33" t="s">
        <v>372</v>
      </c>
      <c r="BF122" s="31" t="s">
        <v>94</v>
      </c>
      <c r="BG122" s="31" t="s">
        <v>94</v>
      </c>
      <c r="BH122" s="31" t="s">
        <v>94</v>
      </c>
      <c r="BI122" s="31" t="s">
        <v>94</v>
      </c>
      <c r="BK122" s="31">
        <v>0</v>
      </c>
      <c r="BL122" s="31">
        <v>0</v>
      </c>
      <c r="BM122" s="31">
        <v>102</v>
      </c>
      <c r="BN122" s="31">
        <v>217</v>
      </c>
      <c r="BO122" s="31">
        <v>596</v>
      </c>
      <c r="BQ122" s="31">
        <v>66</v>
      </c>
      <c r="BR122" s="31">
        <v>33</v>
      </c>
      <c r="BS122" s="31">
        <v>966</v>
      </c>
    </row>
    <row r="123" spans="1:71" ht="18.75" customHeight="1">
      <c r="A123" s="25">
        <v>13500</v>
      </c>
      <c r="B123" s="25" t="s">
        <v>792</v>
      </c>
      <c r="C123" s="25" t="s">
        <v>793</v>
      </c>
      <c r="D123" s="25" t="s">
        <v>794</v>
      </c>
      <c r="E123" s="26" t="s">
        <v>204</v>
      </c>
      <c r="F123" s="26" t="s">
        <v>193</v>
      </c>
      <c r="G123" s="26" t="s">
        <v>205</v>
      </c>
      <c r="H123" s="26" t="s">
        <v>74</v>
      </c>
      <c r="I123" s="26" t="s">
        <v>75</v>
      </c>
      <c r="J123" s="26" t="s">
        <v>76</v>
      </c>
      <c r="K123" s="26" t="s">
        <v>77</v>
      </c>
      <c r="L123" s="26" t="s">
        <v>78</v>
      </c>
      <c r="M123" s="26" t="s">
        <v>100</v>
      </c>
      <c r="N123" s="26" t="s">
        <v>101</v>
      </c>
      <c r="O123" s="26" t="s">
        <v>80</v>
      </c>
      <c r="P123" s="26" t="s">
        <v>206</v>
      </c>
      <c r="Q123" s="26" t="s">
        <v>82</v>
      </c>
      <c r="R123" s="26" t="s">
        <v>207</v>
      </c>
      <c r="S123" s="26" t="s">
        <v>84</v>
      </c>
      <c r="T123" s="26" t="s">
        <v>82</v>
      </c>
      <c r="U123" s="26" t="s">
        <v>101</v>
      </c>
      <c r="V123" s="26" t="s">
        <v>86</v>
      </c>
      <c r="W123" s="26" t="s">
        <v>86</v>
      </c>
      <c r="X123" s="26" t="s">
        <v>86</v>
      </c>
      <c r="Y123" s="26" t="s">
        <v>78</v>
      </c>
      <c r="Z123" s="26" t="s">
        <v>78</v>
      </c>
      <c r="AA123" s="40">
        <v>0.39583333333333337</v>
      </c>
      <c r="AB123" s="40">
        <v>0</v>
      </c>
      <c r="AC123" s="40">
        <v>4.1666666666666664E-2</v>
      </c>
      <c r="AD123" s="40">
        <v>0.35416666666666669</v>
      </c>
      <c r="AE123" s="40">
        <v>0</v>
      </c>
      <c r="AF123" s="40">
        <v>0</v>
      </c>
      <c r="AG123" s="40">
        <v>0.35416666666666669</v>
      </c>
      <c r="AH123" s="40">
        <v>4.1666666666666664E-2</v>
      </c>
      <c r="AI123" s="40">
        <v>0</v>
      </c>
      <c r="AJ123" s="40">
        <v>0</v>
      </c>
      <c r="AK123" s="40">
        <v>0</v>
      </c>
      <c r="AL123" s="40">
        <v>0.19999999999999998</v>
      </c>
      <c r="AM123" s="27">
        <v>0</v>
      </c>
      <c r="AN123" s="27">
        <f>AA123+AL123+AM123</f>
        <v>0.59583333333333333</v>
      </c>
      <c r="AO123" s="28">
        <v>0.66433566433566438</v>
      </c>
      <c r="AP123" s="29">
        <v>0.29791666666666666</v>
      </c>
      <c r="AQ123" s="29">
        <v>0.29791666666666666</v>
      </c>
      <c r="AR123" s="30"/>
      <c r="AT123" s="31">
        <v>16693</v>
      </c>
      <c r="AU123" s="67" t="s">
        <v>415</v>
      </c>
      <c r="AV123" s="31">
        <v>4</v>
      </c>
      <c r="AW123" s="67" t="s">
        <v>415</v>
      </c>
      <c r="AX123" s="31">
        <v>35</v>
      </c>
      <c r="AY123" s="32"/>
      <c r="AZ123" s="31">
        <v>3</v>
      </c>
      <c r="BA123" s="31">
        <v>1</v>
      </c>
      <c r="BB123" s="31" t="s">
        <v>795</v>
      </c>
      <c r="BC123" s="38" t="s">
        <v>198</v>
      </c>
      <c r="BD123" s="31" t="s">
        <v>415</v>
      </c>
      <c r="BE123" s="33" t="s">
        <v>796</v>
      </c>
      <c r="BF123" s="31" t="s">
        <v>148</v>
      </c>
      <c r="BG123" s="31" t="s">
        <v>156</v>
      </c>
      <c r="BH123" s="31" t="s">
        <v>156</v>
      </c>
      <c r="BI123" s="31" t="s">
        <v>156</v>
      </c>
      <c r="BK123" s="31">
        <v>0</v>
      </c>
      <c r="BL123" s="31">
        <v>0</v>
      </c>
      <c r="BM123" s="31">
        <v>1</v>
      </c>
      <c r="BN123" s="31">
        <v>0</v>
      </c>
      <c r="BO123" s="31">
        <v>2</v>
      </c>
      <c r="BQ123" s="31">
        <v>1</v>
      </c>
      <c r="BR123" s="31">
        <v>0</v>
      </c>
      <c r="BS123" s="31">
        <v>6</v>
      </c>
    </row>
    <row r="124" spans="1:71" hidden="1">
      <c r="A124" s="25">
        <v>13676</v>
      </c>
      <c r="B124" s="25" t="s">
        <v>797</v>
      </c>
      <c r="C124" s="25" t="s">
        <v>798</v>
      </c>
      <c r="D124" s="25" t="s">
        <v>799</v>
      </c>
      <c r="E124" s="26" t="s">
        <v>379</v>
      </c>
      <c r="F124" s="26" t="s">
        <v>800</v>
      </c>
      <c r="G124" s="26" t="s">
        <v>380</v>
      </c>
      <c r="H124" s="26" t="s">
        <v>801</v>
      </c>
      <c r="I124" s="26" t="s">
        <v>75</v>
      </c>
      <c r="J124" s="26" t="s">
        <v>76</v>
      </c>
      <c r="K124" s="26" t="s">
        <v>77</v>
      </c>
      <c r="L124" s="26" t="s">
        <v>78</v>
      </c>
      <c r="M124" s="26" t="s">
        <v>100</v>
      </c>
      <c r="N124" s="26" t="s">
        <v>101</v>
      </c>
      <c r="O124" s="26" t="s">
        <v>101</v>
      </c>
      <c r="P124" s="26" t="s">
        <v>802</v>
      </c>
      <c r="Q124" s="26" t="s">
        <v>82</v>
      </c>
      <c r="R124" s="26" t="s">
        <v>803</v>
      </c>
      <c r="S124" s="26" t="s">
        <v>104</v>
      </c>
      <c r="T124" s="26" t="s">
        <v>85</v>
      </c>
      <c r="U124" s="26" t="s">
        <v>80</v>
      </c>
      <c r="V124" s="26" t="s">
        <v>86</v>
      </c>
      <c r="W124" s="26" t="s">
        <v>86</v>
      </c>
      <c r="X124" s="26" t="s">
        <v>86</v>
      </c>
      <c r="Y124" s="26" t="s">
        <v>78</v>
      </c>
      <c r="Z124" s="26" t="s">
        <v>78</v>
      </c>
      <c r="AA124" s="27">
        <v>11.572916666666664</v>
      </c>
      <c r="AB124" s="27">
        <v>0</v>
      </c>
      <c r="AC124" s="27">
        <v>8.4541666666666675</v>
      </c>
      <c r="AD124" s="27">
        <v>3.1187499999999999</v>
      </c>
      <c r="AE124" s="27">
        <v>0</v>
      </c>
      <c r="AF124" s="27">
        <v>2.7875000000000001</v>
      </c>
      <c r="AG124" s="27">
        <v>7.0062500000000014</v>
      </c>
      <c r="AH124" s="27">
        <v>1.7791666666666668</v>
      </c>
      <c r="AI124" s="27">
        <v>0</v>
      </c>
      <c r="AJ124" s="27">
        <v>0</v>
      </c>
      <c r="AK124" s="27">
        <v>0</v>
      </c>
      <c r="AL124" s="27">
        <v>2.333333333333333</v>
      </c>
      <c r="AM124" s="27">
        <v>2.135416666666667</v>
      </c>
      <c r="AN124" s="27">
        <v>16.041666666666664</v>
      </c>
      <c r="AO124" s="28">
        <v>0.93766233766233764</v>
      </c>
      <c r="AP124" s="29">
        <v>8.0208333333333321</v>
      </c>
      <c r="AQ124" s="29">
        <v>8.0208333333333321</v>
      </c>
      <c r="AR124" s="30"/>
      <c r="AT124" s="31" t="s">
        <v>804</v>
      </c>
      <c r="AU124" s="31">
        <v>0</v>
      </c>
      <c r="AV124" s="31">
        <v>0</v>
      </c>
      <c r="AW124" s="31">
        <v>18</v>
      </c>
      <c r="AX124" s="31">
        <v>0</v>
      </c>
      <c r="AY124" s="32"/>
      <c r="AZ124" s="31">
        <v>1</v>
      </c>
      <c r="BA124" s="31">
        <v>3</v>
      </c>
      <c r="BB124" s="31" t="s">
        <v>805</v>
      </c>
      <c r="BC124" s="31" t="s">
        <v>197</v>
      </c>
      <c r="BD124" s="31" t="s">
        <v>805</v>
      </c>
      <c r="BE124" s="33" t="s">
        <v>806</v>
      </c>
      <c r="BF124" s="31" t="s">
        <v>94</v>
      </c>
      <c r="BG124" s="31" t="s">
        <v>94</v>
      </c>
      <c r="BH124" s="31" t="s">
        <v>94</v>
      </c>
      <c r="BI124" s="31" t="s">
        <v>94</v>
      </c>
      <c r="BK124" s="31">
        <v>0</v>
      </c>
      <c r="BL124" s="31">
        <v>1</v>
      </c>
      <c r="BM124" s="31">
        <v>1</v>
      </c>
      <c r="BN124" s="31">
        <v>2</v>
      </c>
      <c r="BO124" s="31">
        <v>9</v>
      </c>
      <c r="BQ124" s="31">
        <v>1</v>
      </c>
      <c r="BR124" s="31">
        <v>0</v>
      </c>
      <c r="BS124" s="31">
        <v>62</v>
      </c>
    </row>
    <row r="125" spans="1:71" ht="18.75" hidden="1" customHeight="1">
      <c r="A125" s="25">
        <v>13721</v>
      </c>
      <c r="B125" s="25" t="s">
        <v>807</v>
      </c>
      <c r="C125" s="25" t="s">
        <v>808</v>
      </c>
      <c r="D125" s="25" t="s">
        <v>809</v>
      </c>
      <c r="E125" s="26" t="s">
        <v>71</v>
      </c>
      <c r="F125" s="26" t="s">
        <v>72</v>
      </c>
      <c r="G125" s="26" t="s">
        <v>73</v>
      </c>
      <c r="H125" s="26" t="s">
        <v>504</v>
      </c>
      <c r="I125" s="26" t="s">
        <v>75</v>
      </c>
      <c r="J125" s="26" t="s">
        <v>76</v>
      </c>
      <c r="K125" s="26" t="s">
        <v>77</v>
      </c>
      <c r="L125" s="26" t="s">
        <v>78</v>
      </c>
      <c r="M125" s="26" t="s">
        <v>100</v>
      </c>
      <c r="N125" s="26" t="s">
        <v>80</v>
      </c>
      <c r="O125" s="26" t="s">
        <v>80</v>
      </c>
      <c r="P125" s="26" t="s">
        <v>810</v>
      </c>
      <c r="Q125" s="26" t="s">
        <v>82</v>
      </c>
      <c r="R125" s="26" t="s">
        <v>735</v>
      </c>
      <c r="S125" s="26" t="s">
        <v>104</v>
      </c>
      <c r="T125" s="26" t="s">
        <v>281</v>
      </c>
      <c r="U125" s="26" t="s">
        <v>80</v>
      </c>
      <c r="V125" s="26" t="s">
        <v>86</v>
      </c>
      <c r="W125" s="26" t="s">
        <v>86</v>
      </c>
      <c r="X125" s="26" t="s">
        <v>86</v>
      </c>
      <c r="Y125" s="26" t="s">
        <v>78</v>
      </c>
      <c r="Z125" s="26" t="s">
        <v>78</v>
      </c>
      <c r="AA125" s="27">
        <v>1.6666666666666665</v>
      </c>
      <c r="AB125" s="27">
        <v>0</v>
      </c>
      <c r="AC125" s="27">
        <v>1.6666666666666665</v>
      </c>
      <c r="AD125" s="27">
        <v>0</v>
      </c>
      <c r="AE125" s="27">
        <v>0</v>
      </c>
      <c r="AF125" s="27">
        <v>0</v>
      </c>
      <c r="AG125" s="27">
        <v>1.6666666666666665</v>
      </c>
      <c r="AH125" s="27">
        <v>0</v>
      </c>
      <c r="AI125" s="27">
        <v>0</v>
      </c>
      <c r="AJ125" s="27">
        <v>0</v>
      </c>
      <c r="AK125" s="27">
        <v>0</v>
      </c>
      <c r="AL125" s="27">
        <v>0.70833333333333337</v>
      </c>
      <c r="AM125" s="27">
        <v>0.58333333333333337</v>
      </c>
      <c r="AN125" s="27">
        <v>2.9583333333333335</v>
      </c>
      <c r="AO125" s="28">
        <v>0.91549295774647887</v>
      </c>
      <c r="AP125" s="29">
        <v>1.4791666666666667</v>
      </c>
      <c r="AQ125" s="29">
        <v>1.4791666666666667</v>
      </c>
      <c r="AR125" s="30"/>
      <c r="AT125" s="55">
        <v>128561</v>
      </c>
      <c r="AU125" s="31">
        <v>73</v>
      </c>
      <c r="AV125" s="31" t="s">
        <v>89</v>
      </c>
      <c r="AW125" s="31">
        <v>120</v>
      </c>
      <c r="AX125" s="31" t="s">
        <v>89</v>
      </c>
      <c r="AY125" s="32"/>
      <c r="AZ125" s="31">
        <v>2</v>
      </c>
      <c r="BA125" s="31">
        <v>3</v>
      </c>
      <c r="BB125" s="31" t="s">
        <v>811</v>
      </c>
      <c r="BC125" s="31" t="s">
        <v>89</v>
      </c>
      <c r="BD125" s="31" t="s">
        <v>812</v>
      </c>
      <c r="BE125" s="72" t="s">
        <v>813</v>
      </c>
      <c r="BF125" s="31" t="s">
        <v>94</v>
      </c>
      <c r="BG125" s="31" t="s">
        <v>94</v>
      </c>
      <c r="BH125" s="31" t="s">
        <v>94</v>
      </c>
      <c r="BI125" s="31" t="s">
        <v>94</v>
      </c>
      <c r="BK125" s="31">
        <v>0</v>
      </c>
      <c r="BL125" s="31">
        <v>0</v>
      </c>
      <c r="BM125" s="31">
        <v>0</v>
      </c>
      <c r="BN125" s="31">
        <v>4</v>
      </c>
      <c r="BO125" s="31">
        <v>125</v>
      </c>
      <c r="BQ125" s="31">
        <v>0</v>
      </c>
      <c r="BR125" s="31">
        <v>2</v>
      </c>
      <c r="BS125" s="31">
        <v>27</v>
      </c>
    </row>
    <row r="126" spans="1:71" ht="18.75" hidden="1" customHeight="1">
      <c r="A126" s="25">
        <v>13738</v>
      </c>
      <c r="B126" s="25" t="s">
        <v>814</v>
      </c>
      <c r="C126" s="25" t="s">
        <v>814</v>
      </c>
      <c r="D126" s="25" t="s">
        <v>815</v>
      </c>
      <c r="E126" s="26" t="s">
        <v>337</v>
      </c>
      <c r="F126" s="26" t="s">
        <v>312</v>
      </c>
      <c r="G126" s="26" t="s">
        <v>338</v>
      </c>
      <c r="H126" s="26" t="s">
        <v>504</v>
      </c>
      <c r="I126" s="26" t="s">
        <v>75</v>
      </c>
      <c r="J126" s="26" t="s">
        <v>76</v>
      </c>
      <c r="K126" s="26" t="s">
        <v>77</v>
      </c>
      <c r="L126" s="26" t="s">
        <v>78</v>
      </c>
      <c r="M126" s="26" t="s">
        <v>79</v>
      </c>
      <c r="N126" s="26" t="s">
        <v>101</v>
      </c>
      <c r="O126" s="26" t="s">
        <v>101</v>
      </c>
      <c r="P126" s="26" t="s">
        <v>279</v>
      </c>
      <c r="Q126" s="26" t="s">
        <v>82</v>
      </c>
      <c r="R126" s="26" t="s">
        <v>280</v>
      </c>
      <c r="S126" s="26" t="s">
        <v>104</v>
      </c>
      <c r="T126" s="26" t="s">
        <v>281</v>
      </c>
      <c r="U126" s="26" t="s">
        <v>80</v>
      </c>
      <c r="V126" s="26" t="s">
        <v>86</v>
      </c>
      <c r="W126" s="26" t="s">
        <v>86</v>
      </c>
      <c r="X126" s="26" t="s">
        <v>86</v>
      </c>
      <c r="Y126" s="26" t="s">
        <v>78</v>
      </c>
      <c r="Z126" s="26" t="s">
        <v>86</v>
      </c>
      <c r="AA126" s="27">
        <v>0.33333333333333337</v>
      </c>
      <c r="AB126" s="27">
        <v>0</v>
      </c>
      <c r="AC126" s="27">
        <v>0.33333333333333337</v>
      </c>
      <c r="AD126" s="27">
        <v>0</v>
      </c>
      <c r="AE126" s="27">
        <v>0</v>
      </c>
      <c r="AF126" s="27">
        <v>0</v>
      </c>
      <c r="AG126" s="27">
        <v>0.33333333333333337</v>
      </c>
      <c r="AH126" s="27">
        <v>0</v>
      </c>
      <c r="AI126" s="27">
        <v>0</v>
      </c>
      <c r="AJ126" s="27">
        <v>0</v>
      </c>
      <c r="AK126" s="27">
        <v>0</v>
      </c>
      <c r="AL126" s="27">
        <v>0.25</v>
      </c>
      <c r="AM126" s="27">
        <v>8.3333333333333329E-2</v>
      </c>
      <c r="AN126" s="27">
        <v>0.66666666666666674</v>
      </c>
      <c r="AO126" s="28">
        <v>1</v>
      </c>
      <c r="AP126" s="29">
        <v>0.33333333333333337</v>
      </c>
      <c r="AQ126" s="29">
        <v>0.33333333333333337</v>
      </c>
      <c r="AR126" s="30"/>
      <c r="AT126" s="49">
        <v>200000</v>
      </c>
      <c r="AU126" s="31">
        <v>10</v>
      </c>
      <c r="AV126" s="31">
        <v>0</v>
      </c>
      <c r="AW126" s="31">
        <v>5</v>
      </c>
      <c r="AX126" s="31">
        <v>4</v>
      </c>
      <c r="AY126" s="32"/>
      <c r="AZ126" s="31">
        <v>2</v>
      </c>
      <c r="BA126" s="31">
        <v>2</v>
      </c>
      <c r="BB126" s="31" t="s">
        <v>388</v>
      </c>
      <c r="BC126" s="31" t="s">
        <v>250</v>
      </c>
      <c r="BD126" s="31" t="s">
        <v>389</v>
      </c>
      <c r="BE126" s="33" t="s">
        <v>317</v>
      </c>
      <c r="BF126" s="31" t="s">
        <v>94</v>
      </c>
      <c r="BG126" s="31" t="s">
        <v>94</v>
      </c>
      <c r="BH126" s="31" t="s">
        <v>94</v>
      </c>
      <c r="BI126" s="31" t="s">
        <v>94</v>
      </c>
      <c r="BK126" s="31">
        <v>0</v>
      </c>
      <c r="BL126" s="31">
        <v>0</v>
      </c>
      <c r="BM126" s="31">
        <v>3</v>
      </c>
      <c r="BN126" s="31">
        <v>6</v>
      </c>
      <c r="BO126" s="31">
        <v>34</v>
      </c>
      <c r="BQ126" s="31">
        <v>2</v>
      </c>
      <c r="BR126" s="31">
        <v>3</v>
      </c>
      <c r="BS126" s="31">
        <v>51</v>
      </c>
    </row>
    <row r="127" spans="1:71" ht="18.75" hidden="1" customHeight="1">
      <c r="A127" s="25">
        <v>13812</v>
      </c>
      <c r="B127" s="25" t="s">
        <v>816</v>
      </c>
      <c r="C127" s="25" t="s">
        <v>817</v>
      </c>
      <c r="D127" s="44" t="s">
        <v>818</v>
      </c>
      <c r="E127" s="26" t="s">
        <v>246</v>
      </c>
      <c r="F127" s="26" t="s">
        <v>72</v>
      </c>
      <c r="G127" s="26" t="s">
        <v>247</v>
      </c>
      <c r="H127" s="26" t="s">
        <v>74</v>
      </c>
      <c r="I127" s="26" t="s">
        <v>75</v>
      </c>
      <c r="J127" s="26" t="s">
        <v>76</v>
      </c>
      <c r="K127" s="26" t="s">
        <v>77</v>
      </c>
      <c r="L127" s="26" t="s">
        <v>78</v>
      </c>
      <c r="M127" s="26" t="s">
        <v>100</v>
      </c>
      <c r="N127" s="26" t="s">
        <v>101</v>
      </c>
      <c r="O127" s="26" t="s">
        <v>80</v>
      </c>
      <c r="P127" s="26" t="s">
        <v>819</v>
      </c>
      <c r="Q127" s="26" t="s">
        <v>82</v>
      </c>
      <c r="R127" s="26" t="s">
        <v>207</v>
      </c>
      <c r="S127" s="26" t="s">
        <v>104</v>
      </c>
      <c r="T127" s="26" t="s">
        <v>82</v>
      </c>
      <c r="U127" s="26" t="s">
        <v>101</v>
      </c>
      <c r="V127" s="26" t="s">
        <v>86</v>
      </c>
      <c r="W127" s="26" t="s">
        <v>86</v>
      </c>
      <c r="X127" s="26" t="s">
        <v>86</v>
      </c>
      <c r="Y127" s="26" t="s">
        <v>78</v>
      </c>
      <c r="Z127" s="26" t="s">
        <v>78</v>
      </c>
      <c r="AA127" s="27">
        <v>2.0400000000000009</v>
      </c>
      <c r="AB127" s="27">
        <v>0</v>
      </c>
      <c r="AC127" s="27">
        <v>0</v>
      </c>
      <c r="AD127" s="27">
        <v>2.0400000000000009</v>
      </c>
      <c r="AE127" s="27">
        <v>0</v>
      </c>
      <c r="AF127" s="27">
        <v>0</v>
      </c>
      <c r="AG127" s="27">
        <v>2.0400000000000009</v>
      </c>
      <c r="AH127" s="27">
        <v>0</v>
      </c>
      <c r="AI127" s="27">
        <v>0</v>
      </c>
      <c r="AJ127" s="27">
        <v>0</v>
      </c>
      <c r="AK127" s="27">
        <v>0</v>
      </c>
      <c r="AL127" s="27">
        <v>1.7</v>
      </c>
      <c r="AM127" s="27">
        <v>0</v>
      </c>
      <c r="AN127" s="27">
        <v>3.7400000000000011</v>
      </c>
      <c r="AO127" s="28">
        <v>0.30837789661319076</v>
      </c>
      <c r="AP127" s="29">
        <v>1.8700000000000006</v>
      </c>
      <c r="AQ127" s="29">
        <v>1.8700000000000006</v>
      </c>
      <c r="AR127" s="30"/>
      <c r="AT127" s="36">
        <f>19718+75000+78700+100000</f>
        <v>273418</v>
      </c>
      <c r="AU127" s="38">
        <v>0</v>
      </c>
      <c r="AV127" s="38">
        <f>9+12+18+15</f>
        <v>54</v>
      </c>
      <c r="AW127" s="38">
        <v>0</v>
      </c>
      <c r="AX127" s="38">
        <f>9+10</f>
        <v>19</v>
      </c>
      <c r="AY127" s="45"/>
      <c r="AZ127" s="38">
        <v>3</v>
      </c>
      <c r="BA127" s="38">
        <v>3</v>
      </c>
      <c r="BB127" s="38" t="s">
        <v>197</v>
      </c>
      <c r="BC127" s="38" t="s">
        <v>198</v>
      </c>
      <c r="BD127" s="38" t="s">
        <v>820</v>
      </c>
      <c r="BE127" s="46" t="s">
        <v>821</v>
      </c>
      <c r="BF127" s="31" t="s">
        <v>156</v>
      </c>
      <c r="BG127" s="31" t="s">
        <v>156</v>
      </c>
      <c r="BH127" s="31" t="s">
        <v>156</v>
      </c>
      <c r="BI127" s="31" t="s">
        <v>156</v>
      </c>
      <c r="BK127" s="31">
        <v>0</v>
      </c>
      <c r="BL127" s="31">
        <v>0</v>
      </c>
      <c r="BM127" s="31">
        <v>10</v>
      </c>
      <c r="BN127" s="31">
        <v>26</v>
      </c>
      <c r="BO127" s="31">
        <v>66</v>
      </c>
      <c r="BQ127" s="31">
        <v>12</v>
      </c>
      <c r="BR127" s="31">
        <v>0</v>
      </c>
      <c r="BS127" s="31">
        <v>132</v>
      </c>
    </row>
    <row r="128" spans="1:71" ht="18.75" hidden="1" customHeight="1">
      <c r="A128" s="25">
        <v>13820</v>
      </c>
      <c r="B128" s="25" t="s">
        <v>822</v>
      </c>
      <c r="C128" s="25" t="s">
        <v>823</v>
      </c>
      <c r="D128" s="35" t="s">
        <v>824</v>
      </c>
      <c r="E128" s="26" t="s">
        <v>217</v>
      </c>
      <c r="F128" s="26" t="s">
        <v>193</v>
      </c>
      <c r="G128" s="26" t="s">
        <v>301</v>
      </c>
      <c r="H128" s="26" t="s">
        <v>74</v>
      </c>
      <c r="I128" s="26" t="s">
        <v>185</v>
      </c>
      <c r="J128" s="26" t="s">
        <v>76</v>
      </c>
      <c r="K128" s="26" t="s">
        <v>77</v>
      </c>
      <c r="L128" s="26" t="s">
        <v>78</v>
      </c>
      <c r="M128" s="26" t="s">
        <v>100</v>
      </c>
      <c r="N128" s="26" t="s">
        <v>101</v>
      </c>
      <c r="O128" s="26" t="s">
        <v>80</v>
      </c>
      <c r="P128" s="26" t="s">
        <v>825</v>
      </c>
      <c r="Q128" s="26" t="s">
        <v>82</v>
      </c>
      <c r="R128" s="26" t="s">
        <v>280</v>
      </c>
      <c r="S128" s="26" t="s">
        <v>104</v>
      </c>
      <c r="T128" s="26" t="s">
        <v>281</v>
      </c>
      <c r="U128" s="26" t="s">
        <v>80</v>
      </c>
      <c r="V128" s="26" t="s">
        <v>86</v>
      </c>
      <c r="W128" s="26" t="s">
        <v>86</v>
      </c>
      <c r="X128" s="26" t="s">
        <v>86</v>
      </c>
      <c r="Y128" s="26" t="s">
        <v>78</v>
      </c>
      <c r="Z128" s="26" t="s">
        <v>78</v>
      </c>
      <c r="AA128" s="27">
        <v>20.590416666666673</v>
      </c>
      <c r="AB128" s="27">
        <v>0</v>
      </c>
      <c r="AC128" s="27">
        <v>3.2333333333333334</v>
      </c>
      <c r="AD128" s="27">
        <v>17.357083333333335</v>
      </c>
      <c r="AE128" s="27">
        <v>0</v>
      </c>
      <c r="AF128" s="27">
        <v>1.75</v>
      </c>
      <c r="AG128" s="27">
        <v>12.248749999999996</v>
      </c>
      <c r="AH128" s="27">
        <v>4.8166666666666673</v>
      </c>
      <c r="AI128" s="27">
        <v>1</v>
      </c>
      <c r="AJ128" s="27">
        <v>0</v>
      </c>
      <c r="AK128" s="27">
        <v>0.77500000000000002</v>
      </c>
      <c r="AL128" s="27">
        <v>5.0458333333333316</v>
      </c>
      <c r="AM128" s="27">
        <v>18.145833333333332</v>
      </c>
      <c r="AN128" s="27">
        <v>43.782083333333333</v>
      </c>
      <c r="AO128" s="28">
        <v>0.98365960200614777</v>
      </c>
      <c r="AP128" s="29">
        <v>21.891041666666666</v>
      </c>
      <c r="AQ128" s="29">
        <v>21.891041666666666</v>
      </c>
      <c r="AR128" s="30"/>
      <c r="AT128" s="55">
        <v>711101</v>
      </c>
      <c r="AU128" s="31" t="s">
        <v>197</v>
      </c>
      <c r="AV128" s="31">
        <v>27</v>
      </c>
      <c r="AW128" s="31">
        <v>44</v>
      </c>
      <c r="AX128" s="31" t="s">
        <v>826</v>
      </c>
      <c r="AY128" s="32"/>
      <c r="AZ128" s="31">
        <v>2</v>
      </c>
      <c r="BA128" s="31">
        <v>3</v>
      </c>
      <c r="BB128" s="31" t="s">
        <v>827</v>
      </c>
      <c r="BC128" s="42" t="s">
        <v>828</v>
      </c>
      <c r="BD128" s="31" t="s">
        <v>829</v>
      </c>
      <c r="BE128" s="33" t="s">
        <v>830</v>
      </c>
      <c r="BF128" s="31" t="s">
        <v>94</v>
      </c>
      <c r="BG128" s="31" t="s">
        <v>94</v>
      </c>
      <c r="BH128" s="31" t="s">
        <v>94</v>
      </c>
      <c r="BI128" s="31" t="s">
        <v>94</v>
      </c>
      <c r="BK128" s="31">
        <v>0</v>
      </c>
      <c r="BL128" s="31">
        <v>0</v>
      </c>
      <c r="BM128" s="31">
        <v>4</v>
      </c>
      <c r="BN128" s="31">
        <v>20</v>
      </c>
      <c r="BO128" s="31">
        <v>22</v>
      </c>
      <c r="BQ128" s="31">
        <v>5</v>
      </c>
      <c r="BR128" s="31">
        <v>3</v>
      </c>
      <c r="BS128" s="31">
        <v>208</v>
      </c>
    </row>
    <row r="129" spans="1:71" ht="18.75" hidden="1" customHeight="1">
      <c r="A129" s="25">
        <v>13856</v>
      </c>
      <c r="B129" s="25" t="s">
        <v>831</v>
      </c>
      <c r="C129" s="25" t="s">
        <v>832</v>
      </c>
      <c r="D129" s="35" t="s">
        <v>833</v>
      </c>
      <c r="E129" s="26" t="s">
        <v>238</v>
      </c>
      <c r="F129" s="26" t="s">
        <v>193</v>
      </c>
      <c r="G129" s="26" t="s">
        <v>239</v>
      </c>
      <c r="H129" s="26" t="s">
        <v>74</v>
      </c>
      <c r="I129" s="26" t="s">
        <v>75</v>
      </c>
      <c r="J129" s="26" t="s">
        <v>76</v>
      </c>
      <c r="K129" s="26" t="s">
        <v>77</v>
      </c>
      <c r="L129" s="26" t="s">
        <v>78</v>
      </c>
      <c r="M129" s="26" t="s">
        <v>100</v>
      </c>
      <c r="N129" s="26" t="s">
        <v>101</v>
      </c>
      <c r="O129" s="26" t="s">
        <v>80</v>
      </c>
      <c r="P129" s="26" t="s">
        <v>834</v>
      </c>
      <c r="Q129" s="26" t="s">
        <v>82</v>
      </c>
      <c r="R129" s="26" t="s">
        <v>835</v>
      </c>
      <c r="S129" s="26" t="s">
        <v>104</v>
      </c>
      <c r="T129" s="26" t="s">
        <v>82</v>
      </c>
      <c r="U129" s="26" t="s">
        <v>101</v>
      </c>
      <c r="V129" s="26" t="s">
        <v>86</v>
      </c>
      <c r="W129" s="26" t="s">
        <v>86</v>
      </c>
      <c r="X129" s="26" t="s">
        <v>86</v>
      </c>
      <c r="Y129" s="26" t="s">
        <v>78</v>
      </c>
      <c r="Z129" s="26" t="s">
        <v>78</v>
      </c>
      <c r="AA129" s="27">
        <v>4.4024999999999999</v>
      </c>
      <c r="AB129" s="27">
        <v>0</v>
      </c>
      <c r="AC129" s="27">
        <v>3.75</v>
      </c>
      <c r="AD129" s="27">
        <v>0.65249999999999997</v>
      </c>
      <c r="AE129" s="27">
        <v>0</v>
      </c>
      <c r="AF129" s="27">
        <v>0</v>
      </c>
      <c r="AG129" s="27">
        <v>4.2775000000000007</v>
      </c>
      <c r="AH129" s="27">
        <v>0</v>
      </c>
      <c r="AI129" s="27">
        <v>0.125</v>
      </c>
      <c r="AJ129" s="27">
        <v>0</v>
      </c>
      <c r="AK129" s="27">
        <v>0</v>
      </c>
      <c r="AL129" s="27">
        <v>1.9583333333333335</v>
      </c>
      <c r="AM129" s="27">
        <v>4.1666666666666664E-2</v>
      </c>
      <c r="AN129" s="27">
        <v>6.4025000000000007</v>
      </c>
      <c r="AO129" s="28">
        <v>0.95769881556683589</v>
      </c>
      <c r="AP129" s="29">
        <v>3.2012500000000004</v>
      </c>
      <c r="AQ129" s="29">
        <v>3.2012500000000004</v>
      </c>
      <c r="AR129" s="30"/>
      <c r="AT129" s="31" t="s">
        <v>836</v>
      </c>
      <c r="AU129" s="31">
        <v>0</v>
      </c>
      <c r="AV129" s="31">
        <v>29</v>
      </c>
      <c r="AW129" s="31">
        <v>4</v>
      </c>
      <c r="AX129" s="31">
        <v>34</v>
      </c>
      <c r="AY129" s="32"/>
      <c r="AZ129" s="31">
        <v>3</v>
      </c>
      <c r="BA129" s="31">
        <v>1</v>
      </c>
      <c r="BB129" s="31" t="s">
        <v>837</v>
      </c>
      <c r="BC129" s="31" t="s">
        <v>198</v>
      </c>
      <c r="BD129" s="31" t="s">
        <v>838</v>
      </c>
      <c r="BE129" s="33" t="s">
        <v>839</v>
      </c>
      <c r="BF129" s="31" t="s">
        <v>156</v>
      </c>
      <c r="BG129" s="31" t="s">
        <v>156</v>
      </c>
      <c r="BH129" s="31" t="s">
        <v>156</v>
      </c>
      <c r="BI129" s="31" t="s">
        <v>156</v>
      </c>
      <c r="BK129" s="31">
        <v>0</v>
      </c>
      <c r="BL129" s="31">
        <v>0</v>
      </c>
      <c r="BM129" s="31">
        <v>19</v>
      </c>
      <c r="BN129" s="31">
        <v>13</v>
      </c>
      <c r="BO129" s="31">
        <v>71</v>
      </c>
      <c r="BQ129" s="31">
        <v>15</v>
      </c>
      <c r="BR129" s="31">
        <v>0</v>
      </c>
      <c r="BS129" s="31">
        <v>110</v>
      </c>
    </row>
    <row r="130" spans="1:71" ht="18.75" hidden="1" customHeight="1">
      <c r="A130" s="25">
        <v>13863</v>
      </c>
      <c r="B130" s="25" t="s">
        <v>840</v>
      </c>
      <c r="C130" s="25" t="s">
        <v>841</v>
      </c>
      <c r="D130" s="25" t="s">
        <v>842</v>
      </c>
      <c r="E130" s="26" t="s">
        <v>192</v>
      </c>
      <c r="F130" s="26" t="s">
        <v>193</v>
      </c>
      <c r="G130" s="26" t="s">
        <v>194</v>
      </c>
      <c r="H130" s="26" t="s">
        <v>504</v>
      </c>
      <c r="I130" s="26" t="s">
        <v>185</v>
      </c>
      <c r="J130" s="26" t="s">
        <v>76</v>
      </c>
      <c r="K130" s="26" t="s">
        <v>77</v>
      </c>
      <c r="L130" s="26" t="s">
        <v>78</v>
      </c>
      <c r="M130" s="26" t="s">
        <v>100</v>
      </c>
      <c r="N130" s="26" t="s">
        <v>101</v>
      </c>
      <c r="O130" s="26" t="s">
        <v>101</v>
      </c>
      <c r="P130" s="26" t="s">
        <v>843</v>
      </c>
      <c r="Q130" s="26" t="s">
        <v>82</v>
      </c>
      <c r="R130" s="26" t="s">
        <v>280</v>
      </c>
      <c r="S130" s="26" t="s">
        <v>84</v>
      </c>
      <c r="T130" s="26" t="s">
        <v>85</v>
      </c>
      <c r="U130" s="26" t="s">
        <v>80</v>
      </c>
      <c r="V130" s="26" t="s">
        <v>86</v>
      </c>
      <c r="W130" s="26" t="s">
        <v>86</v>
      </c>
      <c r="X130" s="26" t="s">
        <v>86</v>
      </c>
      <c r="Y130" s="26" t="s">
        <v>78</v>
      </c>
      <c r="Z130" s="26" t="s">
        <v>78</v>
      </c>
      <c r="AA130" s="27">
        <v>0</v>
      </c>
      <c r="AB130" s="27"/>
      <c r="AC130" s="27"/>
      <c r="AD130" s="27"/>
      <c r="AE130" s="27"/>
      <c r="AF130" s="27"/>
      <c r="AG130" s="27"/>
      <c r="AH130" s="27"/>
      <c r="AI130" s="27"/>
      <c r="AJ130" s="27"/>
      <c r="AK130" s="27"/>
      <c r="AL130" s="27">
        <v>0</v>
      </c>
      <c r="AM130" s="27">
        <v>0</v>
      </c>
      <c r="AN130" s="27">
        <f>AA130+AL130+AM130</f>
        <v>0</v>
      </c>
      <c r="AO130" s="28"/>
      <c r="AP130" s="29">
        <v>0</v>
      </c>
      <c r="AQ130" s="29">
        <v>0</v>
      </c>
      <c r="AR130" s="30" t="s">
        <v>844</v>
      </c>
      <c r="AT130" s="38" t="s">
        <v>197</v>
      </c>
      <c r="AU130" s="37" t="s">
        <v>197</v>
      </c>
      <c r="AV130" s="37" t="s">
        <v>197</v>
      </c>
      <c r="AW130" s="37" t="s">
        <v>197</v>
      </c>
      <c r="AX130" s="37" t="s">
        <v>197</v>
      </c>
      <c r="AY130" s="32"/>
      <c r="AZ130" s="31">
        <v>3</v>
      </c>
      <c r="BA130" s="31">
        <v>1</v>
      </c>
      <c r="BB130" s="31" t="s">
        <v>197</v>
      </c>
      <c r="BC130" s="31" t="s">
        <v>198</v>
      </c>
      <c r="BD130" s="31" t="s">
        <v>197</v>
      </c>
      <c r="BE130" s="73" t="s">
        <v>845</v>
      </c>
      <c r="BF130" s="31" t="s">
        <v>156</v>
      </c>
      <c r="BG130" s="31" t="s">
        <v>156</v>
      </c>
      <c r="BH130" s="31" t="s">
        <v>156</v>
      </c>
      <c r="BI130" s="31" t="s">
        <v>156</v>
      </c>
      <c r="BK130" s="31">
        <v>0</v>
      </c>
      <c r="BL130" s="31">
        <v>0</v>
      </c>
      <c r="BM130" s="31">
        <v>0</v>
      </c>
      <c r="BN130" s="31">
        <v>0</v>
      </c>
      <c r="BO130" s="31">
        <v>0</v>
      </c>
      <c r="BQ130" s="31">
        <v>0</v>
      </c>
      <c r="BR130" s="31">
        <v>0</v>
      </c>
      <c r="BS130" s="31">
        <v>1</v>
      </c>
    </row>
    <row r="131" spans="1:71" ht="18.75" customHeight="1">
      <c r="A131" s="25">
        <v>13884</v>
      </c>
      <c r="B131" s="25" t="s">
        <v>846</v>
      </c>
      <c r="C131" s="25" t="s">
        <v>847</v>
      </c>
      <c r="D131" s="35" t="s">
        <v>848</v>
      </c>
      <c r="E131" s="26" t="s">
        <v>204</v>
      </c>
      <c r="F131" s="26" t="s">
        <v>193</v>
      </c>
      <c r="G131" s="26" t="s">
        <v>205</v>
      </c>
      <c r="H131" s="26" t="s">
        <v>74</v>
      </c>
      <c r="I131" s="26" t="s">
        <v>75</v>
      </c>
      <c r="J131" s="26" t="s">
        <v>76</v>
      </c>
      <c r="K131" s="26" t="s">
        <v>77</v>
      </c>
      <c r="L131" s="26" t="s">
        <v>78</v>
      </c>
      <c r="M131" s="26" t="s">
        <v>100</v>
      </c>
      <c r="N131" s="26" t="s">
        <v>101</v>
      </c>
      <c r="O131" s="26" t="s">
        <v>80</v>
      </c>
      <c r="P131" s="26" t="s">
        <v>834</v>
      </c>
      <c r="Q131" s="26" t="s">
        <v>82</v>
      </c>
      <c r="R131" s="26" t="s">
        <v>280</v>
      </c>
      <c r="S131" s="26" t="s">
        <v>104</v>
      </c>
      <c r="T131" s="26" t="s">
        <v>82</v>
      </c>
      <c r="U131" s="26" t="s">
        <v>101</v>
      </c>
      <c r="V131" s="26" t="s">
        <v>86</v>
      </c>
      <c r="W131" s="26" t="s">
        <v>86</v>
      </c>
      <c r="X131" s="26" t="s">
        <v>86</v>
      </c>
      <c r="Y131" s="26" t="s">
        <v>78</v>
      </c>
      <c r="Z131" s="26" t="s">
        <v>78</v>
      </c>
      <c r="AA131" s="40">
        <v>4.0262499999999992</v>
      </c>
      <c r="AB131" s="40">
        <v>0</v>
      </c>
      <c r="AC131" s="40">
        <v>0.77500000000000002</v>
      </c>
      <c r="AD131" s="40">
        <v>3.2512499999999989</v>
      </c>
      <c r="AE131" s="40">
        <v>0</v>
      </c>
      <c r="AF131" s="40">
        <v>0</v>
      </c>
      <c r="AG131" s="40">
        <v>4.0262499999999992</v>
      </c>
      <c r="AH131" s="40">
        <v>0</v>
      </c>
      <c r="AI131" s="40">
        <v>0</v>
      </c>
      <c r="AJ131" s="40">
        <v>0</v>
      </c>
      <c r="AK131" s="40">
        <v>0</v>
      </c>
      <c r="AL131" s="40">
        <v>0.25</v>
      </c>
      <c r="AM131" s="40">
        <v>0</v>
      </c>
      <c r="AN131" s="27">
        <f>AA131+AL131+AM131</f>
        <v>4.2762499999999992</v>
      </c>
      <c r="AO131" s="28">
        <v>0.90909090909090917</v>
      </c>
      <c r="AP131" s="29">
        <v>2.1381249999999996</v>
      </c>
      <c r="AQ131" s="29">
        <v>2.1381249999999996</v>
      </c>
      <c r="AR131" s="30"/>
      <c r="AT131" s="41" t="s">
        <v>849</v>
      </c>
      <c r="AU131" s="41" t="s">
        <v>850</v>
      </c>
      <c r="AV131" s="74" t="s">
        <v>851</v>
      </c>
      <c r="AW131" s="74" t="s">
        <v>852</v>
      </c>
      <c r="AX131" s="74" t="s">
        <v>853</v>
      </c>
      <c r="AY131" s="32"/>
      <c r="AZ131" s="31">
        <v>3</v>
      </c>
      <c r="BA131" s="31">
        <v>3</v>
      </c>
      <c r="BB131" s="31" t="s">
        <v>197</v>
      </c>
      <c r="BC131" s="31" t="s">
        <v>198</v>
      </c>
      <c r="BD131" s="31" t="s">
        <v>389</v>
      </c>
      <c r="BE131" s="33" t="s">
        <v>333</v>
      </c>
      <c r="BF131" s="31"/>
      <c r="BG131" s="31"/>
      <c r="BH131" s="31"/>
      <c r="BI131" s="31"/>
      <c r="BK131" s="31">
        <v>0</v>
      </c>
      <c r="BL131" s="31">
        <v>0</v>
      </c>
      <c r="BM131" s="31">
        <v>0</v>
      </c>
      <c r="BN131" s="31">
        <v>1</v>
      </c>
      <c r="BO131" s="31">
        <v>7</v>
      </c>
      <c r="BQ131" s="31">
        <v>1</v>
      </c>
      <c r="BR131" s="31">
        <v>0</v>
      </c>
      <c r="BS131" s="31">
        <v>40</v>
      </c>
    </row>
    <row r="132" spans="1:71" ht="18.75" hidden="1" customHeight="1">
      <c r="A132" s="25">
        <v>13888</v>
      </c>
      <c r="B132" s="25" t="s">
        <v>854</v>
      </c>
      <c r="C132" s="25" t="s">
        <v>855</v>
      </c>
      <c r="D132" s="25" t="s">
        <v>856</v>
      </c>
      <c r="E132" s="26" t="s">
        <v>311</v>
      </c>
      <c r="F132" s="26" t="s">
        <v>312</v>
      </c>
      <c r="G132" s="26" t="s">
        <v>448</v>
      </c>
      <c r="H132" s="26" t="s">
        <v>632</v>
      </c>
      <c r="I132" s="26" t="s">
        <v>185</v>
      </c>
      <c r="J132" s="26" t="s">
        <v>76</v>
      </c>
      <c r="K132" s="26" t="s">
        <v>77</v>
      </c>
      <c r="L132" s="26" t="s">
        <v>78</v>
      </c>
      <c r="M132" s="26" t="s">
        <v>100</v>
      </c>
      <c r="N132" s="26" t="s">
        <v>101</v>
      </c>
      <c r="O132" s="26" t="s">
        <v>80</v>
      </c>
      <c r="P132" s="26" t="s">
        <v>206</v>
      </c>
      <c r="Q132" s="26" t="s">
        <v>82</v>
      </c>
      <c r="R132" s="26" t="s">
        <v>768</v>
      </c>
      <c r="S132" s="26" t="s">
        <v>104</v>
      </c>
      <c r="T132" s="26" t="s">
        <v>82</v>
      </c>
      <c r="U132" s="26" t="s">
        <v>101</v>
      </c>
      <c r="V132" s="26" t="s">
        <v>86</v>
      </c>
      <c r="W132" s="26" t="s">
        <v>86</v>
      </c>
      <c r="X132" s="26" t="s">
        <v>86</v>
      </c>
      <c r="Y132" s="26" t="s">
        <v>78</v>
      </c>
      <c r="Z132" s="26" t="s">
        <v>78</v>
      </c>
      <c r="AA132" s="27">
        <v>2.9475000000000016</v>
      </c>
      <c r="AB132" s="27">
        <v>0</v>
      </c>
      <c r="AC132" s="27">
        <v>0</v>
      </c>
      <c r="AD132" s="27">
        <v>2.9475000000000016</v>
      </c>
      <c r="AE132" s="27">
        <v>0</v>
      </c>
      <c r="AF132" s="27">
        <v>0</v>
      </c>
      <c r="AG132" s="27">
        <v>2.9475000000000016</v>
      </c>
      <c r="AH132" s="27">
        <v>0</v>
      </c>
      <c r="AI132" s="27">
        <v>0</v>
      </c>
      <c r="AJ132" s="27">
        <v>0</v>
      </c>
      <c r="AK132" s="27">
        <v>0</v>
      </c>
      <c r="AL132" s="27">
        <v>0.49999999999999994</v>
      </c>
      <c r="AM132" s="27">
        <v>1</v>
      </c>
      <c r="AN132" s="27">
        <v>4.4475000000000016</v>
      </c>
      <c r="AO132" s="28">
        <v>0.24077196927112607</v>
      </c>
      <c r="AP132" s="29">
        <v>2.2237500000000008</v>
      </c>
      <c r="AQ132" s="29">
        <v>2.2237500000000008</v>
      </c>
      <c r="AR132" s="30"/>
      <c r="AT132" s="52">
        <v>35000</v>
      </c>
      <c r="AU132" s="31">
        <v>0</v>
      </c>
      <c r="AV132" s="31">
        <v>35</v>
      </c>
      <c r="AW132" s="31">
        <v>0</v>
      </c>
      <c r="AX132" s="31">
        <v>15</v>
      </c>
      <c r="AY132" s="32"/>
      <c r="AZ132" s="31">
        <v>2</v>
      </c>
      <c r="BA132" s="31">
        <v>1</v>
      </c>
      <c r="BB132" s="31" t="s">
        <v>388</v>
      </c>
      <c r="BC132" s="31" t="s">
        <v>250</v>
      </c>
      <c r="BD132" s="31" t="s">
        <v>389</v>
      </c>
      <c r="BE132" s="33" t="s">
        <v>317</v>
      </c>
      <c r="BF132" s="31" t="s">
        <v>94</v>
      </c>
      <c r="BG132" s="31" t="s">
        <v>94</v>
      </c>
      <c r="BH132" s="31" t="s">
        <v>94</v>
      </c>
      <c r="BI132" s="31" t="s">
        <v>94</v>
      </c>
      <c r="BK132" s="31">
        <v>0</v>
      </c>
      <c r="BL132" s="31">
        <v>0</v>
      </c>
      <c r="BM132" s="31">
        <v>10</v>
      </c>
      <c r="BN132" s="31">
        <v>6</v>
      </c>
      <c r="BO132" s="31">
        <v>30</v>
      </c>
      <c r="BQ132" s="31">
        <v>17</v>
      </c>
      <c r="BR132" s="31">
        <v>0</v>
      </c>
      <c r="BS132" s="31">
        <v>127</v>
      </c>
    </row>
    <row r="133" spans="1:71" ht="18.75" hidden="1" customHeight="1">
      <c r="A133" s="25">
        <v>13971</v>
      </c>
      <c r="B133" s="25" t="s">
        <v>857</v>
      </c>
      <c r="C133" s="25" t="s">
        <v>858</v>
      </c>
      <c r="D133" s="35" t="s">
        <v>859</v>
      </c>
      <c r="E133" s="26" t="s">
        <v>238</v>
      </c>
      <c r="F133" s="26" t="s">
        <v>193</v>
      </c>
      <c r="G133" s="26" t="s">
        <v>239</v>
      </c>
      <c r="H133" s="26" t="s">
        <v>74</v>
      </c>
      <c r="I133" s="26" t="s">
        <v>75</v>
      </c>
      <c r="J133" s="26" t="s">
        <v>76</v>
      </c>
      <c r="K133" s="26" t="s">
        <v>77</v>
      </c>
      <c r="L133" s="26" t="s">
        <v>78</v>
      </c>
      <c r="M133" s="26" t="s">
        <v>100</v>
      </c>
      <c r="N133" s="26" t="s">
        <v>101</v>
      </c>
      <c r="O133" s="26" t="s">
        <v>80</v>
      </c>
      <c r="P133" s="26" t="s">
        <v>860</v>
      </c>
      <c r="Q133" s="26" t="s">
        <v>82</v>
      </c>
      <c r="R133" s="26" t="s">
        <v>207</v>
      </c>
      <c r="S133" s="26" t="s">
        <v>104</v>
      </c>
      <c r="T133" s="26" t="s">
        <v>82</v>
      </c>
      <c r="U133" s="26" t="s">
        <v>101</v>
      </c>
      <c r="V133" s="26" t="s">
        <v>86</v>
      </c>
      <c r="W133" s="26" t="s">
        <v>86</v>
      </c>
      <c r="X133" s="26" t="s">
        <v>86</v>
      </c>
      <c r="Y133" s="26" t="s">
        <v>78</v>
      </c>
      <c r="Z133" s="26" t="s">
        <v>78</v>
      </c>
      <c r="AA133" s="27">
        <v>0.95416666666666661</v>
      </c>
      <c r="AB133" s="27">
        <v>0</v>
      </c>
      <c r="AC133" s="27">
        <v>0</v>
      </c>
      <c r="AD133" s="27">
        <v>0.95416666666666661</v>
      </c>
      <c r="AE133" s="27">
        <v>0</v>
      </c>
      <c r="AF133" s="27">
        <v>0</v>
      </c>
      <c r="AG133" s="27">
        <v>0.95416666666666661</v>
      </c>
      <c r="AH133" s="27">
        <v>0</v>
      </c>
      <c r="AI133" s="27">
        <v>0</v>
      </c>
      <c r="AJ133" s="27">
        <v>0</v>
      </c>
      <c r="AK133" s="27">
        <v>0</v>
      </c>
      <c r="AL133" s="27">
        <v>0.54999999999999993</v>
      </c>
      <c r="AM133" s="27">
        <v>0</v>
      </c>
      <c r="AN133" s="27">
        <v>1.5041666666666664</v>
      </c>
      <c r="AO133" s="28">
        <v>0.29362880886426596</v>
      </c>
      <c r="AP133" s="29">
        <v>0.75208333333333321</v>
      </c>
      <c r="AQ133" s="29">
        <v>0.75208333333333321</v>
      </c>
      <c r="AR133" s="30"/>
      <c r="AT133" s="31" t="s">
        <v>861</v>
      </c>
      <c r="AU133" s="31">
        <v>24</v>
      </c>
      <c r="AV133" s="31">
        <v>20</v>
      </c>
      <c r="AW133" s="31">
        <v>0</v>
      </c>
      <c r="AX133" s="31">
        <v>53</v>
      </c>
      <c r="AY133" s="32"/>
      <c r="AZ133" s="31">
        <v>3</v>
      </c>
      <c r="BA133" s="31">
        <v>1</v>
      </c>
      <c r="BB133" s="31" t="s">
        <v>209</v>
      </c>
      <c r="BC133" s="31" t="s">
        <v>198</v>
      </c>
      <c r="BD133" s="31" t="s">
        <v>862</v>
      </c>
      <c r="BE133" s="33" t="s">
        <v>212</v>
      </c>
      <c r="BF133" s="31" t="s">
        <v>94</v>
      </c>
      <c r="BG133" s="31" t="s">
        <v>94</v>
      </c>
      <c r="BH133" s="31" t="s">
        <v>94</v>
      </c>
      <c r="BI133" s="31" t="s">
        <v>94</v>
      </c>
      <c r="BK133" s="31">
        <v>0</v>
      </c>
      <c r="BL133" s="31">
        <v>0</v>
      </c>
      <c r="BM133" s="31">
        <v>18</v>
      </c>
      <c r="BN133" s="31">
        <v>2</v>
      </c>
      <c r="BO133" s="31">
        <v>8</v>
      </c>
      <c r="BQ133" s="31">
        <v>6</v>
      </c>
      <c r="BR133" s="31">
        <v>0</v>
      </c>
      <c r="BS133" s="31">
        <v>80</v>
      </c>
    </row>
    <row r="134" spans="1:71" ht="18.75" hidden="1" customHeight="1">
      <c r="A134" s="25">
        <v>13982</v>
      </c>
      <c r="B134" s="25" t="s">
        <v>863</v>
      </c>
      <c r="C134" s="25" t="s">
        <v>864</v>
      </c>
      <c r="D134" s="35" t="s">
        <v>865</v>
      </c>
      <c r="E134" s="26" t="s">
        <v>192</v>
      </c>
      <c r="F134" s="26" t="s">
        <v>193</v>
      </c>
      <c r="G134" s="26" t="s">
        <v>194</v>
      </c>
      <c r="H134" s="26" t="s">
        <v>74</v>
      </c>
      <c r="I134" s="26" t="s">
        <v>75</v>
      </c>
      <c r="J134" s="26" t="s">
        <v>76</v>
      </c>
      <c r="K134" s="26" t="s">
        <v>77</v>
      </c>
      <c r="L134" s="26" t="s">
        <v>78</v>
      </c>
      <c r="M134" s="26" t="s">
        <v>100</v>
      </c>
      <c r="N134" s="26" t="s">
        <v>101</v>
      </c>
      <c r="O134" s="26" t="s">
        <v>80</v>
      </c>
      <c r="P134" s="26" t="s">
        <v>834</v>
      </c>
      <c r="Q134" s="26" t="s">
        <v>82</v>
      </c>
      <c r="R134" s="26" t="s">
        <v>280</v>
      </c>
      <c r="S134" s="26" t="s">
        <v>104</v>
      </c>
      <c r="T134" s="26" t="s">
        <v>82</v>
      </c>
      <c r="U134" s="26" t="s">
        <v>101</v>
      </c>
      <c r="V134" s="26" t="s">
        <v>86</v>
      </c>
      <c r="W134" s="26" t="s">
        <v>86</v>
      </c>
      <c r="X134" s="26" t="s">
        <v>86</v>
      </c>
      <c r="Y134" s="26" t="s">
        <v>78</v>
      </c>
      <c r="Z134" s="26" t="s">
        <v>78</v>
      </c>
      <c r="AA134" s="27">
        <v>0.86916666666666664</v>
      </c>
      <c r="AB134" s="27">
        <v>0</v>
      </c>
      <c r="AC134" s="27">
        <v>0</v>
      </c>
      <c r="AD134" s="27">
        <v>0.86916666666666664</v>
      </c>
      <c r="AE134" s="27">
        <v>0</v>
      </c>
      <c r="AF134" s="27">
        <v>0</v>
      </c>
      <c r="AG134" s="27">
        <v>0.86916666666666664</v>
      </c>
      <c r="AH134" s="27">
        <v>0</v>
      </c>
      <c r="AI134" s="27">
        <v>0</v>
      </c>
      <c r="AJ134" s="27">
        <v>0</v>
      </c>
      <c r="AK134" s="27">
        <v>0</v>
      </c>
      <c r="AL134" s="27">
        <v>3.3333333333333333E-2</v>
      </c>
      <c r="AM134" s="27">
        <v>0</v>
      </c>
      <c r="AN134" s="27">
        <v>0.90249999999999997</v>
      </c>
      <c r="AO134" s="28">
        <v>1</v>
      </c>
      <c r="AP134" s="29">
        <v>0.45124999999999998</v>
      </c>
      <c r="AQ134" s="29">
        <v>0.45124999999999998</v>
      </c>
      <c r="AR134" s="30"/>
      <c r="AT134" s="31"/>
      <c r="AU134" s="31"/>
      <c r="AV134" s="31"/>
      <c r="AW134" s="31"/>
      <c r="AX134" s="31"/>
      <c r="AY134" s="32"/>
      <c r="AZ134" s="31">
        <v>3</v>
      </c>
      <c r="BA134" s="31">
        <v>1</v>
      </c>
      <c r="BB134" s="31" t="s">
        <v>197</v>
      </c>
      <c r="BC134" s="31" t="s">
        <v>866</v>
      </c>
      <c r="BD134" s="31" t="s">
        <v>389</v>
      </c>
      <c r="BE134" s="33"/>
      <c r="BF134" s="31" t="s">
        <v>156</v>
      </c>
      <c r="BG134" s="31" t="s">
        <v>156</v>
      </c>
      <c r="BH134" s="31" t="s">
        <v>156</v>
      </c>
      <c r="BI134" s="31" t="s">
        <v>156</v>
      </c>
      <c r="BK134" s="31">
        <v>0</v>
      </c>
      <c r="BL134" s="31">
        <v>0</v>
      </c>
      <c r="BM134" s="31">
        <v>2</v>
      </c>
      <c r="BN134" s="31">
        <v>0</v>
      </c>
      <c r="BO134" s="31">
        <v>2</v>
      </c>
      <c r="BQ134" s="31">
        <v>1</v>
      </c>
      <c r="BR134" s="31">
        <v>0</v>
      </c>
      <c r="BS134" s="31">
        <v>5</v>
      </c>
    </row>
    <row r="135" spans="1:71" ht="18.75" hidden="1" customHeight="1">
      <c r="A135" s="25">
        <v>14049</v>
      </c>
      <c r="B135" s="25" t="s">
        <v>867</v>
      </c>
      <c r="C135" s="25" t="s">
        <v>868</v>
      </c>
      <c r="D135" s="25" t="s">
        <v>869</v>
      </c>
      <c r="E135" s="26" t="s">
        <v>337</v>
      </c>
      <c r="F135" s="26" t="s">
        <v>312</v>
      </c>
      <c r="G135" s="26" t="s">
        <v>338</v>
      </c>
      <c r="H135" s="26" t="s">
        <v>504</v>
      </c>
      <c r="I135" s="26" t="s">
        <v>185</v>
      </c>
      <c r="J135" s="26" t="s">
        <v>76</v>
      </c>
      <c r="K135" s="26" t="s">
        <v>77</v>
      </c>
      <c r="L135" s="26" t="s">
        <v>78</v>
      </c>
      <c r="M135" s="26" t="s">
        <v>79</v>
      </c>
      <c r="N135" s="26" t="s">
        <v>80</v>
      </c>
      <c r="O135" s="26" t="s">
        <v>80</v>
      </c>
      <c r="P135" s="26" t="s">
        <v>279</v>
      </c>
      <c r="Q135" s="26" t="s">
        <v>82</v>
      </c>
      <c r="R135" s="26" t="s">
        <v>870</v>
      </c>
      <c r="S135" s="26" t="s">
        <v>104</v>
      </c>
      <c r="T135" s="26" t="s">
        <v>281</v>
      </c>
      <c r="U135" s="26" t="s">
        <v>80</v>
      </c>
      <c r="V135" s="26" t="s">
        <v>86</v>
      </c>
      <c r="W135" s="26" t="s">
        <v>86</v>
      </c>
      <c r="X135" s="26" t="s">
        <v>86</v>
      </c>
      <c r="Y135" s="26" t="s">
        <v>78</v>
      </c>
      <c r="Z135" s="26" t="s">
        <v>86</v>
      </c>
      <c r="AA135" s="27">
        <v>0</v>
      </c>
      <c r="AB135" s="27">
        <v>0</v>
      </c>
      <c r="AC135" s="27">
        <v>0</v>
      </c>
      <c r="AD135" s="27">
        <v>0</v>
      </c>
      <c r="AE135" s="27">
        <v>0</v>
      </c>
      <c r="AF135" s="27">
        <v>0</v>
      </c>
      <c r="AG135" s="27">
        <v>0</v>
      </c>
      <c r="AH135" s="27">
        <v>0</v>
      </c>
      <c r="AI135" s="27">
        <v>0</v>
      </c>
      <c r="AJ135" s="27">
        <v>0</v>
      </c>
      <c r="AK135" s="27">
        <v>0</v>
      </c>
      <c r="AL135" s="27">
        <v>0</v>
      </c>
      <c r="AM135" s="27">
        <v>0.125</v>
      </c>
      <c r="AN135" s="27">
        <v>0.125</v>
      </c>
      <c r="AO135" s="28">
        <v>1</v>
      </c>
      <c r="AP135" s="29">
        <v>6.25E-2</v>
      </c>
      <c r="AQ135" s="29">
        <v>6.25E-2</v>
      </c>
      <c r="AR135" s="30" t="s">
        <v>871</v>
      </c>
      <c r="AT135" s="49">
        <v>200000</v>
      </c>
      <c r="AU135" s="31">
        <v>4</v>
      </c>
      <c r="AV135" s="31">
        <v>0</v>
      </c>
      <c r="AW135" s="31">
        <v>2</v>
      </c>
      <c r="AX135" s="31">
        <v>2</v>
      </c>
      <c r="AY135" s="32"/>
      <c r="AZ135" s="31">
        <v>2</v>
      </c>
      <c r="BA135" s="31">
        <v>3</v>
      </c>
      <c r="BB135" s="31" t="s">
        <v>388</v>
      </c>
      <c r="BC135" s="31" t="s">
        <v>743</v>
      </c>
      <c r="BD135" s="31" t="s">
        <v>372</v>
      </c>
      <c r="BE135" s="33" t="s">
        <v>372</v>
      </c>
      <c r="BF135" s="31" t="s">
        <v>156</v>
      </c>
      <c r="BG135" s="31" t="s">
        <v>156</v>
      </c>
      <c r="BH135" s="31" t="s">
        <v>156</v>
      </c>
      <c r="BI135" s="31" t="s">
        <v>156</v>
      </c>
      <c r="BK135" s="31">
        <v>0</v>
      </c>
      <c r="BL135" s="31">
        <v>0</v>
      </c>
      <c r="BM135" s="31">
        <v>2</v>
      </c>
      <c r="BN135" s="31">
        <v>1</v>
      </c>
      <c r="BO135" s="31">
        <v>1</v>
      </c>
      <c r="BQ135" s="31">
        <v>1</v>
      </c>
      <c r="BR135" s="31">
        <v>0</v>
      </c>
      <c r="BS135" s="31">
        <v>42</v>
      </c>
    </row>
    <row r="136" spans="1:71" ht="18.75" hidden="1" customHeight="1">
      <c r="A136" s="25">
        <v>14059</v>
      </c>
      <c r="B136" s="25" t="s">
        <v>872</v>
      </c>
      <c r="C136" s="25" t="s">
        <v>873</v>
      </c>
      <c r="D136" s="25" t="s">
        <v>874</v>
      </c>
      <c r="E136" s="26" t="s">
        <v>98</v>
      </c>
      <c r="F136" s="26" t="s">
        <v>72</v>
      </c>
      <c r="G136" s="26" t="s">
        <v>99</v>
      </c>
      <c r="H136" s="26" t="s">
        <v>74</v>
      </c>
      <c r="I136" s="26" t="s">
        <v>75</v>
      </c>
      <c r="J136" s="26" t="s">
        <v>76</v>
      </c>
      <c r="K136" s="26" t="s">
        <v>77</v>
      </c>
      <c r="L136" s="26" t="s">
        <v>78</v>
      </c>
      <c r="M136" s="26" t="s">
        <v>79</v>
      </c>
      <c r="N136" s="26" t="s">
        <v>101</v>
      </c>
      <c r="O136" s="26" t="s">
        <v>80</v>
      </c>
      <c r="P136" s="26" t="s">
        <v>834</v>
      </c>
      <c r="Q136" s="26" t="s">
        <v>82</v>
      </c>
      <c r="R136" s="26" t="s">
        <v>280</v>
      </c>
      <c r="S136" s="26" t="s">
        <v>104</v>
      </c>
      <c r="T136" s="26" t="s">
        <v>82</v>
      </c>
      <c r="U136" s="26" t="s">
        <v>101</v>
      </c>
      <c r="V136" s="26" t="s">
        <v>86</v>
      </c>
      <c r="W136" s="26" t="s">
        <v>86</v>
      </c>
      <c r="X136" s="26" t="s">
        <v>86</v>
      </c>
      <c r="Y136" s="26" t="s">
        <v>78</v>
      </c>
      <c r="Z136" s="26" t="s">
        <v>78</v>
      </c>
      <c r="AA136" s="27">
        <v>1.0166666666666666</v>
      </c>
      <c r="AB136" s="27">
        <v>0</v>
      </c>
      <c r="AC136" s="27">
        <v>0</v>
      </c>
      <c r="AD136" s="27">
        <v>1.0166666666666666</v>
      </c>
      <c r="AE136" s="27">
        <v>0</v>
      </c>
      <c r="AF136" s="27">
        <v>0</v>
      </c>
      <c r="AG136" s="27">
        <v>1.0166666666666666</v>
      </c>
      <c r="AH136" s="27">
        <v>0</v>
      </c>
      <c r="AI136" s="27">
        <v>0</v>
      </c>
      <c r="AJ136" s="27">
        <v>0</v>
      </c>
      <c r="AK136" s="27">
        <v>0</v>
      </c>
      <c r="AL136" s="27">
        <v>1.0416666666666666E-2</v>
      </c>
      <c r="AM136" s="27">
        <v>0</v>
      </c>
      <c r="AN136" s="27">
        <v>1.0270833333333333</v>
      </c>
      <c r="AO136" s="28">
        <v>0.9026369168356998</v>
      </c>
      <c r="AP136" s="29">
        <v>0.51354166666666667</v>
      </c>
      <c r="AQ136" s="29">
        <v>0.51354166666666667</v>
      </c>
      <c r="AR136" s="30"/>
      <c r="AT136" s="31">
        <v>10800</v>
      </c>
      <c r="AU136" s="31">
        <v>0</v>
      </c>
      <c r="AV136" s="31">
        <v>3</v>
      </c>
      <c r="AW136" s="31">
        <v>0</v>
      </c>
      <c r="AX136" s="31">
        <v>0</v>
      </c>
      <c r="AY136" s="32"/>
      <c r="AZ136" s="31">
        <v>3</v>
      </c>
      <c r="BA136" s="31">
        <v>1</v>
      </c>
      <c r="BB136" s="31"/>
      <c r="BC136" s="31" t="s">
        <v>875</v>
      </c>
      <c r="BD136" s="31" t="s">
        <v>876</v>
      </c>
      <c r="BE136" s="33"/>
      <c r="BF136" s="31" t="s">
        <v>94</v>
      </c>
      <c r="BG136" s="31" t="s">
        <v>94</v>
      </c>
      <c r="BH136" s="31" t="s">
        <v>94</v>
      </c>
      <c r="BI136" s="31" t="s">
        <v>94</v>
      </c>
      <c r="BK136" s="31">
        <v>0</v>
      </c>
      <c r="BL136" s="31">
        <v>0</v>
      </c>
      <c r="BM136" s="31">
        <v>0</v>
      </c>
      <c r="BN136" s="31">
        <v>0</v>
      </c>
      <c r="BO136" s="31">
        <v>0</v>
      </c>
      <c r="BQ136" s="31">
        <v>0</v>
      </c>
      <c r="BR136" s="31">
        <v>0</v>
      </c>
      <c r="BS136" s="31">
        <v>5</v>
      </c>
    </row>
    <row r="137" spans="1:71" ht="18.75" hidden="1" customHeight="1">
      <c r="A137" s="25">
        <v>14097</v>
      </c>
      <c r="B137" s="25" t="s">
        <v>877</v>
      </c>
      <c r="C137" s="25" t="s">
        <v>878</v>
      </c>
      <c r="D137" s="25" t="s">
        <v>879</v>
      </c>
      <c r="E137" s="26" t="s">
        <v>337</v>
      </c>
      <c r="F137" s="26" t="s">
        <v>312</v>
      </c>
      <c r="G137" s="26" t="s">
        <v>338</v>
      </c>
      <c r="H137" s="26" t="s">
        <v>504</v>
      </c>
      <c r="I137" s="26" t="s">
        <v>185</v>
      </c>
      <c r="J137" s="26" t="s">
        <v>76</v>
      </c>
      <c r="K137" s="26" t="s">
        <v>633</v>
      </c>
      <c r="L137" s="26" t="s">
        <v>78</v>
      </c>
      <c r="M137" s="26" t="s">
        <v>79</v>
      </c>
      <c r="N137" s="26" t="s">
        <v>80</v>
      </c>
      <c r="O137" s="26" t="s">
        <v>101</v>
      </c>
      <c r="P137" s="26" t="s">
        <v>802</v>
      </c>
      <c r="Q137" s="26" t="s">
        <v>82</v>
      </c>
      <c r="R137" s="26" t="s">
        <v>880</v>
      </c>
      <c r="S137" s="26" t="s">
        <v>84</v>
      </c>
      <c r="T137" s="26" t="s">
        <v>85</v>
      </c>
      <c r="U137" s="26" t="s">
        <v>80</v>
      </c>
      <c r="V137" s="26" t="s">
        <v>86</v>
      </c>
      <c r="W137" s="26" t="s">
        <v>86</v>
      </c>
      <c r="X137" s="26" t="s">
        <v>86</v>
      </c>
      <c r="Y137" s="26" t="s">
        <v>78</v>
      </c>
      <c r="Z137" s="26" t="s">
        <v>86</v>
      </c>
      <c r="AA137" s="27">
        <v>8.3333333333333329E-2</v>
      </c>
      <c r="AB137" s="27">
        <v>0</v>
      </c>
      <c r="AC137" s="27">
        <v>0</v>
      </c>
      <c r="AD137" s="27">
        <v>0</v>
      </c>
      <c r="AE137" s="27">
        <v>8.3333333333333329E-2</v>
      </c>
      <c r="AF137" s="27">
        <v>0</v>
      </c>
      <c r="AG137" s="27">
        <v>8.3333333333333329E-2</v>
      </c>
      <c r="AH137" s="27">
        <v>0</v>
      </c>
      <c r="AI137" s="27">
        <v>0</v>
      </c>
      <c r="AJ137" s="27">
        <v>0</v>
      </c>
      <c r="AK137" s="27">
        <v>0</v>
      </c>
      <c r="AL137" s="27">
        <v>0</v>
      </c>
      <c r="AM137" s="27">
        <v>8.3333333333333329E-2</v>
      </c>
      <c r="AN137" s="27">
        <v>0.16666666666666666</v>
      </c>
      <c r="AO137" s="28">
        <v>1</v>
      </c>
      <c r="AP137" s="29">
        <v>8.3333333333333329E-2</v>
      </c>
      <c r="AQ137" s="29">
        <v>8.3333333333333329E-2</v>
      </c>
      <c r="AR137" s="30" t="s">
        <v>871</v>
      </c>
      <c r="AT137" s="49">
        <v>200000</v>
      </c>
      <c r="AU137" s="31">
        <v>4</v>
      </c>
      <c r="AV137" s="31">
        <v>0</v>
      </c>
      <c r="AW137" s="31">
        <v>2</v>
      </c>
      <c r="AX137" s="31">
        <v>2</v>
      </c>
      <c r="AY137" s="32"/>
      <c r="AZ137" s="31">
        <v>2</v>
      </c>
      <c r="BA137" s="31">
        <v>3</v>
      </c>
      <c r="BB137" s="31" t="s">
        <v>388</v>
      </c>
      <c r="BC137" s="31" t="s">
        <v>743</v>
      </c>
      <c r="BD137" s="31" t="s">
        <v>372</v>
      </c>
      <c r="BE137" s="33" t="s">
        <v>372</v>
      </c>
      <c r="BF137" s="31" t="s">
        <v>156</v>
      </c>
      <c r="BG137" s="31" t="s">
        <v>156</v>
      </c>
      <c r="BH137" s="31" t="s">
        <v>156</v>
      </c>
      <c r="BI137" s="31" t="s">
        <v>156</v>
      </c>
      <c r="BK137" s="31">
        <v>0</v>
      </c>
      <c r="BL137" s="31">
        <v>0</v>
      </c>
      <c r="BM137" s="31">
        <v>2</v>
      </c>
      <c r="BN137" s="31">
        <v>2</v>
      </c>
      <c r="BO137" s="31">
        <v>30</v>
      </c>
      <c r="BQ137" s="31">
        <v>0</v>
      </c>
      <c r="BR137" s="31">
        <v>0</v>
      </c>
      <c r="BS137" s="31">
        <v>5</v>
      </c>
    </row>
    <row r="138" spans="1:71" ht="18.75" hidden="1" customHeight="1">
      <c r="A138" s="25">
        <v>14217</v>
      </c>
      <c r="B138" s="25" t="s">
        <v>881</v>
      </c>
      <c r="C138" s="25" t="s">
        <v>882</v>
      </c>
      <c r="D138" s="25" t="s">
        <v>883</v>
      </c>
      <c r="E138" s="26" t="s">
        <v>337</v>
      </c>
      <c r="F138" s="26" t="s">
        <v>312</v>
      </c>
      <c r="G138" s="26" t="s">
        <v>402</v>
      </c>
      <c r="H138" s="26" t="s">
        <v>74</v>
      </c>
      <c r="I138" s="26" t="s">
        <v>75</v>
      </c>
      <c r="J138" s="26" t="s">
        <v>76</v>
      </c>
      <c r="K138" s="26" t="s">
        <v>77</v>
      </c>
      <c r="L138" s="26" t="s">
        <v>78</v>
      </c>
      <c r="M138" s="26" t="s">
        <v>79</v>
      </c>
      <c r="N138" s="26" t="s">
        <v>101</v>
      </c>
      <c r="O138" s="26" t="s">
        <v>80</v>
      </c>
      <c r="P138" s="26" t="s">
        <v>825</v>
      </c>
      <c r="Q138" s="26" t="s">
        <v>82</v>
      </c>
      <c r="R138" s="26" t="s">
        <v>207</v>
      </c>
      <c r="S138" s="26" t="s">
        <v>104</v>
      </c>
      <c r="T138" s="26" t="s">
        <v>82</v>
      </c>
      <c r="U138" s="26" t="s">
        <v>101</v>
      </c>
      <c r="V138" s="26" t="s">
        <v>86</v>
      </c>
      <c r="W138" s="26" t="s">
        <v>86</v>
      </c>
      <c r="X138" s="26" t="s">
        <v>86</v>
      </c>
      <c r="Y138" s="26" t="s">
        <v>78</v>
      </c>
      <c r="Z138" s="26" t="s">
        <v>78</v>
      </c>
      <c r="AA138" s="27">
        <v>0.80833333333333335</v>
      </c>
      <c r="AB138" s="27">
        <v>0</v>
      </c>
      <c r="AC138" s="27">
        <v>0</v>
      </c>
      <c r="AD138" s="27">
        <v>0.80833333333333335</v>
      </c>
      <c r="AE138" s="27">
        <v>0</v>
      </c>
      <c r="AF138" s="27">
        <v>0</v>
      </c>
      <c r="AG138" s="27">
        <v>0.80833333333333335</v>
      </c>
      <c r="AH138" s="27">
        <v>0</v>
      </c>
      <c r="AI138" s="27">
        <v>0</v>
      </c>
      <c r="AJ138" s="27">
        <v>0</v>
      </c>
      <c r="AK138" s="27">
        <v>0</v>
      </c>
      <c r="AL138" s="27">
        <v>7.4999999999999997E-2</v>
      </c>
      <c r="AM138" s="27">
        <v>0</v>
      </c>
      <c r="AN138" s="27">
        <v>0.8833333333333333</v>
      </c>
      <c r="AO138" s="28">
        <v>0.48113207547169817</v>
      </c>
      <c r="AP138" s="29">
        <v>0.44166666666666665</v>
      </c>
      <c r="AQ138" s="29">
        <v>0.44166666666666665</v>
      </c>
      <c r="AR138" s="30"/>
      <c r="AT138" s="31">
        <v>100000</v>
      </c>
      <c r="AU138" s="31"/>
      <c r="AV138" s="31">
        <v>2</v>
      </c>
      <c r="AW138" s="31"/>
      <c r="AX138" s="31"/>
      <c r="AY138" s="32"/>
      <c r="AZ138" s="31">
        <v>3</v>
      </c>
      <c r="BA138" s="31">
        <v>1</v>
      </c>
      <c r="BB138" s="31"/>
      <c r="BC138" s="31" t="s">
        <v>506</v>
      </c>
      <c r="BD138" s="31"/>
      <c r="BE138" s="33"/>
      <c r="BF138" s="31" t="s">
        <v>94</v>
      </c>
      <c r="BG138" s="31" t="s">
        <v>94</v>
      </c>
      <c r="BH138" s="31" t="s">
        <v>94</v>
      </c>
      <c r="BI138" s="31" t="s">
        <v>94</v>
      </c>
      <c r="BK138" s="31">
        <v>0</v>
      </c>
      <c r="BL138" s="31">
        <v>0</v>
      </c>
      <c r="BM138" s="31">
        <v>8</v>
      </c>
      <c r="BN138" s="31">
        <v>0</v>
      </c>
      <c r="BO138" s="31">
        <v>35</v>
      </c>
      <c r="BQ138" s="31">
        <v>7</v>
      </c>
      <c r="BR138" s="31">
        <v>63</v>
      </c>
      <c r="BS138" s="31">
        <v>134</v>
      </c>
    </row>
    <row r="139" spans="1:71" ht="18.75" hidden="1" customHeight="1">
      <c r="A139" s="25">
        <v>14267</v>
      </c>
      <c r="B139" s="25" t="s">
        <v>884</v>
      </c>
      <c r="C139" s="25" t="s">
        <v>885</v>
      </c>
      <c r="D139" s="35" t="s">
        <v>886</v>
      </c>
      <c r="E139" s="26" t="s">
        <v>192</v>
      </c>
      <c r="F139" s="26" t="s">
        <v>193</v>
      </c>
      <c r="G139" s="26" t="s">
        <v>194</v>
      </c>
      <c r="H139" s="26" t="s">
        <v>74</v>
      </c>
      <c r="I139" s="26" t="s">
        <v>185</v>
      </c>
      <c r="J139" s="26" t="s">
        <v>76</v>
      </c>
      <c r="K139" s="26" t="s">
        <v>77</v>
      </c>
      <c r="L139" s="26" t="s">
        <v>78</v>
      </c>
      <c r="M139" s="26" t="s">
        <v>100</v>
      </c>
      <c r="N139" s="26" t="s">
        <v>101</v>
      </c>
      <c r="O139" s="26" t="s">
        <v>80</v>
      </c>
      <c r="P139" s="26" t="s">
        <v>240</v>
      </c>
      <c r="Q139" s="26" t="s">
        <v>82</v>
      </c>
      <c r="R139" s="26" t="s">
        <v>280</v>
      </c>
      <c r="S139" s="26" t="s">
        <v>104</v>
      </c>
      <c r="T139" s="26" t="s">
        <v>82</v>
      </c>
      <c r="U139" s="26" t="s">
        <v>101</v>
      </c>
      <c r="V139" s="26" t="s">
        <v>86</v>
      </c>
      <c r="W139" s="26" t="s">
        <v>86</v>
      </c>
      <c r="X139" s="26" t="s">
        <v>86</v>
      </c>
      <c r="Y139" s="26" t="s">
        <v>78</v>
      </c>
      <c r="Z139" s="26" t="s">
        <v>78</v>
      </c>
      <c r="AA139" s="27">
        <v>12.256666666666677</v>
      </c>
      <c r="AB139" s="27">
        <v>0</v>
      </c>
      <c r="AC139" s="27">
        <v>0</v>
      </c>
      <c r="AD139" s="27">
        <v>12.256666666666677</v>
      </c>
      <c r="AE139" s="27">
        <v>0</v>
      </c>
      <c r="AF139" s="27">
        <v>0</v>
      </c>
      <c r="AG139" s="27">
        <v>10.756666666666675</v>
      </c>
      <c r="AH139" s="27">
        <v>0</v>
      </c>
      <c r="AI139" s="27">
        <v>1.5</v>
      </c>
      <c r="AJ139" s="27">
        <v>0</v>
      </c>
      <c r="AK139" s="27">
        <v>0</v>
      </c>
      <c r="AL139" s="27">
        <v>0.5</v>
      </c>
      <c r="AM139" s="27">
        <v>0</v>
      </c>
      <c r="AN139" s="27">
        <v>12.756666666666677</v>
      </c>
      <c r="AO139" s="28">
        <v>0.88241442383067681</v>
      </c>
      <c r="AP139" s="29">
        <v>6.3783333333333383</v>
      </c>
      <c r="AQ139" s="29">
        <v>6.3783333333333383</v>
      </c>
      <c r="AR139" s="30"/>
      <c r="AT139" s="31"/>
      <c r="AU139" s="31"/>
      <c r="AV139" s="31"/>
      <c r="AW139" s="31"/>
      <c r="AX139" s="31"/>
      <c r="AY139" s="32"/>
      <c r="AZ139" s="31">
        <v>3</v>
      </c>
      <c r="BA139" s="31">
        <v>1</v>
      </c>
      <c r="BB139" s="31" t="s">
        <v>197</v>
      </c>
      <c r="BC139" s="31" t="s">
        <v>198</v>
      </c>
      <c r="BD139" s="31" t="s">
        <v>256</v>
      </c>
      <c r="BE139" s="33"/>
      <c r="BF139" s="31" t="s">
        <v>94</v>
      </c>
      <c r="BG139" s="31" t="s">
        <v>94</v>
      </c>
      <c r="BH139" s="31" t="s">
        <v>94</v>
      </c>
      <c r="BI139" s="31" t="s">
        <v>94</v>
      </c>
      <c r="BK139" s="31">
        <v>0</v>
      </c>
      <c r="BL139" s="31">
        <v>0</v>
      </c>
      <c r="BM139" s="31">
        <v>13</v>
      </c>
      <c r="BN139" s="31">
        <v>29</v>
      </c>
      <c r="BO139" s="31">
        <v>78</v>
      </c>
      <c r="BQ139" s="31">
        <v>5</v>
      </c>
      <c r="BR139" s="31">
        <v>32</v>
      </c>
      <c r="BS139" s="31">
        <v>279</v>
      </c>
    </row>
    <row r="140" spans="1:71" ht="18.75" hidden="1" customHeight="1">
      <c r="A140" s="25">
        <v>14285</v>
      </c>
      <c r="B140" s="25" t="s">
        <v>887</v>
      </c>
      <c r="C140" s="25" t="s">
        <v>888</v>
      </c>
      <c r="D140" s="25" t="s">
        <v>889</v>
      </c>
      <c r="E140" s="26" t="s">
        <v>71</v>
      </c>
      <c r="F140" s="26" t="s">
        <v>72</v>
      </c>
      <c r="G140" s="26" t="s">
        <v>73</v>
      </c>
      <c r="H140" s="26" t="s">
        <v>74</v>
      </c>
      <c r="I140" s="26" t="s">
        <v>75</v>
      </c>
      <c r="J140" s="26" t="s">
        <v>890</v>
      </c>
      <c r="K140" s="26" t="s">
        <v>77</v>
      </c>
      <c r="L140" s="26" t="s">
        <v>78</v>
      </c>
      <c r="M140" s="26" t="s">
        <v>79</v>
      </c>
      <c r="N140" s="26" t="s">
        <v>101</v>
      </c>
      <c r="O140" s="26" t="s">
        <v>80</v>
      </c>
      <c r="P140" s="26" t="s">
        <v>891</v>
      </c>
      <c r="Q140" s="26" t="s">
        <v>82</v>
      </c>
      <c r="R140" s="26" t="s">
        <v>892</v>
      </c>
      <c r="S140" s="26" t="s">
        <v>104</v>
      </c>
      <c r="T140" s="26" t="s">
        <v>281</v>
      </c>
      <c r="U140" s="26" t="s">
        <v>80</v>
      </c>
      <c r="V140" s="26" t="s">
        <v>86</v>
      </c>
      <c r="W140" s="26" t="s">
        <v>86</v>
      </c>
      <c r="X140" s="26" t="s">
        <v>86</v>
      </c>
      <c r="Y140" s="26" t="s">
        <v>893</v>
      </c>
      <c r="Z140" s="26" t="s">
        <v>78</v>
      </c>
      <c r="AA140" s="27">
        <v>14.975000000000003</v>
      </c>
      <c r="AB140" s="27">
        <v>0</v>
      </c>
      <c r="AC140" s="27">
        <v>0</v>
      </c>
      <c r="AD140" s="27">
        <v>14.975000000000003</v>
      </c>
      <c r="AE140" s="27">
        <v>0</v>
      </c>
      <c r="AF140" s="27">
        <v>0</v>
      </c>
      <c r="AG140" s="27">
        <v>14.975000000000003</v>
      </c>
      <c r="AH140" s="27">
        <v>0</v>
      </c>
      <c r="AI140" s="27">
        <v>0</v>
      </c>
      <c r="AJ140" s="27">
        <v>0</v>
      </c>
      <c r="AK140" s="27">
        <v>0</v>
      </c>
      <c r="AL140" s="27">
        <v>1.3416666666666668</v>
      </c>
      <c r="AM140" s="27">
        <v>0</v>
      </c>
      <c r="AN140" s="27">
        <v>16.31666666666667</v>
      </c>
      <c r="AO140" s="28">
        <v>0.98774259448416757</v>
      </c>
      <c r="AP140" s="29">
        <v>8.158333333333335</v>
      </c>
      <c r="AQ140" s="29">
        <v>8.158333333333335</v>
      </c>
      <c r="AR140" s="30"/>
      <c r="AT140" s="75" t="s">
        <v>894</v>
      </c>
      <c r="AU140" s="76"/>
      <c r="AV140" s="76"/>
      <c r="AW140" s="76"/>
      <c r="AX140" s="77"/>
      <c r="AY140" s="32"/>
      <c r="AZ140" s="31">
        <v>3</v>
      </c>
      <c r="BA140" s="31">
        <v>1</v>
      </c>
      <c r="BB140" s="31" t="s">
        <v>895</v>
      </c>
      <c r="BC140" s="31" t="s">
        <v>896</v>
      </c>
      <c r="BD140" s="31"/>
      <c r="BE140" s="33"/>
      <c r="BF140" s="31" t="s">
        <v>94</v>
      </c>
      <c r="BG140" s="31" t="s">
        <v>94</v>
      </c>
      <c r="BH140" s="31" t="s">
        <v>94</v>
      </c>
      <c r="BI140" s="31" t="s">
        <v>94</v>
      </c>
      <c r="BK140" s="31">
        <v>0</v>
      </c>
      <c r="BL140" s="31">
        <v>0</v>
      </c>
      <c r="BM140" s="31">
        <v>0</v>
      </c>
      <c r="BN140" s="31">
        <v>0</v>
      </c>
      <c r="BO140" s="31">
        <v>0</v>
      </c>
      <c r="BQ140" s="31">
        <v>0</v>
      </c>
      <c r="BR140" s="31">
        <v>0</v>
      </c>
      <c r="BS140" s="31">
        <v>0</v>
      </c>
    </row>
    <row r="141" spans="1:71" ht="18.75" hidden="1" customHeight="1">
      <c r="A141" s="25">
        <v>14322</v>
      </c>
      <c r="B141" s="25" t="s">
        <v>897</v>
      </c>
      <c r="C141" s="25" t="s">
        <v>898</v>
      </c>
      <c r="D141" s="25" t="s">
        <v>899</v>
      </c>
      <c r="E141" s="26" t="s">
        <v>217</v>
      </c>
      <c r="F141" s="26" t="s">
        <v>193</v>
      </c>
      <c r="G141" s="26" t="s">
        <v>301</v>
      </c>
      <c r="H141" s="26" t="s">
        <v>801</v>
      </c>
      <c r="I141" s="26" t="s">
        <v>75</v>
      </c>
      <c r="J141" s="26" t="s">
        <v>76</v>
      </c>
      <c r="K141" s="26" t="s">
        <v>77</v>
      </c>
      <c r="L141" s="26" t="s">
        <v>78</v>
      </c>
      <c r="M141" s="26" t="s">
        <v>100</v>
      </c>
      <c r="N141" s="26" t="s">
        <v>101</v>
      </c>
      <c r="O141" s="26" t="s">
        <v>101</v>
      </c>
      <c r="P141" s="26" t="s">
        <v>900</v>
      </c>
      <c r="Q141" s="26" t="s">
        <v>82</v>
      </c>
      <c r="R141" s="26" t="s">
        <v>280</v>
      </c>
      <c r="S141" s="26" t="s">
        <v>104</v>
      </c>
      <c r="T141" s="26" t="s">
        <v>85</v>
      </c>
      <c r="U141" s="26" t="s">
        <v>80</v>
      </c>
      <c r="V141" s="26" t="s">
        <v>86</v>
      </c>
      <c r="W141" s="26" t="s">
        <v>86</v>
      </c>
      <c r="X141" s="26" t="s">
        <v>86</v>
      </c>
      <c r="Y141" s="26" t="s">
        <v>78</v>
      </c>
      <c r="Z141" s="26" t="s">
        <v>78</v>
      </c>
      <c r="AA141" s="27">
        <v>11.491666666666667</v>
      </c>
      <c r="AB141" s="27">
        <v>0</v>
      </c>
      <c r="AC141" s="27">
        <v>1</v>
      </c>
      <c r="AD141" s="27">
        <v>10.491666666666667</v>
      </c>
      <c r="AE141" s="27">
        <v>0</v>
      </c>
      <c r="AF141" s="27">
        <v>0.29166666666666669</v>
      </c>
      <c r="AG141" s="27">
        <v>9.1999999999999993</v>
      </c>
      <c r="AH141" s="27">
        <v>2</v>
      </c>
      <c r="AI141" s="27">
        <v>0</v>
      </c>
      <c r="AJ141" s="27">
        <v>0</v>
      </c>
      <c r="AK141" s="27">
        <v>0</v>
      </c>
      <c r="AL141" s="27">
        <v>0.70833333333333337</v>
      </c>
      <c r="AM141" s="27">
        <v>4.5</v>
      </c>
      <c r="AN141" s="27">
        <v>16.700000000000003</v>
      </c>
      <c r="AO141" s="28">
        <v>0.98702594810379252</v>
      </c>
      <c r="AP141" s="29">
        <v>8.3500000000000014</v>
      </c>
      <c r="AQ141" s="29">
        <v>8.3500000000000014</v>
      </c>
      <c r="AR141" s="30"/>
      <c r="AT141" s="55">
        <v>14772</v>
      </c>
      <c r="AU141" s="31">
        <v>28</v>
      </c>
      <c r="AV141" s="31">
        <v>1</v>
      </c>
      <c r="AW141" s="31">
        <v>27</v>
      </c>
      <c r="AX141" s="31" t="s">
        <v>901</v>
      </c>
      <c r="AY141" s="32" t="s">
        <v>902</v>
      </c>
      <c r="AZ141" s="31">
        <v>1</v>
      </c>
      <c r="BA141" s="31">
        <v>2</v>
      </c>
      <c r="BB141" s="31" t="s">
        <v>903</v>
      </c>
      <c r="BC141" s="31" t="s">
        <v>904</v>
      </c>
      <c r="BD141" s="31" t="s">
        <v>905</v>
      </c>
      <c r="BE141" s="31" t="s">
        <v>906</v>
      </c>
      <c r="BF141" s="31" t="s">
        <v>94</v>
      </c>
      <c r="BG141" s="31" t="s">
        <v>94</v>
      </c>
      <c r="BH141" s="31" t="s">
        <v>94</v>
      </c>
      <c r="BI141" s="31" t="s">
        <v>94</v>
      </c>
      <c r="BK141" s="31">
        <v>0</v>
      </c>
      <c r="BL141" s="31">
        <v>0</v>
      </c>
      <c r="BM141" s="31">
        <v>1</v>
      </c>
      <c r="BN141" s="31">
        <v>0</v>
      </c>
      <c r="BO141" s="31">
        <v>4</v>
      </c>
      <c r="BQ141" s="31">
        <v>1</v>
      </c>
      <c r="BR141" s="31">
        <v>0</v>
      </c>
      <c r="BS141" s="31">
        <v>8</v>
      </c>
    </row>
    <row r="142" spans="1:71" ht="18.75" hidden="1" customHeight="1">
      <c r="A142" s="25">
        <v>14376</v>
      </c>
      <c r="B142" s="25" t="s">
        <v>907</v>
      </c>
      <c r="C142" s="25" t="s">
        <v>908</v>
      </c>
      <c r="D142" s="25" t="s">
        <v>909</v>
      </c>
      <c r="E142" s="26" t="s">
        <v>246</v>
      </c>
      <c r="F142" s="26" t="s">
        <v>72</v>
      </c>
      <c r="G142" s="26" t="s">
        <v>247</v>
      </c>
      <c r="H142" s="26" t="s">
        <v>74</v>
      </c>
      <c r="I142" s="26" t="s">
        <v>75</v>
      </c>
      <c r="J142" s="26" t="s">
        <v>76</v>
      </c>
      <c r="K142" s="26" t="s">
        <v>77</v>
      </c>
      <c r="L142" s="26" t="s">
        <v>78</v>
      </c>
      <c r="M142" s="26" t="s">
        <v>79</v>
      </c>
      <c r="N142" s="26" t="s">
        <v>101</v>
      </c>
      <c r="O142" s="26" t="s">
        <v>80</v>
      </c>
      <c r="P142" s="26" t="s">
        <v>910</v>
      </c>
      <c r="Q142" s="26" t="s">
        <v>82</v>
      </c>
      <c r="R142" s="26" t="s">
        <v>207</v>
      </c>
      <c r="S142" s="26" t="s">
        <v>104</v>
      </c>
      <c r="T142" s="26" t="s">
        <v>82</v>
      </c>
      <c r="U142" s="26" t="s">
        <v>101</v>
      </c>
      <c r="V142" s="26" t="s">
        <v>86</v>
      </c>
      <c r="W142" s="26" t="s">
        <v>86</v>
      </c>
      <c r="X142" s="26" t="s">
        <v>86</v>
      </c>
      <c r="Y142" s="26" t="s">
        <v>78</v>
      </c>
      <c r="Z142" s="26" t="s">
        <v>78</v>
      </c>
      <c r="AA142" s="27">
        <v>0.27479166666666671</v>
      </c>
      <c r="AB142" s="27">
        <v>0</v>
      </c>
      <c r="AC142" s="27">
        <v>0</v>
      </c>
      <c r="AD142" s="27">
        <v>0.27479166666666671</v>
      </c>
      <c r="AE142" s="27">
        <v>0</v>
      </c>
      <c r="AF142" s="27">
        <v>0</v>
      </c>
      <c r="AG142" s="27">
        <v>0.27479166666666671</v>
      </c>
      <c r="AH142" s="27">
        <v>0</v>
      </c>
      <c r="AI142" s="27">
        <v>0</v>
      </c>
      <c r="AJ142" s="27">
        <v>0</v>
      </c>
      <c r="AK142" s="27">
        <v>0</v>
      </c>
      <c r="AL142" s="27">
        <v>0</v>
      </c>
      <c r="AM142" s="27">
        <v>0</v>
      </c>
      <c r="AN142" s="27">
        <v>0.27479166666666671</v>
      </c>
      <c r="AO142" s="28">
        <v>0.7725549658832449</v>
      </c>
      <c r="AP142" s="29">
        <v>0.13739583333333336</v>
      </c>
      <c r="AQ142" s="29">
        <v>0.13739583333333336</v>
      </c>
      <c r="AR142" s="30"/>
      <c r="AT142" s="31" t="s">
        <v>911</v>
      </c>
      <c r="AU142" s="31">
        <v>19</v>
      </c>
      <c r="AV142" s="31">
        <v>4</v>
      </c>
      <c r="AW142" s="31" t="s">
        <v>197</v>
      </c>
      <c r="AX142" s="31">
        <v>13</v>
      </c>
      <c r="AY142" s="32"/>
      <c r="AZ142" s="31">
        <v>3</v>
      </c>
      <c r="BA142" s="31">
        <v>1</v>
      </c>
      <c r="BB142" s="31" t="s">
        <v>912</v>
      </c>
      <c r="BC142" s="31" t="s">
        <v>527</v>
      </c>
      <c r="BD142" s="31" t="s">
        <v>527</v>
      </c>
      <c r="BE142" s="33" t="s">
        <v>333</v>
      </c>
      <c r="BF142" s="31" t="s">
        <v>156</v>
      </c>
      <c r="BG142" s="31" t="s">
        <v>156</v>
      </c>
      <c r="BH142" s="31" t="s">
        <v>156</v>
      </c>
      <c r="BI142" s="31" t="s">
        <v>156</v>
      </c>
      <c r="BK142" s="31">
        <v>0</v>
      </c>
      <c r="BL142" s="31">
        <v>0</v>
      </c>
      <c r="BM142" s="31">
        <v>0</v>
      </c>
      <c r="BN142" s="31">
        <v>0</v>
      </c>
      <c r="BO142" s="31">
        <v>2</v>
      </c>
      <c r="BQ142" s="31">
        <v>0</v>
      </c>
      <c r="BR142" s="31">
        <v>0</v>
      </c>
      <c r="BS142" s="31">
        <v>1</v>
      </c>
    </row>
    <row r="143" spans="1:71" ht="18.75" hidden="1" customHeight="1">
      <c r="A143" s="25">
        <v>14377</v>
      </c>
      <c r="B143" s="25" t="s">
        <v>913</v>
      </c>
      <c r="C143" s="25" t="s">
        <v>914</v>
      </c>
      <c r="D143" s="44" t="s">
        <v>915</v>
      </c>
      <c r="E143" s="26" t="s">
        <v>246</v>
      </c>
      <c r="F143" s="26" t="s">
        <v>72</v>
      </c>
      <c r="G143" s="26" t="s">
        <v>247</v>
      </c>
      <c r="H143" s="26" t="s">
        <v>74</v>
      </c>
      <c r="I143" s="26" t="s">
        <v>75</v>
      </c>
      <c r="J143" s="26" t="s">
        <v>76</v>
      </c>
      <c r="K143" s="26" t="s">
        <v>77</v>
      </c>
      <c r="L143" s="26" t="s">
        <v>78</v>
      </c>
      <c r="M143" s="26" t="s">
        <v>79</v>
      </c>
      <c r="N143" s="26" t="s">
        <v>101</v>
      </c>
      <c r="O143" s="26" t="s">
        <v>80</v>
      </c>
      <c r="P143" s="26" t="s">
        <v>916</v>
      </c>
      <c r="Q143" s="26" t="s">
        <v>82</v>
      </c>
      <c r="R143" s="26" t="s">
        <v>207</v>
      </c>
      <c r="S143" s="26" t="s">
        <v>104</v>
      </c>
      <c r="T143" s="26" t="s">
        <v>82</v>
      </c>
      <c r="U143" s="26" t="s">
        <v>101</v>
      </c>
      <c r="V143" s="26" t="s">
        <v>86</v>
      </c>
      <c r="W143" s="26" t="s">
        <v>86</v>
      </c>
      <c r="X143" s="26" t="s">
        <v>86</v>
      </c>
      <c r="Y143" s="26" t="s">
        <v>78</v>
      </c>
      <c r="Z143" s="26" t="s">
        <v>78</v>
      </c>
      <c r="AA143" s="27">
        <v>0.59708333333333341</v>
      </c>
      <c r="AB143" s="27">
        <v>0</v>
      </c>
      <c r="AC143" s="27">
        <v>0</v>
      </c>
      <c r="AD143" s="27">
        <v>0.59708333333333341</v>
      </c>
      <c r="AE143" s="27">
        <v>0</v>
      </c>
      <c r="AF143" s="27">
        <v>0</v>
      </c>
      <c r="AG143" s="27">
        <v>0.59708333333333341</v>
      </c>
      <c r="AH143" s="27">
        <v>0</v>
      </c>
      <c r="AI143" s="27">
        <v>0</v>
      </c>
      <c r="AJ143" s="27">
        <v>0</v>
      </c>
      <c r="AK143" s="27">
        <v>0</v>
      </c>
      <c r="AL143" s="27">
        <v>0.12916666666666665</v>
      </c>
      <c r="AM143" s="27">
        <v>0</v>
      </c>
      <c r="AN143" s="27">
        <v>0.72625000000000006</v>
      </c>
      <c r="AO143" s="28">
        <v>0.97991967871485952</v>
      </c>
      <c r="AP143" s="29">
        <v>0.36312500000000003</v>
      </c>
      <c r="AQ143" s="29">
        <v>0.36312500000000003</v>
      </c>
      <c r="AR143" s="30"/>
      <c r="AT143" s="31" t="s">
        <v>917</v>
      </c>
      <c r="AU143" s="31">
        <v>34</v>
      </c>
      <c r="AV143" s="31">
        <v>73</v>
      </c>
      <c r="AW143" s="31" t="s">
        <v>197</v>
      </c>
      <c r="AX143" s="31">
        <v>86</v>
      </c>
      <c r="AY143" s="32"/>
      <c r="AZ143" s="31">
        <v>3</v>
      </c>
      <c r="BA143" s="31">
        <v>1</v>
      </c>
      <c r="BB143" s="31" t="s">
        <v>912</v>
      </c>
      <c r="BC143" s="31" t="s">
        <v>527</v>
      </c>
      <c r="BD143" s="31" t="s">
        <v>527</v>
      </c>
      <c r="BE143" s="33" t="s">
        <v>333</v>
      </c>
      <c r="BF143" s="31" t="s">
        <v>156</v>
      </c>
      <c r="BG143" s="31" t="s">
        <v>156</v>
      </c>
      <c r="BH143" s="31" t="s">
        <v>156</v>
      </c>
      <c r="BI143" s="31" t="s">
        <v>156</v>
      </c>
      <c r="BK143" s="31">
        <v>0</v>
      </c>
      <c r="BL143" s="31">
        <v>0</v>
      </c>
      <c r="BM143" s="31">
        <v>0</v>
      </c>
      <c r="BN143" s="31">
        <v>0</v>
      </c>
      <c r="BO143" s="31">
        <v>5</v>
      </c>
      <c r="BQ143" s="31">
        <v>0</v>
      </c>
      <c r="BR143" s="31">
        <v>0</v>
      </c>
      <c r="BS143" s="31">
        <v>5</v>
      </c>
    </row>
    <row r="144" spans="1:71" ht="18.75" hidden="1" customHeight="1">
      <c r="A144" s="25">
        <v>14423</v>
      </c>
      <c r="B144" s="25" t="s">
        <v>918</v>
      </c>
      <c r="C144" s="25" t="s">
        <v>919</v>
      </c>
      <c r="D144" s="35" t="s">
        <v>920</v>
      </c>
      <c r="E144" s="26" t="s">
        <v>217</v>
      </c>
      <c r="F144" s="26" t="s">
        <v>193</v>
      </c>
      <c r="G144" s="26" t="s">
        <v>301</v>
      </c>
      <c r="H144" s="26" t="s">
        <v>74</v>
      </c>
      <c r="I144" s="26" t="s">
        <v>75</v>
      </c>
      <c r="J144" s="26" t="s">
        <v>76</v>
      </c>
      <c r="K144" s="26" t="s">
        <v>77</v>
      </c>
      <c r="L144" s="26" t="s">
        <v>86</v>
      </c>
      <c r="M144" s="26" t="s">
        <v>100</v>
      </c>
      <c r="N144" s="26" t="s">
        <v>101</v>
      </c>
      <c r="O144" s="26" t="s">
        <v>80</v>
      </c>
      <c r="P144" s="26" t="s">
        <v>206</v>
      </c>
      <c r="Q144" s="26" t="s">
        <v>82</v>
      </c>
      <c r="R144" s="26" t="s">
        <v>207</v>
      </c>
      <c r="S144" s="26" t="s">
        <v>104</v>
      </c>
      <c r="T144" s="26" t="s">
        <v>82</v>
      </c>
      <c r="U144" s="26" t="s">
        <v>101</v>
      </c>
      <c r="V144" s="26" t="s">
        <v>86</v>
      </c>
      <c r="W144" s="26" t="s">
        <v>86</v>
      </c>
      <c r="X144" s="26" t="s">
        <v>86</v>
      </c>
      <c r="Y144" s="26" t="s">
        <v>78</v>
      </c>
      <c r="Z144" s="26" t="s">
        <v>78</v>
      </c>
      <c r="AA144" s="27">
        <v>2.1225000000000001</v>
      </c>
      <c r="AB144" s="27">
        <v>0</v>
      </c>
      <c r="AC144" s="27">
        <v>0</v>
      </c>
      <c r="AD144" s="27">
        <v>2.1225000000000001</v>
      </c>
      <c r="AE144" s="27">
        <v>0</v>
      </c>
      <c r="AF144" s="27">
        <v>0</v>
      </c>
      <c r="AG144" s="27">
        <v>2.1225000000000001</v>
      </c>
      <c r="AH144" s="27">
        <v>0</v>
      </c>
      <c r="AI144" s="27">
        <v>0</v>
      </c>
      <c r="AJ144" s="27">
        <v>0</v>
      </c>
      <c r="AK144" s="27">
        <v>0</v>
      </c>
      <c r="AL144" s="27">
        <v>0</v>
      </c>
      <c r="AM144" s="27">
        <v>0</v>
      </c>
      <c r="AN144" s="27">
        <v>2.1225000000000001</v>
      </c>
      <c r="AO144" s="28">
        <v>0.75068708284255981</v>
      </c>
      <c r="AP144" s="29">
        <v>1.06125</v>
      </c>
      <c r="AQ144" s="29">
        <v>1.06125</v>
      </c>
      <c r="AR144" s="30"/>
      <c r="AT144" s="55">
        <v>537636</v>
      </c>
      <c r="AU144" s="31">
        <v>20</v>
      </c>
      <c r="AV144" s="31">
        <v>38</v>
      </c>
      <c r="AW144" s="31">
        <v>1</v>
      </c>
      <c r="AX144" s="31">
        <v>62</v>
      </c>
      <c r="AY144" s="32"/>
      <c r="AZ144" s="31">
        <v>3</v>
      </c>
      <c r="BA144" s="31">
        <v>1</v>
      </c>
      <c r="BB144" s="31" t="s">
        <v>921</v>
      </c>
      <c r="BC144" s="42" t="s">
        <v>221</v>
      </c>
      <c r="BD144" s="31" t="s">
        <v>922</v>
      </c>
      <c r="BE144" s="41" t="s">
        <v>223</v>
      </c>
      <c r="BF144" s="31" t="s">
        <v>156</v>
      </c>
      <c r="BG144" s="31" t="s">
        <v>156</v>
      </c>
      <c r="BH144" s="31" t="s">
        <v>156</v>
      </c>
      <c r="BI144" s="31" t="s">
        <v>156</v>
      </c>
      <c r="BK144" s="31">
        <v>0</v>
      </c>
      <c r="BL144" s="31">
        <v>0</v>
      </c>
      <c r="BM144" s="31">
        <v>0</v>
      </c>
      <c r="BN144" s="31">
        <v>0</v>
      </c>
      <c r="BO144" s="31">
        <v>4</v>
      </c>
      <c r="BQ144" s="31">
        <v>0</v>
      </c>
      <c r="BR144" s="31">
        <v>3</v>
      </c>
      <c r="BS144" s="31">
        <v>34</v>
      </c>
    </row>
    <row r="145" spans="1:71" ht="18.75" hidden="1" customHeight="1">
      <c r="A145" s="25">
        <v>14595</v>
      </c>
      <c r="B145" s="25" t="s">
        <v>923</v>
      </c>
      <c r="C145" s="25" t="s">
        <v>924</v>
      </c>
      <c r="D145" s="35" t="s">
        <v>925</v>
      </c>
      <c r="E145" s="26" t="s">
        <v>337</v>
      </c>
      <c r="F145" s="26" t="s">
        <v>312</v>
      </c>
      <c r="G145" s="26"/>
      <c r="H145" s="26" t="s">
        <v>504</v>
      </c>
      <c r="I145" s="26" t="s">
        <v>75</v>
      </c>
      <c r="J145" s="26" t="s">
        <v>76</v>
      </c>
      <c r="K145" s="26" t="s">
        <v>77</v>
      </c>
      <c r="L145" s="26" t="s">
        <v>78</v>
      </c>
      <c r="M145" s="26" t="s">
        <v>79</v>
      </c>
      <c r="N145" s="26" t="s">
        <v>101</v>
      </c>
      <c r="O145" s="26" t="s">
        <v>80</v>
      </c>
      <c r="P145" s="26" t="s">
        <v>810</v>
      </c>
      <c r="Q145" s="26" t="s">
        <v>82</v>
      </c>
      <c r="R145" s="26" t="s">
        <v>790</v>
      </c>
      <c r="S145" s="26" t="s">
        <v>104</v>
      </c>
      <c r="T145" s="26" t="s">
        <v>281</v>
      </c>
      <c r="U145" s="26" t="s">
        <v>80</v>
      </c>
      <c r="V145" s="26" t="s">
        <v>86</v>
      </c>
      <c r="W145" s="26" t="s">
        <v>78</v>
      </c>
      <c r="X145" s="26" t="s">
        <v>86</v>
      </c>
      <c r="Y145" s="26" t="s">
        <v>78</v>
      </c>
      <c r="Z145" s="26" t="s">
        <v>86</v>
      </c>
      <c r="AA145" s="27">
        <v>51.300000000000018</v>
      </c>
      <c r="AB145" s="27">
        <v>0</v>
      </c>
      <c r="AC145" s="27">
        <v>29.841666666666676</v>
      </c>
      <c r="AD145" s="27">
        <v>21.458333333333339</v>
      </c>
      <c r="AE145" s="27">
        <v>0</v>
      </c>
      <c r="AF145" s="27">
        <v>12.66666666666667</v>
      </c>
      <c r="AG145" s="27">
        <v>14.591666666666667</v>
      </c>
      <c r="AH145" s="27">
        <v>22.750000000000004</v>
      </c>
      <c r="AI145" s="27">
        <v>0</v>
      </c>
      <c r="AJ145" s="27">
        <v>4.1666666666666664E-2</v>
      </c>
      <c r="AK145" s="27">
        <v>1.25</v>
      </c>
      <c r="AL145" s="27">
        <v>27.208333333333336</v>
      </c>
      <c r="AM145" s="27">
        <v>25</v>
      </c>
      <c r="AN145" s="27">
        <f>AA145+AL145+AM145</f>
        <v>103.50833333333335</v>
      </c>
      <c r="AO145" s="28">
        <v>0.99242965891407664</v>
      </c>
      <c r="AP145" s="29">
        <f>AN145/2</f>
        <v>51.754166666666677</v>
      </c>
      <c r="AQ145" s="29">
        <f>AN145/2</f>
        <v>51.754166666666677</v>
      </c>
      <c r="AR145" s="30" t="s">
        <v>871</v>
      </c>
      <c r="AT145" s="49">
        <v>2800000</v>
      </c>
      <c r="AU145" s="31">
        <v>80</v>
      </c>
      <c r="AV145" s="31">
        <v>3</v>
      </c>
      <c r="AW145" s="31" t="s">
        <v>926</v>
      </c>
      <c r="AX145" s="31" t="s">
        <v>927</v>
      </c>
      <c r="AY145" s="32"/>
      <c r="AZ145" s="31">
        <v>2</v>
      </c>
      <c r="BA145" s="31">
        <v>3</v>
      </c>
      <c r="BB145" s="31" t="s">
        <v>754</v>
      </c>
      <c r="BC145" s="31" t="s">
        <v>755</v>
      </c>
      <c r="BD145" s="31" t="s">
        <v>756</v>
      </c>
      <c r="BE145" s="33" t="s">
        <v>372</v>
      </c>
      <c r="BF145" s="31" t="s">
        <v>94</v>
      </c>
      <c r="BG145" s="31" t="s">
        <v>94</v>
      </c>
      <c r="BH145" s="31" t="s">
        <v>94</v>
      </c>
      <c r="BI145" s="31" t="s">
        <v>94</v>
      </c>
      <c r="BK145" s="31">
        <v>0</v>
      </c>
      <c r="BL145" s="31">
        <v>1</v>
      </c>
      <c r="BM145" s="31">
        <v>2</v>
      </c>
      <c r="BN145" s="31">
        <v>2</v>
      </c>
      <c r="BO145" s="31">
        <v>3</v>
      </c>
      <c r="BQ145" s="31">
        <v>0</v>
      </c>
      <c r="BR145" s="31">
        <v>2</v>
      </c>
      <c r="BS145" s="31">
        <v>13</v>
      </c>
    </row>
    <row r="146" spans="1:71" ht="18.75" hidden="1" customHeight="1">
      <c r="A146" s="25">
        <v>14701</v>
      </c>
      <c r="B146" s="25" t="s">
        <v>928</v>
      </c>
      <c r="C146" s="25" t="s">
        <v>929</v>
      </c>
      <c r="D146" s="25" t="s">
        <v>930</v>
      </c>
      <c r="E146" s="26" t="s">
        <v>71</v>
      </c>
      <c r="F146" s="26" t="s">
        <v>72</v>
      </c>
      <c r="G146" s="26" t="s">
        <v>931</v>
      </c>
      <c r="H146" s="26" t="s">
        <v>74</v>
      </c>
      <c r="I146" s="26" t="s">
        <v>185</v>
      </c>
      <c r="J146" s="26" t="s">
        <v>932</v>
      </c>
      <c r="K146" s="26" t="s">
        <v>77</v>
      </c>
      <c r="L146" s="26" t="s">
        <v>78</v>
      </c>
      <c r="M146" s="26" t="s">
        <v>100</v>
      </c>
      <c r="N146" s="26" t="s">
        <v>101</v>
      </c>
      <c r="O146" s="26" t="s">
        <v>80</v>
      </c>
      <c r="P146" s="26" t="s">
        <v>240</v>
      </c>
      <c r="Q146" s="26" t="s">
        <v>82</v>
      </c>
      <c r="R146" s="26" t="s">
        <v>280</v>
      </c>
      <c r="S146" s="26" t="s">
        <v>104</v>
      </c>
      <c r="T146" s="26" t="s">
        <v>281</v>
      </c>
      <c r="U146" s="26" t="s">
        <v>80</v>
      </c>
      <c r="V146" s="26" t="s">
        <v>86</v>
      </c>
      <c r="W146" s="26" t="s">
        <v>86</v>
      </c>
      <c r="X146" s="26" t="s">
        <v>86</v>
      </c>
      <c r="Y146" s="26" t="s">
        <v>87</v>
      </c>
      <c r="Z146" s="26" t="s">
        <v>78</v>
      </c>
      <c r="AA146" s="27"/>
      <c r="AB146" s="27"/>
      <c r="AC146" s="27"/>
      <c r="AD146" s="27"/>
      <c r="AE146" s="27"/>
      <c r="AF146" s="27"/>
      <c r="AG146" s="27"/>
      <c r="AH146" s="27"/>
      <c r="AI146" s="27"/>
      <c r="AJ146" s="27"/>
      <c r="AK146" s="27"/>
      <c r="AL146" s="27"/>
      <c r="AM146" s="27"/>
      <c r="AN146" s="27"/>
      <c r="AO146" s="28"/>
      <c r="AP146" s="29">
        <v>0</v>
      </c>
      <c r="AQ146" s="29">
        <v>0</v>
      </c>
      <c r="AR146" s="30"/>
      <c r="AT146" s="55">
        <v>22930</v>
      </c>
      <c r="AU146" s="31" t="s">
        <v>89</v>
      </c>
      <c r="AV146" s="31" t="s">
        <v>89</v>
      </c>
      <c r="AW146" s="31">
        <v>2</v>
      </c>
      <c r="AX146" s="31" t="s">
        <v>89</v>
      </c>
      <c r="AY146" s="32"/>
      <c r="AZ146" s="31">
        <v>2</v>
      </c>
      <c r="BA146" s="31">
        <v>3</v>
      </c>
      <c r="BB146" s="31" t="s">
        <v>933</v>
      </c>
      <c r="BC146" s="31" t="s">
        <v>743</v>
      </c>
      <c r="BD146" s="31" t="s">
        <v>934</v>
      </c>
      <c r="BE146" s="78" t="s">
        <v>813</v>
      </c>
      <c r="BF146" s="31"/>
      <c r="BG146" s="31"/>
      <c r="BH146" s="31"/>
      <c r="BI146" s="31"/>
      <c r="BK146" s="31">
        <v>0</v>
      </c>
      <c r="BL146" s="31">
        <v>0</v>
      </c>
      <c r="BM146" s="31">
        <v>0</v>
      </c>
      <c r="BN146" s="31">
        <v>0</v>
      </c>
      <c r="BO146" s="31">
        <v>0</v>
      </c>
      <c r="BQ146" s="31">
        <v>0</v>
      </c>
      <c r="BR146" s="31">
        <v>0</v>
      </c>
      <c r="BS146" s="31">
        <v>1</v>
      </c>
    </row>
    <row r="147" spans="1:71" ht="18.75" hidden="1" customHeight="1">
      <c r="A147" s="25">
        <v>14930</v>
      </c>
      <c r="B147" s="25" t="s">
        <v>935</v>
      </c>
      <c r="C147" s="25" t="s">
        <v>936</v>
      </c>
      <c r="D147" s="25" t="s">
        <v>937</v>
      </c>
      <c r="E147" s="26" t="s">
        <v>246</v>
      </c>
      <c r="F147" s="26" t="s">
        <v>72</v>
      </c>
      <c r="G147" s="26" t="s">
        <v>247</v>
      </c>
      <c r="H147" s="26" t="s">
        <v>74</v>
      </c>
      <c r="I147" s="26" t="s">
        <v>75</v>
      </c>
      <c r="J147" s="26" t="s">
        <v>890</v>
      </c>
      <c r="K147" s="26" t="s">
        <v>77</v>
      </c>
      <c r="L147" s="26" t="s">
        <v>78</v>
      </c>
      <c r="M147" s="26" t="s">
        <v>134</v>
      </c>
      <c r="N147" s="26" t="s">
        <v>101</v>
      </c>
      <c r="O147" s="26" t="s">
        <v>80</v>
      </c>
      <c r="P147" s="26" t="s">
        <v>938</v>
      </c>
      <c r="Q147" s="26" t="s">
        <v>82</v>
      </c>
      <c r="R147" s="26" t="s">
        <v>280</v>
      </c>
      <c r="S147" s="26" t="s">
        <v>104</v>
      </c>
      <c r="T147" s="26" t="s">
        <v>281</v>
      </c>
      <c r="U147" s="26" t="s">
        <v>80</v>
      </c>
      <c r="V147" s="26" t="s">
        <v>86</v>
      </c>
      <c r="W147" s="26" t="s">
        <v>86</v>
      </c>
      <c r="X147" s="26" t="s">
        <v>86</v>
      </c>
      <c r="Y147" s="26" t="s">
        <v>78</v>
      </c>
      <c r="Z147" s="26" t="s">
        <v>78</v>
      </c>
      <c r="AA147" s="27">
        <v>1.5</v>
      </c>
      <c r="AB147" s="27">
        <v>0</v>
      </c>
      <c r="AC147" s="27">
        <v>0</v>
      </c>
      <c r="AD147" s="27">
        <v>1.5</v>
      </c>
      <c r="AE147" s="27">
        <v>0</v>
      </c>
      <c r="AF147" s="27">
        <v>0</v>
      </c>
      <c r="AG147" s="27">
        <v>1.5</v>
      </c>
      <c r="AH147" s="27">
        <v>0</v>
      </c>
      <c r="AI147" s="27">
        <v>0</v>
      </c>
      <c r="AJ147" s="27">
        <v>0</v>
      </c>
      <c r="AK147" s="27">
        <v>0</v>
      </c>
      <c r="AL147" s="27">
        <v>0.5</v>
      </c>
      <c r="AM147" s="27">
        <v>0</v>
      </c>
      <c r="AN147" s="27">
        <v>2</v>
      </c>
      <c r="AO147" s="28">
        <v>1</v>
      </c>
      <c r="AP147" s="29">
        <v>1</v>
      </c>
      <c r="AQ147" s="29">
        <v>1</v>
      </c>
      <c r="AR147" s="30"/>
      <c r="AT147" s="31" t="s">
        <v>748</v>
      </c>
      <c r="AU147" s="31">
        <v>0</v>
      </c>
      <c r="AV147" s="31">
        <v>1</v>
      </c>
      <c r="AW147" s="31" t="s">
        <v>197</v>
      </c>
      <c r="AX147" s="31">
        <v>9</v>
      </c>
      <c r="AY147" s="32"/>
      <c r="AZ147" s="31">
        <v>3</v>
      </c>
      <c r="BA147" s="31">
        <v>1</v>
      </c>
      <c r="BB147" s="31" t="s">
        <v>197</v>
      </c>
      <c r="BC147" s="31" t="s">
        <v>250</v>
      </c>
      <c r="BD147" s="31" t="s">
        <v>939</v>
      </c>
      <c r="BE147" s="33" t="s">
        <v>372</v>
      </c>
      <c r="BF147" s="31"/>
      <c r="BG147" s="31"/>
      <c r="BH147" s="31"/>
      <c r="BI147" s="31"/>
      <c r="BK147" s="31">
        <v>0</v>
      </c>
      <c r="BL147" s="31">
        <v>0</v>
      </c>
      <c r="BM147" s="31">
        <v>0</v>
      </c>
      <c r="BN147" s="31">
        <v>0</v>
      </c>
      <c r="BO147" s="31">
        <v>2</v>
      </c>
      <c r="BQ147" s="31">
        <v>0</v>
      </c>
      <c r="BR147" s="31">
        <v>0</v>
      </c>
      <c r="BS147" s="31">
        <v>3</v>
      </c>
    </row>
    <row r="148" spans="1:71" ht="18.75" customHeight="1">
      <c r="AA148" s="1"/>
      <c r="AB148" s="1"/>
      <c r="AC148" s="1"/>
      <c r="AD148" s="1"/>
      <c r="AE148" s="1"/>
      <c r="AF148" s="1"/>
      <c r="AG148" s="1"/>
      <c r="AH148" s="1"/>
      <c r="AI148" s="1"/>
      <c r="AJ148" s="1"/>
      <c r="AK148" s="1"/>
    </row>
  </sheetData>
  <autoFilter ref="A4:AR147" xr:uid="{4F191FB3-8508-42F2-A3D0-6AFDEF3576B3}">
    <filterColumn colId="4">
      <filters>
        <filter val="Storage and Preservation Related"/>
      </filters>
    </filterColumn>
  </autoFilter>
  <mergeCells count="1">
    <mergeCell ref="AT140:AX140"/>
  </mergeCells>
  <dataValidations count="2">
    <dataValidation type="list" allowBlank="1" showInputMessage="1" showErrorMessage="1" sqref="AZ89:BA91 AZ128:BA147 AZ66:BA76 AZ62:BA64 AZ5:BA40 AZ110:BA119 AZ121:BA126 AZ43:BA46 AZ54:BA60 AZ79:BA86 AZ93:BA94 AZ48:BA52 AZ96:BA108 BB107:BE107" xr:uid="{C1E546B0-2E2B-4871-9D4F-CBAB43A3E51F}">
      <formula1>"1,2,3"</formula1>
    </dataValidation>
    <dataValidation type="list" allowBlank="1" showInputMessage="1" showErrorMessage="1" sqref="V5:Z147" xr:uid="{F13568A6-BFA0-41FC-8F24-35E54AD0466F}">
      <formula1>"Y,N"</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Mukesh Kumar</dc:creator>
  <cp:lastModifiedBy>Prasad, Mukesh Kumar</cp:lastModifiedBy>
  <dcterms:created xsi:type="dcterms:W3CDTF">2026-09-14T04:38:36Z</dcterms:created>
  <dcterms:modified xsi:type="dcterms:W3CDTF">2026-09-15T05:00:26Z</dcterms:modified>
</cp:coreProperties>
</file>